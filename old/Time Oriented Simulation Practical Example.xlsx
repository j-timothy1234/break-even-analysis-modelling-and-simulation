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Teaching\SEMISTER TWO\Modeling and Simulation\Lecture Slides 2026-2027\"/>
    </mc:Choice>
  </mc:AlternateContent>
  <bookViews>
    <workbookView xWindow="0" yWindow="0" windowWidth="15530" windowHeight="6930" tabRatio="500"/>
  </bookViews>
  <sheets>
    <sheet name="Guide" sheetId="1" r:id="rId1"/>
    <sheet name="Distribution Tables" sheetId="2" r:id="rId2"/>
    <sheet name="Simulation" sheetId="3" r:id="rId3"/>
  </sheets>
  <calcPr calcId="162913"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C33" i="3" l="1"/>
  <c r="C32" i="3"/>
  <c r="C31" i="3"/>
  <c r="C30" i="3"/>
  <c r="C29" i="3"/>
  <c r="C28" i="3"/>
  <c r="C27" i="3"/>
  <c r="C26" i="3"/>
  <c r="C25" i="3"/>
  <c r="C24" i="3"/>
  <c r="C23" i="3"/>
  <c r="C22" i="3"/>
  <c r="C21" i="3"/>
  <c r="C20" i="3"/>
  <c r="C19" i="3"/>
  <c r="C18" i="3"/>
  <c r="C17" i="3"/>
  <c r="C16" i="3"/>
  <c r="C15" i="3"/>
  <c r="C14" i="3"/>
  <c r="C13" i="3"/>
  <c r="C12" i="3"/>
  <c r="C11" i="3"/>
  <c r="C10" i="3"/>
  <c r="C9" i="3"/>
  <c r="C8" i="3"/>
  <c r="C7" i="3"/>
  <c r="C6" i="3"/>
  <c r="C5" i="3"/>
  <c r="F4" i="3"/>
  <c r="E4" i="3"/>
  <c r="C4" i="3"/>
  <c r="D19" i="2"/>
  <c r="D20" i="2" s="1"/>
  <c r="D9" i="2"/>
  <c r="E36" i="3" l="1"/>
  <c r="G4" i="3"/>
  <c r="H4" i="3"/>
  <c r="M4" i="3" l="1"/>
  <c r="N4" i="3" s="1"/>
  <c r="L4" i="3"/>
  <c r="J4" i="3"/>
  <c r="K4" i="3" s="1"/>
  <c r="F5" i="3" l="1"/>
  <c r="E5" i="3"/>
  <c r="D5" i="3"/>
  <c r="G5" i="3" s="1"/>
  <c r="H5" i="3" l="1"/>
  <c r="M5" i="3" l="1"/>
  <c r="N5" i="3" s="1"/>
  <c r="J5" i="3"/>
  <c r="K5" i="3" s="1"/>
  <c r="L5" i="3"/>
  <c r="F6" i="3" l="1"/>
  <c r="E6" i="3"/>
  <c r="D6" i="3"/>
  <c r="G6" i="3" s="1"/>
  <c r="H6" i="3" l="1"/>
  <c r="J6" i="3" l="1"/>
  <c r="K6" i="3" s="1"/>
  <c r="M6" i="3"/>
  <c r="N6" i="3" s="1"/>
  <c r="L6" i="3"/>
  <c r="F7" i="3" l="1"/>
  <c r="E7" i="3"/>
  <c r="D7" i="3"/>
  <c r="G7" i="3" s="1"/>
  <c r="H7" i="3" l="1"/>
  <c r="L7" i="3" l="1"/>
  <c r="J7" i="3"/>
  <c r="K7" i="3" s="1"/>
  <c r="M7" i="3"/>
  <c r="N7" i="3" s="1"/>
  <c r="E8" i="3" l="1"/>
  <c r="F8" i="3"/>
  <c r="D8" i="3"/>
  <c r="G8" i="3" s="1"/>
  <c r="H8" i="3" l="1"/>
  <c r="M8" i="3" l="1"/>
  <c r="N8" i="3" s="1"/>
  <c r="L8" i="3"/>
  <c r="J8" i="3"/>
  <c r="K8" i="3" s="1"/>
  <c r="F9" i="3" l="1"/>
  <c r="H9" i="3" s="1"/>
  <c r="E9" i="3"/>
  <c r="D9" i="3"/>
  <c r="G9" i="3" s="1"/>
  <c r="M9" i="3" l="1"/>
  <c r="N9" i="3" s="1"/>
  <c r="L9" i="3"/>
  <c r="D10" i="3" s="1"/>
  <c r="G10" i="3" s="1"/>
  <c r="J9" i="3"/>
  <c r="K9" i="3" s="1"/>
  <c r="F10" i="3" l="1"/>
  <c r="H10" i="3" s="1"/>
  <c r="E10" i="3"/>
  <c r="M10" i="3" l="1"/>
  <c r="N10" i="3" s="1"/>
  <c r="L10" i="3"/>
  <c r="D11" i="3" s="1"/>
  <c r="G11" i="3" s="1"/>
  <c r="K10" i="3"/>
  <c r="J10" i="3"/>
  <c r="F11" i="3" l="1"/>
  <c r="H11" i="3" s="1"/>
  <c r="E11" i="3"/>
  <c r="M11" i="3" l="1"/>
  <c r="N11" i="3" s="1"/>
  <c r="L11" i="3"/>
  <c r="D12" i="3" s="1"/>
  <c r="G12" i="3" s="1"/>
  <c r="J11" i="3"/>
  <c r="K11" i="3" s="1"/>
  <c r="F12" i="3" l="1"/>
  <c r="H12" i="3" s="1"/>
  <c r="E12" i="3"/>
  <c r="J12" i="3" l="1"/>
  <c r="M12" i="3"/>
  <c r="N12" i="3" s="1"/>
  <c r="K12" i="3"/>
  <c r="L12" i="3"/>
  <c r="D13" i="3" s="1"/>
  <c r="G13" i="3" s="1"/>
  <c r="E13" i="3" l="1"/>
  <c r="F13" i="3"/>
  <c r="H13" i="3" s="1"/>
  <c r="J13" i="3" l="1"/>
  <c r="K13" i="3" s="1"/>
  <c r="M13" i="3"/>
  <c r="N13" i="3" s="1"/>
  <c r="L13" i="3"/>
  <c r="D14" i="3" s="1"/>
  <c r="G14" i="3" s="1"/>
  <c r="F14" i="3" l="1"/>
  <c r="H14" i="3" s="1"/>
  <c r="E14" i="3"/>
  <c r="L14" i="3" l="1"/>
  <c r="D15" i="3" s="1"/>
  <c r="G15" i="3" s="1"/>
  <c r="K14" i="3"/>
  <c r="J14" i="3"/>
  <c r="M14" i="3"/>
  <c r="N14" i="3" s="1"/>
  <c r="F15" i="3" l="1"/>
  <c r="H15" i="3" s="1"/>
  <c r="E15" i="3"/>
  <c r="M15" i="3" l="1"/>
  <c r="N15" i="3" s="1"/>
  <c r="L15" i="3"/>
  <c r="D16" i="3" s="1"/>
  <c r="G16" i="3" s="1"/>
  <c r="J15" i="3"/>
  <c r="K15" i="3" s="1"/>
  <c r="F16" i="3" l="1"/>
  <c r="H16" i="3" s="1"/>
  <c r="E16" i="3"/>
  <c r="M16" i="3" l="1"/>
  <c r="N16" i="3" s="1"/>
  <c r="L16" i="3"/>
  <c r="D17" i="3" s="1"/>
  <c r="G17" i="3" s="1"/>
  <c r="J16" i="3"/>
  <c r="K16" i="3" s="1"/>
  <c r="E17" i="3" l="1"/>
  <c r="F17" i="3"/>
  <c r="H17" i="3" s="1"/>
  <c r="M17" i="3" l="1"/>
  <c r="N17" i="3" s="1"/>
  <c r="L17" i="3"/>
  <c r="D18" i="3" s="1"/>
  <c r="G18" i="3" s="1"/>
  <c r="J17" i="3"/>
  <c r="K17" i="3"/>
  <c r="F18" i="3" l="1"/>
  <c r="H18" i="3" s="1"/>
  <c r="E18" i="3"/>
  <c r="M18" i="3" l="1"/>
  <c r="N18" i="3" s="1"/>
  <c r="J18" i="3"/>
  <c r="K18" i="3" s="1"/>
  <c r="L18" i="3"/>
  <c r="D19" i="3" s="1"/>
  <c r="G19" i="3" s="1"/>
  <c r="F19" i="3" l="1"/>
  <c r="H19" i="3" s="1"/>
  <c r="E19" i="3"/>
  <c r="L19" i="3" l="1"/>
  <c r="D20" i="3" s="1"/>
  <c r="G20" i="3" s="1"/>
  <c r="J19" i="3"/>
  <c r="K19" i="3" s="1"/>
  <c r="M19" i="3"/>
  <c r="N19" i="3" s="1"/>
  <c r="E20" i="3" l="1"/>
  <c r="F20" i="3"/>
  <c r="H20" i="3" s="1"/>
  <c r="M20" i="3" l="1"/>
  <c r="N20" i="3" s="1"/>
  <c r="L20" i="3"/>
  <c r="D21" i="3" s="1"/>
  <c r="G21" i="3" s="1"/>
  <c r="J20" i="3"/>
  <c r="K20" i="3" s="1"/>
  <c r="F21" i="3" l="1"/>
  <c r="H21" i="3" s="1"/>
  <c r="E21" i="3"/>
  <c r="M21" i="3" l="1"/>
  <c r="N21" i="3" s="1"/>
  <c r="L21" i="3"/>
  <c r="D22" i="3" s="1"/>
  <c r="G22" i="3" s="1"/>
  <c r="J21" i="3"/>
  <c r="K21" i="3"/>
  <c r="F22" i="3" l="1"/>
  <c r="H22" i="3" s="1"/>
  <c r="E22" i="3"/>
  <c r="M22" i="3" l="1"/>
  <c r="N22" i="3" s="1"/>
  <c r="L22" i="3"/>
  <c r="D23" i="3" s="1"/>
  <c r="G23" i="3" s="1"/>
  <c r="J22" i="3"/>
  <c r="K22" i="3" s="1"/>
  <c r="F23" i="3" l="1"/>
  <c r="H23" i="3" s="1"/>
  <c r="E23" i="3"/>
  <c r="L23" i="3" l="1"/>
  <c r="D24" i="3" s="1"/>
  <c r="G24" i="3" s="1"/>
  <c r="M23" i="3"/>
  <c r="N23" i="3" s="1"/>
  <c r="J23" i="3"/>
  <c r="K23" i="3" s="1"/>
  <c r="F24" i="3" l="1"/>
  <c r="H24" i="3" s="1"/>
  <c r="E24" i="3"/>
  <c r="J24" i="3" l="1"/>
  <c r="M24" i="3"/>
  <c r="N24" i="3" s="1"/>
  <c r="L24" i="3"/>
  <c r="D25" i="3" s="1"/>
  <c r="G25" i="3" s="1"/>
  <c r="K24" i="3"/>
  <c r="F25" i="3" l="1"/>
  <c r="H25" i="3" s="1"/>
  <c r="E25" i="3"/>
  <c r="K25" i="3" l="1"/>
  <c r="J25" i="3"/>
  <c r="L25" i="3"/>
  <c r="D26" i="3" s="1"/>
  <c r="G26" i="3" s="1"/>
  <c r="M25" i="3"/>
  <c r="N25" i="3" s="1"/>
  <c r="F26" i="3" l="1"/>
  <c r="H26" i="3" s="1"/>
  <c r="E26" i="3"/>
  <c r="L26" i="3" l="1"/>
  <c r="D27" i="3" s="1"/>
  <c r="G27" i="3" s="1"/>
  <c r="J26" i="3"/>
  <c r="K26" i="3" s="1"/>
  <c r="M26" i="3"/>
  <c r="N26" i="3" s="1"/>
  <c r="F27" i="3" l="1"/>
  <c r="H27" i="3" s="1"/>
  <c r="E27" i="3"/>
  <c r="M27" i="3" l="1"/>
  <c r="N27" i="3" s="1"/>
  <c r="L27" i="3"/>
  <c r="D28" i="3" s="1"/>
  <c r="G28" i="3" s="1"/>
  <c r="J27" i="3"/>
  <c r="K27" i="3" s="1"/>
  <c r="F28" i="3" l="1"/>
  <c r="H28" i="3" s="1"/>
  <c r="E28" i="3"/>
  <c r="M28" i="3" l="1"/>
  <c r="N28" i="3" s="1"/>
  <c r="L28" i="3"/>
  <c r="D29" i="3" s="1"/>
  <c r="G29" i="3" s="1"/>
  <c r="K28" i="3"/>
  <c r="J28" i="3"/>
  <c r="F29" i="3" l="1"/>
  <c r="H29" i="3" s="1"/>
  <c r="E29" i="3"/>
  <c r="M29" i="3" l="1"/>
  <c r="N29" i="3" s="1"/>
  <c r="L29" i="3"/>
  <c r="D30" i="3" s="1"/>
  <c r="G30" i="3" s="1"/>
  <c r="J29" i="3"/>
  <c r="K29" i="3" s="1"/>
  <c r="F30" i="3" l="1"/>
  <c r="H30" i="3" s="1"/>
  <c r="E30" i="3"/>
  <c r="M30" i="3" l="1"/>
  <c r="N30" i="3" s="1"/>
  <c r="L30" i="3"/>
  <c r="D31" i="3" s="1"/>
  <c r="G31" i="3" s="1"/>
  <c r="J30" i="3"/>
  <c r="K30" i="3" s="1"/>
  <c r="F31" i="3" l="1"/>
  <c r="H31" i="3" s="1"/>
  <c r="E31" i="3"/>
  <c r="M31" i="3" l="1"/>
  <c r="N31" i="3" s="1"/>
  <c r="L31" i="3"/>
  <c r="D32" i="3" s="1"/>
  <c r="G32" i="3" s="1"/>
  <c r="J31" i="3"/>
  <c r="K31" i="3" s="1"/>
  <c r="E32" i="3" l="1"/>
  <c r="F32" i="3"/>
  <c r="H32" i="3" s="1"/>
  <c r="M32" i="3" l="1"/>
  <c r="N32" i="3" s="1"/>
  <c r="L32" i="3"/>
  <c r="D33" i="3" s="1"/>
  <c r="G33" i="3" s="1"/>
  <c r="J32" i="3"/>
  <c r="K32" i="3" s="1"/>
  <c r="F33" i="3" l="1"/>
  <c r="H33" i="3" s="1"/>
  <c r="E33" i="3"/>
  <c r="M33" i="3" l="1"/>
  <c r="N33" i="3" s="1"/>
  <c r="E37" i="3" s="1"/>
  <c r="E38" i="3" s="1"/>
  <c r="L33" i="3"/>
  <c r="K33" i="3"/>
  <c r="J33" i="3"/>
  <c r="E40" i="3" l="1"/>
  <c r="E39" i="3"/>
</calcChain>
</file>

<file path=xl/sharedStrings.xml><?xml version="1.0" encoding="utf-8"?>
<sst xmlns="http://schemas.openxmlformats.org/spreadsheetml/2006/main" count="88" uniqueCount="85">
  <si>
    <t>1. The Problem (from the lecture)</t>
  </si>
  <si>
    <t>A factory has a large number of semiautomatic machines. On 50% of the working days, none of the machines fail. On 30% of the days one machine fails, and on 20% of the days two machines fail. The maintenance staff, on average, put 65% of failed machines back in order within one day, 30% within two days, and the remaining 5% within three days.</t>
  </si>
  <si>
    <t>2. Modelling It As a Queue</t>
  </si>
  <si>
    <t>This is a single-server queuing model. A machine failure is an ‘arrival’; the maintenance crew is the ‘service facility’ (treated here as ONE server that repairs one machine at a time). There is no limit on how many machines can wait (unlimited capacity) and the population of machines is large enough to be treated as infinite — i.e. an M/G/1 queue.</t>
  </si>
  <si>
    <t>3. The Two Probability Distributions</t>
  </si>
  <si>
    <t>Arrivals per day — Expected rate = 0(.50) + 1(.30) + 2(.20) = 0.70 machines/day.  Service time per repair — Expected time = 1(.65) + 2(.30) + 3(.05) = 1.40 days, so the expected service rate = 1 / 1.40 ≈ 0.714 machines/day. Because the expected arrival rate (0.70) is slightly below the expected service rate (0.714), the system is stable and can reach a steady state — which is what makes it sensible to simulate.</t>
  </si>
  <si>
    <t>4. Random-Number Rules (see the ‘Distribution Tables’ tab)</t>
  </si>
  <si>
    <t>Arrivals:  0.00 &lt; r ≤ 0.50 → 0 arrivals   |   0.50 &lt; r ≤ 0.80 → 1 arrival   |   0.80 &lt; r ≤ 1.00 → 2 arrivals.</t>
  </si>
  <si>
    <t>Service time:  0.00 &lt; r ≤ 0.65 → 1 day   |   0.65 &lt; r ≤ 0.95 → 2 days   |   0.95 &lt; r ≤ 1.00 → 3 days.</t>
  </si>
  <si>
    <t>5. How the Day-by-Day Logic Works (‘Simulation’ tab)</t>
  </si>
  <si>
    <t>Each row is one simulated day. On every day the workbook: (1) rolls forward yesterday’s repair-in-progress by one day if the server was busy; (2) adds today’s new arrivals (from the random number you supply) to the waiting line; (3) if the server is free and machines are waiting, pulls ONE machine into service and draws a fresh random number to decide how many days that repair will take. All of this is done with formulas — you only ever type numbers into the two blue ‘Random No.’ columns.</t>
  </si>
  <si>
    <t>6. Column Guide for the Simulation Tab</t>
  </si>
  <si>
    <t>•  Day</t>
  </si>
  <si>
    <t xml:space="preserve">    Day number of the simulation (1–30).</t>
  </si>
  <si>
    <t>•  Random No. (Arrival)  [blue — EDIT]</t>
  </si>
  <si>
    <t xml:space="preserve">    Any number 0.00–1.00. Decides today’s arrivals via the table in section 4.</t>
  </si>
  <si>
    <t>•  Arrivals Today</t>
  </si>
  <si>
    <t xml:space="preserve">    Machines that fail today — looked up automatically from the random number.</t>
  </si>
  <si>
    <t>•  Queue at Start (before today's arrivals)</t>
  </si>
  <si>
    <t xml:space="preserve">    Machines already waiting, carried over from yesterday’s end-of-day queue.</t>
  </si>
  <si>
    <t>•  Server Busy? (start of day)</t>
  </si>
  <si>
    <t xml:space="preserve">    1 = a repair was still in progress overnight, 0 = server was free.</t>
  </si>
  <si>
    <t>•  Remaining Service Time (after today's work)</t>
  </si>
  <si>
    <t xml:space="preserve">    Days still needed on the repair in progress, after today counts as one more day of work.</t>
  </si>
  <si>
    <t>•  Queue After Today's Arrivals</t>
  </si>
  <si>
    <t xml:space="preserve">    Start-of-day queue + today's new arrivals, before anyone is pulled into service.</t>
  </si>
  <si>
    <t>•  New Repair Started? (1/0)</t>
  </si>
  <si>
    <t xml:space="preserve">    1 if the server was free AND at least one machine was waiting, so a new repair begins today.</t>
  </si>
  <si>
    <t>•  Random No. (Service)  [blue — EDIT]</t>
  </si>
  <si>
    <t xml:space="preserve">    Only used on days a new repair starts; decides the repair length via the table in section 4.</t>
  </si>
  <si>
    <t>•  New Service Time (days)</t>
  </si>
  <si>
    <t xml:space="preserve">    Length of the repair that just started (blank if no new repair today).</t>
  </si>
  <si>
    <t>•  Remaining Service Time Carried to Tomorrow</t>
  </si>
  <si>
    <t xml:space="preserve">    The value that becomes next day's 'Remaining Service Time' — accounts for a new repair that just started today as well as one still ongoing.</t>
  </si>
  <si>
    <t>•  Queue at End of Day</t>
  </si>
  <si>
    <t xml:space="preserve">    Machines still waiting after this day's assignment — used for the average-queue statistic.</t>
  </si>
  <si>
    <t>•  Server Status (End of Day)</t>
  </si>
  <si>
    <t xml:space="preserve">    Busy or Idle — used for the utilisation / idle-time statistic.</t>
  </si>
  <si>
    <t>•  Idle Day? (1/0)</t>
  </si>
  <si>
    <t xml:space="preserve">    1 on any day the server had nothing to repair at all.</t>
  </si>
  <si>
    <t>7. Reading the Results (bottom of the Simulation tab)</t>
  </si>
  <si>
    <t>Average number of machines in the queue = average of the ‘Queue at End of Day’ column. Server utilisation = fraction of the 30 days the server was Busy (1 − idle days/30). Average waiting time per machine ≈ (sum of the daily queue lengths) ÷ (total arrivals), which is Little's Law (W = L / λ) applied to the simulated data. All three are live formulas: change any random number and the whole workbook, including these summary statistics, updates automatically.</t>
  </si>
  <si>
    <t>8. Running Your Own Simulation in Class</t>
  </si>
  <si>
    <t>Only the BLUE cells are inputs. To run a fresh simulation: overwrite the blue ‘Random No.’ cells with new 2-decimal values between 0.00 and 1.00 (draw them from a random-number table, dice, or an online generator) — or type =RAND() into a cell, copy it, then Paste Special → Values to freeze a fresh batch. Everything else recalculates on its own. You can also extend the simulation past 30 days by selecting the last row and dragging the fill handle down, then filling in new random numbers for the extra days.</t>
  </si>
  <si>
    <t>Tip for instructors: the ‘Simulation’ tab is already filled in with one worked example so students can check their understanding before generating their own numbers.</t>
  </si>
  <si>
    <t>Arrival Distribution</t>
  </si>
  <si>
    <t>Daily Arrivals</t>
  </si>
  <si>
    <t>Probability</t>
  </si>
  <si>
    <t>Cumulative Probability</t>
  </si>
  <si>
    <t>Random No. Range (r)</t>
  </si>
  <si>
    <t>0.00 &lt; r ≤ 0.50</t>
  </si>
  <si>
    <t>0.50 &lt; r ≤ 0.80</t>
  </si>
  <si>
    <t>0.80 &lt; r ≤ 1.00</t>
  </si>
  <si>
    <t>Expected arrival rate = 0(0.50) + 1(0.30) + 2(0.20) =</t>
  </si>
  <si>
    <t>Service-Time Distribution</t>
  </si>
  <si>
    <t>Service Time (days)</t>
  </si>
  <si>
    <t>0.00 &lt; r ≤ 0.65</t>
  </si>
  <si>
    <t>0.65 &lt; r ≤ 0.95</t>
  </si>
  <si>
    <t>0.95 &lt; r ≤ 1.00</t>
  </si>
  <si>
    <t>Expected service time = 1(0.65) + 2(0.30) + 3(0.05) =</t>
  </si>
  <si>
    <t>Expected service rate = 1 / expected service time =</t>
  </si>
  <si>
    <t>These ranges are what the Simulation tab's lookup formulas use to turn a random number into an arrival count or a service time. They match the percentages given in the lecture problem exactly.</t>
  </si>
  <si>
    <t>Day</t>
  </si>
  <si>
    <t>Random No.
(Arrival)</t>
  </si>
  <si>
    <t>Arrivals
Today</t>
  </si>
  <si>
    <t>Queue at Start
(before arrivals)</t>
  </si>
  <si>
    <t>Server Busy?
(start of day)</t>
  </si>
  <si>
    <t>Remaining Svc. Time
(ongoing repair, after today)</t>
  </si>
  <si>
    <t>Queue After
Today's Arrivals</t>
  </si>
  <si>
    <t>New Repair
Started? (1/0)</t>
  </si>
  <si>
    <t>Random No.
(Service)</t>
  </si>
  <si>
    <t>New Service
Time (days)</t>
  </si>
  <si>
    <t>Remaining Svc. Time
Carried to Tomorrow</t>
  </si>
  <si>
    <t>Queue at
End of Day</t>
  </si>
  <si>
    <t>Server Status
(End of Day)</t>
  </si>
  <si>
    <t>Idle Day?
(1/0)</t>
  </si>
  <si>
    <t>Summary Statistics (30 Days)</t>
  </si>
  <si>
    <t>Total arrivals</t>
  </si>
  <si>
    <t>Total idle days</t>
  </si>
  <si>
    <t>Server utilisation (fraction of days busy)</t>
  </si>
  <si>
    <t>Average number of machines in the queue</t>
  </si>
  <si>
    <t>Average waiting time per machine (days) – Little's Law: W = L / λ</t>
  </si>
  <si>
    <t>Blue text = editable input cells (random numbers). Black text = formulas that recalculate automatically. Replace the blue numbers with your own to run a new simulation — see the Guide tab.</t>
  </si>
  <si>
    <t>Time-Oriented Simulation of a Queuing System — Use Guide</t>
  </si>
  <si>
    <t>Time-Oriented Simulation — Single-Server Machine Repair Queue (30-Days Simulation)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</si>
</sst>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quot; machines/day&quot;"/>
    <numFmt numFmtId="165" formatCode="0.00&quot; days&quot;"/>
    <numFmt numFmtId="166" formatCode="0.000&quot; machines/day&quot;"/>
    <numFmt numFmtId="167" formatCode="0.0%"/>
  </numFmts>
  <fonts count="12" x14ac:knownFonts="1">
    <font>
      <sz val="11"/>
      <color theme="1"/>
      <name val="Calibri"/>
      <family val="2"/>
      <charset val="1"/>
    </font>
    <font>
      <b/>
      <sz val="16"/>
      <color rgb="FF1F6B3B"/>
      <name val="Arial"/>
      <charset val="1"/>
    </font>
    <font>
      <b/>
      <sz val="12"/>
      <color rgb="FF1F6B3B"/>
      <name val="Arial"/>
      <charset val="1"/>
    </font>
    <font>
      <sz val="11"/>
      <name val="Arial"/>
      <charset val="1"/>
    </font>
    <font>
      <b/>
      <sz val="11"/>
      <name val="Arial"/>
      <charset val="1"/>
    </font>
    <font>
      <b/>
      <sz val="11"/>
      <color rgb="FFFFFFFF"/>
      <name val="Arial"/>
      <charset val="1"/>
    </font>
    <font>
      <sz val="11"/>
      <color rgb="FF000000"/>
      <name val="Arial"/>
      <charset val="1"/>
    </font>
    <font>
      <sz val="11"/>
      <color rgb="FF0000FF"/>
      <name val="Arial"/>
      <charset val="1"/>
    </font>
    <font>
      <b/>
      <i/>
      <sz val="10"/>
      <color rgb="FFFF0000"/>
      <name val="Arial"/>
      <family val="2"/>
    </font>
    <font>
      <b/>
      <sz val="11"/>
      <name val="Arial"/>
      <family val="2"/>
    </font>
    <font>
      <b/>
      <sz val="16"/>
      <color rgb="FF1F6B3B"/>
      <name val="Arial"/>
      <family val="2"/>
    </font>
    <font>
      <b/>
      <sz val="11"/>
      <color rgb="FF000000"/>
      <name val="Arial"/>
      <family val="2"/>
    </font>
  </fonts>
  <fills count="5">
    <fill>
      <patternFill patternType="none"/>
    </fill>
    <fill>
      <patternFill patternType="gray125"/>
    </fill>
    <fill>
      <patternFill patternType="solid">
        <fgColor rgb="FF1F6B3B"/>
        <bgColor rgb="FF008080"/>
      </patternFill>
    </fill>
    <fill>
      <patternFill patternType="solid">
        <fgColor rgb="FFF7FAF8"/>
        <bgColor rgb="FFFFFFFF"/>
      </patternFill>
    </fill>
    <fill>
      <patternFill patternType="solid">
        <fgColor rgb="FFEAF2ED"/>
        <bgColor rgb="FFF7FAF8"/>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2">
    <xf numFmtId="0" fontId="0" fillId="0" borderId="0" xfId="0"/>
    <xf numFmtId="0" fontId="4" fillId="0" borderId="0" xfId="0" applyFont="1" applyBorder="1" applyAlignment="1"/>
    <xf numFmtId="0" fontId="2" fillId="0" borderId="0" xfId="0" applyFont="1" applyBorder="1" applyAlignment="1"/>
    <xf numFmtId="0" fontId="3" fillId="0" borderId="0" xfId="0" applyFont="1" applyBorder="1" applyAlignment="1">
      <alignment vertical="top" wrapText="1"/>
    </xf>
    <xf numFmtId="0" fontId="1" fillId="0" borderId="0" xfId="0" applyFont="1" applyBorder="1" applyAlignment="1"/>
    <xf numFmtId="0" fontId="0" fillId="0" borderId="0" xfId="0" applyAlignment="1"/>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9" fontId="3" fillId="0" borderId="1" xfId="0" applyNumberFormat="1" applyFont="1" applyBorder="1" applyAlignment="1">
      <alignment horizontal="center" vertical="center" wrapText="1"/>
    </xf>
    <xf numFmtId="0" fontId="3" fillId="3" borderId="1" xfId="0" applyFont="1" applyFill="1" applyBorder="1" applyAlignment="1">
      <alignment horizontal="center" vertical="center" wrapText="1"/>
    </xf>
    <xf numFmtId="9" fontId="3" fillId="3" borderId="1" xfId="0" applyNumberFormat="1" applyFont="1" applyFill="1" applyBorder="1" applyAlignment="1">
      <alignment horizontal="center" vertical="center" wrapText="1"/>
    </xf>
    <xf numFmtId="2" fontId="7" fillId="0" borderId="1" xfId="0" applyNumberFormat="1" applyFont="1" applyBorder="1" applyAlignment="1"/>
    <xf numFmtId="0" fontId="6" fillId="0" borderId="1" xfId="0" applyFont="1" applyBorder="1" applyAlignment="1"/>
    <xf numFmtId="0" fontId="6" fillId="0" borderId="1" xfId="0" applyFont="1" applyBorder="1" applyAlignment="1">
      <alignment horizontal="center" vertical="center" wrapText="1"/>
    </xf>
    <xf numFmtId="2" fontId="7" fillId="3" borderId="1" xfId="0" applyNumberFormat="1" applyFont="1" applyFill="1" applyBorder="1" applyAlignment="1"/>
    <xf numFmtId="0" fontId="6" fillId="3" borderId="1" xfId="0" applyFont="1" applyFill="1" applyBorder="1" applyAlignment="1"/>
    <xf numFmtId="0" fontId="6" fillId="3" borderId="1" xfId="0" applyFont="1" applyFill="1" applyBorder="1" applyAlignment="1">
      <alignment horizontal="center" vertical="center" wrapText="1"/>
    </xf>
    <xf numFmtId="1" fontId="6" fillId="4" borderId="0" xfId="0" applyNumberFormat="1" applyFont="1" applyFill="1" applyAlignment="1"/>
    <xf numFmtId="167" fontId="6" fillId="4" borderId="0" xfId="0" applyNumberFormat="1" applyFont="1" applyFill="1" applyAlignment="1"/>
    <xf numFmtId="2" fontId="6" fillId="4" borderId="0" xfId="0" applyNumberFormat="1" applyFont="1" applyFill="1" applyAlignment="1"/>
    <xf numFmtId="0" fontId="8" fillId="0" borderId="0" xfId="0" applyFont="1" applyAlignment="1">
      <alignment vertical="top" wrapText="1"/>
    </xf>
    <xf numFmtId="0" fontId="9" fillId="0" borderId="1" xfId="0" applyFont="1" applyBorder="1" applyAlignment="1">
      <alignment horizontal="center" vertical="center" wrapText="1"/>
    </xf>
    <xf numFmtId="0" fontId="9" fillId="3" borderId="1" xfId="0" applyFont="1" applyFill="1" applyBorder="1" applyAlignment="1">
      <alignment horizontal="center" vertical="center" wrapText="1"/>
    </xf>
    <xf numFmtId="0" fontId="8" fillId="0" borderId="0" xfId="0" applyFont="1" applyBorder="1" applyAlignment="1">
      <alignment vertical="top" wrapText="1"/>
    </xf>
    <xf numFmtId="0" fontId="10" fillId="0" borderId="0" xfId="0" applyFont="1" applyAlignment="1">
      <alignment vertical="top" wrapText="1"/>
    </xf>
    <xf numFmtId="164" fontId="11" fillId="0" borderId="0" xfId="0" applyNumberFormat="1" applyFont="1" applyAlignment="1"/>
    <xf numFmtId="166" fontId="11" fillId="0" borderId="0" xfId="0" applyNumberFormat="1" applyFont="1" applyAlignment="1"/>
    <xf numFmtId="165" fontId="11" fillId="0" borderId="0" xfId="0" applyNumberFormat="1" applyFont="1" applyAlignment="1"/>
    <xf numFmtId="0" fontId="10" fillId="0" borderId="0" xfId="0" applyFont="1" applyBorder="1" applyAlignme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F6B3B"/>
      <rgbColor rgb="FF000080"/>
      <rgbColor rgb="FF808000"/>
      <rgbColor rgb="FF800080"/>
      <rgbColor rgb="FF008080"/>
      <rgbColor rgb="FFBFBFBF"/>
      <rgbColor rgb="FF808080"/>
      <rgbColor rgb="FF9999FF"/>
      <rgbColor rgb="FF993366"/>
      <rgbColor rgb="FFF7FAF8"/>
      <rgbColor rgb="FFEAF2ED"/>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B56"/>
  <sheetViews>
    <sheetView showGridLines="0" tabSelected="1" zoomScaleNormal="100" workbookViewId="0">
      <selection activeCell="B2" sqref="B2"/>
    </sheetView>
  </sheetViews>
  <sheetFormatPr defaultColWidth="8.6328125" defaultRowHeight="14.5" x14ac:dyDescent="0.35"/>
  <cols>
    <col min="1" max="1" width="3" style="5" customWidth="1"/>
    <col min="2" max="2" width="100" style="5" customWidth="1"/>
  </cols>
  <sheetData>
    <row r="2" spans="2:2" ht="42" customHeight="1" x14ac:dyDescent="0.35">
      <c r="B2" s="27" t="s">
        <v>83</v>
      </c>
    </row>
    <row r="4" spans="2:2" ht="15" customHeight="1" x14ac:dyDescent="0.35">
      <c r="B4" s="6" t="s">
        <v>0</v>
      </c>
    </row>
    <row r="5" spans="2:2" ht="54.75" customHeight="1" x14ac:dyDescent="0.35">
      <c r="B5" s="7" t="s">
        <v>1</v>
      </c>
    </row>
    <row r="7" spans="2:2" ht="15" customHeight="1" x14ac:dyDescent="0.35">
      <c r="B7" s="6" t="s">
        <v>2</v>
      </c>
    </row>
    <row r="8" spans="2:2" ht="54.75" customHeight="1" x14ac:dyDescent="0.35">
      <c r="B8" s="7" t="s">
        <v>3</v>
      </c>
    </row>
    <row r="10" spans="2:2" ht="15" customHeight="1" x14ac:dyDescent="0.35">
      <c r="B10" s="6" t="s">
        <v>4</v>
      </c>
    </row>
    <row r="11" spans="2:2" ht="54.75" customHeight="1" x14ac:dyDescent="0.35">
      <c r="B11" s="7" t="s">
        <v>5</v>
      </c>
    </row>
    <row r="13" spans="2:2" ht="15" customHeight="1" x14ac:dyDescent="0.35">
      <c r="B13" s="6" t="s">
        <v>6</v>
      </c>
    </row>
    <row r="14" spans="2:2" ht="30" customHeight="1" x14ac:dyDescent="0.35">
      <c r="B14" s="7" t="s">
        <v>7</v>
      </c>
    </row>
    <row r="15" spans="2:2" ht="30" customHeight="1" x14ac:dyDescent="0.35">
      <c r="B15" s="7" t="s">
        <v>8</v>
      </c>
    </row>
    <row r="17" spans="2:2" ht="15" customHeight="1" x14ac:dyDescent="0.35">
      <c r="B17" s="6" t="s">
        <v>9</v>
      </c>
    </row>
    <row r="18" spans="2:2" ht="67.5" customHeight="1" x14ac:dyDescent="0.35">
      <c r="B18" s="7" t="s">
        <v>10</v>
      </c>
    </row>
    <row r="20" spans="2:2" ht="15" customHeight="1" x14ac:dyDescent="0.35">
      <c r="B20" s="6" t="s">
        <v>11</v>
      </c>
    </row>
    <row r="21" spans="2:2" ht="15" customHeight="1" x14ac:dyDescent="0.35">
      <c r="B21" s="8" t="s">
        <v>12</v>
      </c>
    </row>
    <row r="22" spans="2:2" ht="27.75" customHeight="1" x14ac:dyDescent="0.35">
      <c r="B22" s="7" t="s">
        <v>13</v>
      </c>
    </row>
    <row r="23" spans="2:2" ht="15" customHeight="1" x14ac:dyDescent="0.35">
      <c r="B23" s="8" t="s">
        <v>14</v>
      </c>
    </row>
    <row r="24" spans="2:2" ht="27.75" customHeight="1" x14ac:dyDescent="0.35">
      <c r="B24" s="7" t="s">
        <v>15</v>
      </c>
    </row>
    <row r="25" spans="2:2" ht="15" customHeight="1" x14ac:dyDescent="0.35">
      <c r="B25" s="8" t="s">
        <v>16</v>
      </c>
    </row>
    <row r="26" spans="2:2" ht="27.75" customHeight="1" x14ac:dyDescent="0.35">
      <c r="B26" s="7" t="s">
        <v>17</v>
      </c>
    </row>
    <row r="27" spans="2:2" ht="15" customHeight="1" x14ac:dyDescent="0.35">
      <c r="B27" s="8" t="s">
        <v>18</v>
      </c>
    </row>
    <row r="28" spans="2:2" ht="27.75" customHeight="1" x14ac:dyDescent="0.35">
      <c r="B28" s="7" t="s">
        <v>19</v>
      </c>
    </row>
    <row r="29" spans="2:2" ht="15" customHeight="1" x14ac:dyDescent="0.35">
      <c r="B29" s="8" t="s">
        <v>20</v>
      </c>
    </row>
    <row r="30" spans="2:2" ht="27.75" customHeight="1" x14ac:dyDescent="0.35">
      <c r="B30" s="7" t="s">
        <v>21</v>
      </c>
    </row>
    <row r="31" spans="2:2" ht="15" customHeight="1" x14ac:dyDescent="0.35">
      <c r="B31" s="8" t="s">
        <v>22</v>
      </c>
    </row>
    <row r="32" spans="2:2" ht="27.75" customHeight="1" x14ac:dyDescent="0.35">
      <c r="B32" s="7" t="s">
        <v>23</v>
      </c>
    </row>
    <row r="33" spans="2:2" ht="15" customHeight="1" x14ac:dyDescent="0.35">
      <c r="B33" s="8" t="s">
        <v>24</v>
      </c>
    </row>
    <row r="34" spans="2:2" ht="27.75" customHeight="1" x14ac:dyDescent="0.35">
      <c r="B34" s="7" t="s">
        <v>25</v>
      </c>
    </row>
    <row r="35" spans="2:2" ht="15" customHeight="1" x14ac:dyDescent="0.35">
      <c r="B35" s="8" t="s">
        <v>26</v>
      </c>
    </row>
    <row r="36" spans="2:2" ht="27.75" customHeight="1" x14ac:dyDescent="0.35">
      <c r="B36" s="7" t="s">
        <v>27</v>
      </c>
    </row>
    <row r="37" spans="2:2" ht="15" customHeight="1" x14ac:dyDescent="0.35">
      <c r="B37" s="8" t="s">
        <v>28</v>
      </c>
    </row>
    <row r="38" spans="2:2" ht="27.75" customHeight="1" x14ac:dyDescent="0.35">
      <c r="B38" s="7" t="s">
        <v>29</v>
      </c>
    </row>
    <row r="39" spans="2:2" ht="15" customHeight="1" x14ac:dyDescent="0.35">
      <c r="B39" s="8" t="s">
        <v>30</v>
      </c>
    </row>
    <row r="40" spans="2:2" ht="27.75" customHeight="1" x14ac:dyDescent="0.35">
      <c r="B40" s="7" t="s">
        <v>31</v>
      </c>
    </row>
    <row r="41" spans="2:2" ht="15" customHeight="1" x14ac:dyDescent="0.35">
      <c r="B41" s="8" t="s">
        <v>32</v>
      </c>
    </row>
    <row r="42" spans="2:2" ht="27.75" customHeight="1" x14ac:dyDescent="0.35">
      <c r="B42" s="7" t="s">
        <v>33</v>
      </c>
    </row>
    <row r="43" spans="2:2" ht="15" customHeight="1" x14ac:dyDescent="0.35">
      <c r="B43" s="8" t="s">
        <v>34</v>
      </c>
    </row>
    <row r="44" spans="2:2" ht="27.75" customHeight="1" x14ac:dyDescent="0.35">
      <c r="B44" s="7" t="s">
        <v>35</v>
      </c>
    </row>
    <row r="45" spans="2:2" ht="15" customHeight="1" x14ac:dyDescent="0.35">
      <c r="B45" s="8" t="s">
        <v>36</v>
      </c>
    </row>
    <row r="46" spans="2:2" ht="27.75" customHeight="1" x14ac:dyDescent="0.35">
      <c r="B46" s="7" t="s">
        <v>37</v>
      </c>
    </row>
    <row r="47" spans="2:2" ht="15" customHeight="1" x14ac:dyDescent="0.35">
      <c r="B47" s="8" t="s">
        <v>38</v>
      </c>
    </row>
    <row r="48" spans="2:2" ht="15" customHeight="1" x14ac:dyDescent="0.35">
      <c r="B48" s="7" t="s">
        <v>39</v>
      </c>
    </row>
    <row r="49" spans="2:2" ht="15" customHeight="1" x14ac:dyDescent="0.35"/>
    <row r="50" spans="2:2" ht="15" customHeight="1" x14ac:dyDescent="0.35">
      <c r="B50" s="6" t="s">
        <v>40</v>
      </c>
    </row>
    <row r="51" spans="2:2" ht="67.5" customHeight="1" x14ac:dyDescent="0.35">
      <c r="B51" s="7" t="s">
        <v>41</v>
      </c>
    </row>
    <row r="52" spans="2:2" ht="15" customHeight="1" x14ac:dyDescent="0.35"/>
    <row r="53" spans="2:2" ht="15" customHeight="1" x14ac:dyDescent="0.35">
      <c r="B53" s="6" t="s">
        <v>42</v>
      </c>
    </row>
    <row r="54" spans="2:2" ht="67.5" customHeight="1" x14ac:dyDescent="0.35">
      <c r="B54" s="7" t="s">
        <v>43</v>
      </c>
    </row>
    <row r="56" spans="2:2" ht="30" customHeight="1" x14ac:dyDescent="0.35">
      <c r="B56" s="23" t="s">
        <v>44</v>
      </c>
    </row>
  </sheetData>
  <pageMargins left="0.5" right="0.5" top="0.5" bottom="0.5"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E23"/>
  <sheetViews>
    <sheetView showGridLines="0" zoomScaleNormal="100" workbookViewId="0">
      <selection activeCell="G6" sqref="G6"/>
    </sheetView>
  </sheetViews>
  <sheetFormatPr defaultColWidth="8.6328125" defaultRowHeight="14.5" x14ac:dyDescent="0.35"/>
  <cols>
    <col min="1" max="1" width="26" style="5" customWidth="1"/>
    <col min="2" max="2" width="20" style="5" customWidth="1"/>
    <col min="3" max="3" width="26" style="5" customWidth="1"/>
    <col min="4" max="4" width="22" style="5" customWidth="1"/>
    <col min="5" max="5" width="14.36328125" customWidth="1"/>
  </cols>
  <sheetData>
    <row r="2" spans="2:5" ht="19.5" customHeight="1" x14ac:dyDescent="0.4">
      <c r="B2" s="4" t="s">
        <v>45</v>
      </c>
      <c r="C2" s="4"/>
    </row>
    <row r="4" spans="2:5" ht="51.75" customHeight="1" x14ac:dyDescent="0.35">
      <c r="B4" s="9" t="s">
        <v>46</v>
      </c>
      <c r="C4" s="9" t="s">
        <v>47</v>
      </c>
      <c r="D4" s="9" t="s">
        <v>48</v>
      </c>
      <c r="E4" s="9" t="s">
        <v>49</v>
      </c>
    </row>
    <row r="5" spans="2:5" ht="26.25" customHeight="1" x14ac:dyDescent="0.35">
      <c r="B5" s="10">
        <v>0</v>
      </c>
      <c r="C5" s="11">
        <v>0.5</v>
      </c>
      <c r="D5" s="11">
        <v>0.5</v>
      </c>
      <c r="E5" s="24" t="s">
        <v>50</v>
      </c>
    </row>
    <row r="6" spans="2:5" ht="26.25" customHeight="1" x14ac:dyDescent="0.35">
      <c r="B6" s="12">
        <v>1</v>
      </c>
      <c r="C6" s="13">
        <v>0.3</v>
      </c>
      <c r="D6" s="13">
        <v>0.8</v>
      </c>
      <c r="E6" s="25" t="s">
        <v>51</v>
      </c>
    </row>
    <row r="7" spans="2:5" ht="26.25" customHeight="1" x14ac:dyDescent="0.35">
      <c r="B7" s="10">
        <v>2</v>
      </c>
      <c r="C7" s="11">
        <v>0.2</v>
      </c>
      <c r="D7" s="11">
        <v>1</v>
      </c>
      <c r="E7" s="24" t="s">
        <v>52</v>
      </c>
    </row>
    <row r="9" spans="2:5" ht="26.25" customHeight="1" x14ac:dyDescent="0.35">
      <c r="B9" s="3" t="s">
        <v>53</v>
      </c>
      <c r="C9" s="3"/>
      <c r="D9" s="28">
        <f>B5*C5+B6*C6+B7*C7</f>
        <v>0.7</v>
      </c>
    </row>
    <row r="12" spans="2:5" ht="19.5" customHeight="1" x14ac:dyDescent="0.4">
      <c r="B12" s="4" t="s">
        <v>54</v>
      </c>
      <c r="C12" s="4"/>
    </row>
    <row r="14" spans="2:5" ht="51.75" customHeight="1" x14ac:dyDescent="0.35">
      <c r="B14" s="9" t="s">
        <v>55</v>
      </c>
      <c r="C14" s="9" t="s">
        <v>47</v>
      </c>
      <c r="D14" s="9" t="s">
        <v>48</v>
      </c>
      <c r="E14" s="9" t="s">
        <v>49</v>
      </c>
    </row>
    <row r="15" spans="2:5" ht="26.25" customHeight="1" x14ac:dyDescent="0.35">
      <c r="B15" s="10">
        <v>1</v>
      </c>
      <c r="C15" s="11">
        <v>0.65</v>
      </c>
      <c r="D15" s="11">
        <v>0.65</v>
      </c>
      <c r="E15" s="24" t="s">
        <v>56</v>
      </c>
    </row>
    <row r="16" spans="2:5" ht="26.25" customHeight="1" x14ac:dyDescent="0.35">
      <c r="B16" s="12">
        <v>2</v>
      </c>
      <c r="C16" s="13">
        <v>0.3</v>
      </c>
      <c r="D16" s="13">
        <v>0.95</v>
      </c>
      <c r="E16" s="25" t="s">
        <v>57</v>
      </c>
    </row>
    <row r="17" spans="2:5" ht="26.25" customHeight="1" x14ac:dyDescent="0.35">
      <c r="B17" s="10">
        <v>3</v>
      </c>
      <c r="C17" s="11">
        <v>0.05</v>
      </c>
      <c r="D17" s="11">
        <v>1</v>
      </c>
      <c r="E17" s="24" t="s">
        <v>58</v>
      </c>
    </row>
    <row r="19" spans="2:5" ht="26.25" customHeight="1" x14ac:dyDescent="0.35">
      <c r="B19" s="3" t="s">
        <v>59</v>
      </c>
      <c r="C19" s="3"/>
      <c r="D19" s="30">
        <f>B15*C15+B16*C16+B17*C17</f>
        <v>1.4</v>
      </c>
    </row>
    <row r="20" spans="2:5" ht="26.25" customHeight="1" x14ac:dyDescent="0.35">
      <c r="B20" s="3" t="s">
        <v>60</v>
      </c>
      <c r="C20" s="3"/>
      <c r="D20" s="29">
        <f>1/D19</f>
        <v>0.7142857142857143</v>
      </c>
    </row>
    <row r="23" spans="2:5" ht="45" customHeight="1" x14ac:dyDescent="0.35">
      <c r="B23" s="26" t="s">
        <v>61</v>
      </c>
      <c r="C23" s="26"/>
      <c r="D23" s="26"/>
      <c r="E23" s="26"/>
    </row>
  </sheetData>
  <mergeCells count="6">
    <mergeCell ref="B23:E23"/>
    <mergeCell ref="B2:C2"/>
    <mergeCell ref="B9:C9"/>
    <mergeCell ref="B12:C12"/>
    <mergeCell ref="B19:C19"/>
    <mergeCell ref="B20:C20"/>
  </mergeCells>
  <pageMargins left="0.75" right="0.75" top="1" bottom="1"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2"/>
  <sheetViews>
    <sheetView showGridLines="0" zoomScaleNormal="100" workbookViewId="0">
      <pane ySplit="4" topLeftCell="A5" activePane="bottomLeft" state="frozen"/>
      <selection pane="bottomLeft" activeCell="A2" sqref="A2"/>
    </sheetView>
  </sheetViews>
  <sheetFormatPr defaultColWidth="8.6328125" defaultRowHeight="14.5" x14ac:dyDescent="0.35"/>
  <cols>
    <col min="1" max="1" width="6" style="5" customWidth="1"/>
    <col min="2" max="2" width="11" style="5" customWidth="1"/>
    <col min="3" max="3" width="9" style="5" customWidth="1"/>
    <col min="4" max="4" width="12" style="5" customWidth="1"/>
    <col min="5" max="5" width="11" style="5" customWidth="1"/>
    <col min="6" max="6" width="15" style="5" customWidth="1"/>
    <col min="7" max="7" width="12" style="5" customWidth="1"/>
    <col min="8" max="10" width="11" style="5" customWidth="1"/>
    <col min="11" max="11" width="13" style="5" customWidth="1"/>
    <col min="12" max="12" width="10" style="5" customWidth="1"/>
    <col min="13" max="13" width="12" style="5" customWidth="1"/>
    <col min="14" max="14" width="9" style="5" customWidth="1"/>
  </cols>
  <sheetData>
    <row r="1" spans="1:14" ht="19.5" customHeight="1" x14ac:dyDescent="0.4">
      <c r="A1" s="31" t="s">
        <v>84</v>
      </c>
      <c r="B1" s="4"/>
      <c r="C1" s="4"/>
      <c r="D1" s="4"/>
      <c r="E1" s="4"/>
      <c r="F1" s="4"/>
      <c r="G1" s="4"/>
      <c r="H1" s="4"/>
      <c r="I1" s="4"/>
      <c r="J1" s="4"/>
      <c r="K1" s="4"/>
      <c r="L1" s="4"/>
      <c r="M1" s="4"/>
      <c r="N1" s="4"/>
    </row>
    <row r="3" spans="1:14" ht="60.5" customHeight="1" x14ac:dyDescent="0.35">
      <c r="A3" s="9" t="s">
        <v>62</v>
      </c>
      <c r="B3" s="9" t="s">
        <v>63</v>
      </c>
      <c r="C3" s="9" t="s">
        <v>64</v>
      </c>
      <c r="D3" s="9" t="s">
        <v>65</v>
      </c>
      <c r="E3" s="9" t="s">
        <v>66</v>
      </c>
      <c r="F3" s="9" t="s">
        <v>67</v>
      </c>
      <c r="G3" s="9" t="s">
        <v>68</v>
      </c>
      <c r="H3" s="9" t="s">
        <v>69</v>
      </c>
      <c r="I3" s="9" t="s">
        <v>70</v>
      </c>
      <c r="J3" s="9" t="s">
        <v>71</v>
      </c>
      <c r="K3" s="9" t="s">
        <v>72</v>
      </c>
      <c r="L3" s="9" t="s">
        <v>73</v>
      </c>
      <c r="M3" s="9" t="s">
        <v>74</v>
      </c>
      <c r="N3" s="9" t="s">
        <v>75</v>
      </c>
    </row>
    <row r="4" spans="1:14" ht="15" customHeight="1" x14ac:dyDescent="0.35">
      <c r="A4" s="10">
        <v>1</v>
      </c>
      <c r="B4" s="14">
        <v>0.71</v>
      </c>
      <c r="C4" s="15">
        <f t="shared" ref="C4:C33" si="0">IF(B4&lt;=0.5,0,IF(B4&lt;=0.8,1,2))</f>
        <v>1</v>
      </c>
      <c r="D4" s="15">
        <v>0</v>
      </c>
      <c r="E4" s="16">
        <f>IF(0&gt;0,1,0)</f>
        <v>0</v>
      </c>
      <c r="F4" s="16">
        <f>IF(0&gt;0,0-1,0)</f>
        <v>0</v>
      </c>
      <c r="G4" s="16">
        <f t="shared" ref="G4:G33" si="1">D4+C4</f>
        <v>1</v>
      </c>
      <c r="H4" s="16">
        <f t="shared" ref="H4:H33" si="2">IF(AND(F4=0,G4&gt;0),1,0)</f>
        <v>1</v>
      </c>
      <c r="I4" s="14">
        <v>0.89</v>
      </c>
      <c r="J4" s="16">
        <f t="shared" ref="J4:J33" si="3">IF(H4=1,IF(I4&lt;=0.65,1,IF(I4&lt;=0.95,2,3)),"")</f>
        <v>2</v>
      </c>
      <c r="K4" s="16">
        <f t="shared" ref="K4:K33" si="4">IF(H4=1,J4-1,F4)</f>
        <v>1</v>
      </c>
      <c r="L4" s="16">
        <f t="shared" ref="L4:L33" si="5">IF(H4=1,G4-1,G4)</f>
        <v>0</v>
      </c>
      <c r="M4" s="16" t="str">
        <f t="shared" ref="M4:M33" si="6">IF(OR(H4=1,F4&gt;0),"Busy","Idle")</f>
        <v>Busy</v>
      </c>
      <c r="N4" s="16">
        <f t="shared" ref="N4:N33" si="7">IF(M4="Idle",1,0)</f>
        <v>0</v>
      </c>
    </row>
    <row r="5" spans="1:14" ht="15" customHeight="1" x14ac:dyDescent="0.35">
      <c r="A5" s="12">
        <v>2</v>
      </c>
      <c r="B5" s="17">
        <v>0.84</v>
      </c>
      <c r="C5" s="18">
        <f t="shared" si="0"/>
        <v>2</v>
      </c>
      <c r="D5" s="18">
        <f t="shared" ref="D5:D33" si="8">L4</f>
        <v>0</v>
      </c>
      <c r="E5" s="19">
        <f t="shared" ref="E5:E33" si="9">IF(K4&gt;0,1,0)</f>
        <v>1</v>
      </c>
      <c r="F5" s="19">
        <f t="shared" ref="F5:F33" si="10">IF(K4&gt;0,K4-1,0)</f>
        <v>0</v>
      </c>
      <c r="G5" s="19">
        <f t="shared" si="1"/>
        <v>2</v>
      </c>
      <c r="H5" s="19">
        <f t="shared" si="2"/>
        <v>1</v>
      </c>
      <c r="I5" s="17">
        <v>0.92</v>
      </c>
      <c r="J5" s="19">
        <f t="shared" si="3"/>
        <v>2</v>
      </c>
      <c r="K5" s="19">
        <f t="shared" si="4"/>
        <v>1</v>
      </c>
      <c r="L5" s="19">
        <f t="shared" si="5"/>
        <v>1</v>
      </c>
      <c r="M5" s="19" t="str">
        <f t="shared" si="6"/>
        <v>Busy</v>
      </c>
      <c r="N5" s="19">
        <f t="shared" si="7"/>
        <v>0</v>
      </c>
    </row>
    <row r="6" spans="1:14" ht="15" customHeight="1" x14ac:dyDescent="0.35">
      <c r="A6" s="10">
        <v>3</v>
      </c>
      <c r="B6" s="14">
        <v>0.18</v>
      </c>
      <c r="C6" s="15">
        <f t="shared" si="0"/>
        <v>0</v>
      </c>
      <c r="D6" s="15">
        <f t="shared" si="8"/>
        <v>1</v>
      </c>
      <c r="E6" s="16">
        <f t="shared" si="9"/>
        <v>1</v>
      </c>
      <c r="F6" s="16">
        <f t="shared" si="10"/>
        <v>0</v>
      </c>
      <c r="G6" s="16">
        <f t="shared" si="1"/>
        <v>1</v>
      </c>
      <c r="H6" s="16">
        <f t="shared" si="2"/>
        <v>1</v>
      </c>
      <c r="I6" s="14">
        <v>0.32</v>
      </c>
      <c r="J6" s="16">
        <f t="shared" si="3"/>
        <v>1</v>
      </c>
      <c r="K6" s="16">
        <f t="shared" si="4"/>
        <v>0</v>
      </c>
      <c r="L6" s="16">
        <f t="shared" si="5"/>
        <v>0</v>
      </c>
      <c r="M6" s="16" t="str">
        <f t="shared" si="6"/>
        <v>Busy</v>
      </c>
      <c r="N6" s="16">
        <f t="shared" si="7"/>
        <v>0</v>
      </c>
    </row>
    <row r="7" spans="1:14" ht="15" customHeight="1" x14ac:dyDescent="0.35">
      <c r="A7" s="12">
        <v>4</v>
      </c>
      <c r="B7" s="17">
        <v>1</v>
      </c>
      <c r="C7" s="18">
        <f t="shared" si="0"/>
        <v>2</v>
      </c>
      <c r="D7" s="18">
        <f t="shared" si="8"/>
        <v>0</v>
      </c>
      <c r="E7" s="19">
        <f t="shared" si="9"/>
        <v>0</v>
      </c>
      <c r="F7" s="19">
        <f t="shared" si="10"/>
        <v>0</v>
      </c>
      <c r="G7" s="19">
        <f t="shared" si="1"/>
        <v>2</v>
      </c>
      <c r="H7" s="19">
        <f t="shared" si="2"/>
        <v>1</v>
      </c>
      <c r="I7" s="17">
        <v>0.89</v>
      </c>
      <c r="J7" s="19">
        <f t="shared" si="3"/>
        <v>2</v>
      </c>
      <c r="K7" s="19">
        <f t="shared" si="4"/>
        <v>1</v>
      </c>
      <c r="L7" s="19">
        <f t="shared" si="5"/>
        <v>1</v>
      </c>
      <c r="M7" s="19" t="str">
        <f t="shared" si="6"/>
        <v>Busy</v>
      </c>
      <c r="N7" s="19">
        <f t="shared" si="7"/>
        <v>0</v>
      </c>
    </row>
    <row r="8" spans="1:14" ht="15" customHeight="1" x14ac:dyDescent="0.35">
      <c r="A8" s="10">
        <v>5</v>
      </c>
      <c r="B8" s="14">
        <v>0.19</v>
      </c>
      <c r="C8" s="15">
        <f t="shared" si="0"/>
        <v>0</v>
      </c>
      <c r="D8" s="15">
        <f t="shared" si="8"/>
        <v>1</v>
      </c>
      <c r="E8" s="16">
        <f t="shared" si="9"/>
        <v>1</v>
      </c>
      <c r="F8" s="16">
        <f t="shared" si="10"/>
        <v>0</v>
      </c>
      <c r="G8" s="16">
        <f t="shared" si="1"/>
        <v>1</v>
      </c>
      <c r="H8" s="16">
        <f t="shared" si="2"/>
        <v>1</v>
      </c>
      <c r="I8" s="14">
        <v>7.0000000000000007E-2</v>
      </c>
      <c r="J8" s="16">
        <f t="shared" si="3"/>
        <v>1</v>
      </c>
      <c r="K8" s="16">
        <f t="shared" si="4"/>
        <v>0</v>
      </c>
      <c r="L8" s="16">
        <f t="shared" si="5"/>
        <v>0</v>
      </c>
      <c r="M8" s="16" t="str">
        <f t="shared" si="6"/>
        <v>Busy</v>
      </c>
      <c r="N8" s="16">
        <f t="shared" si="7"/>
        <v>0</v>
      </c>
    </row>
    <row r="9" spans="1:14" ht="15" customHeight="1" x14ac:dyDescent="0.35">
      <c r="A9" s="12">
        <v>6</v>
      </c>
      <c r="B9" s="17">
        <v>0.67</v>
      </c>
      <c r="C9" s="18">
        <f t="shared" si="0"/>
        <v>1</v>
      </c>
      <c r="D9" s="18">
        <f t="shared" si="8"/>
        <v>0</v>
      </c>
      <c r="E9" s="19">
        <f t="shared" si="9"/>
        <v>0</v>
      </c>
      <c r="F9" s="19">
        <f t="shared" si="10"/>
        <v>0</v>
      </c>
      <c r="G9" s="19">
        <f t="shared" si="1"/>
        <v>1</v>
      </c>
      <c r="H9" s="19">
        <f t="shared" si="2"/>
        <v>1</v>
      </c>
      <c r="I9" s="17">
        <v>0.1</v>
      </c>
      <c r="J9" s="19">
        <f t="shared" si="3"/>
        <v>1</v>
      </c>
      <c r="K9" s="19">
        <f t="shared" si="4"/>
        <v>0</v>
      </c>
      <c r="L9" s="19">
        <f t="shared" si="5"/>
        <v>0</v>
      </c>
      <c r="M9" s="19" t="str">
        <f t="shared" si="6"/>
        <v>Busy</v>
      </c>
      <c r="N9" s="19">
        <f t="shared" si="7"/>
        <v>0</v>
      </c>
    </row>
    <row r="10" spans="1:14" ht="15" customHeight="1" x14ac:dyDescent="0.35">
      <c r="A10" s="10">
        <v>7</v>
      </c>
      <c r="B10" s="14">
        <v>0.09</v>
      </c>
      <c r="C10" s="15">
        <f t="shared" si="0"/>
        <v>0</v>
      </c>
      <c r="D10" s="15">
        <f t="shared" si="8"/>
        <v>0</v>
      </c>
      <c r="E10" s="16">
        <f t="shared" si="9"/>
        <v>0</v>
      </c>
      <c r="F10" s="16">
        <f t="shared" si="10"/>
        <v>0</v>
      </c>
      <c r="G10" s="16">
        <f t="shared" si="1"/>
        <v>0</v>
      </c>
      <c r="H10" s="16">
        <f t="shared" si="2"/>
        <v>0</v>
      </c>
      <c r="I10" s="14">
        <v>0.67</v>
      </c>
      <c r="J10" s="16" t="str">
        <f t="shared" si="3"/>
        <v/>
      </c>
      <c r="K10" s="16">
        <f t="shared" si="4"/>
        <v>0</v>
      </c>
      <c r="L10" s="16">
        <f t="shared" si="5"/>
        <v>0</v>
      </c>
      <c r="M10" s="16" t="str">
        <f t="shared" si="6"/>
        <v>Idle</v>
      </c>
      <c r="N10" s="16">
        <f t="shared" si="7"/>
        <v>1</v>
      </c>
    </row>
    <row r="11" spans="1:14" ht="15" customHeight="1" x14ac:dyDescent="0.35">
      <c r="A11" s="12">
        <v>8</v>
      </c>
      <c r="B11" s="17">
        <v>0.76</v>
      </c>
      <c r="C11" s="18">
        <f t="shared" si="0"/>
        <v>1</v>
      </c>
      <c r="D11" s="18">
        <f t="shared" si="8"/>
        <v>0</v>
      </c>
      <c r="E11" s="19">
        <f t="shared" si="9"/>
        <v>0</v>
      </c>
      <c r="F11" s="19">
        <f t="shared" si="10"/>
        <v>0</v>
      </c>
      <c r="G11" s="19">
        <f t="shared" si="1"/>
        <v>1</v>
      </c>
      <c r="H11" s="19">
        <f t="shared" si="2"/>
        <v>1</v>
      </c>
      <c r="I11" s="17">
        <v>0.8</v>
      </c>
      <c r="J11" s="19">
        <f t="shared" si="3"/>
        <v>2</v>
      </c>
      <c r="K11" s="19">
        <f t="shared" si="4"/>
        <v>1</v>
      </c>
      <c r="L11" s="19">
        <f t="shared" si="5"/>
        <v>0</v>
      </c>
      <c r="M11" s="19" t="str">
        <f t="shared" si="6"/>
        <v>Busy</v>
      </c>
      <c r="N11" s="19">
        <f t="shared" si="7"/>
        <v>0</v>
      </c>
    </row>
    <row r="12" spans="1:14" ht="15" customHeight="1" x14ac:dyDescent="0.35">
      <c r="A12" s="10">
        <v>9</v>
      </c>
      <c r="B12" s="14">
        <v>0.15</v>
      </c>
      <c r="C12" s="15">
        <f t="shared" si="0"/>
        <v>0</v>
      </c>
      <c r="D12" s="15">
        <f t="shared" si="8"/>
        <v>0</v>
      </c>
      <c r="E12" s="16">
        <f t="shared" si="9"/>
        <v>1</v>
      </c>
      <c r="F12" s="16">
        <f t="shared" si="10"/>
        <v>0</v>
      </c>
      <c r="G12" s="16">
        <f t="shared" si="1"/>
        <v>0</v>
      </c>
      <c r="H12" s="16">
        <f t="shared" si="2"/>
        <v>0</v>
      </c>
      <c r="I12" s="14">
        <v>0.82</v>
      </c>
      <c r="J12" s="16" t="str">
        <f t="shared" si="3"/>
        <v/>
      </c>
      <c r="K12" s="16">
        <f t="shared" si="4"/>
        <v>0</v>
      </c>
      <c r="L12" s="16">
        <f t="shared" si="5"/>
        <v>0</v>
      </c>
      <c r="M12" s="16" t="str">
        <f t="shared" si="6"/>
        <v>Idle</v>
      </c>
      <c r="N12" s="16">
        <f t="shared" si="7"/>
        <v>1</v>
      </c>
    </row>
    <row r="13" spans="1:14" ht="15" customHeight="1" x14ac:dyDescent="0.35">
      <c r="A13" s="12">
        <v>10</v>
      </c>
      <c r="B13" s="17">
        <v>0.71</v>
      </c>
      <c r="C13" s="18">
        <f t="shared" si="0"/>
        <v>1</v>
      </c>
      <c r="D13" s="18">
        <f t="shared" si="8"/>
        <v>0</v>
      </c>
      <c r="E13" s="19">
        <f t="shared" si="9"/>
        <v>0</v>
      </c>
      <c r="F13" s="19">
        <f t="shared" si="10"/>
        <v>0</v>
      </c>
      <c r="G13" s="19">
        <f t="shared" si="1"/>
        <v>1</v>
      </c>
      <c r="H13" s="19">
        <f t="shared" si="2"/>
        <v>1</v>
      </c>
      <c r="I13" s="17">
        <v>0.99</v>
      </c>
      <c r="J13" s="19">
        <f t="shared" si="3"/>
        <v>3</v>
      </c>
      <c r="K13" s="19">
        <f t="shared" si="4"/>
        <v>2</v>
      </c>
      <c r="L13" s="19">
        <f t="shared" si="5"/>
        <v>0</v>
      </c>
      <c r="M13" s="19" t="str">
        <f t="shared" si="6"/>
        <v>Busy</v>
      </c>
      <c r="N13" s="19">
        <f t="shared" si="7"/>
        <v>0</v>
      </c>
    </row>
    <row r="14" spans="1:14" ht="15" customHeight="1" x14ac:dyDescent="0.35">
      <c r="A14" s="10">
        <v>11</v>
      </c>
      <c r="B14" s="14">
        <v>0.72</v>
      </c>
      <c r="C14" s="15">
        <f t="shared" si="0"/>
        <v>1</v>
      </c>
      <c r="D14" s="15">
        <f t="shared" si="8"/>
        <v>0</v>
      </c>
      <c r="E14" s="16">
        <f t="shared" si="9"/>
        <v>1</v>
      </c>
      <c r="F14" s="16">
        <f t="shared" si="10"/>
        <v>1</v>
      </c>
      <c r="G14" s="16">
        <f t="shared" si="1"/>
        <v>1</v>
      </c>
      <c r="H14" s="16">
        <f t="shared" si="2"/>
        <v>0</v>
      </c>
      <c r="I14" s="14">
        <v>0.86</v>
      </c>
      <c r="J14" s="16" t="str">
        <f t="shared" si="3"/>
        <v/>
      </c>
      <c r="K14" s="16">
        <f t="shared" si="4"/>
        <v>1</v>
      </c>
      <c r="L14" s="16">
        <f t="shared" si="5"/>
        <v>1</v>
      </c>
      <c r="M14" s="16" t="str">
        <f t="shared" si="6"/>
        <v>Busy</v>
      </c>
      <c r="N14" s="16">
        <f t="shared" si="7"/>
        <v>0</v>
      </c>
    </row>
    <row r="15" spans="1:14" ht="15" customHeight="1" x14ac:dyDescent="0.35">
      <c r="A15" s="12">
        <v>12</v>
      </c>
      <c r="B15" s="17">
        <v>0.77</v>
      </c>
      <c r="C15" s="18">
        <f t="shared" si="0"/>
        <v>1</v>
      </c>
      <c r="D15" s="18">
        <f t="shared" si="8"/>
        <v>1</v>
      </c>
      <c r="E15" s="19">
        <f t="shared" si="9"/>
        <v>1</v>
      </c>
      <c r="F15" s="19">
        <f t="shared" si="10"/>
        <v>0</v>
      </c>
      <c r="G15" s="19">
        <f t="shared" si="1"/>
        <v>2</v>
      </c>
      <c r="H15" s="19">
        <f t="shared" si="2"/>
        <v>1</v>
      </c>
      <c r="I15" s="17">
        <v>0.27</v>
      </c>
      <c r="J15" s="19">
        <f t="shared" si="3"/>
        <v>1</v>
      </c>
      <c r="K15" s="19">
        <f t="shared" si="4"/>
        <v>0</v>
      </c>
      <c r="L15" s="19">
        <f t="shared" si="5"/>
        <v>1</v>
      </c>
      <c r="M15" s="19" t="str">
        <f t="shared" si="6"/>
        <v>Busy</v>
      </c>
      <c r="N15" s="19">
        <f t="shared" si="7"/>
        <v>0</v>
      </c>
    </row>
    <row r="16" spans="1:14" ht="15" customHeight="1" x14ac:dyDescent="0.35">
      <c r="A16" s="10">
        <v>13</v>
      </c>
      <c r="B16" s="14">
        <v>0.44</v>
      </c>
      <c r="C16" s="15">
        <f t="shared" si="0"/>
        <v>0</v>
      </c>
      <c r="D16" s="15">
        <f t="shared" si="8"/>
        <v>1</v>
      </c>
      <c r="E16" s="16">
        <f t="shared" si="9"/>
        <v>0</v>
      </c>
      <c r="F16" s="16">
        <f t="shared" si="10"/>
        <v>0</v>
      </c>
      <c r="G16" s="16">
        <f t="shared" si="1"/>
        <v>1</v>
      </c>
      <c r="H16" s="16">
        <f t="shared" si="2"/>
        <v>1</v>
      </c>
      <c r="I16" s="14">
        <v>0.74</v>
      </c>
      <c r="J16" s="16">
        <f t="shared" si="3"/>
        <v>2</v>
      </c>
      <c r="K16" s="16">
        <f t="shared" si="4"/>
        <v>1</v>
      </c>
      <c r="L16" s="16">
        <f t="shared" si="5"/>
        <v>0</v>
      </c>
      <c r="M16" s="16" t="str">
        <f t="shared" si="6"/>
        <v>Busy</v>
      </c>
      <c r="N16" s="16">
        <f t="shared" si="7"/>
        <v>0</v>
      </c>
    </row>
    <row r="17" spans="1:14" ht="15" customHeight="1" x14ac:dyDescent="0.35">
      <c r="A17" s="12">
        <v>14</v>
      </c>
      <c r="B17" s="17">
        <v>0.87</v>
      </c>
      <c r="C17" s="18">
        <f t="shared" si="0"/>
        <v>2</v>
      </c>
      <c r="D17" s="18">
        <f t="shared" si="8"/>
        <v>0</v>
      </c>
      <c r="E17" s="19">
        <f t="shared" si="9"/>
        <v>1</v>
      </c>
      <c r="F17" s="19">
        <f t="shared" si="10"/>
        <v>0</v>
      </c>
      <c r="G17" s="19">
        <f t="shared" si="1"/>
        <v>2</v>
      </c>
      <c r="H17" s="19">
        <f t="shared" si="2"/>
        <v>1</v>
      </c>
      <c r="I17" s="17">
        <v>0.92</v>
      </c>
      <c r="J17" s="19">
        <f t="shared" si="3"/>
        <v>2</v>
      </c>
      <c r="K17" s="19">
        <f t="shared" si="4"/>
        <v>1</v>
      </c>
      <c r="L17" s="19">
        <f t="shared" si="5"/>
        <v>1</v>
      </c>
      <c r="M17" s="19" t="str">
        <f t="shared" si="6"/>
        <v>Busy</v>
      </c>
      <c r="N17" s="19">
        <f t="shared" si="7"/>
        <v>0</v>
      </c>
    </row>
    <row r="18" spans="1:14" ht="15" customHeight="1" x14ac:dyDescent="0.35">
      <c r="A18" s="10">
        <v>15</v>
      </c>
      <c r="B18" s="14">
        <v>0.99</v>
      </c>
      <c r="C18" s="15">
        <f t="shared" si="0"/>
        <v>2</v>
      </c>
      <c r="D18" s="15">
        <f t="shared" si="8"/>
        <v>1</v>
      </c>
      <c r="E18" s="16">
        <f t="shared" si="9"/>
        <v>1</v>
      </c>
      <c r="F18" s="16">
        <f t="shared" si="10"/>
        <v>0</v>
      </c>
      <c r="G18" s="16">
        <f t="shared" si="1"/>
        <v>3</v>
      </c>
      <c r="H18" s="16">
        <f t="shared" si="2"/>
        <v>1</v>
      </c>
      <c r="I18" s="14">
        <v>0.09</v>
      </c>
      <c r="J18" s="16">
        <f t="shared" si="3"/>
        <v>1</v>
      </c>
      <c r="K18" s="16">
        <f t="shared" si="4"/>
        <v>0</v>
      </c>
      <c r="L18" s="16">
        <f t="shared" si="5"/>
        <v>2</v>
      </c>
      <c r="M18" s="16" t="str">
        <f t="shared" si="6"/>
        <v>Busy</v>
      </c>
      <c r="N18" s="16">
        <f t="shared" si="7"/>
        <v>0</v>
      </c>
    </row>
    <row r="19" spans="1:14" ht="15" customHeight="1" x14ac:dyDescent="0.35">
      <c r="A19" s="12">
        <v>16</v>
      </c>
      <c r="B19" s="17">
        <v>0.12</v>
      </c>
      <c r="C19" s="18">
        <f t="shared" si="0"/>
        <v>0</v>
      </c>
      <c r="D19" s="18">
        <f t="shared" si="8"/>
        <v>2</v>
      </c>
      <c r="E19" s="19">
        <f t="shared" si="9"/>
        <v>0</v>
      </c>
      <c r="F19" s="19">
        <f t="shared" si="10"/>
        <v>0</v>
      </c>
      <c r="G19" s="19">
        <f t="shared" si="1"/>
        <v>2</v>
      </c>
      <c r="H19" s="19">
        <f t="shared" si="2"/>
        <v>1</v>
      </c>
      <c r="I19" s="17">
        <v>0.49</v>
      </c>
      <c r="J19" s="19">
        <f t="shared" si="3"/>
        <v>1</v>
      </c>
      <c r="K19" s="19">
        <f t="shared" si="4"/>
        <v>0</v>
      </c>
      <c r="L19" s="19">
        <f t="shared" si="5"/>
        <v>1</v>
      </c>
      <c r="M19" s="19" t="str">
        <f t="shared" si="6"/>
        <v>Busy</v>
      </c>
      <c r="N19" s="19">
        <f t="shared" si="7"/>
        <v>0</v>
      </c>
    </row>
    <row r="20" spans="1:14" ht="15" customHeight="1" x14ac:dyDescent="0.35">
      <c r="A20" s="10">
        <v>17</v>
      </c>
      <c r="B20" s="14">
        <v>0.52</v>
      </c>
      <c r="C20" s="15">
        <f t="shared" si="0"/>
        <v>1</v>
      </c>
      <c r="D20" s="15">
        <f t="shared" si="8"/>
        <v>1</v>
      </c>
      <c r="E20" s="16">
        <f t="shared" si="9"/>
        <v>0</v>
      </c>
      <c r="F20" s="16">
        <f t="shared" si="10"/>
        <v>0</v>
      </c>
      <c r="G20" s="16">
        <f t="shared" si="1"/>
        <v>2</v>
      </c>
      <c r="H20" s="16">
        <f t="shared" si="2"/>
        <v>1</v>
      </c>
      <c r="I20" s="14">
        <v>0.15</v>
      </c>
      <c r="J20" s="16">
        <f t="shared" si="3"/>
        <v>1</v>
      </c>
      <c r="K20" s="16">
        <f t="shared" si="4"/>
        <v>0</v>
      </c>
      <c r="L20" s="16">
        <f t="shared" si="5"/>
        <v>1</v>
      </c>
      <c r="M20" s="16" t="str">
        <f t="shared" si="6"/>
        <v>Busy</v>
      </c>
      <c r="N20" s="16">
        <f t="shared" si="7"/>
        <v>0</v>
      </c>
    </row>
    <row r="21" spans="1:14" ht="15" customHeight="1" x14ac:dyDescent="0.35">
      <c r="A21" s="12">
        <v>18</v>
      </c>
      <c r="B21" s="17">
        <v>0.96</v>
      </c>
      <c r="C21" s="18">
        <f t="shared" si="0"/>
        <v>2</v>
      </c>
      <c r="D21" s="18">
        <f t="shared" si="8"/>
        <v>1</v>
      </c>
      <c r="E21" s="19">
        <f t="shared" si="9"/>
        <v>0</v>
      </c>
      <c r="F21" s="19">
        <f t="shared" si="10"/>
        <v>0</v>
      </c>
      <c r="G21" s="19">
        <f t="shared" si="1"/>
        <v>3</v>
      </c>
      <c r="H21" s="19">
        <f t="shared" si="2"/>
        <v>1</v>
      </c>
      <c r="I21" s="17">
        <v>0.14000000000000001</v>
      </c>
      <c r="J21" s="19">
        <f t="shared" si="3"/>
        <v>1</v>
      </c>
      <c r="K21" s="19">
        <f t="shared" si="4"/>
        <v>0</v>
      </c>
      <c r="L21" s="19">
        <f t="shared" si="5"/>
        <v>2</v>
      </c>
      <c r="M21" s="19" t="str">
        <f t="shared" si="6"/>
        <v>Busy</v>
      </c>
      <c r="N21" s="19">
        <f t="shared" si="7"/>
        <v>0</v>
      </c>
    </row>
    <row r="22" spans="1:14" ht="15" customHeight="1" x14ac:dyDescent="0.35">
      <c r="A22" s="10">
        <v>19</v>
      </c>
      <c r="B22" s="14">
        <v>0.74</v>
      </c>
      <c r="C22" s="15">
        <f t="shared" si="0"/>
        <v>1</v>
      </c>
      <c r="D22" s="15">
        <f t="shared" si="8"/>
        <v>2</v>
      </c>
      <c r="E22" s="16">
        <f t="shared" si="9"/>
        <v>0</v>
      </c>
      <c r="F22" s="16">
        <f t="shared" si="10"/>
        <v>0</v>
      </c>
      <c r="G22" s="16">
        <f t="shared" si="1"/>
        <v>3</v>
      </c>
      <c r="H22" s="16">
        <f t="shared" si="2"/>
        <v>1</v>
      </c>
      <c r="I22" s="14">
        <v>0.48</v>
      </c>
      <c r="J22" s="16">
        <f t="shared" si="3"/>
        <v>1</v>
      </c>
      <c r="K22" s="16">
        <f t="shared" si="4"/>
        <v>0</v>
      </c>
      <c r="L22" s="16">
        <f t="shared" si="5"/>
        <v>2</v>
      </c>
      <c r="M22" s="16" t="str">
        <f t="shared" si="6"/>
        <v>Busy</v>
      </c>
      <c r="N22" s="16">
        <f t="shared" si="7"/>
        <v>0</v>
      </c>
    </row>
    <row r="23" spans="1:14" ht="15" customHeight="1" x14ac:dyDescent="0.35">
      <c r="A23" s="12">
        <v>20</v>
      </c>
      <c r="B23" s="17">
        <v>0.44</v>
      </c>
      <c r="C23" s="18">
        <f t="shared" si="0"/>
        <v>0</v>
      </c>
      <c r="D23" s="18">
        <f t="shared" si="8"/>
        <v>2</v>
      </c>
      <c r="E23" s="19">
        <f t="shared" si="9"/>
        <v>0</v>
      </c>
      <c r="F23" s="19">
        <f t="shared" si="10"/>
        <v>0</v>
      </c>
      <c r="G23" s="19">
        <f t="shared" si="1"/>
        <v>2</v>
      </c>
      <c r="H23" s="19">
        <f t="shared" si="2"/>
        <v>1</v>
      </c>
      <c r="I23" s="17">
        <v>0.67</v>
      </c>
      <c r="J23" s="19">
        <f t="shared" si="3"/>
        <v>2</v>
      </c>
      <c r="K23" s="19">
        <f t="shared" si="4"/>
        <v>1</v>
      </c>
      <c r="L23" s="19">
        <f t="shared" si="5"/>
        <v>1</v>
      </c>
      <c r="M23" s="19" t="str">
        <f t="shared" si="6"/>
        <v>Busy</v>
      </c>
      <c r="N23" s="19">
        <f t="shared" si="7"/>
        <v>0</v>
      </c>
    </row>
    <row r="24" spans="1:14" ht="15" customHeight="1" x14ac:dyDescent="0.35">
      <c r="A24" s="10">
        <v>21</v>
      </c>
      <c r="B24" s="14">
        <v>0.3</v>
      </c>
      <c r="C24" s="15">
        <f t="shared" si="0"/>
        <v>0</v>
      </c>
      <c r="D24" s="15">
        <f t="shared" si="8"/>
        <v>1</v>
      </c>
      <c r="E24" s="16">
        <f t="shared" si="9"/>
        <v>1</v>
      </c>
      <c r="F24" s="16">
        <f t="shared" si="10"/>
        <v>0</v>
      </c>
      <c r="G24" s="16">
        <f t="shared" si="1"/>
        <v>1</v>
      </c>
      <c r="H24" s="16">
        <f t="shared" si="2"/>
        <v>1</v>
      </c>
      <c r="I24" s="14">
        <v>0.97</v>
      </c>
      <c r="J24" s="16">
        <f t="shared" si="3"/>
        <v>3</v>
      </c>
      <c r="K24" s="16">
        <f t="shared" si="4"/>
        <v>2</v>
      </c>
      <c r="L24" s="16">
        <f t="shared" si="5"/>
        <v>0</v>
      </c>
      <c r="M24" s="16" t="str">
        <f t="shared" si="6"/>
        <v>Busy</v>
      </c>
      <c r="N24" s="16">
        <f t="shared" si="7"/>
        <v>0</v>
      </c>
    </row>
    <row r="25" spans="1:14" ht="15" customHeight="1" x14ac:dyDescent="0.35">
      <c r="A25" s="12">
        <v>22</v>
      </c>
      <c r="B25" s="17">
        <v>0.95</v>
      </c>
      <c r="C25" s="18">
        <f t="shared" si="0"/>
        <v>2</v>
      </c>
      <c r="D25" s="18">
        <f t="shared" si="8"/>
        <v>0</v>
      </c>
      <c r="E25" s="19">
        <f t="shared" si="9"/>
        <v>1</v>
      </c>
      <c r="F25" s="19">
        <f t="shared" si="10"/>
        <v>1</v>
      </c>
      <c r="G25" s="19">
        <f t="shared" si="1"/>
        <v>2</v>
      </c>
      <c r="H25" s="19">
        <f t="shared" si="2"/>
        <v>0</v>
      </c>
      <c r="I25" s="17">
        <v>0.13</v>
      </c>
      <c r="J25" s="19" t="str">
        <f t="shared" si="3"/>
        <v/>
      </c>
      <c r="K25" s="19">
        <f t="shared" si="4"/>
        <v>1</v>
      </c>
      <c r="L25" s="19">
        <f t="shared" si="5"/>
        <v>2</v>
      </c>
      <c r="M25" s="19" t="str">
        <f t="shared" si="6"/>
        <v>Busy</v>
      </c>
      <c r="N25" s="19">
        <f t="shared" si="7"/>
        <v>0</v>
      </c>
    </row>
    <row r="26" spans="1:14" ht="15" customHeight="1" x14ac:dyDescent="0.35">
      <c r="A26" s="10">
        <v>23</v>
      </c>
      <c r="B26" s="14">
        <v>0.09</v>
      </c>
      <c r="C26" s="15">
        <f t="shared" si="0"/>
        <v>0</v>
      </c>
      <c r="D26" s="15">
        <f t="shared" si="8"/>
        <v>2</v>
      </c>
      <c r="E26" s="16">
        <f t="shared" si="9"/>
        <v>1</v>
      </c>
      <c r="F26" s="16">
        <f t="shared" si="10"/>
        <v>0</v>
      </c>
      <c r="G26" s="16">
        <f t="shared" si="1"/>
        <v>2</v>
      </c>
      <c r="H26" s="16">
        <f t="shared" si="2"/>
        <v>1</v>
      </c>
      <c r="I26" s="14">
        <v>0.51</v>
      </c>
      <c r="J26" s="16">
        <f t="shared" si="3"/>
        <v>1</v>
      </c>
      <c r="K26" s="16">
        <f t="shared" si="4"/>
        <v>0</v>
      </c>
      <c r="L26" s="16">
        <f t="shared" si="5"/>
        <v>1</v>
      </c>
      <c r="M26" s="16" t="str">
        <f t="shared" si="6"/>
        <v>Busy</v>
      </c>
      <c r="N26" s="16">
        <f t="shared" si="7"/>
        <v>0</v>
      </c>
    </row>
    <row r="27" spans="1:14" ht="15" customHeight="1" x14ac:dyDescent="0.35">
      <c r="A27" s="12">
        <v>24</v>
      </c>
      <c r="B27" s="17">
        <v>0.76</v>
      </c>
      <c r="C27" s="18">
        <f t="shared" si="0"/>
        <v>1</v>
      </c>
      <c r="D27" s="18">
        <f t="shared" si="8"/>
        <v>1</v>
      </c>
      <c r="E27" s="19">
        <f t="shared" si="9"/>
        <v>0</v>
      </c>
      <c r="F27" s="19">
        <f t="shared" si="10"/>
        <v>0</v>
      </c>
      <c r="G27" s="19">
        <f t="shared" si="1"/>
        <v>2</v>
      </c>
      <c r="H27" s="19">
        <f t="shared" si="2"/>
        <v>1</v>
      </c>
      <c r="I27" s="17">
        <v>1</v>
      </c>
      <c r="J27" s="19">
        <f t="shared" si="3"/>
        <v>3</v>
      </c>
      <c r="K27" s="19">
        <f t="shared" si="4"/>
        <v>2</v>
      </c>
      <c r="L27" s="19">
        <f t="shared" si="5"/>
        <v>1</v>
      </c>
      <c r="M27" s="19" t="str">
        <f t="shared" si="6"/>
        <v>Busy</v>
      </c>
      <c r="N27" s="19">
        <f t="shared" si="7"/>
        <v>0</v>
      </c>
    </row>
    <row r="28" spans="1:14" ht="15" customHeight="1" x14ac:dyDescent="0.35">
      <c r="A28" s="10">
        <v>25</v>
      </c>
      <c r="B28" s="14">
        <v>0.84</v>
      </c>
      <c r="C28" s="15">
        <f t="shared" si="0"/>
        <v>2</v>
      </c>
      <c r="D28" s="15">
        <f t="shared" si="8"/>
        <v>1</v>
      </c>
      <c r="E28" s="16">
        <f t="shared" si="9"/>
        <v>1</v>
      </c>
      <c r="F28" s="16">
        <f t="shared" si="10"/>
        <v>1</v>
      </c>
      <c r="G28" s="16">
        <f t="shared" si="1"/>
        <v>3</v>
      </c>
      <c r="H28" s="16">
        <f t="shared" si="2"/>
        <v>0</v>
      </c>
      <c r="I28" s="14">
        <v>0.77</v>
      </c>
      <c r="J28" s="16" t="str">
        <f t="shared" si="3"/>
        <v/>
      </c>
      <c r="K28" s="16">
        <f t="shared" si="4"/>
        <v>1</v>
      </c>
      <c r="L28" s="16">
        <f t="shared" si="5"/>
        <v>3</v>
      </c>
      <c r="M28" s="16" t="str">
        <f t="shared" si="6"/>
        <v>Busy</v>
      </c>
      <c r="N28" s="16">
        <f t="shared" si="7"/>
        <v>0</v>
      </c>
    </row>
    <row r="29" spans="1:14" ht="15" customHeight="1" x14ac:dyDescent="0.35">
      <c r="A29" s="12">
        <v>26</v>
      </c>
      <c r="B29" s="17">
        <v>0.16</v>
      </c>
      <c r="C29" s="18">
        <f t="shared" si="0"/>
        <v>0</v>
      </c>
      <c r="D29" s="18">
        <f t="shared" si="8"/>
        <v>3</v>
      </c>
      <c r="E29" s="19">
        <f t="shared" si="9"/>
        <v>1</v>
      </c>
      <c r="F29" s="19">
        <f t="shared" si="10"/>
        <v>0</v>
      </c>
      <c r="G29" s="19">
        <f t="shared" si="1"/>
        <v>3</v>
      </c>
      <c r="H29" s="19">
        <f t="shared" si="2"/>
        <v>1</v>
      </c>
      <c r="I29" s="17">
        <v>0.53</v>
      </c>
      <c r="J29" s="19">
        <f t="shared" si="3"/>
        <v>1</v>
      </c>
      <c r="K29" s="19">
        <f t="shared" si="4"/>
        <v>0</v>
      </c>
      <c r="L29" s="19">
        <f t="shared" si="5"/>
        <v>2</v>
      </c>
      <c r="M29" s="19" t="str">
        <f t="shared" si="6"/>
        <v>Busy</v>
      </c>
      <c r="N29" s="19">
        <f t="shared" si="7"/>
        <v>0</v>
      </c>
    </row>
    <row r="30" spans="1:14" ht="15" customHeight="1" x14ac:dyDescent="0.35">
      <c r="A30" s="10">
        <v>27</v>
      </c>
      <c r="B30" s="14">
        <v>0.33</v>
      </c>
      <c r="C30" s="15">
        <f t="shared" si="0"/>
        <v>0</v>
      </c>
      <c r="D30" s="15">
        <f t="shared" si="8"/>
        <v>2</v>
      </c>
      <c r="E30" s="16">
        <f t="shared" si="9"/>
        <v>0</v>
      </c>
      <c r="F30" s="16">
        <f t="shared" si="10"/>
        <v>0</v>
      </c>
      <c r="G30" s="16">
        <f t="shared" si="1"/>
        <v>2</v>
      </c>
      <c r="H30" s="16">
        <f t="shared" si="2"/>
        <v>1</v>
      </c>
      <c r="I30" s="14">
        <v>0.24</v>
      </c>
      <c r="J30" s="16">
        <f t="shared" si="3"/>
        <v>1</v>
      </c>
      <c r="K30" s="16">
        <f t="shared" si="4"/>
        <v>0</v>
      </c>
      <c r="L30" s="16">
        <f t="shared" si="5"/>
        <v>1</v>
      </c>
      <c r="M30" s="16" t="str">
        <f t="shared" si="6"/>
        <v>Busy</v>
      </c>
      <c r="N30" s="16">
        <f t="shared" si="7"/>
        <v>0</v>
      </c>
    </row>
    <row r="31" spans="1:14" ht="15" customHeight="1" x14ac:dyDescent="0.35">
      <c r="A31" s="12">
        <v>28</v>
      </c>
      <c r="B31" s="17">
        <v>0.31</v>
      </c>
      <c r="C31" s="18">
        <f t="shared" si="0"/>
        <v>0</v>
      </c>
      <c r="D31" s="18">
        <f t="shared" si="8"/>
        <v>1</v>
      </c>
      <c r="E31" s="19">
        <f t="shared" si="9"/>
        <v>0</v>
      </c>
      <c r="F31" s="19">
        <f t="shared" si="10"/>
        <v>0</v>
      </c>
      <c r="G31" s="19">
        <f t="shared" si="1"/>
        <v>1</v>
      </c>
      <c r="H31" s="19">
        <f t="shared" si="2"/>
        <v>1</v>
      </c>
      <c r="I31" s="17">
        <v>0.63</v>
      </c>
      <c r="J31" s="19">
        <f t="shared" si="3"/>
        <v>1</v>
      </c>
      <c r="K31" s="19">
        <f t="shared" si="4"/>
        <v>0</v>
      </c>
      <c r="L31" s="19">
        <f t="shared" si="5"/>
        <v>0</v>
      </c>
      <c r="M31" s="19" t="str">
        <f t="shared" si="6"/>
        <v>Busy</v>
      </c>
      <c r="N31" s="19">
        <f t="shared" si="7"/>
        <v>0</v>
      </c>
    </row>
    <row r="32" spans="1:14" ht="15" customHeight="1" x14ac:dyDescent="0.35">
      <c r="A32" s="10">
        <v>29</v>
      </c>
      <c r="B32" s="14">
        <v>0.54</v>
      </c>
      <c r="C32" s="15">
        <f t="shared" si="0"/>
        <v>1</v>
      </c>
      <c r="D32" s="15">
        <f t="shared" si="8"/>
        <v>0</v>
      </c>
      <c r="E32" s="16">
        <f t="shared" si="9"/>
        <v>0</v>
      </c>
      <c r="F32" s="16">
        <f t="shared" si="10"/>
        <v>0</v>
      </c>
      <c r="G32" s="16">
        <f t="shared" si="1"/>
        <v>1</v>
      </c>
      <c r="H32" s="16">
        <f t="shared" si="2"/>
        <v>1</v>
      </c>
      <c r="I32" s="14">
        <v>0.26</v>
      </c>
      <c r="J32" s="16">
        <f t="shared" si="3"/>
        <v>1</v>
      </c>
      <c r="K32" s="16">
        <f t="shared" si="4"/>
        <v>0</v>
      </c>
      <c r="L32" s="16">
        <f t="shared" si="5"/>
        <v>0</v>
      </c>
      <c r="M32" s="16" t="str">
        <f t="shared" si="6"/>
        <v>Busy</v>
      </c>
      <c r="N32" s="16">
        <f t="shared" si="7"/>
        <v>0</v>
      </c>
    </row>
    <row r="33" spans="1:14" ht="15" customHeight="1" x14ac:dyDescent="0.35">
      <c r="A33" s="12">
        <v>30</v>
      </c>
      <c r="B33" s="17">
        <v>0.37</v>
      </c>
      <c r="C33" s="18">
        <f t="shared" si="0"/>
        <v>0</v>
      </c>
      <c r="D33" s="18">
        <f t="shared" si="8"/>
        <v>0</v>
      </c>
      <c r="E33" s="19">
        <f t="shared" si="9"/>
        <v>0</v>
      </c>
      <c r="F33" s="19">
        <f t="shared" si="10"/>
        <v>0</v>
      </c>
      <c r="G33" s="19">
        <f t="shared" si="1"/>
        <v>0</v>
      </c>
      <c r="H33" s="19">
        <f t="shared" si="2"/>
        <v>0</v>
      </c>
      <c r="I33" s="17">
        <v>0.64</v>
      </c>
      <c r="J33" s="19" t="str">
        <f t="shared" si="3"/>
        <v/>
      </c>
      <c r="K33" s="19">
        <f t="shared" si="4"/>
        <v>0</v>
      </c>
      <c r="L33" s="19">
        <f t="shared" si="5"/>
        <v>0</v>
      </c>
      <c r="M33" s="19" t="str">
        <f t="shared" si="6"/>
        <v>Idle</v>
      </c>
      <c r="N33" s="19">
        <f t="shared" si="7"/>
        <v>1</v>
      </c>
    </row>
    <row r="35" spans="1:14" ht="15" customHeight="1" x14ac:dyDescent="0.35">
      <c r="A35" s="2" t="s">
        <v>76</v>
      </c>
      <c r="B35" s="2"/>
      <c r="C35" s="2"/>
      <c r="D35" s="2"/>
    </row>
    <row r="36" spans="1:14" ht="15" customHeight="1" x14ac:dyDescent="0.35">
      <c r="A36" s="1" t="s">
        <v>77</v>
      </c>
      <c r="B36" s="1"/>
      <c r="C36" s="1"/>
      <c r="D36" s="1"/>
      <c r="E36" s="20">
        <f>SUM(C4:C33)</f>
        <v>24</v>
      </c>
    </row>
    <row r="37" spans="1:14" ht="15" customHeight="1" x14ac:dyDescent="0.35">
      <c r="A37" s="1" t="s">
        <v>78</v>
      </c>
      <c r="B37" s="1"/>
      <c r="C37" s="1"/>
      <c r="D37" s="1"/>
      <c r="E37" s="20">
        <f>SUM(N4:N33)</f>
        <v>3</v>
      </c>
    </row>
    <row r="38" spans="1:14" ht="15" customHeight="1" x14ac:dyDescent="0.35">
      <c r="A38" s="1" t="s">
        <v>79</v>
      </c>
      <c r="B38" s="1"/>
      <c r="C38" s="1"/>
      <c r="D38" s="1"/>
      <c r="E38" s="21">
        <f>1-(E37/30)</f>
        <v>0.9</v>
      </c>
    </row>
    <row r="39" spans="1:14" ht="15" customHeight="1" x14ac:dyDescent="0.35">
      <c r="A39" s="1" t="s">
        <v>80</v>
      </c>
      <c r="B39" s="1"/>
      <c r="C39" s="1"/>
      <c r="D39" s="1"/>
      <c r="E39" s="22">
        <f>AVERAGE(L4:L33)</f>
        <v>0.8</v>
      </c>
    </row>
    <row r="40" spans="1:14" ht="15" customHeight="1" x14ac:dyDescent="0.35">
      <c r="A40" s="1" t="s">
        <v>81</v>
      </c>
      <c r="B40" s="1"/>
      <c r="C40" s="1"/>
      <c r="D40" s="1"/>
      <c r="E40" s="22">
        <f>IF(E36=0,0,SUM(L4:L33)/E36)</f>
        <v>1</v>
      </c>
    </row>
    <row r="42" spans="1:14" ht="30" customHeight="1" x14ac:dyDescent="0.35">
      <c r="A42" s="26" t="s">
        <v>82</v>
      </c>
      <c r="B42" s="26"/>
      <c r="C42" s="26"/>
      <c r="D42" s="26"/>
      <c r="E42" s="26"/>
      <c r="F42" s="26"/>
      <c r="G42" s="26"/>
      <c r="H42" s="26"/>
      <c r="I42" s="26"/>
      <c r="J42" s="26"/>
      <c r="K42" s="26"/>
      <c r="L42" s="26"/>
      <c r="M42" s="26"/>
      <c r="N42" s="26"/>
    </row>
  </sheetData>
  <mergeCells count="8">
    <mergeCell ref="A39:D39"/>
    <mergeCell ref="A40:D40"/>
    <mergeCell ref="A42:N42"/>
    <mergeCell ref="A1:N1"/>
    <mergeCell ref="A35:D35"/>
    <mergeCell ref="A36:D36"/>
    <mergeCell ref="A37:D37"/>
    <mergeCell ref="A38:D38"/>
  </mergeCells>
  <pageMargins left="0.75" right="0.75" top="1" bottom="1" header="0.511811023622047" footer="0.511811023622047"/>
  <pageSetup paperSize="8" fitToHeight="0" orientation="landscape"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Guide</vt:lpstr>
      <vt:lpstr>Distribution Tables</vt:lpstr>
      <vt:lpstr>Simulation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Fred Kaggwa</dc:creator>
  <dc:description/>
  <cp:lastModifiedBy>Kaggwa</cp:lastModifiedBy>
  <cp:revision>0</cp:revision>
  <dcterms:created xsi:type="dcterms:W3CDTF">2026-09-08T09:19:34Z</dcterms:created>
  <dcterms:modified xsi:type="dcterms:W3CDTF">2026-09-08T14:23:26Z</dcterms:modified>
  <dc:language>en-US</dc:language>
</cp:coreProperties>
</file>
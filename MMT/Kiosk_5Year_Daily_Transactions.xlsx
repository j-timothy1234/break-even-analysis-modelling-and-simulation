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aily Ledger" sheetId="2" state="visible" r:id="rId4"/>
    <sheet name="Monthly Summary" sheetId="3" state="visible" r:id="rId5"/>
    <sheet name="Annual Summary" sheetId="4" state="visible" r:id="rId6"/>
    <sheet name="Break-Even Analysis" sheetId="5" state="visible" r:id="rId7"/>
  </sheets>
  <definedNames>
    <definedName function="false" hidden="true" localSheetId="1" name="_xlnm._FilterDatabase" vbProcedure="false">'Daily Ledger'!$A$1:$X$1827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4" authorId="0">
      <text>
        <r>
          <rPr>
            <sz val="10"/>
            <rFont val="Arial"/>
            <family val="2"/>
          </rPr>
          <t xml:space="preserve">Assumption: weekend footfall drops to 60% of a weekday since customers are mainly students/staff.</t>
        </r>
      </text>
    </comment>
    <comment ref="B42" authorId="0">
      <text>
        <r>
          <rPr>
            <sz val="10"/>
            <rFont val="Arial"/>
            <family val="2"/>
          </rPr>
          <t xml:space="preserve">Assumption: owner runs the kiosk alone in Year 1; an attendant is hired from calendar Month 13.</t>
        </r>
      </text>
    </comment>
    <comment ref="B46" authorId="0">
      <text>
        <r>
          <rPr>
            <sz val="10"/>
            <rFont val="Arial"/>
            <family val="2"/>
          </rPr>
          <t xml:space="preserve">Assumption: small monthly cost inflation (0.3%) applied to operating costs from calendar Month 13.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Monthly costs are booked in full on the 1st day of each calendar month, consistent with how rent/wages are actually paid.</t>
        </r>
      </text>
    </comment>
  </commentList>
</comments>
</file>

<file path=xl/sharedStrings.xml><?xml version="1.0" encoding="utf-8"?>
<sst xmlns="http://schemas.openxmlformats.org/spreadsheetml/2006/main" count="95" uniqueCount="84">
  <si>
    <t xml:space="preserve">Mobile Money &amp; Airtime Kiosk — Daily Transactions Model (5 Years)</t>
  </si>
  <si>
    <t xml:space="preserve">All monetary values in Ugandan Shillings (UGX). Blue cells are editable inputs; black cells are calculated.</t>
  </si>
  <si>
    <t xml:space="preserve">1. SIMULATION PERIOD</t>
  </si>
  <si>
    <t xml:space="preserve">Start date</t>
  </si>
  <si>
    <t xml:space="preserve">End date</t>
  </si>
  <si>
    <t xml:space="preserve">Number of days simulated</t>
  </si>
  <si>
    <t xml:space="preserve">2. INITIAL (STARTUP) CAPITAL</t>
  </si>
  <si>
    <t xml:space="preserve">Float capital (mobile money agent line)</t>
  </si>
  <si>
    <t xml:space="preserve">Initial airtime / data bundle stock</t>
  </si>
  <si>
    <t xml:space="preserve">Kiosk setup (structure, signage, stool, umbrella)</t>
  </si>
  <si>
    <t xml:space="preserve">Rent deposit (advance)</t>
  </si>
  <si>
    <t xml:space="preserve">Equipment (phone, register book, solar charger, POS)</t>
  </si>
  <si>
    <t xml:space="preserve">TOTAL INITIAL INVESTMENT (Starting Capital)</t>
  </si>
  <si>
    <t xml:space="preserve">3. MOBILE MONEY REVENUE DRIVERS</t>
  </si>
  <si>
    <t xml:space="preserve">Starting mobile money transactions / month (baseline)</t>
  </si>
  <si>
    <t xml:space="preserve">Forecast given in the scenario</t>
  </si>
  <si>
    <t xml:space="preserve">Equivalent starting MM transactions / day</t>
  </si>
  <si>
    <t xml:space="preserve">Baseline month figure spread over an average 30.44-day month</t>
  </si>
  <si>
    <t xml:space="preserve">Monthly transaction growth rate — Year 1</t>
  </si>
  <si>
    <t xml:space="preserve">Monthly transaction growth rate — Year 2 onward</t>
  </si>
  <si>
    <t xml:space="preserve">Equivalent daily growth rate — Year 1</t>
  </si>
  <si>
    <t xml:space="preserve">(1+monthly rate)^(1/30.44) - 1</t>
  </si>
  <si>
    <t xml:space="preserve">Equivalent daily growth rate — Year 2 onward</t>
  </si>
  <si>
    <t xml:space="preserve">Average commission earned per transaction (UGX)</t>
  </si>
  <si>
    <t xml:space="preserve">4. AIRTIME / DATA BUNDLE REVENUE DRIVERS</t>
  </si>
  <si>
    <t xml:space="preserve">Starting airtime/data transactions / month (baseline)</t>
  </si>
  <si>
    <t xml:space="preserve">Equivalent starting airtime transactions / day</t>
  </si>
  <si>
    <t xml:space="preserve">Monthly airtime transaction growth rate</t>
  </si>
  <si>
    <t xml:space="preserve">Equivalent daily airtime growth rate</t>
  </si>
  <si>
    <t xml:space="preserve">Average markup profit per airtime/data sale (UGX)</t>
  </si>
  <si>
    <t xml:space="preserve">5. DAY-OF-WEEK EFFECT</t>
  </si>
  <si>
    <t xml:space="preserve">Weekend transaction multiplier (Sat &amp; Sun)</t>
  </si>
  <si>
    <t xml:space="preserve">Kiosk clientele is students/staff, so weekend footfall is lighter</t>
  </si>
  <si>
    <t xml:space="preserve">Weekday transaction multiplier (Mon-Fri)</t>
  </si>
  <si>
    <t xml:space="preserve">6. MONTHLY OPERATING COSTS (booked on the 1st of each calendar month)</t>
  </si>
  <si>
    <t xml:space="preserve">Kiosk rent</t>
  </si>
  <si>
    <t xml:space="preserve">Transport for float top-up</t>
  </si>
  <si>
    <t xml:space="preserve">Agent line / mobile money service charges</t>
  </si>
  <si>
    <t xml:space="preserve">Utilities (phone charging, lighting)</t>
  </si>
  <si>
    <t xml:space="preserve">Attendant wage (starts calendar Month 13)</t>
  </si>
  <si>
    <t xml:space="preserve">Miscellaneous / contingency</t>
  </si>
  <si>
    <t xml:space="preserve">7. OTHER</t>
  </si>
  <si>
    <t xml:space="preserve">Monthly cost inflation (applied from calendar Month 13)</t>
  </si>
  <si>
    <t xml:space="preserve">Day #</t>
  </si>
  <si>
    <t xml:space="preserve">Date</t>
  </si>
  <si>
    <t xml:space="preserve">Sim Year</t>
  </si>
  <si>
    <t xml:space="preserve">Calendar Month #</t>
  </si>
  <si>
    <t xml:space="preserve">Day of Week</t>
  </si>
  <si>
    <t xml:space="preserve">Weekday Multiplier</t>
  </si>
  <si>
    <t xml:space="preserve">Cost Inflation Factor</t>
  </si>
  <si>
    <t xml:space="preserve">MM Transactions (trend)</t>
  </si>
  <si>
    <t xml:space="preserve">MM Transactions (actual)</t>
  </si>
  <si>
    <t xml:space="preserve">Commission Revenue</t>
  </si>
  <si>
    <t xml:space="preserve">Airtime Transactions (trend)</t>
  </si>
  <si>
    <t xml:space="preserve">Airtime Transactions (actual)</t>
  </si>
  <si>
    <t xml:space="preserve">Airtime Revenue</t>
  </si>
  <si>
    <t xml:space="preserve">Total Daily Revenue</t>
  </si>
  <si>
    <t xml:space="preserve">Rent</t>
  </si>
  <si>
    <t xml:space="preserve">Transport</t>
  </si>
  <si>
    <t xml:space="preserve">Agent Charges</t>
  </si>
  <si>
    <t xml:space="preserve">Utilities</t>
  </si>
  <si>
    <t xml:space="preserve">Wage</t>
  </si>
  <si>
    <t xml:space="preserve">Misc</t>
  </si>
  <si>
    <t xml:space="preserve">Total Daily Costs</t>
  </si>
  <si>
    <t xml:space="preserve">Net Daily Profit</t>
  </si>
  <si>
    <t xml:space="preserve">Cumulative Net Cash Position</t>
  </si>
  <si>
    <t xml:space="preserve">Breakeven Reached?</t>
  </si>
  <si>
    <t xml:space="preserve">MM Transactions</t>
  </si>
  <si>
    <t xml:space="preserve">Airtime Transactions</t>
  </si>
  <si>
    <t xml:space="preserve">Total Revenue</t>
  </si>
  <si>
    <t xml:space="preserve">Total Costs</t>
  </si>
  <si>
    <t xml:space="preserve">Net Profit</t>
  </si>
  <si>
    <t xml:space="preserve">Cumulative Net Cash Position (month-end)</t>
  </si>
  <si>
    <t xml:space="preserve">Cumulative Net Cash Position (year-end)</t>
  </si>
  <si>
    <t xml:space="preserve">TOTAL / 5-YR</t>
  </si>
  <si>
    <t xml:space="preserve">Break-Even Analysis — Daily Model</t>
  </si>
  <si>
    <t xml:space="preserve">Total Initial Investment (Starting Capital)</t>
  </si>
  <si>
    <t xml:space="preserve">Average Net Daily Profit (Year 1)</t>
  </si>
  <si>
    <t xml:space="preserve">Simple break-even (days), constant Year-1 average profit</t>
  </si>
  <si>
    <t xml:space="preserve">Break-even Day # (from cumulative cash position, dynamic model)</t>
  </si>
  <si>
    <t xml:space="preserve">Break-even Date</t>
  </si>
  <si>
    <t xml:space="preserve">Break-even Sim Year</t>
  </si>
  <si>
    <t xml:space="preserve">Interpretation</t>
  </si>
  <si>
    <t xml:space="preserve">The break-even point is the exact day on which the Cumulative Net Cash Position (Daily Ledger, column W) crosses from negative to zero/positive — the accumulated daily profit has fully repaid the starting capital in row 3. Every shilling of net profit from that day forward is clean profit for the investor.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</si>
</sst>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#,##0"/>
    <numFmt numFmtId="167" formatCode="#,##0;\(#,##0\);\-"/>
    <numFmt numFmtId="168" formatCode="#,##0.0"/>
    <numFmt numFmtId="169" formatCode="0.00%"/>
    <numFmt numFmtId="170" formatCode="General"/>
    <numFmt numFmtId="171" formatCode="0.000"/>
    <numFmt numFmtId="172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Net Cash Position vs. Break-Even (Daily, 5 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Ledger'!W1</c:f>
              <c:strCache>
                <c:ptCount val="1"/>
                <c:pt idx="0">
                  <c:v>Cumulative Net Cash Position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Ledger'!$A$2:$A$1827</c:f>
              <c:strCache>
                <c:ptCount val="18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1,000</c:v>
                </c:pt>
                <c:pt idx="1000">
                  <c:v>1,001</c:v>
                </c:pt>
                <c:pt idx="1001">
                  <c:v>1,002</c:v>
                </c:pt>
                <c:pt idx="1002">
                  <c:v>1,003</c:v>
                </c:pt>
                <c:pt idx="1003">
                  <c:v>1,004</c:v>
                </c:pt>
                <c:pt idx="1004">
                  <c:v>1,005</c:v>
                </c:pt>
                <c:pt idx="1005">
                  <c:v>1,006</c:v>
                </c:pt>
                <c:pt idx="1006">
                  <c:v>1,007</c:v>
                </c:pt>
                <c:pt idx="1007">
                  <c:v>1,008</c:v>
                </c:pt>
                <c:pt idx="1008">
                  <c:v>1,009</c:v>
                </c:pt>
                <c:pt idx="1009">
                  <c:v>1,010</c:v>
                </c:pt>
                <c:pt idx="1010">
                  <c:v>1,011</c:v>
                </c:pt>
                <c:pt idx="1011">
                  <c:v>1,012</c:v>
                </c:pt>
                <c:pt idx="1012">
                  <c:v>1,013</c:v>
                </c:pt>
                <c:pt idx="1013">
                  <c:v>1,014</c:v>
                </c:pt>
                <c:pt idx="1014">
                  <c:v>1,015</c:v>
                </c:pt>
                <c:pt idx="1015">
                  <c:v>1,016</c:v>
                </c:pt>
                <c:pt idx="1016">
                  <c:v>1,017</c:v>
                </c:pt>
                <c:pt idx="1017">
                  <c:v>1,018</c:v>
                </c:pt>
                <c:pt idx="1018">
                  <c:v>1,019</c:v>
                </c:pt>
                <c:pt idx="1019">
                  <c:v>1,020</c:v>
                </c:pt>
                <c:pt idx="1020">
                  <c:v>1,021</c:v>
                </c:pt>
                <c:pt idx="1021">
                  <c:v>1,022</c:v>
                </c:pt>
                <c:pt idx="1022">
                  <c:v>1,023</c:v>
                </c:pt>
                <c:pt idx="1023">
                  <c:v>1,024</c:v>
                </c:pt>
                <c:pt idx="1024">
                  <c:v>1,025</c:v>
                </c:pt>
                <c:pt idx="1025">
                  <c:v>1,026</c:v>
                </c:pt>
                <c:pt idx="1026">
                  <c:v>1,027</c:v>
                </c:pt>
                <c:pt idx="1027">
                  <c:v>1,028</c:v>
                </c:pt>
                <c:pt idx="1028">
                  <c:v>1,029</c:v>
                </c:pt>
                <c:pt idx="1029">
                  <c:v>1,030</c:v>
                </c:pt>
                <c:pt idx="1030">
                  <c:v>1,031</c:v>
                </c:pt>
                <c:pt idx="1031">
                  <c:v>1,032</c:v>
                </c:pt>
                <c:pt idx="1032">
                  <c:v>1,033</c:v>
                </c:pt>
                <c:pt idx="1033">
                  <c:v>1,034</c:v>
                </c:pt>
                <c:pt idx="1034">
                  <c:v>1,035</c:v>
                </c:pt>
                <c:pt idx="1035">
                  <c:v>1,036</c:v>
                </c:pt>
                <c:pt idx="1036">
                  <c:v>1,037</c:v>
                </c:pt>
                <c:pt idx="1037">
                  <c:v>1,038</c:v>
                </c:pt>
                <c:pt idx="1038">
                  <c:v>1,039</c:v>
                </c:pt>
                <c:pt idx="1039">
                  <c:v>1,040</c:v>
                </c:pt>
                <c:pt idx="1040">
                  <c:v>1,041</c:v>
                </c:pt>
                <c:pt idx="1041">
                  <c:v>1,042</c:v>
                </c:pt>
                <c:pt idx="1042">
                  <c:v>1,043</c:v>
                </c:pt>
                <c:pt idx="1043">
                  <c:v>1,044</c:v>
                </c:pt>
                <c:pt idx="1044">
                  <c:v>1,045</c:v>
                </c:pt>
                <c:pt idx="1045">
                  <c:v>1,046</c:v>
                </c:pt>
                <c:pt idx="1046">
                  <c:v>1,047</c:v>
                </c:pt>
                <c:pt idx="1047">
                  <c:v>1,048</c:v>
                </c:pt>
                <c:pt idx="1048">
                  <c:v>1,049</c:v>
                </c:pt>
                <c:pt idx="1049">
                  <c:v>1,050</c:v>
                </c:pt>
                <c:pt idx="1050">
                  <c:v>1,051</c:v>
                </c:pt>
                <c:pt idx="1051">
                  <c:v>1,052</c:v>
                </c:pt>
                <c:pt idx="1052">
                  <c:v>1,053</c:v>
                </c:pt>
                <c:pt idx="1053">
                  <c:v>1,054</c:v>
                </c:pt>
                <c:pt idx="1054">
                  <c:v>1,055</c:v>
                </c:pt>
                <c:pt idx="1055">
                  <c:v>1,056</c:v>
                </c:pt>
                <c:pt idx="1056">
                  <c:v>1,057</c:v>
                </c:pt>
                <c:pt idx="1057">
                  <c:v>1,058</c:v>
                </c:pt>
                <c:pt idx="1058">
                  <c:v>1,059</c:v>
                </c:pt>
                <c:pt idx="1059">
                  <c:v>1,060</c:v>
                </c:pt>
                <c:pt idx="1060">
                  <c:v>1,061</c:v>
                </c:pt>
                <c:pt idx="1061">
                  <c:v>1,062</c:v>
                </c:pt>
                <c:pt idx="1062">
                  <c:v>1,063</c:v>
                </c:pt>
                <c:pt idx="1063">
                  <c:v>1,064</c:v>
                </c:pt>
                <c:pt idx="1064">
                  <c:v>1,065</c:v>
                </c:pt>
                <c:pt idx="1065">
                  <c:v>1,066</c:v>
                </c:pt>
                <c:pt idx="1066">
                  <c:v>1,067</c:v>
                </c:pt>
                <c:pt idx="1067">
                  <c:v>1,068</c:v>
                </c:pt>
                <c:pt idx="1068">
                  <c:v>1,069</c:v>
                </c:pt>
                <c:pt idx="1069">
                  <c:v>1,070</c:v>
                </c:pt>
                <c:pt idx="1070">
                  <c:v>1,071</c:v>
                </c:pt>
                <c:pt idx="1071">
                  <c:v>1,072</c:v>
                </c:pt>
                <c:pt idx="1072">
                  <c:v>1,073</c:v>
                </c:pt>
                <c:pt idx="1073">
                  <c:v>1,074</c:v>
                </c:pt>
                <c:pt idx="1074">
                  <c:v>1,075</c:v>
                </c:pt>
                <c:pt idx="1075">
                  <c:v>1,076</c:v>
                </c:pt>
                <c:pt idx="1076">
                  <c:v>1,077</c:v>
                </c:pt>
                <c:pt idx="1077">
                  <c:v>1,078</c:v>
                </c:pt>
                <c:pt idx="1078">
                  <c:v>1,079</c:v>
                </c:pt>
                <c:pt idx="1079">
                  <c:v>1,080</c:v>
                </c:pt>
                <c:pt idx="1080">
                  <c:v>1,081</c:v>
                </c:pt>
                <c:pt idx="1081">
                  <c:v>1,082</c:v>
                </c:pt>
                <c:pt idx="1082">
                  <c:v>1,083</c:v>
                </c:pt>
                <c:pt idx="1083">
                  <c:v>1,084</c:v>
                </c:pt>
                <c:pt idx="1084">
                  <c:v>1,085</c:v>
                </c:pt>
                <c:pt idx="1085">
                  <c:v>1,086</c:v>
                </c:pt>
                <c:pt idx="1086">
                  <c:v>1,087</c:v>
                </c:pt>
                <c:pt idx="1087">
                  <c:v>1,088</c:v>
                </c:pt>
                <c:pt idx="1088">
                  <c:v>1,089</c:v>
                </c:pt>
                <c:pt idx="1089">
                  <c:v>1,090</c:v>
                </c:pt>
                <c:pt idx="1090">
                  <c:v>1,091</c:v>
                </c:pt>
                <c:pt idx="1091">
                  <c:v>1,092</c:v>
                </c:pt>
                <c:pt idx="1092">
                  <c:v>1,093</c:v>
                </c:pt>
                <c:pt idx="1093">
                  <c:v>1,094</c:v>
                </c:pt>
                <c:pt idx="1094">
                  <c:v>1,095</c:v>
                </c:pt>
                <c:pt idx="1095">
                  <c:v>1,096</c:v>
                </c:pt>
                <c:pt idx="1096">
                  <c:v>1,097</c:v>
                </c:pt>
                <c:pt idx="1097">
                  <c:v>1,098</c:v>
                </c:pt>
                <c:pt idx="1098">
                  <c:v>1,099</c:v>
                </c:pt>
                <c:pt idx="1099">
                  <c:v>1,100</c:v>
                </c:pt>
                <c:pt idx="1100">
                  <c:v>1,101</c:v>
                </c:pt>
                <c:pt idx="1101">
                  <c:v>1,102</c:v>
                </c:pt>
                <c:pt idx="1102">
                  <c:v>1,103</c:v>
                </c:pt>
                <c:pt idx="1103">
                  <c:v>1,104</c:v>
                </c:pt>
                <c:pt idx="1104">
                  <c:v>1,105</c:v>
                </c:pt>
                <c:pt idx="1105">
                  <c:v>1,106</c:v>
                </c:pt>
                <c:pt idx="1106">
                  <c:v>1,107</c:v>
                </c:pt>
                <c:pt idx="1107">
                  <c:v>1,108</c:v>
                </c:pt>
                <c:pt idx="1108">
                  <c:v>1,109</c:v>
                </c:pt>
                <c:pt idx="1109">
                  <c:v>1,110</c:v>
                </c:pt>
                <c:pt idx="1110">
                  <c:v>1,111</c:v>
                </c:pt>
                <c:pt idx="1111">
                  <c:v>1,112</c:v>
                </c:pt>
                <c:pt idx="1112">
                  <c:v>1,113</c:v>
                </c:pt>
                <c:pt idx="1113">
                  <c:v>1,114</c:v>
                </c:pt>
                <c:pt idx="1114">
                  <c:v>1,115</c:v>
                </c:pt>
                <c:pt idx="1115">
                  <c:v>1,116</c:v>
                </c:pt>
                <c:pt idx="1116">
                  <c:v>1,117</c:v>
                </c:pt>
                <c:pt idx="1117">
                  <c:v>1,118</c:v>
                </c:pt>
                <c:pt idx="1118">
                  <c:v>1,119</c:v>
                </c:pt>
                <c:pt idx="1119">
                  <c:v>1,120</c:v>
                </c:pt>
                <c:pt idx="1120">
                  <c:v>1,121</c:v>
                </c:pt>
                <c:pt idx="1121">
                  <c:v>1,122</c:v>
                </c:pt>
                <c:pt idx="1122">
                  <c:v>1,123</c:v>
                </c:pt>
                <c:pt idx="1123">
                  <c:v>1,124</c:v>
                </c:pt>
                <c:pt idx="1124">
                  <c:v>1,125</c:v>
                </c:pt>
                <c:pt idx="1125">
                  <c:v>1,126</c:v>
                </c:pt>
                <c:pt idx="1126">
                  <c:v>1,127</c:v>
                </c:pt>
                <c:pt idx="1127">
                  <c:v>1,128</c:v>
                </c:pt>
                <c:pt idx="1128">
                  <c:v>1,129</c:v>
                </c:pt>
                <c:pt idx="1129">
                  <c:v>1,130</c:v>
                </c:pt>
                <c:pt idx="1130">
                  <c:v>1,131</c:v>
                </c:pt>
                <c:pt idx="1131">
                  <c:v>1,132</c:v>
                </c:pt>
                <c:pt idx="1132">
                  <c:v>1,133</c:v>
                </c:pt>
                <c:pt idx="1133">
                  <c:v>1,134</c:v>
                </c:pt>
                <c:pt idx="1134">
                  <c:v>1,135</c:v>
                </c:pt>
                <c:pt idx="1135">
                  <c:v>1,136</c:v>
                </c:pt>
                <c:pt idx="1136">
                  <c:v>1,137</c:v>
                </c:pt>
                <c:pt idx="1137">
                  <c:v>1,138</c:v>
                </c:pt>
                <c:pt idx="1138">
                  <c:v>1,139</c:v>
                </c:pt>
                <c:pt idx="1139">
                  <c:v>1,140</c:v>
                </c:pt>
                <c:pt idx="1140">
                  <c:v>1,141</c:v>
                </c:pt>
                <c:pt idx="1141">
                  <c:v>1,142</c:v>
                </c:pt>
                <c:pt idx="1142">
                  <c:v>1,143</c:v>
                </c:pt>
                <c:pt idx="1143">
                  <c:v>1,144</c:v>
                </c:pt>
                <c:pt idx="1144">
                  <c:v>1,145</c:v>
                </c:pt>
                <c:pt idx="1145">
                  <c:v>1,146</c:v>
                </c:pt>
                <c:pt idx="1146">
                  <c:v>1,147</c:v>
                </c:pt>
                <c:pt idx="1147">
                  <c:v>1,148</c:v>
                </c:pt>
                <c:pt idx="1148">
                  <c:v>1,149</c:v>
                </c:pt>
                <c:pt idx="1149">
                  <c:v>1,150</c:v>
                </c:pt>
                <c:pt idx="1150">
                  <c:v>1,151</c:v>
                </c:pt>
                <c:pt idx="1151">
                  <c:v>1,152</c:v>
                </c:pt>
                <c:pt idx="1152">
                  <c:v>1,153</c:v>
                </c:pt>
                <c:pt idx="1153">
                  <c:v>1,154</c:v>
                </c:pt>
                <c:pt idx="1154">
                  <c:v>1,155</c:v>
                </c:pt>
                <c:pt idx="1155">
                  <c:v>1,156</c:v>
                </c:pt>
                <c:pt idx="1156">
                  <c:v>1,157</c:v>
                </c:pt>
                <c:pt idx="1157">
                  <c:v>1,158</c:v>
                </c:pt>
                <c:pt idx="1158">
                  <c:v>1,159</c:v>
                </c:pt>
                <c:pt idx="1159">
                  <c:v>1,160</c:v>
                </c:pt>
                <c:pt idx="1160">
                  <c:v>1,161</c:v>
                </c:pt>
                <c:pt idx="1161">
                  <c:v>1,162</c:v>
                </c:pt>
                <c:pt idx="1162">
                  <c:v>1,163</c:v>
                </c:pt>
                <c:pt idx="1163">
                  <c:v>1,164</c:v>
                </c:pt>
                <c:pt idx="1164">
                  <c:v>1,165</c:v>
                </c:pt>
                <c:pt idx="1165">
                  <c:v>1,166</c:v>
                </c:pt>
                <c:pt idx="1166">
                  <c:v>1,167</c:v>
                </c:pt>
                <c:pt idx="1167">
                  <c:v>1,168</c:v>
                </c:pt>
                <c:pt idx="1168">
                  <c:v>1,169</c:v>
                </c:pt>
                <c:pt idx="1169">
                  <c:v>1,170</c:v>
                </c:pt>
                <c:pt idx="1170">
                  <c:v>1,171</c:v>
                </c:pt>
                <c:pt idx="1171">
                  <c:v>1,172</c:v>
                </c:pt>
                <c:pt idx="1172">
                  <c:v>1,173</c:v>
                </c:pt>
                <c:pt idx="1173">
                  <c:v>1,174</c:v>
                </c:pt>
                <c:pt idx="1174">
                  <c:v>1,175</c:v>
                </c:pt>
                <c:pt idx="1175">
                  <c:v>1,176</c:v>
                </c:pt>
                <c:pt idx="1176">
                  <c:v>1,177</c:v>
                </c:pt>
                <c:pt idx="1177">
                  <c:v>1,178</c:v>
                </c:pt>
                <c:pt idx="1178">
                  <c:v>1,179</c:v>
                </c:pt>
                <c:pt idx="1179">
                  <c:v>1,180</c:v>
                </c:pt>
                <c:pt idx="1180">
                  <c:v>1,181</c:v>
                </c:pt>
                <c:pt idx="1181">
                  <c:v>1,182</c:v>
                </c:pt>
                <c:pt idx="1182">
                  <c:v>1,183</c:v>
                </c:pt>
                <c:pt idx="1183">
                  <c:v>1,184</c:v>
                </c:pt>
                <c:pt idx="1184">
                  <c:v>1,185</c:v>
                </c:pt>
                <c:pt idx="1185">
                  <c:v>1,186</c:v>
                </c:pt>
                <c:pt idx="1186">
                  <c:v>1,187</c:v>
                </c:pt>
                <c:pt idx="1187">
                  <c:v>1,188</c:v>
                </c:pt>
                <c:pt idx="1188">
                  <c:v>1,189</c:v>
                </c:pt>
                <c:pt idx="1189">
                  <c:v>1,190</c:v>
                </c:pt>
                <c:pt idx="1190">
                  <c:v>1,191</c:v>
                </c:pt>
                <c:pt idx="1191">
                  <c:v>1,192</c:v>
                </c:pt>
                <c:pt idx="1192">
                  <c:v>1,193</c:v>
                </c:pt>
                <c:pt idx="1193">
                  <c:v>1,194</c:v>
                </c:pt>
                <c:pt idx="1194">
                  <c:v>1,195</c:v>
                </c:pt>
                <c:pt idx="1195">
                  <c:v>1,196</c:v>
                </c:pt>
                <c:pt idx="1196">
                  <c:v>1,197</c:v>
                </c:pt>
                <c:pt idx="1197">
                  <c:v>1,198</c:v>
                </c:pt>
                <c:pt idx="1198">
                  <c:v>1,199</c:v>
                </c:pt>
                <c:pt idx="1199">
                  <c:v>1,200</c:v>
                </c:pt>
                <c:pt idx="1200">
                  <c:v>1,201</c:v>
                </c:pt>
                <c:pt idx="1201">
                  <c:v>1,202</c:v>
                </c:pt>
                <c:pt idx="1202">
                  <c:v>1,203</c:v>
                </c:pt>
                <c:pt idx="1203">
                  <c:v>1,204</c:v>
                </c:pt>
                <c:pt idx="1204">
                  <c:v>1,205</c:v>
                </c:pt>
                <c:pt idx="1205">
                  <c:v>1,206</c:v>
                </c:pt>
                <c:pt idx="1206">
                  <c:v>1,207</c:v>
                </c:pt>
                <c:pt idx="1207">
                  <c:v>1,208</c:v>
                </c:pt>
                <c:pt idx="1208">
                  <c:v>1,209</c:v>
                </c:pt>
                <c:pt idx="1209">
                  <c:v>1,210</c:v>
                </c:pt>
                <c:pt idx="1210">
                  <c:v>1,211</c:v>
                </c:pt>
                <c:pt idx="1211">
                  <c:v>1,212</c:v>
                </c:pt>
                <c:pt idx="1212">
                  <c:v>1,213</c:v>
                </c:pt>
                <c:pt idx="1213">
                  <c:v>1,214</c:v>
                </c:pt>
                <c:pt idx="1214">
                  <c:v>1,215</c:v>
                </c:pt>
                <c:pt idx="1215">
                  <c:v>1,216</c:v>
                </c:pt>
                <c:pt idx="1216">
                  <c:v>1,217</c:v>
                </c:pt>
                <c:pt idx="1217">
                  <c:v>1,218</c:v>
                </c:pt>
                <c:pt idx="1218">
                  <c:v>1,219</c:v>
                </c:pt>
                <c:pt idx="1219">
                  <c:v>1,220</c:v>
                </c:pt>
                <c:pt idx="1220">
                  <c:v>1,221</c:v>
                </c:pt>
                <c:pt idx="1221">
                  <c:v>1,222</c:v>
                </c:pt>
                <c:pt idx="1222">
                  <c:v>1,223</c:v>
                </c:pt>
                <c:pt idx="1223">
                  <c:v>1,224</c:v>
                </c:pt>
                <c:pt idx="1224">
                  <c:v>1,225</c:v>
                </c:pt>
                <c:pt idx="1225">
                  <c:v>1,226</c:v>
                </c:pt>
                <c:pt idx="1226">
                  <c:v>1,227</c:v>
                </c:pt>
                <c:pt idx="1227">
                  <c:v>1,228</c:v>
                </c:pt>
                <c:pt idx="1228">
                  <c:v>1,229</c:v>
                </c:pt>
                <c:pt idx="1229">
                  <c:v>1,230</c:v>
                </c:pt>
                <c:pt idx="1230">
                  <c:v>1,231</c:v>
                </c:pt>
                <c:pt idx="1231">
                  <c:v>1,232</c:v>
                </c:pt>
                <c:pt idx="1232">
                  <c:v>1,233</c:v>
                </c:pt>
                <c:pt idx="1233">
                  <c:v>1,234</c:v>
                </c:pt>
                <c:pt idx="1234">
                  <c:v>1,235</c:v>
                </c:pt>
                <c:pt idx="1235">
                  <c:v>1,236</c:v>
                </c:pt>
                <c:pt idx="1236">
                  <c:v>1,237</c:v>
                </c:pt>
                <c:pt idx="1237">
                  <c:v>1,238</c:v>
                </c:pt>
                <c:pt idx="1238">
                  <c:v>1,239</c:v>
                </c:pt>
                <c:pt idx="1239">
                  <c:v>1,240</c:v>
                </c:pt>
                <c:pt idx="1240">
                  <c:v>1,241</c:v>
                </c:pt>
                <c:pt idx="1241">
                  <c:v>1,242</c:v>
                </c:pt>
                <c:pt idx="1242">
                  <c:v>1,243</c:v>
                </c:pt>
                <c:pt idx="1243">
                  <c:v>1,244</c:v>
                </c:pt>
                <c:pt idx="1244">
                  <c:v>1,245</c:v>
                </c:pt>
                <c:pt idx="1245">
                  <c:v>1,246</c:v>
                </c:pt>
                <c:pt idx="1246">
                  <c:v>1,247</c:v>
                </c:pt>
                <c:pt idx="1247">
                  <c:v>1,248</c:v>
                </c:pt>
                <c:pt idx="1248">
                  <c:v>1,249</c:v>
                </c:pt>
                <c:pt idx="1249">
                  <c:v>1,250</c:v>
                </c:pt>
                <c:pt idx="1250">
                  <c:v>1,251</c:v>
                </c:pt>
                <c:pt idx="1251">
                  <c:v>1,252</c:v>
                </c:pt>
                <c:pt idx="1252">
                  <c:v>1,253</c:v>
                </c:pt>
                <c:pt idx="1253">
                  <c:v>1,254</c:v>
                </c:pt>
                <c:pt idx="1254">
                  <c:v>1,255</c:v>
                </c:pt>
                <c:pt idx="1255">
                  <c:v>1,256</c:v>
                </c:pt>
                <c:pt idx="1256">
                  <c:v>1,257</c:v>
                </c:pt>
                <c:pt idx="1257">
                  <c:v>1,258</c:v>
                </c:pt>
                <c:pt idx="1258">
                  <c:v>1,259</c:v>
                </c:pt>
                <c:pt idx="1259">
                  <c:v>1,260</c:v>
                </c:pt>
                <c:pt idx="1260">
                  <c:v>1,261</c:v>
                </c:pt>
                <c:pt idx="1261">
                  <c:v>1,262</c:v>
                </c:pt>
                <c:pt idx="1262">
                  <c:v>1,263</c:v>
                </c:pt>
                <c:pt idx="1263">
                  <c:v>1,264</c:v>
                </c:pt>
                <c:pt idx="1264">
                  <c:v>1,265</c:v>
                </c:pt>
                <c:pt idx="1265">
                  <c:v>1,266</c:v>
                </c:pt>
                <c:pt idx="1266">
                  <c:v>1,267</c:v>
                </c:pt>
                <c:pt idx="1267">
                  <c:v>1,268</c:v>
                </c:pt>
                <c:pt idx="1268">
                  <c:v>1,269</c:v>
                </c:pt>
                <c:pt idx="1269">
                  <c:v>1,270</c:v>
                </c:pt>
                <c:pt idx="1270">
                  <c:v>1,271</c:v>
                </c:pt>
                <c:pt idx="1271">
                  <c:v>1,272</c:v>
                </c:pt>
                <c:pt idx="1272">
                  <c:v>1,273</c:v>
                </c:pt>
                <c:pt idx="1273">
                  <c:v>1,274</c:v>
                </c:pt>
                <c:pt idx="1274">
                  <c:v>1,275</c:v>
                </c:pt>
                <c:pt idx="1275">
                  <c:v>1,276</c:v>
                </c:pt>
                <c:pt idx="1276">
                  <c:v>1,277</c:v>
                </c:pt>
                <c:pt idx="1277">
                  <c:v>1,278</c:v>
                </c:pt>
                <c:pt idx="1278">
                  <c:v>1,279</c:v>
                </c:pt>
                <c:pt idx="1279">
                  <c:v>1,280</c:v>
                </c:pt>
                <c:pt idx="1280">
                  <c:v>1,281</c:v>
                </c:pt>
                <c:pt idx="1281">
                  <c:v>1,282</c:v>
                </c:pt>
                <c:pt idx="1282">
                  <c:v>1,283</c:v>
                </c:pt>
                <c:pt idx="1283">
                  <c:v>1,284</c:v>
                </c:pt>
                <c:pt idx="1284">
                  <c:v>1,285</c:v>
                </c:pt>
                <c:pt idx="1285">
                  <c:v>1,286</c:v>
                </c:pt>
                <c:pt idx="1286">
                  <c:v>1,287</c:v>
                </c:pt>
                <c:pt idx="1287">
                  <c:v>1,288</c:v>
                </c:pt>
                <c:pt idx="1288">
                  <c:v>1,289</c:v>
                </c:pt>
                <c:pt idx="1289">
                  <c:v>1,290</c:v>
                </c:pt>
                <c:pt idx="1290">
                  <c:v>1,291</c:v>
                </c:pt>
                <c:pt idx="1291">
                  <c:v>1,292</c:v>
                </c:pt>
                <c:pt idx="1292">
                  <c:v>1,293</c:v>
                </c:pt>
                <c:pt idx="1293">
                  <c:v>1,294</c:v>
                </c:pt>
                <c:pt idx="1294">
                  <c:v>1,295</c:v>
                </c:pt>
                <c:pt idx="1295">
                  <c:v>1,296</c:v>
                </c:pt>
                <c:pt idx="1296">
                  <c:v>1,297</c:v>
                </c:pt>
                <c:pt idx="1297">
                  <c:v>1,298</c:v>
                </c:pt>
                <c:pt idx="1298">
                  <c:v>1,299</c:v>
                </c:pt>
                <c:pt idx="1299">
                  <c:v>1,300</c:v>
                </c:pt>
                <c:pt idx="1300">
                  <c:v>1,301</c:v>
                </c:pt>
                <c:pt idx="1301">
                  <c:v>1,302</c:v>
                </c:pt>
                <c:pt idx="1302">
                  <c:v>1,303</c:v>
                </c:pt>
                <c:pt idx="1303">
                  <c:v>1,304</c:v>
                </c:pt>
                <c:pt idx="1304">
                  <c:v>1,305</c:v>
                </c:pt>
                <c:pt idx="1305">
                  <c:v>1,306</c:v>
                </c:pt>
                <c:pt idx="1306">
                  <c:v>1,307</c:v>
                </c:pt>
                <c:pt idx="1307">
                  <c:v>1,308</c:v>
                </c:pt>
                <c:pt idx="1308">
                  <c:v>1,309</c:v>
                </c:pt>
                <c:pt idx="1309">
                  <c:v>1,310</c:v>
                </c:pt>
                <c:pt idx="1310">
                  <c:v>1,311</c:v>
                </c:pt>
                <c:pt idx="1311">
                  <c:v>1,312</c:v>
                </c:pt>
                <c:pt idx="1312">
                  <c:v>1,313</c:v>
                </c:pt>
                <c:pt idx="1313">
                  <c:v>1,314</c:v>
                </c:pt>
                <c:pt idx="1314">
                  <c:v>1,315</c:v>
                </c:pt>
                <c:pt idx="1315">
                  <c:v>1,316</c:v>
                </c:pt>
                <c:pt idx="1316">
                  <c:v>1,317</c:v>
                </c:pt>
                <c:pt idx="1317">
                  <c:v>1,318</c:v>
                </c:pt>
                <c:pt idx="1318">
                  <c:v>1,319</c:v>
                </c:pt>
                <c:pt idx="1319">
                  <c:v>1,320</c:v>
                </c:pt>
                <c:pt idx="1320">
                  <c:v>1,321</c:v>
                </c:pt>
                <c:pt idx="1321">
                  <c:v>1,322</c:v>
                </c:pt>
                <c:pt idx="1322">
                  <c:v>1,323</c:v>
                </c:pt>
                <c:pt idx="1323">
                  <c:v>1,324</c:v>
                </c:pt>
                <c:pt idx="1324">
                  <c:v>1,325</c:v>
                </c:pt>
                <c:pt idx="1325">
                  <c:v>1,326</c:v>
                </c:pt>
                <c:pt idx="1326">
                  <c:v>1,327</c:v>
                </c:pt>
                <c:pt idx="1327">
                  <c:v>1,328</c:v>
                </c:pt>
                <c:pt idx="1328">
                  <c:v>1,329</c:v>
                </c:pt>
                <c:pt idx="1329">
                  <c:v>1,330</c:v>
                </c:pt>
                <c:pt idx="1330">
                  <c:v>1,331</c:v>
                </c:pt>
                <c:pt idx="1331">
                  <c:v>1,332</c:v>
                </c:pt>
                <c:pt idx="1332">
                  <c:v>1,333</c:v>
                </c:pt>
                <c:pt idx="1333">
                  <c:v>1,334</c:v>
                </c:pt>
                <c:pt idx="1334">
                  <c:v>1,335</c:v>
                </c:pt>
                <c:pt idx="1335">
                  <c:v>1,336</c:v>
                </c:pt>
                <c:pt idx="1336">
                  <c:v>1,337</c:v>
                </c:pt>
                <c:pt idx="1337">
                  <c:v>1,338</c:v>
                </c:pt>
                <c:pt idx="1338">
                  <c:v>1,339</c:v>
                </c:pt>
                <c:pt idx="1339">
                  <c:v>1,340</c:v>
                </c:pt>
                <c:pt idx="1340">
                  <c:v>1,341</c:v>
                </c:pt>
                <c:pt idx="1341">
                  <c:v>1,342</c:v>
                </c:pt>
                <c:pt idx="1342">
                  <c:v>1,343</c:v>
                </c:pt>
                <c:pt idx="1343">
                  <c:v>1,344</c:v>
                </c:pt>
                <c:pt idx="1344">
                  <c:v>1,345</c:v>
                </c:pt>
                <c:pt idx="1345">
                  <c:v>1,346</c:v>
                </c:pt>
                <c:pt idx="1346">
                  <c:v>1,347</c:v>
                </c:pt>
                <c:pt idx="1347">
                  <c:v>1,348</c:v>
                </c:pt>
                <c:pt idx="1348">
                  <c:v>1,349</c:v>
                </c:pt>
                <c:pt idx="1349">
                  <c:v>1,350</c:v>
                </c:pt>
                <c:pt idx="1350">
                  <c:v>1,351</c:v>
                </c:pt>
                <c:pt idx="1351">
                  <c:v>1,352</c:v>
                </c:pt>
                <c:pt idx="1352">
                  <c:v>1,353</c:v>
                </c:pt>
                <c:pt idx="1353">
                  <c:v>1,354</c:v>
                </c:pt>
                <c:pt idx="1354">
                  <c:v>1,355</c:v>
                </c:pt>
                <c:pt idx="1355">
                  <c:v>1,356</c:v>
                </c:pt>
                <c:pt idx="1356">
                  <c:v>1,357</c:v>
                </c:pt>
                <c:pt idx="1357">
                  <c:v>1,358</c:v>
                </c:pt>
                <c:pt idx="1358">
                  <c:v>1,359</c:v>
                </c:pt>
                <c:pt idx="1359">
                  <c:v>1,360</c:v>
                </c:pt>
                <c:pt idx="1360">
                  <c:v>1,361</c:v>
                </c:pt>
                <c:pt idx="1361">
                  <c:v>1,362</c:v>
                </c:pt>
                <c:pt idx="1362">
                  <c:v>1,363</c:v>
                </c:pt>
                <c:pt idx="1363">
                  <c:v>1,364</c:v>
                </c:pt>
                <c:pt idx="1364">
                  <c:v>1,365</c:v>
                </c:pt>
                <c:pt idx="1365">
                  <c:v>1,366</c:v>
                </c:pt>
                <c:pt idx="1366">
                  <c:v>1,367</c:v>
                </c:pt>
                <c:pt idx="1367">
                  <c:v>1,368</c:v>
                </c:pt>
                <c:pt idx="1368">
                  <c:v>1,369</c:v>
                </c:pt>
                <c:pt idx="1369">
                  <c:v>1,370</c:v>
                </c:pt>
                <c:pt idx="1370">
                  <c:v>1,371</c:v>
                </c:pt>
                <c:pt idx="1371">
                  <c:v>1,372</c:v>
                </c:pt>
                <c:pt idx="1372">
                  <c:v>1,373</c:v>
                </c:pt>
                <c:pt idx="1373">
                  <c:v>1,374</c:v>
                </c:pt>
                <c:pt idx="1374">
                  <c:v>1,375</c:v>
                </c:pt>
                <c:pt idx="1375">
                  <c:v>1,376</c:v>
                </c:pt>
                <c:pt idx="1376">
                  <c:v>1,377</c:v>
                </c:pt>
                <c:pt idx="1377">
                  <c:v>1,378</c:v>
                </c:pt>
                <c:pt idx="1378">
                  <c:v>1,379</c:v>
                </c:pt>
                <c:pt idx="1379">
                  <c:v>1,380</c:v>
                </c:pt>
                <c:pt idx="1380">
                  <c:v>1,381</c:v>
                </c:pt>
                <c:pt idx="1381">
                  <c:v>1,382</c:v>
                </c:pt>
                <c:pt idx="1382">
                  <c:v>1,383</c:v>
                </c:pt>
                <c:pt idx="1383">
                  <c:v>1,384</c:v>
                </c:pt>
                <c:pt idx="1384">
                  <c:v>1,385</c:v>
                </c:pt>
                <c:pt idx="1385">
                  <c:v>1,386</c:v>
                </c:pt>
                <c:pt idx="1386">
                  <c:v>1,387</c:v>
                </c:pt>
                <c:pt idx="1387">
                  <c:v>1,388</c:v>
                </c:pt>
                <c:pt idx="1388">
                  <c:v>1,389</c:v>
                </c:pt>
                <c:pt idx="1389">
                  <c:v>1,390</c:v>
                </c:pt>
                <c:pt idx="1390">
                  <c:v>1,391</c:v>
                </c:pt>
                <c:pt idx="1391">
                  <c:v>1,392</c:v>
                </c:pt>
                <c:pt idx="1392">
                  <c:v>1,393</c:v>
                </c:pt>
                <c:pt idx="1393">
                  <c:v>1,394</c:v>
                </c:pt>
                <c:pt idx="1394">
                  <c:v>1,395</c:v>
                </c:pt>
                <c:pt idx="1395">
                  <c:v>1,396</c:v>
                </c:pt>
                <c:pt idx="1396">
                  <c:v>1,397</c:v>
                </c:pt>
                <c:pt idx="1397">
                  <c:v>1,398</c:v>
                </c:pt>
                <c:pt idx="1398">
                  <c:v>1,399</c:v>
                </c:pt>
                <c:pt idx="1399">
                  <c:v>1,400</c:v>
                </c:pt>
                <c:pt idx="1400">
                  <c:v>1,401</c:v>
                </c:pt>
                <c:pt idx="1401">
                  <c:v>1,402</c:v>
                </c:pt>
                <c:pt idx="1402">
                  <c:v>1,403</c:v>
                </c:pt>
                <c:pt idx="1403">
                  <c:v>1,404</c:v>
                </c:pt>
                <c:pt idx="1404">
                  <c:v>1,405</c:v>
                </c:pt>
                <c:pt idx="1405">
                  <c:v>1,406</c:v>
                </c:pt>
                <c:pt idx="1406">
                  <c:v>1,407</c:v>
                </c:pt>
                <c:pt idx="1407">
                  <c:v>1,408</c:v>
                </c:pt>
                <c:pt idx="1408">
                  <c:v>1,409</c:v>
                </c:pt>
                <c:pt idx="1409">
                  <c:v>1,410</c:v>
                </c:pt>
                <c:pt idx="1410">
                  <c:v>1,411</c:v>
                </c:pt>
                <c:pt idx="1411">
                  <c:v>1,412</c:v>
                </c:pt>
                <c:pt idx="1412">
                  <c:v>1,413</c:v>
                </c:pt>
                <c:pt idx="1413">
                  <c:v>1,414</c:v>
                </c:pt>
                <c:pt idx="1414">
                  <c:v>1,415</c:v>
                </c:pt>
                <c:pt idx="1415">
                  <c:v>1,416</c:v>
                </c:pt>
                <c:pt idx="1416">
                  <c:v>1,417</c:v>
                </c:pt>
                <c:pt idx="1417">
                  <c:v>1,418</c:v>
                </c:pt>
                <c:pt idx="1418">
                  <c:v>1,419</c:v>
                </c:pt>
                <c:pt idx="1419">
                  <c:v>1,420</c:v>
                </c:pt>
                <c:pt idx="1420">
                  <c:v>1,421</c:v>
                </c:pt>
                <c:pt idx="1421">
                  <c:v>1,422</c:v>
                </c:pt>
                <c:pt idx="1422">
                  <c:v>1,423</c:v>
                </c:pt>
                <c:pt idx="1423">
                  <c:v>1,424</c:v>
                </c:pt>
                <c:pt idx="1424">
                  <c:v>1,425</c:v>
                </c:pt>
                <c:pt idx="1425">
                  <c:v>1,426</c:v>
                </c:pt>
                <c:pt idx="1426">
                  <c:v>1,427</c:v>
                </c:pt>
                <c:pt idx="1427">
                  <c:v>1,428</c:v>
                </c:pt>
                <c:pt idx="1428">
                  <c:v>1,429</c:v>
                </c:pt>
                <c:pt idx="1429">
                  <c:v>1,430</c:v>
                </c:pt>
                <c:pt idx="1430">
                  <c:v>1,431</c:v>
                </c:pt>
                <c:pt idx="1431">
                  <c:v>1,432</c:v>
                </c:pt>
                <c:pt idx="1432">
                  <c:v>1,433</c:v>
                </c:pt>
                <c:pt idx="1433">
                  <c:v>1,434</c:v>
                </c:pt>
                <c:pt idx="1434">
                  <c:v>1,435</c:v>
                </c:pt>
                <c:pt idx="1435">
                  <c:v>1,436</c:v>
                </c:pt>
                <c:pt idx="1436">
                  <c:v>1,437</c:v>
                </c:pt>
                <c:pt idx="1437">
                  <c:v>1,438</c:v>
                </c:pt>
                <c:pt idx="1438">
                  <c:v>1,439</c:v>
                </c:pt>
                <c:pt idx="1439">
                  <c:v>1,440</c:v>
                </c:pt>
                <c:pt idx="1440">
                  <c:v>1,441</c:v>
                </c:pt>
                <c:pt idx="1441">
                  <c:v>1,442</c:v>
                </c:pt>
                <c:pt idx="1442">
                  <c:v>1,443</c:v>
                </c:pt>
                <c:pt idx="1443">
                  <c:v>1,444</c:v>
                </c:pt>
                <c:pt idx="1444">
                  <c:v>1,445</c:v>
                </c:pt>
                <c:pt idx="1445">
                  <c:v>1,446</c:v>
                </c:pt>
                <c:pt idx="1446">
                  <c:v>1,447</c:v>
                </c:pt>
                <c:pt idx="1447">
                  <c:v>1,448</c:v>
                </c:pt>
                <c:pt idx="1448">
                  <c:v>1,449</c:v>
                </c:pt>
                <c:pt idx="1449">
                  <c:v>1,450</c:v>
                </c:pt>
                <c:pt idx="1450">
                  <c:v>1,451</c:v>
                </c:pt>
                <c:pt idx="1451">
                  <c:v>1,452</c:v>
                </c:pt>
                <c:pt idx="1452">
                  <c:v>1,453</c:v>
                </c:pt>
                <c:pt idx="1453">
                  <c:v>1,454</c:v>
                </c:pt>
                <c:pt idx="1454">
                  <c:v>1,455</c:v>
                </c:pt>
                <c:pt idx="1455">
                  <c:v>1,456</c:v>
                </c:pt>
                <c:pt idx="1456">
                  <c:v>1,457</c:v>
                </c:pt>
                <c:pt idx="1457">
                  <c:v>1,458</c:v>
                </c:pt>
                <c:pt idx="1458">
                  <c:v>1,459</c:v>
                </c:pt>
                <c:pt idx="1459">
                  <c:v>1,460</c:v>
                </c:pt>
                <c:pt idx="1460">
                  <c:v>1,461</c:v>
                </c:pt>
                <c:pt idx="1461">
                  <c:v>1,462</c:v>
                </c:pt>
                <c:pt idx="1462">
                  <c:v>1,463</c:v>
                </c:pt>
                <c:pt idx="1463">
                  <c:v>1,464</c:v>
                </c:pt>
                <c:pt idx="1464">
                  <c:v>1,465</c:v>
                </c:pt>
                <c:pt idx="1465">
                  <c:v>1,466</c:v>
                </c:pt>
                <c:pt idx="1466">
                  <c:v>1,467</c:v>
                </c:pt>
                <c:pt idx="1467">
                  <c:v>1,468</c:v>
                </c:pt>
                <c:pt idx="1468">
                  <c:v>1,469</c:v>
                </c:pt>
                <c:pt idx="1469">
                  <c:v>1,470</c:v>
                </c:pt>
                <c:pt idx="1470">
                  <c:v>1,471</c:v>
                </c:pt>
                <c:pt idx="1471">
                  <c:v>1,472</c:v>
                </c:pt>
                <c:pt idx="1472">
                  <c:v>1,473</c:v>
                </c:pt>
                <c:pt idx="1473">
                  <c:v>1,474</c:v>
                </c:pt>
                <c:pt idx="1474">
                  <c:v>1,475</c:v>
                </c:pt>
                <c:pt idx="1475">
                  <c:v>1,476</c:v>
                </c:pt>
                <c:pt idx="1476">
                  <c:v>1,477</c:v>
                </c:pt>
                <c:pt idx="1477">
                  <c:v>1,478</c:v>
                </c:pt>
                <c:pt idx="1478">
                  <c:v>1,479</c:v>
                </c:pt>
                <c:pt idx="1479">
                  <c:v>1,480</c:v>
                </c:pt>
                <c:pt idx="1480">
                  <c:v>1,481</c:v>
                </c:pt>
                <c:pt idx="1481">
                  <c:v>1,482</c:v>
                </c:pt>
                <c:pt idx="1482">
                  <c:v>1,483</c:v>
                </c:pt>
                <c:pt idx="1483">
                  <c:v>1,484</c:v>
                </c:pt>
                <c:pt idx="1484">
                  <c:v>1,485</c:v>
                </c:pt>
                <c:pt idx="1485">
                  <c:v>1,486</c:v>
                </c:pt>
                <c:pt idx="1486">
                  <c:v>1,487</c:v>
                </c:pt>
                <c:pt idx="1487">
                  <c:v>1,488</c:v>
                </c:pt>
                <c:pt idx="1488">
                  <c:v>1,489</c:v>
                </c:pt>
                <c:pt idx="1489">
                  <c:v>1,490</c:v>
                </c:pt>
                <c:pt idx="1490">
                  <c:v>1,491</c:v>
                </c:pt>
                <c:pt idx="1491">
                  <c:v>1,492</c:v>
                </c:pt>
                <c:pt idx="1492">
                  <c:v>1,493</c:v>
                </c:pt>
                <c:pt idx="1493">
                  <c:v>1,494</c:v>
                </c:pt>
                <c:pt idx="1494">
                  <c:v>1,495</c:v>
                </c:pt>
                <c:pt idx="1495">
                  <c:v>1,496</c:v>
                </c:pt>
                <c:pt idx="1496">
                  <c:v>1,497</c:v>
                </c:pt>
                <c:pt idx="1497">
                  <c:v>1,498</c:v>
                </c:pt>
                <c:pt idx="1498">
                  <c:v>1,499</c:v>
                </c:pt>
                <c:pt idx="1499">
                  <c:v>1,500</c:v>
                </c:pt>
                <c:pt idx="1500">
                  <c:v>1,501</c:v>
                </c:pt>
                <c:pt idx="1501">
                  <c:v>1,502</c:v>
                </c:pt>
                <c:pt idx="1502">
                  <c:v>1,503</c:v>
                </c:pt>
                <c:pt idx="1503">
                  <c:v>1,504</c:v>
                </c:pt>
                <c:pt idx="1504">
                  <c:v>1,505</c:v>
                </c:pt>
                <c:pt idx="1505">
                  <c:v>1,506</c:v>
                </c:pt>
                <c:pt idx="1506">
                  <c:v>1,507</c:v>
                </c:pt>
                <c:pt idx="1507">
                  <c:v>1,508</c:v>
                </c:pt>
                <c:pt idx="1508">
                  <c:v>1,509</c:v>
                </c:pt>
                <c:pt idx="1509">
                  <c:v>1,510</c:v>
                </c:pt>
                <c:pt idx="1510">
                  <c:v>1,511</c:v>
                </c:pt>
                <c:pt idx="1511">
                  <c:v>1,512</c:v>
                </c:pt>
                <c:pt idx="1512">
                  <c:v>1,513</c:v>
                </c:pt>
                <c:pt idx="1513">
                  <c:v>1,514</c:v>
                </c:pt>
                <c:pt idx="1514">
                  <c:v>1,515</c:v>
                </c:pt>
                <c:pt idx="1515">
                  <c:v>1,516</c:v>
                </c:pt>
                <c:pt idx="1516">
                  <c:v>1,517</c:v>
                </c:pt>
                <c:pt idx="1517">
                  <c:v>1,518</c:v>
                </c:pt>
                <c:pt idx="1518">
                  <c:v>1,519</c:v>
                </c:pt>
                <c:pt idx="1519">
                  <c:v>1,520</c:v>
                </c:pt>
                <c:pt idx="1520">
                  <c:v>1,521</c:v>
                </c:pt>
                <c:pt idx="1521">
                  <c:v>1,522</c:v>
                </c:pt>
                <c:pt idx="1522">
                  <c:v>1,523</c:v>
                </c:pt>
                <c:pt idx="1523">
                  <c:v>1,524</c:v>
                </c:pt>
                <c:pt idx="1524">
                  <c:v>1,525</c:v>
                </c:pt>
                <c:pt idx="1525">
                  <c:v>1,526</c:v>
                </c:pt>
                <c:pt idx="1526">
                  <c:v>1,527</c:v>
                </c:pt>
                <c:pt idx="1527">
                  <c:v>1,528</c:v>
                </c:pt>
                <c:pt idx="1528">
                  <c:v>1,529</c:v>
                </c:pt>
                <c:pt idx="1529">
                  <c:v>1,530</c:v>
                </c:pt>
                <c:pt idx="1530">
                  <c:v>1,531</c:v>
                </c:pt>
                <c:pt idx="1531">
                  <c:v>1,532</c:v>
                </c:pt>
                <c:pt idx="1532">
                  <c:v>1,533</c:v>
                </c:pt>
                <c:pt idx="1533">
                  <c:v>1,534</c:v>
                </c:pt>
                <c:pt idx="1534">
                  <c:v>1,535</c:v>
                </c:pt>
                <c:pt idx="1535">
                  <c:v>1,536</c:v>
                </c:pt>
                <c:pt idx="1536">
                  <c:v>1,537</c:v>
                </c:pt>
                <c:pt idx="1537">
                  <c:v>1,538</c:v>
                </c:pt>
                <c:pt idx="1538">
                  <c:v>1,539</c:v>
                </c:pt>
                <c:pt idx="1539">
                  <c:v>1,540</c:v>
                </c:pt>
                <c:pt idx="1540">
                  <c:v>1,541</c:v>
                </c:pt>
                <c:pt idx="1541">
                  <c:v>1,542</c:v>
                </c:pt>
                <c:pt idx="1542">
                  <c:v>1,543</c:v>
                </c:pt>
                <c:pt idx="1543">
                  <c:v>1,544</c:v>
                </c:pt>
                <c:pt idx="1544">
                  <c:v>1,545</c:v>
                </c:pt>
                <c:pt idx="1545">
                  <c:v>1,546</c:v>
                </c:pt>
                <c:pt idx="1546">
                  <c:v>1,547</c:v>
                </c:pt>
                <c:pt idx="1547">
                  <c:v>1,548</c:v>
                </c:pt>
                <c:pt idx="1548">
                  <c:v>1,549</c:v>
                </c:pt>
                <c:pt idx="1549">
                  <c:v>1,550</c:v>
                </c:pt>
                <c:pt idx="1550">
                  <c:v>1,551</c:v>
                </c:pt>
                <c:pt idx="1551">
                  <c:v>1,552</c:v>
                </c:pt>
                <c:pt idx="1552">
                  <c:v>1,553</c:v>
                </c:pt>
                <c:pt idx="1553">
                  <c:v>1,554</c:v>
                </c:pt>
                <c:pt idx="1554">
                  <c:v>1,555</c:v>
                </c:pt>
                <c:pt idx="1555">
                  <c:v>1,556</c:v>
                </c:pt>
                <c:pt idx="1556">
                  <c:v>1,557</c:v>
                </c:pt>
                <c:pt idx="1557">
                  <c:v>1,558</c:v>
                </c:pt>
                <c:pt idx="1558">
                  <c:v>1,559</c:v>
                </c:pt>
                <c:pt idx="1559">
                  <c:v>1,560</c:v>
                </c:pt>
                <c:pt idx="1560">
                  <c:v>1,561</c:v>
                </c:pt>
                <c:pt idx="1561">
                  <c:v>1,562</c:v>
                </c:pt>
                <c:pt idx="1562">
                  <c:v>1,563</c:v>
                </c:pt>
                <c:pt idx="1563">
                  <c:v>1,564</c:v>
                </c:pt>
                <c:pt idx="1564">
                  <c:v>1,565</c:v>
                </c:pt>
                <c:pt idx="1565">
                  <c:v>1,566</c:v>
                </c:pt>
                <c:pt idx="1566">
                  <c:v>1,567</c:v>
                </c:pt>
                <c:pt idx="1567">
                  <c:v>1,568</c:v>
                </c:pt>
                <c:pt idx="1568">
                  <c:v>1,569</c:v>
                </c:pt>
                <c:pt idx="1569">
                  <c:v>1,570</c:v>
                </c:pt>
                <c:pt idx="1570">
                  <c:v>1,571</c:v>
                </c:pt>
                <c:pt idx="1571">
                  <c:v>1,572</c:v>
                </c:pt>
                <c:pt idx="1572">
                  <c:v>1,573</c:v>
                </c:pt>
                <c:pt idx="1573">
                  <c:v>1,574</c:v>
                </c:pt>
                <c:pt idx="1574">
                  <c:v>1,575</c:v>
                </c:pt>
                <c:pt idx="1575">
                  <c:v>1,576</c:v>
                </c:pt>
                <c:pt idx="1576">
                  <c:v>1,577</c:v>
                </c:pt>
                <c:pt idx="1577">
                  <c:v>1,578</c:v>
                </c:pt>
                <c:pt idx="1578">
                  <c:v>1,579</c:v>
                </c:pt>
                <c:pt idx="1579">
                  <c:v>1,580</c:v>
                </c:pt>
                <c:pt idx="1580">
                  <c:v>1,581</c:v>
                </c:pt>
                <c:pt idx="1581">
                  <c:v>1,582</c:v>
                </c:pt>
                <c:pt idx="1582">
                  <c:v>1,583</c:v>
                </c:pt>
                <c:pt idx="1583">
                  <c:v>1,584</c:v>
                </c:pt>
                <c:pt idx="1584">
                  <c:v>1,585</c:v>
                </c:pt>
                <c:pt idx="1585">
                  <c:v>1,586</c:v>
                </c:pt>
                <c:pt idx="1586">
                  <c:v>1,587</c:v>
                </c:pt>
                <c:pt idx="1587">
                  <c:v>1,588</c:v>
                </c:pt>
                <c:pt idx="1588">
                  <c:v>1,589</c:v>
                </c:pt>
                <c:pt idx="1589">
                  <c:v>1,590</c:v>
                </c:pt>
                <c:pt idx="1590">
                  <c:v>1,591</c:v>
                </c:pt>
                <c:pt idx="1591">
                  <c:v>1,592</c:v>
                </c:pt>
                <c:pt idx="1592">
                  <c:v>1,593</c:v>
                </c:pt>
                <c:pt idx="1593">
                  <c:v>1,594</c:v>
                </c:pt>
                <c:pt idx="1594">
                  <c:v>1,595</c:v>
                </c:pt>
                <c:pt idx="1595">
                  <c:v>1,596</c:v>
                </c:pt>
                <c:pt idx="1596">
                  <c:v>1,597</c:v>
                </c:pt>
                <c:pt idx="1597">
                  <c:v>1,598</c:v>
                </c:pt>
                <c:pt idx="1598">
                  <c:v>1,599</c:v>
                </c:pt>
                <c:pt idx="1599">
                  <c:v>1,600</c:v>
                </c:pt>
                <c:pt idx="1600">
                  <c:v>1,601</c:v>
                </c:pt>
                <c:pt idx="1601">
                  <c:v>1,602</c:v>
                </c:pt>
                <c:pt idx="1602">
                  <c:v>1,603</c:v>
                </c:pt>
                <c:pt idx="1603">
                  <c:v>1,604</c:v>
                </c:pt>
                <c:pt idx="1604">
                  <c:v>1,605</c:v>
                </c:pt>
                <c:pt idx="1605">
                  <c:v>1,606</c:v>
                </c:pt>
                <c:pt idx="1606">
                  <c:v>1,607</c:v>
                </c:pt>
                <c:pt idx="1607">
                  <c:v>1,608</c:v>
                </c:pt>
                <c:pt idx="1608">
                  <c:v>1,609</c:v>
                </c:pt>
                <c:pt idx="1609">
                  <c:v>1,610</c:v>
                </c:pt>
                <c:pt idx="1610">
                  <c:v>1,611</c:v>
                </c:pt>
                <c:pt idx="1611">
                  <c:v>1,612</c:v>
                </c:pt>
                <c:pt idx="1612">
                  <c:v>1,613</c:v>
                </c:pt>
                <c:pt idx="1613">
                  <c:v>1,614</c:v>
                </c:pt>
                <c:pt idx="1614">
                  <c:v>1,615</c:v>
                </c:pt>
                <c:pt idx="1615">
                  <c:v>1,616</c:v>
                </c:pt>
                <c:pt idx="1616">
                  <c:v>1,617</c:v>
                </c:pt>
                <c:pt idx="1617">
                  <c:v>1,618</c:v>
                </c:pt>
                <c:pt idx="1618">
                  <c:v>1,619</c:v>
                </c:pt>
                <c:pt idx="1619">
                  <c:v>1,620</c:v>
                </c:pt>
                <c:pt idx="1620">
                  <c:v>1,621</c:v>
                </c:pt>
                <c:pt idx="1621">
                  <c:v>1,622</c:v>
                </c:pt>
                <c:pt idx="1622">
                  <c:v>1,623</c:v>
                </c:pt>
                <c:pt idx="1623">
                  <c:v>1,624</c:v>
                </c:pt>
                <c:pt idx="1624">
                  <c:v>1,625</c:v>
                </c:pt>
                <c:pt idx="1625">
                  <c:v>1,626</c:v>
                </c:pt>
                <c:pt idx="1626">
                  <c:v>1,627</c:v>
                </c:pt>
                <c:pt idx="1627">
                  <c:v>1,628</c:v>
                </c:pt>
                <c:pt idx="1628">
                  <c:v>1,629</c:v>
                </c:pt>
                <c:pt idx="1629">
                  <c:v>1,630</c:v>
                </c:pt>
                <c:pt idx="1630">
                  <c:v>1,631</c:v>
                </c:pt>
                <c:pt idx="1631">
                  <c:v>1,632</c:v>
                </c:pt>
                <c:pt idx="1632">
                  <c:v>1,633</c:v>
                </c:pt>
                <c:pt idx="1633">
                  <c:v>1,634</c:v>
                </c:pt>
                <c:pt idx="1634">
                  <c:v>1,635</c:v>
                </c:pt>
                <c:pt idx="1635">
                  <c:v>1,636</c:v>
                </c:pt>
                <c:pt idx="1636">
                  <c:v>1,637</c:v>
                </c:pt>
                <c:pt idx="1637">
                  <c:v>1,638</c:v>
                </c:pt>
                <c:pt idx="1638">
                  <c:v>1,639</c:v>
                </c:pt>
                <c:pt idx="1639">
                  <c:v>1,640</c:v>
                </c:pt>
                <c:pt idx="1640">
                  <c:v>1,641</c:v>
                </c:pt>
                <c:pt idx="1641">
                  <c:v>1,642</c:v>
                </c:pt>
                <c:pt idx="1642">
                  <c:v>1,643</c:v>
                </c:pt>
                <c:pt idx="1643">
                  <c:v>1,644</c:v>
                </c:pt>
                <c:pt idx="1644">
                  <c:v>1,645</c:v>
                </c:pt>
                <c:pt idx="1645">
                  <c:v>1,646</c:v>
                </c:pt>
                <c:pt idx="1646">
                  <c:v>1,647</c:v>
                </c:pt>
                <c:pt idx="1647">
                  <c:v>1,648</c:v>
                </c:pt>
                <c:pt idx="1648">
                  <c:v>1,649</c:v>
                </c:pt>
                <c:pt idx="1649">
                  <c:v>1,650</c:v>
                </c:pt>
                <c:pt idx="1650">
                  <c:v>1,651</c:v>
                </c:pt>
                <c:pt idx="1651">
                  <c:v>1,652</c:v>
                </c:pt>
                <c:pt idx="1652">
                  <c:v>1,653</c:v>
                </c:pt>
                <c:pt idx="1653">
                  <c:v>1,654</c:v>
                </c:pt>
                <c:pt idx="1654">
                  <c:v>1,655</c:v>
                </c:pt>
                <c:pt idx="1655">
                  <c:v>1,656</c:v>
                </c:pt>
                <c:pt idx="1656">
                  <c:v>1,657</c:v>
                </c:pt>
                <c:pt idx="1657">
                  <c:v>1,658</c:v>
                </c:pt>
                <c:pt idx="1658">
                  <c:v>1,659</c:v>
                </c:pt>
                <c:pt idx="1659">
                  <c:v>1,660</c:v>
                </c:pt>
                <c:pt idx="1660">
                  <c:v>1,661</c:v>
                </c:pt>
                <c:pt idx="1661">
                  <c:v>1,662</c:v>
                </c:pt>
                <c:pt idx="1662">
                  <c:v>1,663</c:v>
                </c:pt>
                <c:pt idx="1663">
                  <c:v>1,664</c:v>
                </c:pt>
                <c:pt idx="1664">
                  <c:v>1,665</c:v>
                </c:pt>
                <c:pt idx="1665">
                  <c:v>1,666</c:v>
                </c:pt>
                <c:pt idx="1666">
                  <c:v>1,667</c:v>
                </c:pt>
                <c:pt idx="1667">
                  <c:v>1,668</c:v>
                </c:pt>
                <c:pt idx="1668">
                  <c:v>1,669</c:v>
                </c:pt>
                <c:pt idx="1669">
                  <c:v>1,670</c:v>
                </c:pt>
                <c:pt idx="1670">
                  <c:v>1,671</c:v>
                </c:pt>
                <c:pt idx="1671">
                  <c:v>1,672</c:v>
                </c:pt>
                <c:pt idx="1672">
                  <c:v>1,673</c:v>
                </c:pt>
                <c:pt idx="1673">
                  <c:v>1,674</c:v>
                </c:pt>
                <c:pt idx="1674">
                  <c:v>1,675</c:v>
                </c:pt>
                <c:pt idx="1675">
                  <c:v>1,676</c:v>
                </c:pt>
                <c:pt idx="1676">
                  <c:v>1,677</c:v>
                </c:pt>
                <c:pt idx="1677">
                  <c:v>1,678</c:v>
                </c:pt>
                <c:pt idx="1678">
                  <c:v>1,679</c:v>
                </c:pt>
                <c:pt idx="1679">
                  <c:v>1,680</c:v>
                </c:pt>
                <c:pt idx="1680">
                  <c:v>1,681</c:v>
                </c:pt>
                <c:pt idx="1681">
                  <c:v>1,682</c:v>
                </c:pt>
                <c:pt idx="1682">
                  <c:v>1,683</c:v>
                </c:pt>
                <c:pt idx="1683">
                  <c:v>1,684</c:v>
                </c:pt>
                <c:pt idx="1684">
                  <c:v>1,685</c:v>
                </c:pt>
                <c:pt idx="1685">
                  <c:v>1,686</c:v>
                </c:pt>
                <c:pt idx="1686">
                  <c:v>1,687</c:v>
                </c:pt>
                <c:pt idx="1687">
                  <c:v>1,688</c:v>
                </c:pt>
                <c:pt idx="1688">
                  <c:v>1,689</c:v>
                </c:pt>
                <c:pt idx="1689">
                  <c:v>1,690</c:v>
                </c:pt>
                <c:pt idx="1690">
                  <c:v>1,691</c:v>
                </c:pt>
                <c:pt idx="1691">
                  <c:v>1,692</c:v>
                </c:pt>
                <c:pt idx="1692">
                  <c:v>1,693</c:v>
                </c:pt>
                <c:pt idx="1693">
                  <c:v>1,694</c:v>
                </c:pt>
                <c:pt idx="1694">
                  <c:v>1,695</c:v>
                </c:pt>
                <c:pt idx="1695">
                  <c:v>1,696</c:v>
                </c:pt>
                <c:pt idx="1696">
                  <c:v>1,697</c:v>
                </c:pt>
                <c:pt idx="1697">
                  <c:v>1,698</c:v>
                </c:pt>
                <c:pt idx="1698">
                  <c:v>1,699</c:v>
                </c:pt>
                <c:pt idx="1699">
                  <c:v>1,700</c:v>
                </c:pt>
                <c:pt idx="1700">
                  <c:v>1,701</c:v>
                </c:pt>
                <c:pt idx="1701">
                  <c:v>1,702</c:v>
                </c:pt>
                <c:pt idx="1702">
                  <c:v>1,703</c:v>
                </c:pt>
                <c:pt idx="1703">
                  <c:v>1,704</c:v>
                </c:pt>
                <c:pt idx="1704">
                  <c:v>1,705</c:v>
                </c:pt>
                <c:pt idx="1705">
                  <c:v>1,706</c:v>
                </c:pt>
                <c:pt idx="1706">
                  <c:v>1,707</c:v>
                </c:pt>
                <c:pt idx="1707">
                  <c:v>1,708</c:v>
                </c:pt>
                <c:pt idx="1708">
                  <c:v>1,709</c:v>
                </c:pt>
                <c:pt idx="1709">
                  <c:v>1,710</c:v>
                </c:pt>
                <c:pt idx="1710">
                  <c:v>1,711</c:v>
                </c:pt>
                <c:pt idx="1711">
                  <c:v>1,712</c:v>
                </c:pt>
                <c:pt idx="1712">
                  <c:v>1,713</c:v>
                </c:pt>
                <c:pt idx="1713">
                  <c:v>1,714</c:v>
                </c:pt>
                <c:pt idx="1714">
                  <c:v>1,715</c:v>
                </c:pt>
                <c:pt idx="1715">
                  <c:v>1,716</c:v>
                </c:pt>
                <c:pt idx="1716">
                  <c:v>1,717</c:v>
                </c:pt>
                <c:pt idx="1717">
                  <c:v>1,718</c:v>
                </c:pt>
                <c:pt idx="1718">
                  <c:v>1,719</c:v>
                </c:pt>
                <c:pt idx="1719">
                  <c:v>1,720</c:v>
                </c:pt>
                <c:pt idx="1720">
                  <c:v>1,721</c:v>
                </c:pt>
                <c:pt idx="1721">
                  <c:v>1,722</c:v>
                </c:pt>
                <c:pt idx="1722">
                  <c:v>1,723</c:v>
                </c:pt>
                <c:pt idx="1723">
                  <c:v>1,724</c:v>
                </c:pt>
                <c:pt idx="1724">
                  <c:v>1,725</c:v>
                </c:pt>
                <c:pt idx="1725">
                  <c:v>1,726</c:v>
                </c:pt>
                <c:pt idx="1726">
                  <c:v>1,727</c:v>
                </c:pt>
                <c:pt idx="1727">
                  <c:v>1,728</c:v>
                </c:pt>
                <c:pt idx="1728">
                  <c:v>1,729</c:v>
                </c:pt>
                <c:pt idx="1729">
                  <c:v>1,730</c:v>
                </c:pt>
                <c:pt idx="1730">
                  <c:v>1,731</c:v>
                </c:pt>
                <c:pt idx="1731">
                  <c:v>1,732</c:v>
                </c:pt>
                <c:pt idx="1732">
                  <c:v>1,733</c:v>
                </c:pt>
                <c:pt idx="1733">
                  <c:v>1,734</c:v>
                </c:pt>
                <c:pt idx="1734">
                  <c:v>1,735</c:v>
                </c:pt>
                <c:pt idx="1735">
                  <c:v>1,736</c:v>
                </c:pt>
                <c:pt idx="1736">
                  <c:v>1,737</c:v>
                </c:pt>
                <c:pt idx="1737">
                  <c:v>1,738</c:v>
                </c:pt>
                <c:pt idx="1738">
                  <c:v>1,739</c:v>
                </c:pt>
                <c:pt idx="1739">
                  <c:v>1,740</c:v>
                </c:pt>
                <c:pt idx="1740">
                  <c:v>1,741</c:v>
                </c:pt>
                <c:pt idx="1741">
                  <c:v>1,742</c:v>
                </c:pt>
                <c:pt idx="1742">
                  <c:v>1,743</c:v>
                </c:pt>
                <c:pt idx="1743">
                  <c:v>1,744</c:v>
                </c:pt>
                <c:pt idx="1744">
                  <c:v>1,745</c:v>
                </c:pt>
                <c:pt idx="1745">
                  <c:v>1,746</c:v>
                </c:pt>
                <c:pt idx="1746">
                  <c:v>1,747</c:v>
                </c:pt>
                <c:pt idx="1747">
                  <c:v>1,748</c:v>
                </c:pt>
                <c:pt idx="1748">
                  <c:v>1,749</c:v>
                </c:pt>
                <c:pt idx="1749">
                  <c:v>1,750</c:v>
                </c:pt>
                <c:pt idx="1750">
                  <c:v>1,751</c:v>
                </c:pt>
                <c:pt idx="1751">
                  <c:v>1,752</c:v>
                </c:pt>
                <c:pt idx="1752">
                  <c:v>1,753</c:v>
                </c:pt>
                <c:pt idx="1753">
                  <c:v>1,754</c:v>
                </c:pt>
                <c:pt idx="1754">
                  <c:v>1,755</c:v>
                </c:pt>
                <c:pt idx="1755">
                  <c:v>1,756</c:v>
                </c:pt>
                <c:pt idx="1756">
                  <c:v>1,757</c:v>
                </c:pt>
                <c:pt idx="1757">
                  <c:v>1,758</c:v>
                </c:pt>
                <c:pt idx="1758">
                  <c:v>1,759</c:v>
                </c:pt>
                <c:pt idx="1759">
                  <c:v>1,760</c:v>
                </c:pt>
                <c:pt idx="1760">
                  <c:v>1,761</c:v>
                </c:pt>
                <c:pt idx="1761">
                  <c:v>1,762</c:v>
                </c:pt>
                <c:pt idx="1762">
                  <c:v>1,763</c:v>
                </c:pt>
                <c:pt idx="1763">
                  <c:v>1,764</c:v>
                </c:pt>
                <c:pt idx="1764">
                  <c:v>1,765</c:v>
                </c:pt>
                <c:pt idx="1765">
                  <c:v>1,766</c:v>
                </c:pt>
                <c:pt idx="1766">
                  <c:v>1,767</c:v>
                </c:pt>
                <c:pt idx="1767">
                  <c:v>1,768</c:v>
                </c:pt>
                <c:pt idx="1768">
                  <c:v>1,769</c:v>
                </c:pt>
                <c:pt idx="1769">
                  <c:v>1,770</c:v>
                </c:pt>
                <c:pt idx="1770">
                  <c:v>1,771</c:v>
                </c:pt>
                <c:pt idx="1771">
                  <c:v>1,772</c:v>
                </c:pt>
                <c:pt idx="1772">
                  <c:v>1,773</c:v>
                </c:pt>
                <c:pt idx="1773">
                  <c:v>1,774</c:v>
                </c:pt>
                <c:pt idx="1774">
                  <c:v>1,775</c:v>
                </c:pt>
                <c:pt idx="1775">
                  <c:v>1,776</c:v>
                </c:pt>
                <c:pt idx="1776">
                  <c:v>1,777</c:v>
                </c:pt>
                <c:pt idx="1777">
                  <c:v>1,778</c:v>
                </c:pt>
                <c:pt idx="1778">
                  <c:v>1,779</c:v>
                </c:pt>
                <c:pt idx="1779">
                  <c:v>1,780</c:v>
                </c:pt>
                <c:pt idx="1780">
                  <c:v>1,781</c:v>
                </c:pt>
                <c:pt idx="1781">
                  <c:v>1,782</c:v>
                </c:pt>
                <c:pt idx="1782">
                  <c:v>1,783</c:v>
                </c:pt>
                <c:pt idx="1783">
                  <c:v>1,784</c:v>
                </c:pt>
                <c:pt idx="1784">
                  <c:v>1,785</c:v>
                </c:pt>
                <c:pt idx="1785">
                  <c:v>1,786</c:v>
                </c:pt>
                <c:pt idx="1786">
                  <c:v>1,787</c:v>
                </c:pt>
                <c:pt idx="1787">
                  <c:v>1,788</c:v>
                </c:pt>
                <c:pt idx="1788">
                  <c:v>1,789</c:v>
                </c:pt>
                <c:pt idx="1789">
                  <c:v>1,790</c:v>
                </c:pt>
                <c:pt idx="1790">
                  <c:v>1,791</c:v>
                </c:pt>
                <c:pt idx="1791">
                  <c:v>1,792</c:v>
                </c:pt>
                <c:pt idx="1792">
                  <c:v>1,793</c:v>
                </c:pt>
                <c:pt idx="1793">
                  <c:v>1,794</c:v>
                </c:pt>
                <c:pt idx="1794">
                  <c:v>1,795</c:v>
                </c:pt>
                <c:pt idx="1795">
                  <c:v>1,796</c:v>
                </c:pt>
                <c:pt idx="1796">
                  <c:v>1,797</c:v>
                </c:pt>
                <c:pt idx="1797">
                  <c:v>1,798</c:v>
                </c:pt>
                <c:pt idx="1798">
                  <c:v>1,799</c:v>
                </c:pt>
                <c:pt idx="1799">
                  <c:v>1,800</c:v>
                </c:pt>
                <c:pt idx="1800">
                  <c:v>1,801</c:v>
                </c:pt>
                <c:pt idx="1801">
                  <c:v>1,802</c:v>
                </c:pt>
                <c:pt idx="1802">
                  <c:v>1,803</c:v>
                </c:pt>
                <c:pt idx="1803">
                  <c:v>1,804</c:v>
                </c:pt>
                <c:pt idx="1804">
                  <c:v>1,805</c:v>
                </c:pt>
                <c:pt idx="1805">
                  <c:v>1,806</c:v>
                </c:pt>
                <c:pt idx="1806">
                  <c:v>1,807</c:v>
                </c:pt>
                <c:pt idx="1807">
                  <c:v>1,808</c:v>
                </c:pt>
                <c:pt idx="1808">
                  <c:v>1,809</c:v>
                </c:pt>
                <c:pt idx="1809">
                  <c:v>1,810</c:v>
                </c:pt>
                <c:pt idx="1810">
                  <c:v>1,811</c:v>
                </c:pt>
                <c:pt idx="1811">
                  <c:v>1,812</c:v>
                </c:pt>
                <c:pt idx="1812">
                  <c:v>1,813</c:v>
                </c:pt>
                <c:pt idx="1813">
                  <c:v>1,814</c:v>
                </c:pt>
                <c:pt idx="1814">
                  <c:v>1,815</c:v>
                </c:pt>
                <c:pt idx="1815">
                  <c:v>1,816</c:v>
                </c:pt>
                <c:pt idx="1816">
                  <c:v>1,817</c:v>
                </c:pt>
                <c:pt idx="1817">
                  <c:v>1,818</c:v>
                </c:pt>
                <c:pt idx="1818">
                  <c:v>1,819</c:v>
                </c:pt>
                <c:pt idx="1819">
                  <c:v>1,820</c:v>
                </c:pt>
                <c:pt idx="1820">
                  <c:v>1,821</c:v>
                </c:pt>
                <c:pt idx="1821">
                  <c:v>1,822</c:v>
                </c:pt>
                <c:pt idx="1822">
                  <c:v>1,823</c:v>
                </c:pt>
                <c:pt idx="1823">
                  <c:v>1,824</c:v>
                </c:pt>
                <c:pt idx="1824">
                  <c:v>1,825</c:v>
                </c:pt>
                <c:pt idx="1825">
                  <c:v>1,826</c:v>
                </c:pt>
              </c:strCache>
            </c:strRef>
          </c:cat>
          <c:val>
            <c:numRef>
              <c:f>'Daily Ledger'!$W$2:$W$1827</c:f>
              <c:numCache>
                <c:formatCode>#,##0;\(#,##0\);\-</c:formatCode>
                <c:ptCount val="1826"/>
                <c:pt idx="0">
                  <c:v>-5246500</c:v>
                </c:pt>
                <c:pt idx="1">
                  <c:v>-5233000</c:v>
                </c:pt>
                <c:pt idx="2">
                  <c:v>-5224600</c:v>
                </c:pt>
                <c:pt idx="3">
                  <c:v>-5216200</c:v>
                </c:pt>
                <c:pt idx="4">
                  <c:v>-5202700</c:v>
                </c:pt>
                <c:pt idx="5">
                  <c:v>-5189200</c:v>
                </c:pt>
                <c:pt idx="6">
                  <c:v>-5175700</c:v>
                </c:pt>
                <c:pt idx="7">
                  <c:v>-5161600</c:v>
                </c:pt>
                <c:pt idx="8">
                  <c:v>-5147500</c:v>
                </c:pt>
                <c:pt idx="9">
                  <c:v>-5139100</c:v>
                </c:pt>
                <c:pt idx="10">
                  <c:v>-5130700</c:v>
                </c:pt>
                <c:pt idx="11">
                  <c:v>-5116600</c:v>
                </c:pt>
                <c:pt idx="12">
                  <c:v>-5102500</c:v>
                </c:pt>
                <c:pt idx="13">
                  <c:v>-5088400</c:v>
                </c:pt>
                <c:pt idx="14">
                  <c:v>-5074300</c:v>
                </c:pt>
                <c:pt idx="15">
                  <c:v>-5060200</c:v>
                </c:pt>
                <c:pt idx="16">
                  <c:v>-5051800</c:v>
                </c:pt>
                <c:pt idx="17">
                  <c:v>-5043400</c:v>
                </c:pt>
                <c:pt idx="18">
                  <c:v>-5029300</c:v>
                </c:pt>
                <c:pt idx="19">
                  <c:v>-5015200</c:v>
                </c:pt>
                <c:pt idx="20">
                  <c:v>-5001100</c:v>
                </c:pt>
                <c:pt idx="21">
                  <c:v>-4987000</c:v>
                </c:pt>
                <c:pt idx="22">
                  <c:v>-4972900</c:v>
                </c:pt>
                <c:pt idx="23">
                  <c:v>-4964500</c:v>
                </c:pt>
                <c:pt idx="24">
                  <c:v>-4956100</c:v>
                </c:pt>
                <c:pt idx="25">
                  <c:v>-4942000</c:v>
                </c:pt>
                <c:pt idx="26">
                  <c:v>-4927900</c:v>
                </c:pt>
                <c:pt idx="27">
                  <c:v>-4913800</c:v>
                </c:pt>
                <c:pt idx="28">
                  <c:v>-4899700</c:v>
                </c:pt>
                <c:pt idx="29">
                  <c:v>-4885600</c:v>
                </c:pt>
                <c:pt idx="30">
                  <c:v>-4877200</c:v>
                </c:pt>
                <c:pt idx="31">
                  <c:v>-5128800</c:v>
                </c:pt>
                <c:pt idx="32">
                  <c:v>-5114700</c:v>
                </c:pt>
                <c:pt idx="33">
                  <c:v>-5100600</c:v>
                </c:pt>
                <c:pt idx="34">
                  <c:v>-5086500</c:v>
                </c:pt>
                <c:pt idx="35">
                  <c:v>-5072400</c:v>
                </c:pt>
                <c:pt idx="36">
                  <c:v>-5058300</c:v>
                </c:pt>
                <c:pt idx="37">
                  <c:v>-5049900</c:v>
                </c:pt>
                <c:pt idx="38">
                  <c:v>-5041500</c:v>
                </c:pt>
                <c:pt idx="39">
                  <c:v>-5027400</c:v>
                </c:pt>
                <c:pt idx="40">
                  <c:v>-5013300</c:v>
                </c:pt>
                <c:pt idx="41">
                  <c:v>-4999200</c:v>
                </c:pt>
                <c:pt idx="42">
                  <c:v>-4985100</c:v>
                </c:pt>
                <c:pt idx="43">
                  <c:v>-4971000</c:v>
                </c:pt>
                <c:pt idx="44">
                  <c:v>-4962600</c:v>
                </c:pt>
                <c:pt idx="45">
                  <c:v>-4954200</c:v>
                </c:pt>
                <c:pt idx="46">
                  <c:v>-4940100</c:v>
                </c:pt>
                <c:pt idx="47">
                  <c:v>-4926000</c:v>
                </c:pt>
                <c:pt idx="48">
                  <c:v>-4911900</c:v>
                </c:pt>
                <c:pt idx="49">
                  <c:v>-4897800</c:v>
                </c:pt>
                <c:pt idx="50">
                  <c:v>-4883700</c:v>
                </c:pt>
                <c:pt idx="51">
                  <c:v>-4875300</c:v>
                </c:pt>
                <c:pt idx="52">
                  <c:v>-4866900</c:v>
                </c:pt>
                <c:pt idx="53">
                  <c:v>-4852800</c:v>
                </c:pt>
                <c:pt idx="54">
                  <c:v>-4838700</c:v>
                </c:pt>
                <c:pt idx="55">
                  <c:v>-4824600</c:v>
                </c:pt>
                <c:pt idx="56">
                  <c:v>-4810500</c:v>
                </c:pt>
                <c:pt idx="57">
                  <c:v>-4796400</c:v>
                </c:pt>
                <c:pt idx="58">
                  <c:v>-4788000</c:v>
                </c:pt>
                <c:pt idx="59">
                  <c:v>-5039600</c:v>
                </c:pt>
                <c:pt idx="60">
                  <c:v>-5025500</c:v>
                </c:pt>
                <c:pt idx="61">
                  <c:v>-5011400</c:v>
                </c:pt>
                <c:pt idx="62">
                  <c:v>-4997300</c:v>
                </c:pt>
                <c:pt idx="63">
                  <c:v>-4983200</c:v>
                </c:pt>
                <c:pt idx="64">
                  <c:v>-4969100</c:v>
                </c:pt>
                <c:pt idx="65">
                  <c:v>-4960700</c:v>
                </c:pt>
                <c:pt idx="66">
                  <c:v>-4952300</c:v>
                </c:pt>
                <c:pt idx="67">
                  <c:v>-4938200</c:v>
                </c:pt>
                <c:pt idx="68">
                  <c:v>-4924100</c:v>
                </c:pt>
                <c:pt idx="69">
                  <c:v>-4910000</c:v>
                </c:pt>
                <c:pt idx="70">
                  <c:v>-4895900</c:v>
                </c:pt>
                <c:pt idx="71">
                  <c:v>-4881800</c:v>
                </c:pt>
                <c:pt idx="72">
                  <c:v>-4873400</c:v>
                </c:pt>
                <c:pt idx="73">
                  <c:v>-4865000</c:v>
                </c:pt>
                <c:pt idx="74">
                  <c:v>-4850900</c:v>
                </c:pt>
                <c:pt idx="75">
                  <c:v>-4836800</c:v>
                </c:pt>
                <c:pt idx="76">
                  <c:v>-4822700</c:v>
                </c:pt>
                <c:pt idx="77">
                  <c:v>-4808600</c:v>
                </c:pt>
                <c:pt idx="78">
                  <c:v>-4794500</c:v>
                </c:pt>
                <c:pt idx="79">
                  <c:v>-4786100</c:v>
                </c:pt>
                <c:pt idx="80">
                  <c:v>-4777700</c:v>
                </c:pt>
                <c:pt idx="81">
                  <c:v>-4763600</c:v>
                </c:pt>
                <c:pt idx="82">
                  <c:v>-4749500</c:v>
                </c:pt>
                <c:pt idx="83">
                  <c:v>-4735100</c:v>
                </c:pt>
                <c:pt idx="84">
                  <c:v>-4720700</c:v>
                </c:pt>
                <c:pt idx="85">
                  <c:v>-4706300</c:v>
                </c:pt>
                <c:pt idx="86">
                  <c:v>-4697900</c:v>
                </c:pt>
                <c:pt idx="87">
                  <c:v>-4689500</c:v>
                </c:pt>
                <c:pt idx="88">
                  <c:v>-4675100</c:v>
                </c:pt>
                <c:pt idx="89">
                  <c:v>-4660700</c:v>
                </c:pt>
                <c:pt idx="90">
                  <c:v>-4906300</c:v>
                </c:pt>
                <c:pt idx="91">
                  <c:v>-4891900</c:v>
                </c:pt>
                <c:pt idx="92">
                  <c:v>-4877500</c:v>
                </c:pt>
                <c:pt idx="93">
                  <c:v>-4869100</c:v>
                </c:pt>
                <c:pt idx="94">
                  <c:v>-4860700</c:v>
                </c:pt>
                <c:pt idx="95">
                  <c:v>-4846300</c:v>
                </c:pt>
                <c:pt idx="96">
                  <c:v>-4831900</c:v>
                </c:pt>
                <c:pt idx="97">
                  <c:v>-4817500</c:v>
                </c:pt>
                <c:pt idx="98">
                  <c:v>-4802500</c:v>
                </c:pt>
                <c:pt idx="99">
                  <c:v>-4787500</c:v>
                </c:pt>
                <c:pt idx="100">
                  <c:v>-4778500</c:v>
                </c:pt>
                <c:pt idx="101">
                  <c:v>-4769500</c:v>
                </c:pt>
                <c:pt idx="102">
                  <c:v>-4754500</c:v>
                </c:pt>
                <c:pt idx="103">
                  <c:v>-4739500</c:v>
                </c:pt>
                <c:pt idx="104">
                  <c:v>-4724500</c:v>
                </c:pt>
                <c:pt idx="105">
                  <c:v>-4709500</c:v>
                </c:pt>
                <c:pt idx="106">
                  <c:v>-4694500</c:v>
                </c:pt>
                <c:pt idx="107">
                  <c:v>-4685500</c:v>
                </c:pt>
                <c:pt idx="108">
                  <c:v>-4676500</c:v>
                </c:pt>
                <c:pt idx="109">
                  <c:v>-4661500</c:v>
                </c:pt>
                <c:pt idx="110">
                  <c:v>-4646500</c:v>
                </c:pt>
                <c:pt idx="111">
                  <c:v>-4631500</c:v>
                </c:pt>
                <c:pt idx="112">
                  <c:v>-4616500</c:v>
                </c:pt>
                <c:pt idx="113">
                  <c:v>-4601500</c:v>
                </c:pt>
                <c:pt idx="114">
                  <c:v>-4592500</c:v>
                </c:pt>
                <c:pt idx="115">
                  <c:v>-4583500</c:v>
                </c:pt>
                <c:pt idx="116">
                  <c:v>-4568500</c:v>
                </c:pt>
                <c:pt idx="117">
                  <c:v>-4553500</c:v>
                </c:pt>
                <c:pt idx="118">
                  <c:v>-4538500</c:v>
                </c:pt>
                <c:pt idx="119">
                  <c:v>-4523500</c:v>
                </c:pt>
                <c:pt idx="120">
                  <c:v>-4768500</c:v>
                </c:pt>
                <c:pt idx="121">
                  <c:v>-4759500</c:v>
                </c:pt>
                <c:pt idx="122">
                  <c:v>-4750500</c:v>
                </c:pt>
                <c:pt idx="123">
                  <c:v>-4735500</c:v>
                </c:pt>
                <c:pt idx="124">
                  <c:v>-4720500</c:v>
                </c:pt>
                <c:pt idx="125">
                  <c:v>-4705500</c:v>
                </c:pt>
                <c:pt idx="126">
                  <c:v>-4690500</c:v>
                </c:pt>
                <c:pt idx="127">
                  <c:v>-4675500</c:v>
                </c:pt>
                <c:pt idx="128">
                  <c:v>-4666500</c:v>
                </c:pt>
                <c:pt idx="129">
                  <c:v>-4657500</c:v>
                </c:pt>
                <c:pt idx="130">
                  <c:v>-4642500</c:v>
                </c:pt>
                <c:pt idx="131">
                  <c:v>-4627500</c:v>
                </c:pt>
                <c:pt idx="132">
                  <c:v>-4612500</c:v>
                </c:pt>
                <c:pt idx="133">
                  <c:v>-4597500</c:v>
                </c:pt>
                <c:pt idx="134">
                  <c:v>-4582500</c:v>
                </c:pt>
                <c:pt idx="135">
                  <c:v>-4573500</c:v>
                </c:pt>
                <c:pt idx="136">
                  <c:v>-4564500</c:v>
                </c:pt>
                <c:pt idx="137">
                  <c:v>-4549500</c:v>
                </c:pt>
                <c:pt idx="138">
                  <c:v>-4534500</c:v>
                </c:pt>
                <c:pt idx="139">
                  <c:v>-4519500</c:v>
                </c:pt>
                <c:pt idx="140">
                  <c:v>-4504500</c:v>
                </c:pt>
                <c:pt idx="141">
                  <c:v>-4489500</c:v>
                </c:pt>
                <c:pt idx="142">
                  <c:v>-4480500</c:v>
                </c:pt>
                <c:pt idx="143">
                  <c:v>-4471500</c:v>
                </c:pt>
                <c:pt idx="144">
                  <c:v>-4456500</c:v>
                </c:pt>
                <c:pt idx="145">
                  <c:v>-4441500</c:v>
                </c:pt>
                <c:pt idx="146">
                  <c:v>-4426500</c:v>
                </c:pt>
                <c:pt idx="147">
                  <c:v>-4411500</c:v>
                </c:pt>
                <c:pt idx="148">
                  <c:v>-4396500</c:v>
                </c:pt>
                <c:pt idx="149">
                  <c:v>-4387500</c:v>
                </c:pt>
                <c:pt idx="150">
                  <c:v>-4378500</c:v>
                </c:pt>
                <c:pt idx="151">
                  <c:v>-4623500</c:v>
                </c:pt>
                <c:pt idx="152">
                  <c:v>-4608500</c:v>
                </c:pt>
                <c:pt idx="153">
                  <c:v>-4593500</c:v>
                </c:pt>
                <c:pt idx="154">
                  <c:v>-4578500</c:v>
                </c:pt>
                <c:pt idx="155">
                  <c:v>-4563500</c:v>
                </c:pt>
                <c:pt idx="156">
                  <c:v>-4554500</c:v>
                </c:pt>
                <c:pt idx="157">
                  <c:v>-4545500</c:v>
                </c:pt>
                <c:pt idx="158">
                  <c:v>-4530500</c:v>
                </c:pt>
                <c:pt idx="159">
                  <c:v>-4515500</c:v>
                </c:pt>
                <c:pt idx="160">
                  <c:v>-4500500</c:v>
                </c:pt>
                <c:pt idx="161">
                  <c:v>-4485500</c:v>
                </c:pt>
                <c:pt idx="162">
                  <c:v>-4470500</c:v>
                </c:pt>
                <c:pt idx="163">
                  <c:v>-4461500</c:v>
                </c:pt>
                <c:pt idx="164">
                  <c:v>-4452500</c:v>
                </c:pt>
                <c:pt idx="165">
                  <c:v>-4437500</c:v>
                </c:pt>
                <c:pt idx="166">
                  <c:v>-4422500</c:v>
                </c:pt>
                <c:pt idx="167">
                  <c:v>-4407500</c:v>
                </c:pt>
                <c:pt idx="168">
                  <c:v>-4392500</c:v>
                </c:pt>
                <c:pt idx="169">
                  <c:v>-4377500</c:v>
                </c:pt>
                <c:pt idx="170">
                  <c:v>-4368500</c:v>
                </c:pt>
                <c:pt idx="171">
                  <c:v>-4359500</c:v>
                </c:pt>
                <c:pt idx="172">
                  <c:v>-4344500</c:v>
                </c:pt>
                <c:pt idx="173">
                  <c:v>-4329500</c:v>
                </c:pt>
                <c:pt idx="174">
                  <c:v>-4314500</c:v>
                </c:pt>
                <c:pt idx="175">
                  <c:v>-4299500</c:v>
                </c:pt>
                <c:pt idx="176">
                  <c:v>-4284500</c:v>
                </c:pt>
                <c:pt idx="177">
                  <c:v>-4275500</c:v>
                </c:pt>
                <c:pt idx="178">
                  <c:v>-4266500</c:v>
                </c:pt>
                <c:pt idx="179">
                  <c:v>-4251500</c:v>
                </c:pt>
                <c:pt idx="180">
                  <c:v>-4236500</c:v>
                </c:pt>
                <c:pt idx="181">
                  <c:v>-4481500</c:v>
                </c:pt>
                <c:pt idx="182">
                  <c:v>-4466500</c:v>
                </c:pt>
                <c:pt idx="183">
                  <c:v>-4450900</c:v>
                </c:pt>
                <c:pt idx="184">
                  <c:v>-4441900</c:v>
                </c:pt>
                <c:pt idx="185">
                  <c:v>-4432900</c:v>
                </c:pt>
                <c:pt idx="186">
                  <c:v>-4417300</c:v>
                </c:pt>
                <c:pt idx="187">
                  <c:v>-4401700</c:v>
                </c:pt>
                <c:pt idx="188">
                  <c:v>-4386100</c:v>
                </c:pt>
                <c:pt idx="189">
                  <c:v>-4370500</c:v>
                </c:pt>
                <c:pt idx="190">
                  <c:v>-4354900</c:v>
                </c:pt>
                <c:pt idx="191">
                  <c:v>-4345900</c:v>
                </c:pt>
                <c:pt idx="192">
                  <c:v>-4336900</c:v>
                </c:pt>
                <c:pt idx="193">
                  <c:v>-4321300</c:v>
                </c:pt>
                <c:pt idx="194">
                  <c:v>-4305700</c:v>
                </c:pt>
                <c:pt idx="195">
                  <c:v>-4290100</c:v>
                </c:pt>
                <c:pt idx="196">
                  <c:v>-4274500</c:v>
                </c:pt>
                <c:pt idx="197">
                  <c:v>-4258900</c:v>
                </c:pt>
                <c:pt idx="198">
                  <c:v>-4249900</c:v>
                </c:pt>
                <c:pt idx="199">
                  <c:v>-4240900</c:v>
                </c:pt>
                <c:pt idx="200">
                  <c:v>-4225300</c:v>
                </c:pt>
                <c:pt idx="201">
                  <c:v>-4209700</c:v>
                </c:pt>
                <c:pt idx="202">
                  <c:v>-4194100</c:v>
                </c:pt>
                <c:pt idx="203">
                  <c:v>-4178500</c:v>
                </c:pt>
                <c:pt idx="204">
                  <c:v>-4162900</c:v>
                </c:pt>
                <c:pt idx="205">
                  <c:v>-4153900</c:v>
                </c:pt>
                <c:pt idx="206">
                  <c:v>-4144900</c:v>
                </c:pt>
                <c:pt idx="207">
                  <c:v>-4129300</c:v>
                </c:pt>
                <c:pt idx="208">
                  <c:v>-4113700</c:v>
                </c:pt>
                <c:pt idx="209">
                  <c:v>-4098100</c:v>
                </c:pt>
                <c:pt idx="210">
                  <c:v>-4082500</c:v>
                </c:pt>
                <c:pt idx="211">
                  <c:v>-4066900</c:v>
                </c:pt>
                <c:pt idx="212">
                  <c:v>-4317900</c:v>
                </c:pt>
                <c:pt idx="213">
                  <c:v>-4308900</c:v>
                </c:pt>
                <c:pt idx="214">
                  <c:v>-4293300</c:v>
                </c:pt>
                <c:pt idx="215">
                  <c:v>-4277700</c:v>
                </c:pt>
                <c:pt idx="216">
                  <c:v>-4262100</c:v>
                </c:pt>
                <c:pt idx="217">
                  <c:v>-4246500</c:v>
                </c:pt>
                <c:pt idx="218">
                  <c:v>-4230900</c:v>
                </c:pt>
                <c:pt idx="219">
                  <c:v>-4221900</c:v>
                </c:pt>
                <c:pt idx="220">
                  <c:v>-4212900</c:v>
                </c:pt>
                <c:pt idx="221">
                  <c:v>-4197300</c:v>
                </c:pt>
                <c:pt idx="222">
                  <c:v>-4181700</c:v>
                </c:pt>
                <c:pt idx="223">
                  <c:v>-4166100</c:v>
                </c:pt>
                <c:pt idx="224">
                  <c:v>-4150500</c:v>
                </c:pt>
                <c:pt idx="225">
                  <c:v>-4134900</c:v>
                </c:pt>
                <c:pt idx="226">
                  <c:v>-4125900</c:v>
                </c:pt>
                <c:pt idx="227">
                  <c:v>-4116900</c:v>
                </c:pt>
                <c:pt idx="228">
                  <c:v>-4101300</c:v>
                </c:pt>
                <c:pt idx="229">
                  <c:v>-4085700</c:v>
                </c:pt>
                <c:pt idx="230">
                  <c:v>-4070100</c:v>
                </c:pt>
                <c:pt idx="231">
                  <c:v>-4054500</c:v>
                </c:pt>
                <c:pt idx="232">
                  <c:v>-4038900</c:v>
                </c:pt>
                <c:pt idx="233">
                  <c:v>-4029600</c:v>
                </c:pt>
                <c:pt idx="234">
                  <c:v>-4020300</c:v>
                </c:pt>
                <c:pt idx="235">
                  <c:v>-4004700</c:v>
                </c:pt>
                <c:pt idx="236">
                  <c:v>-3989100</c:v>
                </c:pt>
                <c:pt idx="237">
                  <c:v>-3973500</c:v>
                </c:pt>
                <c:pt idx="238">
                  <c:v>-3957900</c:v>
                </c:pt>
                <c:pt idx="239">
                  <c:v>-3942300</c:v>
                </c:pt>
                <c:pt idx="240">
                  <c:v>-3932400</c:v>
                </c:pt>
                <c:pt idx="241">
                  <c:v>-3922500</c:v>
                </c:pt>
                <c:pt idx="242">
                  <c:v>-3906900</c:v>
                </c:pt>
                <c:pt idx="243">
                  <c:v>-4151300</c:v>
                </c:pt>
                <c:pt idx="244">
                  <c:v>-4135700</c:v>
                </c:pt>
                <c:pt idx="245">
                  <c:v>-4120100</c:v>
                </c:pt>
                <c:pt idx="246">
                  <c:v>-4104500</c:v>
                </c:pt>
                <c:pt idx="247">
                  <c:v>-4094600</c:v>
                </c:pt>
                <c:pt idx="248">
                  <c:v>-4084700</c:v>
                </c:pt>
                <c:pt idx="249">
                  <c:v>-4069100</c:v>
                </c:pt>
                <c:pt idx="250">
                  <c:v>-4053500</c:v>
                </c:pt>
                <c:pt idx="251">
                  <c:v>-4037900</c:v>
                </c:pt>
                <c:pt idx="252">
                  <c:v>-4022300</c:v>
                </c:pt>
                <c:pt idx="253">
                  <c:v>-4006700</c:v>
                </c:pt>
                <c:pt idx="254">
                  <c:v>-3996800</c:v>
                </c:pt>
                <c:pt idx="255">
                  <c:v>-3986900</c:v>
                </c:pt>
                <c:pt idx="256">
                  <c:v>-3971300</c:v>
                </c:pt>
                <c:pt idx="257">
                  <c:v>-3955700</c:v>
                </c:pt>
                <c:pt idx="258">
                  <c:v>-3940100</c:v>
                </c:pt>
                <c:pt idx="259">
                  <c:v>-3924500</c:v>
                </c:pt>
                <c:pt idx="260">
                  <c:v>-3908900</c:v>
                </c:pt>
                <c:pt idx="261">
                  <c:v>-3899000</c:v>
                </c:pt>
                <c:pt idx="262">
                  <c:v>-3889100</c:v>
                </c:pt>
                <c:pt idx="263">
                  <c:v>-3873500</c:v>
                </c:pt>
                <c:pt idx="264">
                  <c:v>-3857300</c:v>
                </c:pt>
                <c:pt idx="265">
                  <c:v>-3841100</c:v>
                </c:pt>
                <c:pt idx="266">
                  <c:v>-3824900</c:v>
                </c:pt>
                <c:pt idx="267">
                  <c:v>-3808700</c:v>
                </c:pt>
                <c:pt idx="268">
                  <c:v>-3798800</c:v>
                </c:pt>
                <c:pt idx="269">
                  <c:v>-3788900</c:v>
                </c:pt>
                <c:pt idx="270">
                  <c:v>-3772700</c:v>
                </c:pt>
                <c:pt idx="271">
                  <c:v>-3756500</c:v>
                </c:pt>
                <c:pt idx="272">
                  <c:v>-3740300</c:v>
                </c:pt>
                <c:pt idx="273">
                  <c:v>-3984100</c:v>
                </c:pt>
                <c:pt idx="274">
                  <c:v>-3967900</c:v>
                </c:pt>
                <c:pt idx="275">
                  <c:v>-3958000</c:v>
                </c:pt>
                <c:pt idx="276">
                  <c:v>-3948100</c:v>
                </c:pt>
                <c:pt idx="277">
                  <c:v>-3931900</c:v>
                </c:pt>
                <c:pt idx="278">
                  <c:v>-3915700</c:v>
                </c:pt>
                <c:pt idx="279">
                  <c:v>-3899500</c:v>
                </c:pt>
                <c:pt idx="280">
                  <c:v>-3883300</c:v>
                </c:pt>
                <c:pt idx="281">
                  <c:v>-3867100</c:v>
                </c:pt>
                <c:pt idx="282">
                  <c:v>-3857200</c:v>
                </c:pt>
                <c:pt idx="283">
                  <c:v>-3847300</c:v>
                </c:pt>
                <c:pt idx="284">
                  <c:v>-3831100</c:v>
                </c:pt>
                <c:pt idx="285">
                  <c:v>-3814900</c:v>
                </c:pt>
                <c:pt idx="286">
                  <c:v>-3798700</c:v>
                </c:pt>
                <c:pt idx="287">
                  <c:v>-3782500</c:v>
                </c:pt>
                <c:pt idx="288">
                  <c:v>-3766300</c:v>
                </c:pt>
                <c:pt idx="289">
                  <c:v>-3756400</c:v>
                </c:pt>
                <c:pt idx="290">
                  <c:v>-3746500</c:v>
                </c:pt>
                <c:pt idx="291">
                  <c:v>-3730300</c:v>
                </c:pt>
                <c:pt idx="292">
                  <c:v>-3714100</c:v>
                </c:pt>
                <c:pt idx="293">
                  <c:v>-3697900</c:v>
                </c:pt>
                <c:pt idx="294">
                  <c:v>-3681700</c:v>
                </c:pt>
                <c:pt idx="295">
                  <c:v>-3665500</c:v>
                </c:pt>
                <c:pt idx="296">
                  <c:v>-3655600</c:v>
                </c:pt>
                <c:pt idx="297">
                  <c:v>-3645700</c:v>
                </c:pt>
                <c:pt idx="298">
                  <c:v>-3629500</c:v>
                </c:pt>
                <c:pt idx="299">
                  <c:v>-3613300</c:v>
                </c:pt>
                <c:pt idx="300">
                  <c:v>-3597100</c:v>
                </c:pt>
                <c:pt idx="301">
                  <c:v>-3580900</c:v>
                </c:pt>
                <c:pt idx="302">
                  <c:v>-3564400</c:v>
                </c:pt>
                <c:pt idx="303">
                  <c:v>-3554500</c:v>
                </c:pt>
                <c:pt idx="304">
                  <c:v>-3804600</c:v>
                </c:pt>
                <c:pt idx="305">
                  <c:v>-3788100</c:v>
                </c:pt>
                <c:pt idx="306">
                  <c:v>-3771600</c:v>
                </c:pt>
                <c:pt idx="307">
                  <c:v>-3755100</c:v>
                </c:pt>
                <c:pt idx="308">
                  <c:v>-3738600</c:v>
                </c:pt>
                <c:pt idx="309">
                  <c:v>-3722100</c:v>
                </c:pt>
                <c:pt idx="310">
                  <c:v>-3712200</c:v>
                </c:pt>
                <c:pt idx="311">
                  <c:v>-3702300</c:v>
                </c:pt>
                <c:pt idx="312">
                  <c:v>-3685800</c:v>
                </c:pt>
                <c:pt idx="313">
                  <c:v>-3669300</c:v>
                </c:pt>
                <c:pt idx="314">
                  <c:v>-3652800</c:v>
                </c:pt>
                <c:pt idx="315">
                  <c:v>-3636300</c:v>
                </c:pt>
                <c:pt idx="316">
                  <c:v>-3619800</c:v>
                </c:pt>
                <c:pt idx="317">
                  <c:v>-3609900</c:v>
                </c:pt>
                <c:pt idx="318">
                  <c:v>-3600000</c:v>
                </c:pt>
                <c:pt idx="319">
                  <c:v>-3583500</c:v>
                </c:pt>
                <c:pt idx="320">
                  <c:v>-3567000</c:v>
                </c:pt>
                <c:pt idx="321">
                  <c:v>-3550500</c:v>
                </c:pt>
                <c:pt idx="322">
                  <c:v>-3534000</c:v>
                </c:pt>
                <c:pt idx="323">
                  <c:v>-3517500</c:v>
                </c:pt>
                <c:pt idx="324">
                  <c:v>-3507600</c:v>
                </c:pt>
                <c:pt idx="325">
                  <c:v>-3497700</c:v>
                </c:pt>
                <c:pt idx="326">
                  <c:v>-3481200</c:v>
                </c:pt>
                <c:pt idx="327">
                  <c:v>-3464700</c:v>
                </c:pt>
                <c:pt idx="328">
                  <c:v>-3448200</c:v>
                </c:pt>
                <c:pt idx="329">
                  <c:v>-3431700</c:v>
                </c:pt>
                <c:pt idx="330">
                  <c:v>-3415200</c:v>
                </c:pt>
                <c:pt idx="331">
                  <c:v>-3405300</c:v>
                </c:pt>
                <c:pt idx="332">
                  <c:v>-3395400</c:v>
                </c:pt>
                <c:pt idx="333">
                  <c:v>-3378900</c:v>
                </c:pt>
                <c:pt idx="334">
                  <c:v>-3622400</c:v>
                </c:pt>
                <c:pt idx="335">
                  <c:v>-3605900</c:v>
                </c:pt>
                <c:pt idx="336">
                  <c:v>-3589400</c:v>
                </c:pt>
                <c:pt idx="337">
                  <c:v>-3572900</c:v>
                </c:pt>
                <c:pt idx="338">
                  <c:v>-3563000</c:v>
                </c:pt>
                <c:pt idx="339">
                  <c:v>-3553100</c:v>
                </c:pt>
                <c:pt idx="340">
                  <c:v>-3536600</c:v>
                </c:pt>
                <c:pt idx="341">
                  <c:v>-3519500</c:v>
                </c:pt>
                <c:pt idx="342">
                  <c:v>-3502400</c:v>
                </c:pt>
                <c:pt idx="343">
                  <c:v>-3485300</c:v>
                </c:pt>
                <c:pt idx="344">
                  <c:v>-3468200</c:v>
                </c:pt>
                <c:pt idx="345">
                  <c:v>-3458300</c:v>
                </c:pt>
                <c:pt idx="346">
                  <c:v>-3448400</c:v>
                </c:pt>
                <c:pt idx="347">
                  <c:v>-3431300</c:v>
                </c:pt>
                <c:pt idx="348">
                  <c:v>-3414200</c:v>
                </c:pt>
                <c:pt idx="349">
                  <c:v>-3397100</c:v>
                </c:pt>
                <c:pt idx="350">
                  <c:v>-3380000</c:v>
                </c:pt>
                <c:pt idx="351">
                  <c:v>-3362900</c:v>
                </c:pt>
                <c:pt idx="352">
                  <c:v>-3353000</c:v>
                </c:pt>
                <c:pt idx="353">
                  <c:v>-3343100</c:v>
                </c:pt>
                <c:pt idx="354">
                  <c:v>-3326000</c:v>
                </c:pt>
                <c:pt idx="355">
                  <c:v>-3308900</c:v>
                </c:pt>
                <c:pt idx="356">
                  <c:v>-3291800</c:v>
                </c:pt>
                <c:pt idx="357">
                  <c:v>-3274700</c:v>
                </c:pt>
                <c:pt idx="358">
                  <c:v>-3257600</c:v>
                </c:pt>
                <c:pt idx="359">
                  <c:v>-3247700</c:v>
                </c:pt>
                <c:pt idx="360">
                  <c:v>-3237800</c:v>
                </c:pt>
                <c:pt idx="361">
                  <c:v>-3220700</c:v>
                </c:pt>
                <c:pt idx="362">
                  <c:v>-3203600</c:v>
                </c:pt>
                <c:pt idx="363">
                  <c:v>-3186500</c:v>
                </c:pt>
                <c:pt idx="364">
                  <c:v>-3169400</c:v>
                </c:pt>
                <c:pt idx="365">
                  <c:v>-3563530</c:v>
                </c:pt>
                <c:pt idx="366">
                  <c:v>-3553630</c:v>
                </c:pt>
                <c:pt idx="367">
                  <c:v>-3543730</c:v>
                </c:pt>
                <c:pt idx="368">
                  <c:v>-3526630</c:v>
                </c:pt>
                <c:pt idx="369">
                  <c:v>-3509530</c:v>
                </c:pt>
                <c:pt idx="370">
                  <c:v>-3492430</c:v>
                </c:pt>
                <c:pt idx="371">
                  <c:v>-3475330</c:v>
                </c:pt>
                <c:pt idx="372">
                  <c:v>-3458230</c:v>
                </c:pt>
                <c:pt idx="373">
                  <c:v>-3447730</c:v>
                </c:pt>
                <c:pt idx="374">
                  <c:v>-3437230</c:v>
                </c:pt>
                <c:pt idx="375">
                  <c:v>-3420130</c:v>
                </c:pt>
                <c:pt idx="376">
                  <c:v>-3403030</c:v>
                </c:pt>
                <c:pt idx="377">
                  <c:v>-3385930</c:v>
                </c:pt>
                <c:pt idx="378">
                  <c:v>-3368830</c:v>
                </c:pt>
                <c:pt idx="379">
                  <c:v>-3351730</c:v>
                </c:pt>
                <c:pt idx="380">
                  <c:v>-3341230</c:v>
                </c:pt>
                <c:pt idx="381">
                  <c:v>-3330730</c:v>
                </c:pt>
                <c:pt idx="382">
                  <c:v>-3313630</c:v>
                </c:pt>
                <c:pt idx="383">
                  <c:v>-3296530</c:v>
                </c:pt>
                <c:pt idx="384">
                  <c:v>-3279430</c:v>
                </c:pt>
                <c:pt idx="385">
                  <c:v>-3262330</c:v>
                </c:pt>
                <c:pt idx="386">
                  <c:v>-3245230</c:v>
                </c:pt>
                <c:pt idx="387">
                  <c:v>-3234730</c:v>
                </c:pt>
                <c:pt idx="388">
                  <c:v>-3224230</c:v>
                </c:pt>
                <c:pt idx="389">
                  <c:v>-3207130</c:v>
                </c:pt>
                <c:pt idx="390">
                  <c:v>-3190030</c:v>
                </c:pt>
                <c:pt idx="391">
                  <c:v>-3172930</c:v>
                </c:pt>
                <c:pt idx="392">
                  <c:v>-3155830</c:v>
                </c:pt>
                <c:pt idx="393">
                  <c:v>-3138730</c:v>
                </c:pt>
                <c:pt idx="394">
                  <c:v>-3128230</c:v>
                </c:pt>
                <c:pt idx="395">
                  <c:v>-3117730</c:v>
                </c:pt>
                <c:pt idx="396">
                  <c:v>-3513093.69</c:v>
                </c:pt>
                <c:pt idx="397">
                  <c:v>-3495993.69</c:v>
                </c:pt>
                <c:pt idx="398">
                  <c:v>-3478893.69</c:v>
                </c:pt>
                <c:pt idx="399">
                  <c:v>-3461793.69</c:v>
                </c:pt>
                <c:pt idx="400">
                  <c:v>-3444693.69</c:v>
                </c:pt>
                <c:pt idx="401">
                  <c:v>-3434193.69</c:v>
                </c:pt>
                <c:pt idx="402">
                  <c:v>-3423693.69</c:v>
                </c:pt>
                <c:pt idx="403">
                  <c:v>-3406593.69</c:v>
                </c:pt>
                <c:pt idx="404">
                  <c:v>-3389493.69</c:v>
                </c:pt>
                <c:pt idx="405">
                  <c:v>-3372393.69</c:v>
                </c:pt>
                <c:pt idx="406">
                  <c:v>-3355293.69</c:v>
                </c:pt>
                <c:pt idx="407">
                  <c:v>-3338193.69</c:v>
                </c:pt>
                <c:pt idx="408">
                  <c:v>-3327693.69</c:v>
                </c:pt>
                <c:pt idx="409">
                  <c:v>-3317193.69</c:v>
                </c:pt>
                <c:pt idx="410">
                  <c:v>-3300093.69</c:v>
                </c:pt>
                <c:pt idx="411">
                  <c:v>-3282993.69</c:v>
                </c:pt>
                <c:pt idx="412">
                  <c:v>-3265893.69</c:v>
                </c:pt>
                <c:pt idx="413">
                  <c:v>-3248793.69</c:v>
                </c:pt>
                <c:pt idx="414">
                  <c:v>-3231693.69</c:v>
                </c:pt>
                <c:pt idx="415">
                  <c:v>-3221193.69</c:v>
                </c:pt>
                <c:pt idx="416">
                  <c:v>-3210693.69</c:v>
                </c:pt>
                <c:pt idx="417">
                  <c:v>-3193593.69</c:v>
                </c:pt>
                <c:pt idx="418">
                  <c:v>-3176493.69</c:v>
                </c:pt>
                <c:pt idx="419">
                  <c:v>-3159393.69</c:v>
                </c:pt>
                <c:pt idx="420">
                  <c:v>-3142293.69</c:v>
                </c:pt>
                <c:pt idx="421">
                  <c:v>-3125193.69</c:v>
                </c:pt>
                <c:pt idx="422">
                  <c:v>-3114693.69</c:v>
                </c:pt>
                <c:pt idx="423">
                  <c:v>-3104193.69</c:v>
                </c:pt>
                <c:pt idx="424">
                  <c:v>-3500794.77107</c:v>
                </c:pt>
                <c:pt idx="425">
                  <c:v>-3483694.77107</c:v>
                </c:pt>
                <c:pt idx="426">
                  <c:v>-3466594.77107</c:v>
                </c:pt>
                <c:pt idx="427">
                  <c:v>-3449494.77107</c:v>
                </c:pt>
                <c:pt idx="428">
                  <c:v>-3432394.77107</c:v>
                </c:pt>
                <c:pt idx="429">
                  <c:v>-3421894.77107</c:v>
                </c:pt>
                <c:pt idx="430">
                  <c:v>-3411394.77107</c:v>
                </c:pt>
                <c:pt idx="431">
                  <c:v>-3394294.77107</c:v>
                </c:pt>
                <c:pt idx="432">
                  <c:v>-3377194.77107</c:v>
                </c:pt>
                <c:pt idx="433">
                  <c:v>-3360094.77107</c:v>
                </c:pt>
                <c:pt idx="434">
                  <c:v>-3342994.77107</c:v>
                </c:pt>
                <c:pt idx="435">
                  <c:v>-3325894.77107</c:v>
                </c:pt>
                <c:pt idx="436">
                  <c:v>-3315394.77107</c:v>
                </c:pt>
                <c:pt idx="437">
                  <c:v>-3304894.77107</c:v>
                </c:pt>
                <c:pt idx="438">
                  <c:v>-3287794.77107</c:v>
                </c:pt>
                <c:pt idx="439">
                  <c:v>-3270694.77107</c:v>
                </c:pt>
                <c:pt idx="440">
                  <c:v>-3253594.77107</c:v>
                </c:pt>
                <c:pt idx="441">
                  <c:v>-3236494.77107</c:v>
                </c:pt>
                <c:pt idx="442">
                  <c:v>-3219394.77107</c:v>
                </c:pt>
                <c:pt idx="443">
                  <c:v>-3208894.77107</c:v>
                </c:pt>
                <c:pt idx="444">
                  <c:v>-3198394.77107</c:v>
                </c:pt>
                <c:pt idx="445">
                  <c:v>-3181294.77107</c:v>
                </c:pt>
                <c:pt idx="446">
                  <c:v>-3164194.77107</c:v>
                </c:pt>
                <c:pt idx="447">
                  <c:v>-3147094.77107</c:v>
                </c:pt>
                <c:pt idx="448">
                  <c:v>-3129994.77107</c:v>
                </c:pt>
                <c:pt idx="449">
                  <c:v>-3112894.77107</c:v>
                </c:pt>
                <c:pt idx="450">
                  <c:v>-3102394.77107</c:v>
                </c:pt>
                <c:pt idx="451">
                  <c:v>-3091894.77107</c:v>
                </c:pt>
                <c:pt idx="452">
                  <c:v>-3074794.77107</c:v>
                </c:pt>
                <c:pt idx="453">
                  <c:v>-3057694.77107</c:v>
                </c:pt>
                <c:pt idx="454">
                  <c:v>-3040594.77107</c:v>
                </c:pt>
                <c:pt idx="455">
                  <c:v>-3438436.95538321</c:v>
                </c:pt>
                <c:pt idx="456">
                  <c:v>-3421336.95538321</c:v>
                </c:pt>
                <c:pt idx="457">
                  <c:v>-3410836.95538321</c:v>
                </c:pt>
                <c:pt idx="458">
                  <c:v>-3400336.95538321</c:v>
                </c:pt>
                <c:pt idx="459">
                  <c:v>-3383236.95538321</c:v>
                </c:pt>
                <c:pt idx="460">
                  <c:v>-3366136.95538321</c:v>
                </c:pt>
                <c:pt idx="461">
                  <c:v>-3349036.95538321</c:v>
                </c:pt>
                <c:pt idx="462">
                  <c:v>-3331936.95538321</c:v>
                </c:pt>
                <c:pt idx="463">
                  <c:v>-3314836.95538321</c:v>
                </c:pt>
                <c:pt idx="464">
                  <c:v>-3304336.95538321</c:v>
                </c:pt>
                <c:pt idx="465">
                  <c:v>-3293836.95538321</c:v>
                </c:pt>
                <c:pt idx="466">
                  <c:v>-3276736.95538321</c:v>
                </c:pt>
                <c:pt idx="467">
                  <c:v>-3259636.95538321</c:v>
                </c:pt>
                <c:pt idx="468">
                  <c:v>-3242536.95538321</c:v>
                </c:pt>
                <c:pt idx="469">
                  <c:v>-3225436.95538321</c:v>
                </c:pt>
                <c:pt idx="470">
                  <c:v>-3208336.95538321</c:v>
                </c:pt>
                <c:pt idx="471">
                  <c:v>-3197836.95538321</c:v>
                </c:pt>
                <c:pt idx="472">
                  <c:v>-3187336.95538321</c:v>
                </c:pt>
                <c:pt idx="473">
                  <c:v>-3170236.95538321</c:v>
                </c:pt>
                <c:pt idx="474">
                  <c:v>-3153136.95538321</c:v>
                </c:pt>
                <c:pt idx="475">
                  <c:v>-3136036.95538321</c:v>
                </c:pt>
                <c:pt idx="476">
                  <c:v>-3118936.95538321</c:v>
                </c:pt>
                <c:pt idx="477">
                  <c:v>-3101836.95538321</c:v>
                </c:pt>
                <c:pt idx="478">
                  <c:v>-3091336.95538321</c:v>
                </c:pt>
                <c:pt idx="479">
                  <c:v>-3080836.95538321</c:v>
                </c:pt>
                <c:pt idx="480">
                  <c:v>-3063736.95538321</c:v>
                </c:pt>
                <c:pt idx="481">
                  <c:v>-3046636.95538321</c:v>
                </c:pt>
                <c:pt idx="482">
                  <c:v>-3029536.95538321</c:v>
                </c:pt>
                <c:pt idx="483">
                  <c:v>-3012436.95538321</c:v>
                </c:pt>
                <c:pt idx="484">
                  <c:v>-2995336.95538321</c:v>
                </c:pt>
                <c:pt idx="485">
                  <c:v>-3401023.96624936</c:v>
                </c:pt>
                <c:pt idx="486">
                  <c:v>-3390523.96624936</c:v>
                </c:pt>
                <c:pt idx="487">
                  <c:v>-3373423.96624936</c:v>
                </c:pt>
                <c:pt idx="488">
                  <c:v>-3356323.96624936</c:v>
                </c:pt>
                <c:pt idx="489">
                  <c:v>-3339223.96624936</c:v>
                </c:pt>
                <c:pt idx="490">
                  <c:v>-3322123.96624936</c:v>
                </c:pt>
                <c:pt idx="491">
                  <c:v>-3305023.96624936</c:v>
                </c:pt>
                <c:pt idx="492">
                  <c:v>-3294523.96624936</c:v>
                </c:pt>
                <c:pt idx="493">
                  <c:v>-3284023.96624936</c:v>
                </c:pt>
                <c:pt idx="494">
                  <c:v>-3266923.96624936</c:v>
                </c:pt>
                <c:pt idx="495">
                  <c:v>-3249823.96624936</c:v>
                </c:pt>
                <c:pt idx="496">
                  <c:v>-3232723.96624936</c:v>
                </c:pt>
                <c:pt idx="497">
                  <c:v>-3215623.96624936</c:v>
                </c:pt>
                <c:pt idx="498">
                  <c:v>-3198523.96624936</c:v>
                </c:pt>
                <c:pt idx="499">
                  <c:v>-3188023.96624936</c:v>
                </c:pt>
                <c:pt idx="500">
                  <c:v>-3177523.96624936</c:v>
                </c:pt>
                <c:pt idx="501">
                  <c:v>-3160423.96624936</c:v>
                </c:pt>
                <c:pt idx="502">
                  <c:v>-3143323.96624936</c:v>
                </c:pt>
                <c:pt idx="503">
                  <c:v>-3126223.96624936</c:v>
                </c:pt>
                <c:pt idx="504">
                  <c:v>-3109123.96624936</c:v>
                </c:pt>
                <c:pt idx="505">
                  <c:v>-3092023.96624936</c:v>
                </c:pt>
                <c:pt idx="506">
                  <c:v>-3081523.96624936</c:v>
                </c:pt>
                <c:pt idx="507">
                  <c:v>-3071023.96624936</c:v>
                </c:pt>
                <c:pt idx="508">
                  <c:v>-3053623.96624936</c:v>
                </c:pt>
                <c:pt idx="509">
                  <c:v>-3036223.96624936</c:v>
                </c:pt>
                <c:pt idx="510">
                  <c:v>-3018823.96624936</c:v>
                </c:pt>
                <c:pt idx="511">
                  <c:v>-3001423.96624936</c:v>
                </c:pt>
                <c:pt idx="512">
                  <c:v>-2984023.96624936</c:v>
                </c:pt>
                <c:pt idx="513">
                  <c:v>-2973523.96624936</c:v>
                </c:pt>
                <c:pt idx="514">
                  <c:v>-2963023.96624936</c:v>
                </c:pt>
                <c:pt idx="515">
                  <c:v>-2945623.96624936</c:v>
                </c:pt>
                <c:pt idx="516">
                  <c:v>-3345659.53814811</c:v>
                </c:pt>
                <c:pt idx="517">
                  <c:v>-3328259.53814811</c:v>
                </c:pt>
                <c:pt idx="518">
                  <c:v>-3310859.53814811</c:v>
                </c:pt>
                <c:pt idx="519">
                  <c:v>-3293459.53814811</c:v>
                </c:pt>
                <c:pt idx="520">
                  <c:v>-3282959.53814811</c:v>
                </c:pt>
                <c:pt idx="521">
                  <c:v>-3272459.53814811</c:v>
                </c:pt>
                <c:pt idx="522">
                  <c:v>-3255059.53814811</c:v>
                </c:pt>
                <c:pt idx="523">
                  <c:v>-3237659.53814811</c:v>
                </c:pt>
                <c:pt idx="524">
                  <c:v>-3220259.53814811</c:v>
                </c:pt>
                <c:pt idx="525">
                  <c:v>-3202859.53814811</c:v>
                </c:pt>
                <c:pt idx="526">
                  <c:v>-3185459.53814811</c:v>
                </c:pt>
                <c:pt idx="527">
                  <c:v>-3174959.53814811</c:v>
                </c:pt>
                <c:pt idx="528">
                  <c:v>-3164459.53814811</c:v>
                </c:pt>
                <c:pt idx="529">
                  <c:v>-3147059.53814811</c:v>
                </c:pt>
                <c:pt idx="530">
                  <c:v>-3129659.53814811</c:v>
                </c:pt>
                <c:pt idx="531">
                  <c:v>-3112259.53814811</c:v>
                </c:pt>
                <c:pt idx="532">
                  <c:v>-3094859.53814811</c:v>
                </c:pt>
                <c:pt idx="533">
                  <c:v>-3077459.53814811</c:v>
                </c:pt>
                <c:pt idx="534">
                  <c:v>-3066959.53814811</c:v>
                </c:pt>
                <c:pt idx="535">
                  <c:v>-3056459.53814811</c:v>
                </c:pt>
                <c:pt idx="536">
                  <c:v>-3039059.53814811</c:v>
                </c:pt>
                <c:pt idx="537">
                  <c:v>-3021659.53814811</c:v>
                </c:pt>
                <c:pt idx="538">
                  <c:v>-3004259.53814811</c:v>
                </c:pt>
                <c:pt idx="539">
                  <c:v>-2986859.53814811</c:v>
                </c:pt>
                <c:pt idx="540">
                  <c:v>-2969459.53814811</c:v>
                </c:pt>
                <c:pt idx="541">
                  <c:v>-2958959.53814811</c:v>
                </c:pt>
                <c:pt idx="542">
                  <c:v>-2948459.53814811</c:v>
                </c:pt>
                <c:pt idx="543">
                  <c:v>-2931059.53814811</c:v>
                </c:pt>
                <c:pt idx="544">
                  <c:v>-2913659.53814811</c:v>
                </c:pt>
                <c:pt idx="545">
                  <c:v>-2896259.53814811</c:v>
                </c:pt>
                <c:pt idx="546">
                  <c:v>-3297547.41676255</c:v>
                </c:pt>
                <c:pt idx="547">
                  <c:v>-3280147.41676255</c:v>
                </c:pt>
                <c:pt idx="548">
                  <c:v>-3269647.41676255</c:v>
                </c:pt>
                <c:pt idx="549">
                  <c:v>-3259147.41676255</c:v>
                </c:pt>
                <c:pt idx="550">
                  <c:v>-3241747.41676255</c:v>
                </c:pt>
                <c:pt idx="551">
                  <c:v>-3224347.41676255</c:v>
                </c:pt>
                <c:pt idx="552">
                  <c:v>-3206947.41676255</c:v>
                </c:pt>
                <c:pt idx="553">
                  <c:v>-3189547.41676255</c:v>
                </c:pt>
                <c:pt idx="554">
                  <c:v>-3172147.41676255</c:v>
                </c:pt>
                <c:pt idx="555">
                  <c:v>-3161647.41676255</c:v>
                </c:pt>
                <c:pt idx="556">
                  <c:v>-3151147.41676255</c:v>
                </c:pt>
                <c:pt idx="557">
                  <c:v>-3133747.41676255</c:v>
                </c:pt>
                <c:pt idx="558">
                  <c:v>-3116347.41676255</c:v>
                </c:pt>
                <c:pt idx="559">
                  <c:v>-3098947.41676255</c:v>
                </c:pt>
                <c:pt idx="560">
                  <c:v>-3081547.41676255</c:v>
                </c:pt>
                <c:pt idx="561">
                  <c:v>-3064147.41676255</c:v>
                </c:pt>
                <c:pt idx="562">
                  <c:v>-3053647.41676255</c:v>
                </c:pt>
                <c:pt idx="563">
                  <c:v>-3043147.41676255</c:v>
                </c:pt>
                <c:pt idx="564">
                  <c:v>-3025147.41676255</c:v>
                </c:pt>
                <c:pt idx="565">
                  <c:v>-3007147.41676255</c:v>
                </c:pt>
                <c:pt idx="566">
                  <c:v>-2989147.41676255</c:v>
                </c:pt>
                <c:pt idx="567">
                  <c:v>-2971147.41676255</c:v>
                </c:pt>
                <c:pt idx="568">
                  <c:v>-2953147.41676255</c:v>
                </c:pt>
                <c:pt idx="569">
                  <c:v>-2942647.41676255</c:v>
                </c:pt>
                <c:pt idx="570">
                  <c:v>-2932147.41676255</c:v>
                </c:pt>
                <c:pt idx="571">
                  <c:v>-2914147.41676255</c:v>
                </c:pt>
                <c:pt idx="572">
                  <c:v>-2896147.41676255</c:v>
                </c:pt>
                <c:pt idx="573">
                  <c:v>-2878147.41676255</c:v>
                </c:pt>
                <c:pt idx="574">
                  <c:v>-2860147.41676255</c:v>
                </c:pt>
                <c:pt idx="575">
                  <c:v>-2842147.41676255</c:v>
                </c:pt>
                <c:pt idx="576">
                  <c:v>-2831347.41676255</c:v>
                </c:pt>
                <c:pt idx="577">
                  <c:v>-3240491.35901284</c:v>
                </c:pt>
                <c:pt idx="578">
                  <c:v>-3222491.35901284</c:v>
                </c:pt>
                <c:pt idx="579">
                  <c:v>-3204491.35901284</c:v>
                </c:pt>
                <c:pt idx="580">
                  <c:v>-3186491.35901284</c:v>
                </c:pt>
                <c:pt idx="581">
                  <c:v>-3168491.35901284</c:v>
                </c:pt>
                <c:pt idx="582">
                  <c:v>-3150491.35901284</c:v>
                </c:pt>
                <c:pt idx="583">
                  <c:v>-3139691.35901284</c:v>
                </c:pt>
                <c:pt idx="584">
                  <c:v>-3128891.35901284</c:v>
                </c:pt>
                <c:pt idx="585">
                  <c:v>-3110891.35901284</c:v>
                </c:pt>
                <c:pt idx="586">
                  <c:v>-3092891.35901284</c:v>
                </c:pt>
                <c:pt idx="587">
                  <c:v>-3074891.35901284</c:v>
                </c:pt>
                <c:pt idx="588">
                  <c:v>-3056891.35901284</c:v>
                </c:pt>
                <c:pt idx="589">
                  <c:v>-3038891.35901284</c:v>
                </c:pt>
                <c:pt idx="590">
                  <c:v>-3028091.35901284</c:v>
                </c:pt>
                <c:pt idx="591">
                  <c:v>-3017291.35901284</c:v>
                </c:pt>
                <c:pt idx="592">
                  <c:v>-2999291.35901284</c:v>
                </c:pt>
                <c:pt idx="593">
                  <c:v>-2981291.35901284</c:v>
                </c:pt>
                <c:pt idx="594">
                  <c:v>-2963291.35901284</c:v>
                </c:pt>
                <c:pt idx="595">
                  <c:v>-2945291.35901284</c:v>
                </c:pt>
                <c:pt idx="596">
                  <c:v>-2927291.35901284</c:v>
                </c:pt>
                <c:pt idx="597">
                  <c:v>-2916491.35901284</c:v>
                </c:pt>
                <c:pt idx="598">
                  <c:v>-2905691.35901284</c:v>
                </c:pt>
                <c:pt idx="599">
                  <c:v>-2887691.35901284</c:v>
                </c:pt>
                <c:pt idx="600">
                  <c:v>-2869691.35901284</c:v>
                </c:pt>
                <c:pt idx="601">
                  <c:v>-2851691.35901284</c:v>
                </c:pt>
                <c:pt idx="602">
                  <c:v>-2833691.35901284</c:v>
                </c:pt>
                <c:pt idx="603">
                  <c:v>-2815691.35901284</c:v>
                </c:pt>
                <c:pt idx="604">
                  <c:v>-2804891.35901284</c:v>
                </c:pt>
                <c:pt idx="605">
                  <c:v>-2794091.35901284</c:v>
                </c:pt>
                <c:pt idx="606">
                  <c:v>-2776091.35901284</c:v>
                </c:pt>
                <c:pt idx="607">
                  <c:v>-2758091.35901284</c:v>
                </c:pt>
                <c:pt idx="608">
                  <c:v>-3161295.13308988</c:v>
                </c:pt>
                <c:pt idx="609">
                  <c:v>-3143295.13308988</c:v>
                </c:pt>
                <c:pt idx="610">
                  <c:v>-3125295.13308988</c:v>
                </c:pt>
                <c:pt idx="611">
                  <c:v>-3114495.13308988</c:v>
                </c:pt>
                <c:pt idx="612">
                  <c:v>-3103695.13308988</c:v>
                </c:pt>
                <c:pt idx="613">
                  <c:v>-3085695.13308988</c:v>
                </c:pt>
                <c:pt idx="614">
                  <c:v>-3067695.13308988</c:v>
                </c:pt>
                <c:pt idx="615">
                  <c:v>-3049695.13308988</c:v>
                </c:pt>
                <c:pt idx="616">
                  <c:v>-3031695.13308988</c:v>
                </c:pt>
                <c:pt idx="617">
                  <c:v>-3013695.13308988</c:v>
                </c:pt>
                <c:pt idx="618">
                  <c:v>-3002895.13308988</c:v>
                </c:pt>
                <c:pt idx="619">
                  <c:v>-2992095.13308988</c:v>
                </c:pt>
                <c:pt idx="620">
                  <c:v>-2974095.13308988</c:v>
                </c:pt>
                <c:pt idx="621">
                  <c:v>-2956095.13308988</c:v>
                </c:pt>
                <c:pt idx="622">
                  <c:v>-2938095.13308988</c:v>
                </c:pt>
                <c:pt idx="623">
                  <c:v>-2920095.13308988</c:v>
                </c:pt>
                <c:pt idx="624">
                  <c:v>-2902095.13308988</c:v>
                </c:pt>
                <c:pt idx="625">
                  <c:v>-2891295.13308988</c:v>
                </c:pt>
                <c:pt idx="626">
                  <c:v>-2880495.13308988</c:v>
                </c:pt>
                <c:pt idx="627">
                  <c:v>-2862495.13308988</c:v>
                </c:pt>
                <c:pt idx="628">
                  <c:v>-2844495.13308988</c:v>
                </c:pt>
                <c:pt idx="629">
                  <c:v>-2826495.13308988</c:v>
                </c:pt>
                <c:pt idx="630">
                  <c:v>-2808495.13308988</c:v>
                </c:pt>
                <c:pt idx="631">
                  <c:v>-2790495.13308988</c:v>
                </c:pt>
                <c:pt idx="632">
                  <c:v>-2779695.13308988</c:v>
                </c:pt>
                <c:pt idx="633">
                  <c:v>-2768895.13308988</c:v>
                </c:pt>
                <c:pt idx="634">
                  <c:v>-2750895.13308988</c:v>
                </c:pt>
                <c:pt idx="635">
                  <c:v>-2732895.13308988</c:v>
                </c:pt>
                <c:pt idx="636">
                  <c:v>-2714895.13308988</c:v>
                </c:pt>
                <c:pt idx="637">
                  <c:v>-2696895.13308988</c:v>
                </c:pt>
                <c:pt idx="638">
                  <c:v>-3101362.51848915</c:v>
                </c:pt>
                <c:pt idx="639">
                  <c:v>-3090562.51848915</c:v>
                </c:pt>
                <c:pt idx="640">
                  <c:v>-3079762.51848915</c:v>
                </c:pt>
                <c:pt idx="641">
                  <c:v>-3061762.51848915</c:v>
                </c:pt>
                <c:pt idx="642">
                  <c:v>-3043762.51848915</c:v>
                </c:pt>
                <c:pt idx="643">
                  <c:v>-3025762.51848915</c:v>
                </c:pt>
                <c:pt idx="644">
                  <c:v>-3007762.51848915</c:v>
                </c:pt>
                <c:pt idx="645">
                  <c:v>-2989762.51848915</c:v>
                </c:pt>
                <c:pt idx="646">
                  <c:v>-2978962.51848915</c:v>
                </c:pt>
                <c:pt idx="647">
                  <c:v>-2968162.51848915</c:v>
                </c:pt>
                <c:pt idx="648">
                  <c:v>-2950162.51848915</c:v>
                </c:pt>
                <c:pt idx="649">
                  <c:v>-2932162.51848915</c:v>
                </c:pt>
                <c:pt idx="650">
                  <c:v>-2914162.51848915</c:v>
                </c:pt>
                <c:pt idx="651">
                  <c:v>-2896162.51848915</c:v>
                </c:pt>
                <c:pt idx="652">
                  <c:v>-2878162.51848915</c:v>
                </c:pt>
                <c:pt idx="653">
                  <c:v>-2867362.51848915</c:v>
                </c:pt>
                <c:pt idx="654">
                  <c:v>-2856562.51848915</c:v>
                </c:pt>
                <c:pt idx="655">
                  <c:v>-2838562.51848915</c:v>
                </c:pt>
                <c:pt idx="656">
                  <c:v>-2820562.51848915</c:v>
                </c:pt>
                <c:pt idx="657">
                  <c:v>-2802562.51848915</c:v>
                </c:pt>
                <c:pt idx="658">
                  <c:v>-2784562.51848915</c:v>
                </c:pt>
                <c:pt idx="659">
                  <c:v>-2766562.51848915</c:v>
                </c:pt>
                <c:pt idx="660">
                  <c:v>-2755762.51848915</c:v>
                </c:pt>
                <c:pt idx="661">
                  <c:v>-2744962.51848915</c:v>
                </c:pt>
                <c:pt idx="662">
                  <c:v>-2726962.51848915</c:v>
                </c:pt>
                <c:pt idx="663">
                  <c:v>-2708962.51848915</c:v>
                </c:pt>
                <c:pt idx="664">
                  <c:v>-2690962.51848915</c:v>
                </c:pt>
                <c:pt idx="665">
                  <c:v>-2672962.51848915</c:v>
                </c:pt>
                <c:pt idx="666">
                  <c:v>-2654962.51848915</c:v>
                </c:pt>
                <c:pt idx="667">
                  <c:v>-2644162.51848915</c:v>
                </c:pt>
                <c:pt idx="668">
                  <c:v>-2633362.51848915</c:v>
                </c:pt>
                <c:pt idx="669">
                  <c:v>-3039097.30604461</c:v>
                </c:pt>
                <c:pt idx="670">
                  <c:v>-3021097.30604461</c:v>
                </c:pt>
                <c:pt idx="671">
                  <c:v>-3003097.30604461</c:v>
                </c:pt>
                <c:pt idx="672">
                  <c:v>-2985097.30604461</c:v>
                </c:pt>
                <c:pt idx="673">
                  <c:v>-2967097.30604461</c:v>
                </c:pt>
                <c:pt idx="674">
                  <c:v>-2956297.30604461</c:v>
                </c:pt>
                <c:pt idx="675">
                  <c:v>-2945497.30604461</c:v>
                </c:pt>
                <c:pt idx="676">
                  <c:v>-2927497.30604461</c:v>
                </c:pt>
                <c:pt idx="677">
                  <c:v>-2909497.30604461</c:v>
                </c:pt>
                <c:pt idx="678">
                  <c:v>-2891497.30604461</c:v>
                </c:pt>
                <c:pt idx="679">
                  <c:v>-2873497.30604461</c:v>
                </c:pt>
                <c:pt idx="680">
                  <c:v>-2855497.30604461</c:v>
                </c:pt>
                <c:pt idx="681">
                  <c:v>-2844697.30604461</c:v>
                </c:pt>
                <c:pt idx="682">
                  <c:v>-2833897.30604461</c:v>
                </c:pt>
                <c:pt idx="683">
                  <c:v>-2815897.30604461</c:v>
                </c:pt>
                <c:pt idx="684">
                  <c:v>-2797897.30604461</c:v>
                </c:pt>
                <c:pt idx="685">
                  <c:v>-2779897.30604461</c:v>
                </c:pt>
                <c:pt idx="686">
                  <c:v>-2761897.30604461</c:v>
                </c:pt>
                <c:pt idx="687">
                  <c:v>-2743897.30604461</c:v>
                </c:pt>
                <c:pt idx="688">
                  <c:v>-2733097.30604461</c:v>
                </c:pt>
                <c:pt idx="689">
                  <c:v>-2722297.30604461</c:v>
                </c:pt>
                <c:pt idx="690">
                  <c:v>-2704297.30604461</c:v>
                </c:pt>
                <c:pt idx="691">
                  <c:v>-2686297.30604461</c:v>
                </c:pt>
                <c:pt idx="692">
                  <c:v>-2668297.30604461</c:v>
                </c:pt>
                <c:pt idx="693">
                  <c:v>-2650297.30604461</c:v>
                </c:pt>
                <c:pt idx="694">
                  <c:v>-2632297.30604461</c:v>
                </c:pt>
                <c:pt idx="695">
                  <c:v>-2621497.30604461</c:v>
                </c:pt>
                <c:pt idx="696">
                  <c:v>-2610697.30604461</c:v>
                </c:pt>
                <c:pt idx="697">
                  <c:v>-2592397.30604461</c:v>
                </c:pt>
                <c:pt idx="698">
                  <c:v>-2574097.30604461</c:v>
                </c:pt>
                <c:pt idx="699">
                  <c:v>-2980803.29796275</c:v>
                </c:pt>
                <c:pt idx="700">
                  <c:v>-2962503.29796275</c:v>
                </c:pt>
                <c:pt idx="701">
                  <c:v>-2944203.29796275</c:v>
                </c:pt>
                <c:pt idx="702">
                  <c:v>-2933403.29796275</c:v>
                </c:pt>
                <c:pt idx="703">
                  <c:v>-2922603.29796275</c:v>
                </c:pt>
                <c:pt idx="704">
                  <c:v>-2904303.29796275</c:v>
                </c:pt>
                <c:pt idx="705">
                  <c:v>-2886003.29796275</c:v>
                </c:pt>
                <c:pt idx="706">
                  <c:v>-2867703.29796275</c:v>
                </c:pt>
                <c:pt idx="707">
                  <c:v>-2849403.29796275</c:v>
                </c:pt>
                <c:pt idx="708">
                  <c:v>-2831103.29796275</c:v>
                </c:pt>
                <c:pt idx="709">
                  <c:v>-2820303.29796275</c:v>
                </c:pt>
                <c:pt idx="710">
                  <c:v>-2809503.29796275</c:v>
                </c:pt>
                <c:pt idx="711">
                  <c:v>-2791203.29796275</c:v>
                </c:pt>
                <c:pt idx="712">
                  <c:v>-2772903.29796275</c:v>
                </c:pt>
                <c:pt idx="713">
                  <c:v>-2754603.29796275</c:v>
                </c:pt>
                <c:pt idx="714">
                  <c:v>-2736303.29796275</c:v>
                </c:pt>
                <c:pt idx="715">
                  <c:v>-2718003.29796275</c:v>
                </c:pt>
                <c:pt idx="716">
                  <c:v>-2707203.29796275</c:v>
                </c:pt>
                <c:pt idx="717">
                  <c:v>-2696403.29796275</c:v>
                </c:pt>
                <c:pt idx="718">
                  <c:v>-2678103.29796275</c:v>
                </c:pt>
                <c:pt idx="719">
                  <c:v>-2659803.29796275</c:v>
                </c:pt>
                <c:pt idx="720">
                  <c:v>-2641503.29796275</c:v>
                </c:pt>
                <c:pt idx="721">
                  <c:v>-2623203.29796275</c:v>
                </c:pt>
                <c:pt idx="722">
                  <c:v>-2604903.29796275</c:v>
                </c:pt>
                <c:pt idx="723">
                  <c:v>-2594103.29796275</c:v>
                </c:pt>
                <c:pt idx="724">
                  <c:v>-2583303.29796275</c:v>
                </c:pt>
                <c:pt idx="725">
                  <c:v>-2565003.29796275</c:v>
                </c:pt>
                <c:pt idx="726">
                  <c:v>-2546703.29796275</c:v>
                </c:pt>
                <c:pt idx="727">
                  <c:v>-2528403.29796275</c:v>
                </c:pt>
                <c:pt idx="728">
                  <c:v>-2510103.29796275</c:v>
                </c:pt>
                <c:pt idx="729">
                  <c:v>-2491803.29796275</c:v>
                </c:pt>
                <c:pt idx="730">
                  <c:v>-2907284.30785663</c:v>
                </c:pt>
                <c:pt idx="731">
                  <c:v>-2896484.30785663</c:v>
                </c:pt>
                <c:pt idx="732">
                  <c:v>-2878184.30785663</c:v>
                </c:pt>
                <c:pt idx="733">
                  <c:v>-2859884.30785663</c:v>
                </c:pt>
                <c:pt idx="734">
                  <c:v>-2841584.30785663</c:v>
                </c:pt>
                <c:pt idx="735">
                  <c:v>-2823284.30785663</c:v>
                </c:pt>
                <c:pt idx="736">
                  <c:v>-2804984.30785663</c:v>
                </c:pt>
                <c:pt idx="737">
                  <c:v>-2794184.30785663</c:v>
                </c:pt>
                <c:pt idx="738">
                  <c:v>-2783384.30785663</c:v>
                </c:pt>
                <c:pt idx="739">
                  <c:v>-2765084.30785663</c:v>
                </c:pt>
                <c:pt idx="740">
                  <c:v>-2746784.30785663</c:v>
                </c:pt>
                <c:pt idx="741">
                  <c:v>-2728484.30785663</c:v>
                </c:pt>
                <c:pt idx="742">
                  <c:v>-2710184.30785663</c:v>
                </c:pt>
                <c:pt idx="743">
                  <c:v>-2691884.30785663</c:v>
                </c:pt>
                <c:pt idx="744">
                  <c:v>-2681084.30785663</c:v>
                </c:pt>
                <c:pt idx="745">
                  <c:v>-2670284.30785663</c:v>
                </c:pt>
                <c:pt idx="746">
                  <c:v>-2651984.30785663</c:v>
                </c:pt>
                <c:pt idx="747">
                  <c:v>-2633684.30785663</c:v>
                </c:pt>
                <c:pt idx="748">
                  <c:v>-2615384.30785663</c:v>
                </c:pt>
                <c:pt idx="749">
                  <c:v>-2597084.30785663</c:v>
                </c:pt>
                <c:pt idx="750">
                  <c:v>-2578784.30785663</c:v>
                </c:pt>
                <c:pt idx="751">
                  <c:v>-2567984.30785663</c:v>
                </c:pt>
                <c:pt idx="752">
                  <c:v>-2557184.30785663</c:v>
                </c:pt>
                <c:pt idx="753">
                  <c:v>-2538884.30785663</c:v>
                </c:pt>
                <c:pt idx="754">
                  <c:v>-2520584.30785663</c:v>
                </c:pt>
                <c:pt idx="755">
                  <c:v>-2502284.30785663</c:v>
                </c:pt>
                <c:pt idx="756">
                  <c:v>-2483984.30785663</c:v>
                </c:pt>
                <c:pt idx="757">
                  <c:v>-2465684.30785663</c:v>
                </c:pt>
                <c:pt idx="758">
                  <c:v>-2454884.30785663</c:v>
                </c:pt>
                <c:pt idx="759">
                  <c:v>-2444084.30785663</c:v>
                </c:pt>
                <c:pt idx="760">
                  <c:v>-2425784.30785663</c:v>
                </c:pt>
                <c:pt idx="761">
                  <c:v>-2835044.1607802</c:v>
                </c:pt>
                <c:pt idx="762">
                  <c:v>-2816744.1607802</c:v>
                </c:pt>
                <c:pt idx="763">
                  <c:v>-2798444.1607802</c:v>
                </c:pt>
                <c:pt idx="764">
                  <c:v>-2780144.1607802</c:v>
                </c:pt>
                <c:pt idx="765">
                  <c:v>-2769344.1607802</c:v>
                </c:pt>
                <c:pt idx="766">
                  <c:v>-2758544.1607802</c:v>
                </c:pt>
                <c:pt idx="767">
                  <c:v>-2740244.1607802</c:v>
                </c:pt>
                <c:pt idx="768">
                  <c:v>-2721944.1607802</c:v>
                </c:pt>
                <c:pt idx="769">
                  <c:v>-2703644.1607802</c:v>
                </c:pt>
                <c:pt idx="770">
                  <c:v>-2685344.1607802</c:v>
                </c:pt>
                <c:pt idx="771">
                  <c:v>-2667044.1607802</c:v>
                </c:pt>
                <c:pt idx="772">
                  <c:v>-2656244.1607802</c:v>
                </c:pt>
                <c:pt idx="773">
                  <c:v>-2645444.1607802</c:v>
                </c:pt>
                <c:pt idx="774">
                  <c:v>-2627144.1607802</c:v>
                </c:pt>
                <c:pt idx="775">
                  <c:v>-2608844.1607802</c:v>
                </c:pt>
                <c:pt idx="776">
                  <c:v>-2590544.1607802</c:v>
                </c:pt>
                <c:pt idx="777">
                  <c:v>-2572244.1607802</c:v>
                </c:pt>
                <c:pt idx="778">
                  <c:v>-2553944.1607802</c:v>
                </c:pt>
                <c:pt idx="779">
                  <c:v>-2543144.1607802</c:v>
                </c:pt>
                <c:pt idx="780">
                  <c:v>-2532344.1607802</c:v>
                </c:pt>
                <c:pt idx="781">
                  <c:v>-2514044.1607802</c:v>
                </c:pt>
                <c:pt idx="782">
                  <c:v>-2495744.1607802</c:v>
                </c:pt>
                <c:pt idx="783">
                  <c:v>-2477444.1607802</c:v>
                </c:pt>
                <c:pt idx="784">
                  <c:v>-2459144.1607802</c:v>
                </c:pt>
                <c:pt idx="785">
                  <c:v>-2440844.1607802</c:v>
                </c:pt>
                <c:pt idx="786">
                  <c:v>-2430044.1607802</c:v>
                </c:pt>
                <c:pt idx="787">
                  <c:v>-2419244.1607802</c:v>
                </c:pt>
                <c:pt idx="788">
                  <c:v>-2400944.1607802</c:v>
                </c:pt>
                <c:pt idx="789">
                  <c:v>-2382644.1607802</c:v>
                </c:pt>
                <c:pt idx="790">
                  <c:v>-2793186.69326254</c:v>
                </c:pt>
                <c:pt idx="791">
                  <c:v>-2774886.69326254</c:v>
                </c:pt>
                <c:pt idx="792">
                  <c:v>-2756586.69326254</c:v>
                </c:pt>
                <c:pt idx="793">
                  <c:v>-2745786.69326254</c:v>
                </c:pt>
                <c:pt idx="794">
                  <c:v>-2734986.69326254</c:v>
                </c:pt>
                <c:pt idx="795">
                  <c:v>-2716686.69326254</c:v>
                </c:pt>
                <c:pt idx="796">
                  <c:v>-2698386.69326254</c:v>
                </c:pt>
                <c:pt idx="797">
                  <c:v>-2680086.69326254</c:v>
                </c:pt>
                <c:pt idx="798">
                  <c:v>-2661786.69326254</c:v>
                </c:pt>
                <c:pt idx="799">
                  <c:v>-2643486.69326254</c:v>
                </c:pt>
                <c:pt idx="800">
                  <c:v>-2632686.69326254</c:v>
                </c:pt>
                <c:pt idx="801">
                  <c:v>-2621886.69326254</c:v>
                </c:pt>
                <c:pt idx="802">
                  <c:v>-2603586.69326254</c:v>
                </c:pt>
                <c:pt idx="803">
                  <c:v>-2585286.69326254</c:v>
                </c:pt>
                <c:pt idx="804">
                  <c:v>-2566986.69326254</c:v>
                </c:pt>
                <c:pt idx="805">
                  <c:v>-2548686.69326254</c:v>
                </c:pt>
                <c:pt idx="806">
                  <c:v>-2530386.69326254</c:v>
                </c:pt>
                <c:pt idx="807">
                  <c:v>-2519586.69326254</c:v>
                </c:pt>
                <c:pt idx="808">
                  <c:v>-2508786.69326254</c:v>
                </c:pt>
                <c:pt idx="809">
                  <c:v>-2490486.69326254</c:v>
                </c:pt>
                <c:pt idx="810">
                  <c:v>-2472186.69326254</c:v>
                </c:pt>
                <c:pt idx="811">
                  <c:v>-2453886.69326254</c:v>
                </c:pt>
                <c:pt idx="812">
                  <c:v>-2435586.69326254</c:v>
                </c:pt>
                <c:pt idx="813">
                  <c:v>-2417286.69326254</c:v>
                </c:pt>
                <c:pt idx="814">
                  <c:v>-2406486.69326254</c:v>
                </c:pt>
                <c:pt idx="815">
                  <c:v>-2395686.69326254</c:v>
                </c:pt>
                <c:pt idx="816">
                  <c:v>-2377386.69326254</c:v>
                </c:pt>
                <c:pt idx="817">
                  <c:v>-2359086.69326254</c:v>
                </c:pt>
                <c:pt idx="818">
                  <c:v>-2340786.69326254</c:v>
                </c:pt>
                <c:pt idx="819">
                  <c:v>-2322486.69326254</c:v>
                </c:pt>
                <c:pt idx="820">
                  <c:v>-2304186.69326254</c:v>
                </c:pt>
                <c:pt idx="821">
                  <c:v>-2723515.75334233</c:v>
                </c:pt>
                <c:pt idx="822">
                  <c:v>-2712715.75334233</c:v>
                </c:pt>
                <c:pt idx="823">
                  <c:v>-2694415.75334233</c:v>
                </c:pt>
                <c:pt idx="824">
                  <c:v>-2676115.75334233</c:v>
                </c:pt>
                <c:pt idx="825">
                  <c:v>-2657815.75334233</c:v>
                </c:pt>
                <c:pt idx="826">
                  <c:v>-2639515.75334233</c:v>
                </c:pt>
                <c:pt idx="827">
                  <c:v>-2621215.75334233</c:v>
                </c:pt>
                <c:pt idx="828">
                  <c:v>-2610415.75334233</c:v>
                </c:pt>
                <c:pt idx="829">
                  <c:v>-2599615.75334233</c:v>
                </c:pt>
                <c:pt idx="830">
                  <c:v>-2581315.75334233</c:v>
                </c:pt>
                <c:pt idx="831">
                  <c:v>-2563015.75334233</c:v>
                </c:pt>
                <c:pt idx="832">
                  <c:v>-2544715.75334233</c:v>
                </c:pt>
                <c:pt idx="833">
                  <c:v>-2526415.75334233</c:v>
                </c:pt>
                <c:pt idx="834">
                  <c:v>-2508115.75334233</c:v>
                </c:pt>
                <c:pt idx="835">
                  <c:v>-2497315.75334233</c:v>
                </c:pt>
                <c:pt idx="836">
                  <c:v>-2486515.75334233</c:v>
                </c:pt>
                <c:pt idx="837">
                  <c:v>-2468215.75334233</c:v>
                </c:pt>
                <c:pt idx="838">
                  <c:v>-2449915.75334233</c:v>
                </c:pt>
                <c:pt idx="839">
                  <c:v>-2431615.75334233</c:v>
                </c:pt>
                <c:pt idx="840">
                  <c:v>-2412715.75334233</c:v>
                </c:pt>
                <c:pt idx="841">
                  <c:v>-2393815.75334233</c:v>
                </c:pt>
                <c:pt idx="842">
                  <c:v>-2382415.75334233</c:v>
                </c:pt>
                <c:pt idx="843">
                  <c:v>-2371015.75334233</c:v>
                </c:pt>
                <c:pt idx="844">
                  <c:v>-2352115.75334233</c:v>
                </c:pt>
                <c:pt idx="845">
                  <c:v>-2333215.75334233</c:v>
                </c:pt>
                <c:pt idx="846">
                  <c:v>-2314315.75334233</c:v>
                </c:pt>
                <c:pt idx="847">
                  <c:v>-2295415.75334233</c:v>
                </c:pt>
                <c:pt idx="848">
                  <c:v>-2276515.75334233</c:v>
                </c:pt>
                <c:pt idx="849">
                  <c:v>-2265115.75334233</c:v>
                </c:pt>
                <c:pt idx="850">
                  <c:v>-2253715.75334233</c:v>
                </c:pt>
                <c:pt idx="851">
                  <c:v>-2666235.20060236</c:v>
                </c:pt>
                <c:pt idx="852">
                  <c:v>-2647335.20060236</c:v>
                </c:pt>
                <c:pt idx="853">
                  <c:v>-2628435.20060236</c:v>
                </c:pt>
                <c:pt idx="854">
                  <c:v>-2609535.20060236</c:v>
                </c:pt>
                <c:pt idx="855">
                  <c:v>-2590635.20060236</c:v>
                </c:pt>
                <c:pt idx="856">
                  <c:v>-2579235.20060236</c:v>
                </c:pt>
                <c:pt idx="857">
                  <c:v>-2567835.20060236</c:v>
                </c:pt>
                <c:pt idx="858">
                  <c:v>-2548935.20060236</c:v>
                </c:pt>
                <c:pt idx="859">
                  <c:v>-2530035.20060236</c:v>
                </c:pt>
                <c:pt idx="860">
                  <c:v>-2511135.20060236</c:v>
                </c:pt>
                <c:pt idx="861">
                  <c:v>-2492235.20060236</c:v>
                </c:pt>
                <c:pt idx="862">
                  <c:v>-2473335.20060236</c:v>
                </c:pt>
                <c:pt idx="863">
                  <c:v>-2461935.20060236</c:v>
                </c:pt>
                <c:pt idx="864">
                  <c:v>-2450535.20060236</c:v>
                </c:pt>
                <c:pt idx="865">
                  <c:v>-2431635.20060236</c:v>
                </c:pt>
                <c:pt idx="866">
                  <c:v>-2412735.20060236</c:v>
                </c:pt>
                <c:pt idx="867">
                  <c:v>-2393835.20060236</c:v>
                </c:pt>
                <c:pt idx="868">
                  <c:v>-2374935.20060236</c:v>
                </c:pt>
                <c:pt idx="869">
                  <c:v>-2356035.20060236</c:v>
                </c:pt>
                <c:pt idx="870">
                  <c:v>-2344635.20060236</c:v>
                </c:pt>
                <c:pt idx="871">
                  <c:v>-2333235.20060236</c:v>
                </c:pt>
                <c:pt idx="872">
                  <c:v>-2314335.20060236</c:v>
                </c:pt>
                <c:pt idx="873">
                  <c:v>-2295435.20060236</c:v>
                </c:pt>
                <c:pt idx="874">
                  <c:v>-2276535.20060236</c:v>
                </c:pt>
                <c:pt idx="875">
                  <c:v>-2257635.20060236</c:v>
                </c:pt>
                <c:pt idx="876">
                  <c:v>-2238735.20060236</c:v>
                </c:pt>
                <c:pt idx="877">
                  <c:v>-2227035.20060236</c:v>
                </c:pt>
                <c:pt idx="878">
                  <c:v>-2215335.20060236</c:v>
                </c:pt>
                <c:pt idx="879">
                  <c:v>-2196135.20060236</c:v>
                </c:pt>
                <c:pt idx="880">
                  <c:v>-2176935.20060236</c:v>
                </c:pt>
                <c:pt idx="881">
                  <c:v>-2157735.20060236</c:v>
                </c:pt>
                <c:pt idx="882">
                  <c:v>-2571248.90620416</c:v>
                </c:pt>
                <c:pt idx="883">
                  <c:v>-2552048.90620416</c:v>
                </c:pt>
                <c:pt idx="884">
                  <c:v>-2540348.90620416</c:v>
                </c:pt>
                <c:pt idx="885">
                  <c:v>-2528648.90620416</c:v>
                </c:pt>
                <c:pt idx="886">
                  <c:v>-2509448.90620416</c:v>
                </c:pt>
                <c:pt idx="887">
                  <c:v>-2490248.90620416</c:v>
                </c:pt>
                <c:pt idx="888">
                  <c:v>-2471048.90620416</c:v>
                </c:pt>
                <c:pt idx="889">
                  <c:v>-2451848.90620416</c:v>
                </c:pt>
                <c:pt idx="890">
                  <c:v>-2432648.90620416</c:v>
                </c:pt>
                <c:pt idx="891">
                  <c:v>-2420948.90620416</c:v>
                </c:pt>
                <c:pt idx="892">
                  <c:v>-2409248.90620416</c:v>
                </c:pt>
                <c:pt idx="893">
                  <c:v>-2390048.90620416</c:v>
                </c:pt>
                <c:pt idx="894">
                  <c:v>-2370848.90620416</c:v>
                </c:pt>
                <c:pt idx="895">
                  <c:v>-2351648.90620416</c:v>
                </c:pt>
                <c:pt idx="896">
                  <c:v>-2332448.90620416</c:v>
                </c:pt>
                <c:pt idx="897">
                  <c:v>-2313248.90620416</c:v>
                </c:pt>
                <c:pt idx="898">
                  <c:v>-2301548.90620416</c:v>
                </c:pt>
                <c:pt idx="899">
                  <c:v>-2289848.90620416</c:v>
                </c:pt>
                <c:pt idx="900">
                  <c:v>-2270648.90620416</c:v>
                </c:pt>
                <c:pt idx="901">
                  <c:v>-2251448.90620416</c:v>
                </c:pt>
                <c:pt idx="902">
                  <c:v>-2232248.90620416</c:v>
                </c:pt>
                <c:pt idx="903">
                  <c:v>-2213048.90620416</c:v>
                </c:pt>
                <c:pt idx="904">
                  <c:v>-2193848.90620416</c:v>
                </c:pt>
                <c:pt idx="905">
                  <c:v>-2182148.90620416</c:v>
                </c:pt>
                <c:pt idx="906">
                  <c:v>-2170448.90620416</c:v>
                </c:pt>
                <c:pt idx="907">
                  <c:v>-2151248.90620416</c:v>
                </c:pt>
                <c:pt idx="908">
                  <c:v>-2132048.90620416</c:v>
                </c:pt>
                <c:pt idx="909">
                  <c:v>-2112848.90620416</c:v>
                </c:pt>
                <c:pt idx="910">
                  <c:v>-2093648.90620416</c:v>
                </c:pt>
                <c:pt idx="911">
                  <c:v>-2074448.90620416</c:v>
                </c:pt>
                <c:pt idx="912">
                  <c:v>-2496760.75292277</c:v>
                </c:pt>
                <c:pt idx="913">
                  <c:v>-2485060.75292277</c:v>
                </c:pt>
                <c:pt idx="914">
                  <c:v>-2465860.75292277</c:v>
                </c:pt>
                <c:pt idx="915">
                  <c:v>-2446660.75292277</c:v>
                </c:pt>
                <c:pt idx="916">
                  <c:v>-2427460.75292277</c:v>
                </c:pt>
                <c:pt idx="917">
                  <c:v>-2408260.75292277</c:v>
                </c:pt>
                <c:pt idx="918">
                  <c:v>-2389060.75292277</c:v>
                </c:pt>
                <c:pt idx="919">
                  <c:v>-2377360.75292277</c:v>
                </c:pt>
                <c:pt idx="920">
                  <c:v>-2365660.75292277</c:v>
                </c:pt>
                <c:pt idx="921">
                  <c:v>-2346460.75292277</c:v>
                </c:pt>
                <c:pt idx="922">
                  <c:v>-2327260.75292277</c:v>
                </c:pt>
                <c:pt idx="923">
                  <c:v>-2308060.75292277</c:v>
                </c:pt>
                <c:pt idx="924">
                  <c:v>-2288860.75292277</c:v>
                </c:pt>
                <c:pt idx="925">
                  <c:v>-2269660.75292277</c:v>
                </c:pt>
                <c:pt idx="926">
                  <c:v>-2257960.75292277</c:v>
                </c:pt>
                <c:pt idx="927">
                  <c:v>-2246260.75292277</c:v>
                </c:pt>
                <c:pt idx="928">
                  <c:v>-2227060.75292277</c:v>
                </c:pt>
                <c:pt idx="929">
                  <c:v>-2207860.75292277</c:v>
                </c:pt>
                <c:pt idx="930">
                  <c:v>-2188660.75292277</c:v>
                </c:pt>
                <c:pt idx="931">
                  <c:v>-2169460.75292277</c:v>
                </c:pt>
                <c:pt idx="932">
                  <c:v>-2150260.75292277</c:v>
                </c:pt>
                <c:pt idx="933">
                  <c:v>-2138560.75292277</c:v>
                </c:pt>
                <c:pt idx="934">
                  <c:v>-2126860.75292277</c:v>
                </c:pt>
                <c:pt idx="935">
                  <c:v>-2107660.75292277</c:v>
                </c:pt>
                <c:pt idx="936">
                  <c:v>-2088460.75292277</c:v>
                </c:pt>
                <c:pt idx="937">
                  <c:v>-2069260.75292277</c:v>
                </c:pt>
                <c:pt idx="938">
                  <c:v>-2050060.75292277</c:v>
                </c:pt>
                <c:pt idx="939">
                  <c:v>-2030860.75292277</c:v>
                </c:pt>
                <c:pt idx="940">
                  <c:v>-2019160.75292277</c:v>
                </c:pt>
                <c:pt idx="941">
                  <c:v>-2007460.75292277</c:v>
                </c:pt>
                <c:pt idx="942">
                  <c:v>-1988260.75292277</c:v>
                </c:pt>
                <c:pt idx="943">
                  <c:v>-2404374.63518154</c:v>
                </c:pt>
                <c:pt idx="944">
                  <c:v>-2385174.63518154</c:v>
                </c:pt>
                <c:pt idx="945">
                  <c:v>-2365974.63518154</c:v>
                </c:pt>
                <c:pt idx="946">
                  <c:v>-2346774.63518154</c:v>
                </c:pt>
                <c:pt idx="947">
                  <c:v>-2335074.63518154</c:v>
                </c:pt>
                <c:pt idx="948">
                  <c:v>-2323374.63518154</c:v>
                </c:pt>
                <c:pt idx="949">
                  <c:v>-2304174.63518154</c:v>
                </c:pt>
                <c:pt idx="950">
                  <c:v>-2284974.63518154</c:v>
                </c:pt>
                <c:pt idx="951">
                  <c:v>-2265774.63518154</c:v>
                </c:pt>
                <c:pt idx="952">
                  <c:v>-2246574.63518154</c:v>
                </c:pt>
                <c:pt idx="953">
                  <c:v>-2227374.63518154</c:v>
                </c:pt>
                <c:pt idx="954">
                  <c:v>-2215674.63518154</c:v>
                </c:pt>
                <c:pt idx="955">
                  <c:v>-2203974.63518154</c:v>
                </c:pt>
                <c:pt idx="956">
                  <c:v>-2184774.63518154</c:v>
                </c:pt>
                <c:pt idx="957">
                  <c:v>-2165574.63518154</c:v>
                </c:pt>
                <c:pt idx="958">
                  <c:v>-2146374.63518154</c:v>
                </c:pt>
                <c:pt idx="959">
                  <c:v>-2127174.63518154</c:v>
                </c:pt>
                <c:pt idx="960">
                  <c:v>-2107974.63518154</c:v>
                </c:pt>
                <c:pt idx="961">
                  <c:v>-2096274.63518154</c:v>
                </c:pt>
                <c:pt idx="962">
                  <c:v>-2084574.63518154</c:v>
                </c:pt>
                <c:pt idx="963">
                  <c:v>-2065374.63518154</c:v>
                </c:pt>
                <c:pt idx="964">
                  <c:v>-2046174.63518154</c:v>
                </c:pt>
                <c:pt idx="965">
                  <c:v>-2026974.63518154</c:v>
                </c:pt>
                <c:pt idx="966">
                  <c:v>-2007774.63518154</c:v>
                </c:pt>
                <c:pt idx="967">
                  <c:v>-1988574.63518154</c:v>
                </c:pt>
                <c:pt idx="968">
                  <c:v>-1976874.63518154</c:v>
                </c:pt>
                <c:pt idx="969">
                  <c:v>-1965174.63518154</c:v>
                </c:pt>
                <c:pt idx="970">
                  <c:v>-1945974.63518154</c:v>
                </c:pt>
                <c:pt idx="971">
                  <c:v>-1926774.63518154</c:v>
                </c:pt>
                <c:pt idx="972">
                  <c:v>-1907574.63518154</c:v>
                </c:pt>
                <c:pt idx="973">
                  <c:v>-1888374.63518154</c:v>
                </c:pt>
                <c:pt idx="974">
                  <c:v>-2305794.45908709</c:v>
                </c:pt>
                <c:pt idx="975">
                  <c:v>-2294094.45908709</c:v>
                </c:pt>
                <c:pt idx="976">
                  <c:v>-2282394.45908709</c:v>
                </c:pt>
                <c:pt idx="977">
                  <c:v>-2263194.45908709</c:v>
                </c:pt>
                <c:pt idx="978">
                  <c:v>-2243994.45908709</c:v>
                </c:pt>
                <c:pt idx="979">
                  <c:v>-2224794.45908709</c:v>
                </c:pt>
                <c:pt idx="980">
                  <c:v>-2205594.45908709</c:v>
                </c:pt>
                <c:pt idx="981">
                  <c:v>-2186394.45908709</c:v>
                </c:pt>
                <c:pt idx="982">
                  <c:v>-2174694.45908709</c:v>
                </c:pt>
                <c:pt idx="983">
                  <c:v>-2162994.45908709</c:v>
                </c:pt>
                <c:pt idx="984">
                  <c:v>-2143794.45908709</c:v>
                </c:pt>
                <c:pt idx="985">
                  <c:v>-2124594.45908709</c:v>
                </c:pt>
                <c:pt idx="986">
                  <c:v>-2105394.45908709</c:v>
                </c:pt>
                <c:pt idx="987">
                  <c:v>-2086194.45908709</c:v>
                </c:pt>
                <c:pt idx="988">
                  <c:v>-2066994.45908709</c:v>
                </c:pt>
                <c:pt idx="989">
                  <c:v>-2055294.45908709</c:v>
                </c:pt>
                <c:pt idx="990">
                  <c:v>-2043594.45908709</c:v>
                </c:pt>
                <c:pt idx="991">
                  <c:v>-2024394.45908709</c:v>
                </c:pt>
                <c:pt idx="992">
                  <c:v>-2005194.45908709</c:v>
                </c:pt>
                <c:pt idx="993">
                  <c:v>-1985994.45908709</c:v>
                </c:pt>
                <c:pt idx="994">
                  <c:v>-1966794.45908709</c:v>
                </c:pt>
                <c:pt idx="995">
                  <c:v>-1947594.45908709</c:v>
                </c:pt>
                <c:pt idx="996">
                  <c:v>-1935894.45908709</c:v>
                </c:pt>
                <c:pt idx="997">
                  <c:v>-1924194.45908709</c:v>
                </c:pt>
                <c:pt idx="998">
                  <c:v>-1904994.45908709</c:v>
                </c:pt>
                <c:pt idx="999">
                  <c:v>-1885794.45908709</c:v>
                </c:pt>
                <c:pt idx="1000">
                  <c:v>-1866594.45908709</c:v>
                </c:pt>
                <c:pt idx="1001">
                  <c:v>-1847394.45908709</c:v>
                </c:pt>
                <c:pt idx="1002">
                  <c:v>-1828194.45908709</c:v>
                </c:pt>
                <c:pt idx="1003">
                  <c:v>-1816494.45908709</c:v>
                </c:pt>
                <c:pt idx="1004">
                  <c:v>-2242724.14246435</c:v>
                </c:pt>
                <c:pt idx="1005">
                  <c:v>-2223524.14246435</c:v>
                </c:pt>
                <c:pt idx="1006">
                  <c:v>-2204324.14246435</c:v>
                </c:pt>
                <c:pt idx="1007">
                  <c:v>-2185124.14246435</c:v>
                </c:pt>
                <c:pt idx="1008">
                  <c:v>-2165924.14246435</c:v>
                </c:pt>
                <c:pt idx="1009">
                  <c:v>-2146724.14246435</c:v>
                </c:pt>
                <c:pt idx="1010">
                  <c:v>-2135024.14246435</c:v>
                </c:pt>
                <c:pt idx="1011">
                  <c:v>-2123324.14246435</c:v>
                </c:pt>
                <c:pt idx="1012">
                  <c:v>-2104124.14246435</c:v>
                </c:pt>
                <c:pt idx="1013">
                  <c:v>-2084924.14246435</c:v>
                </c:pt>
                <c:pt idx="1014">
                  <c:v>-2065724.14246435</c:v>
                </c:pt>
                <c:pt idx="1015">
                  <c:v>-2046524.14246435</c:v>
                </c:pt>
                <c:pt idx="1016">
                  <c:v>-2027324.14246435</c:v>
                </c:pt>
                <c:pt idx="1017">
                  <c:v>-2015624.14246435</c:v>
                </c:pt>
                <c:pt idx="1018">
                  <c:v>-2003924.14246435</c:v>
                </c:pt>
                <c:pt idx="1019">
                  <c:v>-1984724.14246435</c:v>
                </c:pt>
                <c:pt idx="1020">
                  <c:v>-1965524.14246435</c:v>
                </c:pt>
                <c:pt idx="1021">
                  <c:v>-1946324.14246435</c:v>
                </c:pt>
                <c:pt idx="1022">
                  <c:v>-1927124.14246435</c:v>
                </c:pt>
                <c:pt idx="1023">
                  <c:v>-1907924.14246435</c:v>
                </c:pt>
                <c:pt idx="1024">
                  <c:v>-1896224.14246435</c:v>
                </c:pt>
                <c:pt idx="1025">
                  <c:v>-1884524.14246435</c:v>
                </c:pt>
                <c:pt idx="1026">
                  <c:v>-1865324.14246435</c:v>
                </c:pt>
                <c:pt idx="1027">
                  <c:v>-1846124.14246435</c:v>
                </c:pt>
                <c:pt idx="1028">
                  <c:v>-1826924.14246435</c:v>
                </c:pt>
                <c:pt idx="1029">
                  <c:v>-1807724.14246435</c:v>
                </c:pt>
                <c:pt idx="1030">
                  <c:v>-1788524.14246435</c:v>
                </c:pt>
                <c:pt idx="1031">
                  <c:v>-1776824.14246435</c:v>
                </c:pt>
                <c:pt idx="1032">
                  <c:v>-1765124.14246435</c:v>
                </c:pt>
                <c:pt idx="1033">
                  <c:v>-1745924.14246435</c:v>
                </c:pt>
                <c:pt idx="1034">
                  <c:v>-1726724.14246435</c:v>
                </c:pt>
                <c:pt idx="1035">
                  <c:v>-2146767.61489174</c:v>
                </c:pt>
                <c:pt idx="1036">
                  <c:v>-2127567.61489174</c:v>
                </c:pt>
                <c:pt idx="1037">
                  <c:v>-2108367.61489174</c:v>
                </c:pt>
                <c:pt idx="1038">
                  <c:v>-2096667.61489174</c:v>
                </c:pt>
                <c:pt idx="1039">
                  <c:v>-2084967.61489174</c:v>
                </c:pt>
                <c:pt idx="1040">
                  <c:v>-2065767.61489174</c:v>
                </c:pt>
                <c:pt idx="1041">
                  <c:v>-2046567.61489174</c:v>
                </c:pt>
                <c:pt idx="1042">
                  <c:v>-2027367.61489174</c:v>
                </c:pt>
                <c:pt idx="1043">
                  <c:v>-2008167.61489174</c:v>
                </c:pt>
                <c:pt idx="1044">
                  <c:v>-1988967.61489174</c:v>
                </c:pt>
                <c:pt idx="1045">
                  <c:v>-1977267.61489174</c:v>
                </c:pt>
                <c:pt idx="1046">
                  <c:v>-1965567.61489174</c:v>
                </c:pt>
                <c:pt idx="1047">
                  <c:v>-1946067.61489174</c:v>
                </c:pt>
                <c:pt idx="1048">
                  <c:v>-1926567.61489174</c:v>
                </c:pt>
                <c:pt idx="1049">
                  <c:v>-1907067.61489174</c:v>
                </c:pt>
                <c:pt idx="1050">
                  <c:v>-1887567.61489174</c:v>
                </c:pt>
                <c:pt idx="1051">
                  <c:v>-1868067.61489174</c:v>
                </c:pt>
                <c:pt idx="1052">
                  <c:v>-1856367.61489174</c:v>
                </c:pt>
                <c:pt idx="1053">
                  <c:v>-1844667.61489174</c:v>
                </c:pt>
                <c:pt idx="1054">
                  <c:v>-1825167.61489174</c:v>
                </c:pt>
                <c:pt idx="1055">
                  <c:v>-1805667.61489174</c:v>
                </c:pt>
                <c:pt idx="1056">
                  <c:v>-1786167.61489174</c:v>
                </c:pt>
                <c:pt idx="1057">
                  <c:v>-1766667.61489174</c:v>
                </c:pt>
                <c:pt idx="1058">
                  <c:v>-1747167.61489174</c:v>
                </c:pt>
                <c:pt idx="1059">
                  <c:v>-1735467.61489174</c:v>
                </c:pt>
                <c:pt idx="1060">
                  <c:v>-1723767.61489174</c:v>
                </c:pt>
                <c:pt idx="1061">
                  <c:v>-1704267.61489174</c:v>
                </c:pt>
                <c:pt idx="1062">
                  <c:v>-1684767.61489174</c:v>
                </c:pt>
                <c:pt idx="1063">
                  <c:v>-1665267.61489174</c:v>
                </c:pt>
                <c:pt idx="1064">
                  <c:v>-1645767.61489174</c:v>
                </c:pt>
                <c:pt idx="1065">
                  <c:v>-2066828.81773641</c:v>
                </c:pt>
                <c:pt idx="1066">
                  <c:v>-2055128.81773641</c:v>
                </c:pt>
                <c:pt idx="1067">
                  <c:v>-2043428.81773641</c:v>
                </c:pt>
                <c:pt idx="1068">
                  <c:v>-2023928.81773641</c:v>
                </c:pt>
                <c:pt idx="1069">
                  <c:v>-2004428.81773641</c:v>
                </c:pt>
                <c:pt idx="1070">
                  <c:v>-1984928.81773641</c:v>
                </c:pt>
                <c:pt idx="1071">
                  <c:v>-1965428.81773641</c:v>
                </c:pt>
                <c:pt idx="1072">
                  <c:v>-1945928.81773641</c:v>
                </c:pt>
                <c:pt idx="1073">
                  <c:v>-1934228.81773641</c:v>
                </c:pt>
                <c:pt idx="1074">
                  <c:v>-1922528.81773641</c:v>
                </c:pt>
                <c:pt idx="1075">
                  <c:v>-1903028.81773641</c:v>
                </c:pt>
                <c:pt idx="1076">
                  <c:v>-1883528.81773641</c:v>
                </c:pt>
                <c:pt idx="1077">
                  <c:v>-1864028.81773641</c:v>
                </c:pt>
                <c:pt idx="1078">
                  <c:v>-1844528.81773641</c:v>
                </c:pt>
                <c:pt idx="1079">
                  <c:v>-1825028.81773641</c:v>
                </c:pt>
                <c:pt idx="1080">
                  <c:v>-1813328.81773641</c:v>
                </c:pt>
                <c:pt idx="1081">
                  <c:v>-1801628.81773641</c:v>
                </c:pt>
                <c:pt idx="1082">
                  <c:v>-1782128.81773641</c:v>
                </c:pt>
                <c:pt idx="1083">
                  <c:v>-1762628.81773641</c:v>
                </c:pt>
                <c:pt idx="1084">
                  <c:v>-1743128.81773641</c:v>
                </c:pt>
                <c:pt idx="1085">
                  <c:v>-1723628.81773641</c:v>
                </c:pt>
                <c:pt idx="1086">
                  <c:v>-1704128.81773641</c:v>
                </c:pt>
                <c:pt idx="1087">
                  <c:v>-1692428.81773641</c:v>
                </c:pt>
                <c:pt idx="1088">
                  <c:v>-1680728.81773641</c:v>
                </c:pt>
                <c:pt idx="1089">
                  <c:v>-1661228.81773641</c:v>
                </c:pt>
                <c:pt idx="1090">
                  <c:v>-1641728.81773641</c:v>
                </c:pt>
                <c:pt idx="1091">
                  <c:v>-1622228.81773641</c:v>
                </c:pt>
                <c:pt idx="1092">
                  <c:v>-1602728.81773641</c:v>
                </c:pt>
                <c:pt idx="1093">
                  <c:v>-1583228.81773641</c:v>
                </c:pt>
                <c:pt idx="1094">
                  <c:v>-1571528.81773641</c:v>
                </c:pt>
                <c:pt idx="1095">
                  <c:v>-1559828.81773641</c:v>
                </c:pt>
                <c:pt idx="1096">
                  <c:v>-1982211.70418962</c:v>
                </c:pt>
                <c:pt idx="1097">
                  <c:v>-1962711.70418962</c:v>
                </c:pt>
                <c:pt idx="1098">
                  <c:v>-1943211.70418962</c:v>
                </c:pt>
                <c:pt idx="1099">
                  <c:v>-1923711.70418962</c:v>
                </c:pt>
                <c:pt idx="1100">
                  <c:v>-1904211.70418962</c:v>
                </c:pt>
                <c:pt idx="1101">
                  <c:v>-1892511.70418962</c:v>
                </c:pt>
                <c:pt idx="1102">
                  <c:v>-1880811.70418962</c:v>
                </c:pt>
                <c:pt idx="1103">
                  <c:v>-1861311.70418962</c:v>
                </c:pt>
                <c:pt idx="1104">
                  <c:v>-1841811.70418962</c:v>
                </c:pt>
                <c:pt idx="1105">
                  <c:v>-1821711.70418962</c:v>
                </c:pt>
                <c:pt idx="1106">
                  <c:v>-1801611.70418962</c:v>
                </c:pt>
                <c:pt idx="1107">
                  <c:v>-1781511.70418962</c:v>
                </c:pt>
                <c:pt idx="1108">
                  <c:v>-1769811.70418962</c:v>
                </c:pt>
                <c:pt idx="1109">
                  <c:v>-1758111.70418962</c:v>
                </c:pt>
                <c:pt idx="1110">
                  <c:v>-1738011.70418962</c:v>
                </c:pt>
                <c:pt idx="1111">
                  <c:v>-1717911.70418962</c:v>
                </c:pt>
                <c:pt idx="1112">
                  <c:v>-1697811.70418962</c:v>
                </c:pt>
                <c:pt idx="1113">
                  <c:v>-1677711.70418962</c:v>
                </c:pt>
                <c:pt idx="1114">
                  <c:v>-1657611.70418962</c:v>
                </c:pt>
                <c:pt idx="1115">
                  <c:v>-1645911.70418962</c:v>
                </c:pt>
                <c:pt idx="1116">
                  <c:v>-1634211.70418962</c:v>
                </c:pt>
                <c:pt idx="1117">
                  <c:v>-1614111.70418962</c:v>
                </c:pt>
                <c:pt idx="1118">
                  <c:v>-1594011.70418962</c:v>
                </c:pt>
                <c:pt idx="1119">
                  <c:v>-1573911.70418962</c:v>
                </c:pt>
                <c:pt idx="1120">
                  <c:v>-1553811.70418962</c:v>
                </c:pt>
                <c:pt idx="1121">
                  <c:v>-1533711.70418962</c:v>
                </c:pt>
                <c:pt idx="1122">
                  <c:v>-1522011.70418962</c:v>
                </c:pt>
                <c:pt idx="1123">
                  <c:v>-1510311.70418962</c:v>
                </c:pt>
                <c:pt idx="1124">
                  <c:v>-1490211.70418962</c:v>
                </c:pt>
                <c:pt idx="1125">
                  <c:v>-1470111.70418962</c:v>
                </c:pt>
                <c:pt idx="1126">
                  <c:v>-1450011.70418962</c:v>
                </c:pt>
                <c:pt idx="1127">
                  <c:v>-1873120.23930219</c:v>
                </c:pt>
                <c:pt idx="1128">
                  <c:v>-1853020.23930219</c:v>
                </c:pt>
                <c:pt idx="1129">
                  <c:v>-1841320.23930219</c:v>
                </c:pt>
                <c:pt idx="1130">
                  <c:v>-1829620.23930219</c:v>
                </c:pt>
                <c:pt idx="1131">
                  <c:v>-1809520.23930219</c:v>
                </c:pt>
                <c:pt idx="1132">
                  <c:v>-1789420.23930219</c:v>
                </c:pt>
                <c:pt idx="1133">
                  <c:v>-1769320.23930219</c:v>
                </c:pt>
                <c:pt idx="1134">
                  <c:v>-1749220.23930219</c:v>
                </c:pt>
                <c:pt idx="1135">
                  <c:v>-1729120.23930219</c:v>
                </c:pt>
                <c:pt idx="1136">
                  <c:v>-1717420.23930219</c:v>
                </c:pt>
                <c:pt idx="1137">
                  <c:v>-1705720.23930219</c:v>
                </c:pt>
                <c:pt idx="1138">
                  <c:v>-1685620.23930219</c:v>
                </c:pt>
                <c:pt idx="1139">
                  <c:v>-1665520.23930219</c:v>
                </c:pt>
                <c:pt idx="1140">
                  <c:v>-1645420.23930219</c:v>
                </c:pt>
                <c:pt idx="1141">
                  <c:v>-1625320.23930219</c:v>
                </c:pt>
                <c:pt idx="1142">
                  <c:v>-1605220.23930219</c:v>
                </c:pt>
                <c:pt idx="1143">
                  <c:v>-1593520.23930219</c:v>
                </c:pt>
                <c:pt idx="1144">
                  <c:v>-1581820.23930219</c:v>
                </c:pt>
                <c:pt idx="1145">
                  <c:v>-1561720.23930219</c:v>
                </c:pt>
                <c:pt idx="1146">
                  <c:v>-1541620.23930219</c:v>
                </c:pt>
                <c:pt idx="1147">
                  <c:v>-1521520.23930219</c:v>
                </c:pt>
                <c:pt idx="1148">
                  <c:v>-1501420.23930219</c:v>
                </c:pt>
                <c:pt idx="1149">
                  <c:v>-1481320.23930219</c:v>
                </c:pt>
                <c:pt idx="1150">
                  <c:v>-1469620.23930219</c:v>
                </c:pt>
                <c:pt idx="1151">
                  <c:v>-1457920.23930219</c:v>
                </c:pt>
                <c:pt idx="1152">
                  <c:v>-1437820.23930219</c:v>
                </c:pt>
                <c:pt idx="1153">
                  <c:v>-1417720.23930219</c:v>
                </c:pt>
                <c:pt idx="1154">
                  <c:v>-1397620.23930219</c:v>
                </c:pt>
                <c:pt idx="1155">
                  <c:v>-1822058.40002009</c:v>
                </c:pt>
                <c:pt idx="1156">
                  <c:v>-1801958.40002009</c:v>
                </c:pt>
                <c:pt idx="1157">
                  <c:v>-1789958.40002009</c:v>
                </c:pt>
                <c:pt idx="1158">
                  <c:v>-1777958.40002009</c:v>
                </c:pt>
                <c:pt idx="1159">
                  <c:v>-1757858.40002009</c:v>
                </c:pt>
                <c:pt idx="1160">
                  <c:v>-1737758.40002009</c:v>
                </c:pt>
                <c:pt idx="1161">
                  <c:v>-1717658.40002009</c:v>
                </c:pt>
                <c:pt idx="1162">
                  <c:v>-1697558.40002009</c:v>
                </c:pt>
                <c:pt idx="1163">
                  <c:v>-1677458.40002009</c:v>
                </c:pt>
                <c:pt idx="1164">
                  <c:v>-1665458.40002009</c:v>
                </c:pt>
                <c:pt idx="1165">
                  <c:v>-1653458.40002009</c:v>
                </c:pt>
                <c:pt idx="1166">
                  <c:v>-1633358.40002009</c:v>
                </c:pt>
                <c:pt idx="1167">
                  <c:v>-1613258.40002009</c:v>
                </c:pt>
                <c:pt idx="1168">
                  <c:v>-1593158.40002009</c:v>
                </c:pt>
                <c:pt idx="1169">
                  <c:v>-1573058.40002009</c:v>
                </c:pt>
                <c:pt idx="1170">
                  <c:v>-1552958.40002009</c:v>
                </c:pt>
                <c:pt idx="1171">
                  <c:v>-1540958.40002009</c:v>
                </c:pt>
                <c:pt idx="1172">
                  <c:v>-1528958.40002009</c:v>
                </c:pt>
                <c:pt idx="1173">
                  <c:v>-1508858.40002009</c:v>
                </c:pt>
                <c:pt idx="1174">
                  <c:v>-1488758.40002009</c:v>
                </c:pt>
                <c:pt idx="1175">
                  <c:v>-1468658.40002009</c:v>
                </c:pt>
                <c:pt idx="1176">
                  <c:v>-1448558.40002009</c:v>
                </c:pt>
                <c:pt idx="1177">
                  <c:v>-1428458.40002009</c:v>
                </c:pt>
                <c:pt idx="1178">
                  <c:v>-1416458.40002009</c:v>
                </c:pt>
                <c:pt idx="1179">
                  <c:v>-1404458.40002009</c:v>
                </c:pt>
                <c:pt idx="1180">
                  <c:v>-1384358.40002009</c:v>
                </c:pt>
                <c:pt idx="1181">
                  <c:v>-1364258.40002009</c:v>
                </c:pt>
                <c:pt idx="1182">
                  <c:v>-1344158.40002009</c:v>
                </c:pt>
                <c:pt idx="1183">
                  <c:v>-1324058.40002009</c:v>
                </c:pt>
                <c:pt idx="1184">
                  <c:v>-1303958.40002009</c:v>
                </c:pt>
                <c:pt idx="1185">
                  <c:v>-1291958.40002009</c:v>
                </c:pt>
                <c:pt idx="1186">
                  <c:v>-1725830.17522015</c:v>
                </c:pt>
                <c:pt idx="1187">
                  <c:v>-1705730.17522015</c:v>
                </c:pt>
                <c:pt idx="1188">
                  <c:v>-1685630.17522015</c:v>
                </c:pt>
                <c:pt idx="1189">
                  <c:v>-1665530.17522015</c:v>
                </c:pt>
                <c:pt idx="1190">
                  <c:v>-1645430.17522015</c:v>
                </c:pt>
                <c:pt idx="1191">
                  <c:v>-1625330.17522015</c:v>
                </c:pt>
                <c:pt idx="1192">
                  <c:v>-1613330.17522015</c:v>
                </c:pt>
                <c:pt idx="1193">
                  <c:v>-1601330.17522015</c:v>
                </c:pt>
                <c:pt idx="1194">
                  <c:v>-1581230.17522015</c:v>
                </c:pt>
                <c:pt idx="1195">
                  <c:v>-1561130.17522015</c:v>
                </c:pt>
                <c:pt idx="1196">
                  <c:v>-1541030.17522015</c:v>
                </c:pt>
                <c:pt idx="1197">
                  <c:v>-1520930.17522015</c:v>
                </c:pt>
                <c:pt idx="1198">
                  <c:v>-1500830.17522015</c:v>
                </c:pt>
                <c:pt idx="1199">
                  <c:v>-1488830.17522015</c:v>
                </c:pt>
                <c:pt idx="1200">
                  <c:v>-1476830.17522015</c:v>
                </c:pt>
                <c:pt idx="1201">
                  <c:v>-1456730.17522015</c:v>
                </c:pt>
                <c:pt idx="1202">
                  <c:v>-1436630.17522015</c:v>
                </c:pt>
                <c:pt idx="1203">
                  <c:v>-1416530.17522015</c:v>
                </c:pt>
                <c:pt idx="1204">
                  <c:v>-1396430.17522015</c:v>
                </c:pt>
                <c:pt idx="1205">
                  <c:v>-1376330.17522015</c:v>
                </c:pt>
                <c:pt idx="1206">
                  <c:v>-1364330.17522015</c:v>
                </c:pt>
                <c:pt idx="1207">
                  <c:v>-1352330.17522015</c:v>
                </c:pt>
                <c:pt idx="1208">
                  <c:v>-1331930.17522015</c:v>
                </c:pt>
                <c:pt idx="1209">
                  <c:v>-1311530.17522015</c:v>
                </c:pt>
                <c:pt idx="1210">
                  <c:v>-1291130.17522015</c:v>
                </c:pt>
                <c:pt idx="1211">
                  <c:v>-1270730.17522015</c:v>
                </c:pt>
                <c:pt idx="1212">
                  <c:v>-1250330.17522015</c:v>
                </c:pt>
                <c:pt idx="1213">
                  <c:v>-1238330.17522015</c:v>
                </c:pt>
                <c:pt idx="1214">
                  <c:v>-1226330.17522015</c:v>
                </c:pt>
                <c:pt idx="1215">
                  <c:v>-1205930.17522015</c:v>
                </c:pt>
                <c:pt idx="1216">
                  <c:v>-1632739.56574581</c:v>
                </c:pt>
                <c:pt idx="1217">
                  <c:v>-1612339.56574581</c:v>
                </c:pt>
                <c:pt idx="1218">
                  <c:v>-1591939.56574581</c:v>
                </c:pt>
                <c:pt idx="1219">
                  <c:v>-1571539.56574581</c:v>
                </c:pt>
                <c:pt idx="1220">
                  <c:v>-1559539.56574581</c:v>
                </c:pt>
                <c:pt idx="1221">
                  <c:v>-1547539.56574581</c:v>
                </c:pt>
                <c:pt idx="1222">
                  <c:v>-1527139.56574581</c:v>
                </c:pt>
                <c:pt idx="1223">
                  <c:v>-1506739.56574581</c:v>
                </c:pt>
                <c:pt idx="1224">
                  <c:v>-1486339.56574581</c:v>
                </c:pt>
                <c:pt idx="1225">
                  <c:v>-1465939.56574581</c:v>
                </c:pt>
                <c:pt idx="1226">
                  <c:v>-1445539.56574581</c:v>
                </c:pt>
                <c:pt idx="1227">
                  <c:v>-1433539.56574581</c:v>
                </c:pt>
                <c:pt idx="1228">
                  <c:v>-1421539.56574581</c:v>
                </c:pt>
                <c:pt idx="1229">
                  <c:v>-1401139.56574581</c:v>
                </c:pt>
                <c:pt idx="1230">
                  <c:v>-1380739.56574581</c:v>
                </c:pt>
                <c:pt idx="1231">
                  <c:v>-1360339.56574581</c:v>
                </c:pt>
                <c:pt idx="1232">
                  <c:v>-1339939.56574581</c:v>
                </c:pt>
                <c:pt idx="1233">
                  <c:v>-1319539.56574581</c:v>
                </c:pt>
                <c:pt idx="1234">
                  <c:v>-1307539.56574581</c:v>
                </c:pt>
                <c:pt idx="1235">
                  <c:v>-1295539.56574581</c:v>
                </c:pt>
                <c:pt idx="1236">
                  <c:v>-1275139.56574581</c:v>
                </c:pt>
                <c:pt idx="1237">
                  <c:v>-1254739.56574581</c:v>
                </c:pt>
                <c:pt idx="1238">
                  <c:v>-1234339.56574581</c:v>
                </c:pt>
                <c:pt idx="1239">
                  <c:v>-1213939.56574581</c:v>
                </c:pt>
                <c:pt idx="1240">
                  <c:v>-1193539.56574581</c:v>
                </c:pt>
                <c:pt idx="1241">
                  <c:v>-1181539.56574581</c:v>
                </c:pt>
                <c:pt idx="1242">
                  <c:v>-1169539.56574581</c:v>
                </c:pt>
                <c:pt idx="1243">
                  <c:v>-1149139.56574581</c:v>
                </c:pt>
                <c:pt idx="1244">
                  <c:v>-1128739.56574581</c:v>
                </c:pt>
                <c:pt idx="1245">
                  <c:v>-1108339.56574581</c:v>
                </c:pt>
                <c:pt idx="1246">
                  <c:v>-1087939.56574581</c:v>
                </c:pt>
                <c:pt idx="1247">
                  <c:v>-1516090.58444305</c:v>
                </c:pt>
                <c:pt idx="1248">
                  <c:v>-1504090.58444305</c:v>
                </c:pt>
                <c:pt idx="1249">
                  <c:v>-1492090.58444305</c:v>
                </c:pt>
                <c:pt idx="1250">
                  <c:v>-1471690.58444305</c:v>
                </c:pt>
                <c:pt idx="1251">
                  <c:v>-1451290.58444305</c:v>
                </c:pt>
                <c:pt idx="1252">
                  <c:v>-1430890.58444305</c:v>
                </c:pt>
                <c:pt idx="1253">
                  <c:v>-1410490.58444305</c:v>
                </c:pt>
                <c:pt idx="1254">
                  <c:v>-1390090.58444305</c:v>
                </c:pt>
                <c:pt idx="1255">
                  <c:v>-1378090.58444305</c:v>
                </c:pt>
                <c:pt idx="1256">
                  <c:v>-1366090.58444305</c:v>
                </c:pt>
                <c:pt idx="1257">
                  <c:v>-1345690.58444305</c:v>
                </c:pt>
                <c:pt idx="1258">
                  <c:v>-1325290.58444305</c:v>
                </c:pt>
                <c:pt idx="1259">
                  <c:v>-1304890.58444305</c:v>
                </c:pt>
                <c:pt idx="1260">
                  <c:v>-1284490.58444305</c:v>
                </c:pt>
                <c:pt idx="1261">
                  <c:v>-1264090.58444305</c:v>
                </c:pt>
                <c:pt idx="1262">
                  <c:v>-1252090.58444305</c:v>
                </c:pt>
                <c:pt idx="1263">
                  <c:v>-1240090.58444305</c:v>
                </c:pt>
                <c:pt idx="1264">
                  <c:v>-1219690.58444305</c:v>
                </c:pt>
                <c:pt idx="1265">
                  <c:v>-1199290.58444305</c:v>
                </c:pt>
                <c:pt idx="1266">
                  <c:v>-1178890.58444305</c:v>
                </c:pt>
                <c:pt idx="1267">
                  <c:v>-1158490.58444305</c:v>
                </c:pt>
                <c:pt idx="1268">
                  <c:v>-1138090.58444305</c:v>
                </c:pt>
                <c:pt idx="1269">
                  <c:v>-1126090.58444305</c:v>
                </c:pt>
                <c:pt idx="1270">
                  <c:v>-1114090.58444305</c:v>
                </c:pt>
                <c:pt idx="1271">
                  <c:v>-1093690.58444305</c:v>
                </c:pt>
                <c:pt idx="1272">
                  <c:v>-1073290.58444305</c:v>
                </c:pt>
                <c:pt idx="1273">
                  <c:v>-1052890.58444305</c:v>
                </c:pt>
                <c:pt idx="1274">
                  <c:v>-1032490.58444305</c:v>
                </c:pt>
                <c:pt idx="1275">
                  <c:v>-1012090.58444305</c:v>
                </c:pt>
                <c:pt idx="1276">
                  <c:v>-999490.584443047</c:v>
                </c:pt>
                <c:pt idx="1277">
                  <c:v>-1436787.25619637</c:v>
                </c:pt>
                <c:pt idx="1278">
                  <c:v>-1416387.25619637</c:v>
                </c:pt>
                <c:pt idx="1279">
                  <c:v>-1395987.25619637</c:v>
                </c:pt>
                <c:pt idx="1280">
                  <c:v>-1375587.25619637</c:v>
                </c:pt>
                <c:pt idx="1281">
                  <c:v>-1355187.25619637</c:v>
                </c:pt>
                <c:pt idx="1282">
                  <c:v>-1334787.25619637</c:v>
                </c:pt>
                <c:pt idx="1283">
                  <c:v>-1322187.25619637</c:v>
                </c:pt>
                <c:pt idx="1284">
                  <c:v>-1309587.25619637</c:v>
                </c:pt>
                <c:pt idx="1285">
                  <c:v>-1289187.25619637</c:v>
                </c:pt>
                <c:pt idx="1286">
                  <c:v>-1268787.25619637</c:v>
                </c:pt>
                <c:pt idx="1287">
                  <c:v>-1248387.25619637</c:v>
                </c:pt>
                <c:pt idx="1288">
                  <c:v>-1227987.25619637</c:v>
                </c:pt>
                <c:pt idx="1289">
                  <c:v>-1207587.25619637</c:v>
                </c:pt>
                <c:pt idx="1290">
                  <c:v>-1194987.25619637</c:v>
                </c:pt>
                <c:pt idx="1291">
                  <c:v>-1182387.25619637</c:v>
                </c:pt>
                <c:pt idx="1292">
                  <c:v>-1161987.25619637</c:v>
                </c:pt>
                <c:pt idx="1293">
                  <c:v>-1141587.25619637</c:v>
                </c:pt>
                <c:pt idx="1294">
                  <c:v>-1121187.25619637</c:v>
                </c:pt>
                <c:pt idx="1295">
                  <c:v>-1100787.25619637</c:v>
                </c:pt>
                <c:pt idx="1296">
                  <c:v>-1080387.25619637</c:v>
                </c:pt>
                <c:pt idx="1297">
                  <c:v>-1067787.25619637</c:v>
                </c:pt>
                <c:pt idx="1298">
                  <c:v>-1055187.25619637</c:v>
                </c:pt>
                <c:pt idx="1299">
                  <c:v>-1034787.25619637</c:v>
                </c:pt>
                <c:pt idx="1300">
                  <c:v>-1014387.25619637</c:v>
                </c:pt>
                <c:pt idx="1301">
                  <c:v>-993987.256196374</c:v>
                </c:pt>
                <c:pt idx="1302">
                  <c:v>-973587.256196374</c:v>
                </c:pt>
                <c:pt idx="1303">
                  <c:v>-953187.256196374</c:v>
                </c:pt>
                <c:pt idx="1304">
                  <c:v>-940587.256196374</c:v>
                </c:pt>
                <c:pt idx="1305">
                  <c:v>-927987.256196374</c:v>
                </c:pt>
                <c:pt idx="1306">
                  <c:v>-907587.256196374</c:v>
                </c:pt>
                <c:pt idx="1307">
                  <c:v>-887187.256196374</c:v>
                </c:pt>
                <c:pt idx="1308">
                  <c:v>-1318033.61796496</c:v>
                </c:pt>
                <c:pt idx="1309">
                  <c:v>-1297633.61796496</c:v>
                </c:pt>
                <c:pt idx="1310">
                  <c:v>-1277233.61796496</c:v>
                </c:pt>
                <c:pt idx="1311">
                  <c:v>-1264633.61796496</c:v>
                </c:pt>
                <c:pt idx="1312">
                  <c:v>-1252033.61796496</c:v>
                </c:pt>
                <c:pt idx="1313">
                  <c:v>-1231633.61796496</c:v>
                </c:pt>
                <c:pt idx="1314">
                  <c:v>-1211233.61796496</c:v>
                </c:pt>
                <c:pt idx="1315">
                  <c:v>-1190833.61796496</c:v>
                </c:pt>
                <c:pt idx="1316">
                  <c:v>-1170433.61796496</c:v>
                </c:pt>
                <c:pt idx="1317">
                  <c:v>-1150033.61796496</c:v>
                </c:pt>
                <c:pt idx="1318">
                  <c:v>-1137433.61796496</c:v>
                </c:pt>
                <c:pt idx="1319">
                  <c:v>-1124833.61796496</c:v>
                </c:pt>
                <c:pt idx="1320">
                  <c:v>-1104433.61796496</c:v>
                </c:pt>
                <c:pt idx="1321">
                  <c:v>-1084033.61796496</c:v>
                </c:pt>
                <c:pt idx="1322">
                  <c:v>-1063633.61796496</c:v>
                </c:pt>
                <c:pt idx="1323">
                  <c:v>-1043233.61796496</c:v>
                </c:pt>
                <c:pt idx="1324">
                  <c:v>-1022833.61796496</c:v>
                </c:pt>
                <c:pt idx="1325">
                  <c:v>-1010233.61796496</c:v>
                </c:pt>
                <c:pt idx="1326">
                  <c:v>-997633.617964962</c:v>
                </c:pt>
                <c:pt idx="1327">
                  <c:v>-977233.617964962</c:v>
                </c:pt>
                <c:pt idx="1328">
                  <c:v>-956833.617964962</c:v>
                </c:pt>
                <c:pt idx="1329">
                  <c:v>-936433.617964962</c:v>
                </c:pt>
                <c:pt idx="1330">
                  <c:v>-916033.617964962</c:v>
                </c:pt>
                <c:pt idx="1331">
                  <c:v>-895633.617964962</c:v>
                </c:pt>
                <c:pt idx="1332">
                  <c:v>-883033.617964962</c:v>
                </c:pt>
                <c:pt idx="1333">
                  <c:v>-870433.617964962</c:v>
                </c:pt>
                <c:pt idx="1334">
                  <c:v>-850033.617964962</c:v>
                </c:pt>
                <c:pt idx="1335">
                  <c:v>-829633.617964962</c:v>
                </c:pt>
                <c:pt idx="1336">
                  <c:v>-809233.617964962</c:v>
                </c:pt>
                <c:pt idx="1337">
                  <c:v>-788833.617964962</c:v>
                </c:pt>
                <c:pt idx="1338">
                  <c:v>-768433.617964962</c:v>
                </c:pt>
                <c:pt idx="1339">
                  <c:v>-1208433.71881886</c:v>
                </c:pt>
                <c:pt idx="1340">
                  <c:v>-1195833.71881886</c:v>
                </c:pt>
                <c:pt idx="1341">
                  <c:v>-1175433.71881886</c:v>
                </c:pt>
                <c:pt idx="1342">
                  <c:v>-1155033.71881886</c:v>
                </c:pt>
                <c:pt idx="1343">
                  <c:v>-1134633.71881886</c:v>
                </c:pt>
                <c:pt idx="1344">
                  <c:v>-1114233.71881886</c:v>
                </c:pt>
                <c:pt idx="1345">
                  <c:v>-1093833.71881886</c:v>
                </c:pt>
                <c:pt idx="1346">
                  <c:v>-1081233.71881886</c:v>
                </c:pt>
                <c:pt idx="1347">
                  <c:v>-1068633.71881886</c:v>
                </c:pt>
                <c:pt idx="1348">
                  <c:v>-1048233.71881886</c:v>
                </c:pt>
                <c:pt idx="1349">
                  <c:v>-1027833.71881886</c:v>
                </c:pt>
                <c:pt idx="1350">
                  <c:v>-1007433.71881886</c:v>
                </c:pt>
                <c:pt idx="1351">
                  <c:v>-987033.718818856</c:v>
                </c:pt>
                <c:pt idx="1352">
                  <c:v>-966633.718818856</c:v>
                </c:pt>
                <c:pt idx="1353">
                  <c:v>-954033.718818856</c:v>
                </c:pt>
                <c:pt idx="1354">
                  <c:v>-941433.718818856</c:v>
                </c:pt>
                <c:pt idx="1355">
                  <c:v>-921033.718818856</c:v>
                </c:pt>
                <c:pt idx="1356">
                  <c:v>-900633.718818856</c:v>
                </c:pt>
                <c:pt idx="1357">
                  <c:v>-880233.718818856</c:v>
                </c:pt>
                <c:pt idx="1358">
                  <c:v>-859833.718818856</c:v>
                </c:pt>
                <c:pt idx="1359">
                  <c:v>-838833.718818856</c:v>
                </c:pt>
                <c:pt idx="1360">
                  <c:v>-826233.718818856</c:v>
                </c:pt>
                <c:pt idx="1361">
                  <c:v>-813633.718818856</c:v>
                </c:pt>
                <c:pt idx="1362">
                  <c:v>-792333.718818856</c:v>
                </c:pt>
                <c:pt idx="1363">
                  <c:v>-771033.718818856</c:v>
                </c:pt>
                <c:pt idx="1364">
                  <c:v>-749733.718818856</c:v>
                </c:pt>
                <c:pt idx="1365">
                  <c:v>-728433.718818856</c:v>
                </c:pt>
                <c:pt idx="1366">
                  <c:v>-707133.718818856</c:v>
                </c:pt>
                <c:pt idx="1367">
                  <c:v>-694533.718818856</c:v>
                </c:pt>
                <c:pt idx="1368">
                  <c:v>-681933.718818856</c:v>
                </c:pt>
                <c:pt idx="1369">
                  <c:v>-1114591.61997531</c:v>
                </c:pt>
                <c:pt idx="1370">
                  <c:v>-1093291.61997531</c:v>
                </c:pt>
                <c:pt idx="1371">
                  <c:v>-1071991.61997531</c:v>
                </c:pt>
                <c:pt idx="1372">
                  <c:v>-1050691.61997531</c:v>
                </c:pt>
                <c:pt idx="1373">
                  <c:v>-1029391.61997531</c:v>
                </c:pt>
                <c:pt idx="1374">
                  <c:v>-1016791.61997531</c:v>
                </c:pt>
                <c:pt idx="1375">
                  <c:v>-1004191.61997531</c:v>
                </c:pt>
                <c:pt idx="1376">
                  <c:v>-982891.619975311</c:v>
                </c:pt>
                <c:pt idx="1377">
                  <c:v>-961591.619975311</c:v>
                </c:pt>
                <c:pt idx="1378">
                  <c:v>-940291.619975311</c:v>
                </c:pt>
                <c:pt idx="1379">
                  <c:v>-918991.619975311</c:v>
                </c:pt>
                <c:pt idx="1380">
                  <c:v>-897691.619975311</c:v>
                </c:pt>
                <c:pt idx="1381">
                  <c:v>-885091.619975311</c:v>
                </c:pt>
                <c:pt idx="1382">
                  <c:v>-872491.619975311</c:v>
                </c:pt>
                <c:pt idx="1383">
                  <c:v>-851191.619975311</c:v>
                </c:pt>
                <c:pt idx="1384">
                  <c:v>-829891.619975311</c:v>
                </c:pt>
                <c:pt idx="1385">
                  <c:v>-808591.619975311</c:v>
                </c:pt>
                <c:pt idx="1386">
                  <c:v>-787291.619975311</c:v>
                </c:pt>
                <c:pt idx="1387">
                  <c:v>-765991.619975311</c:v>
                </c:pt>
                <c:pt idx="1388">
                  <c:v>-753391.619975311</c:v>
                </c:pt>
                <c:pt idx="1389">
                  <c:v>-740791.619975311</c:v>
                </c:pt>
                <c:pt idx="1390">
                  <c:v>-719491.619975311</c:v>
                </c:pt>
                <c:pt idx="1391">
                  <c:v>-698191.619975311</c:v>
                </c:pt>
                <c:pt idx="1392">
                  <c:v>-676891.619975311</c:v>
                </c:pt>
                <c:pt idx="1393">
                  <c:v>-655591.619975311</c:v>
                </c:pt>
                <c:pt idx="1394">
                  <c:v>-634291.619975311</c:v>
                </c:pt>
                <c:pt idx="1395">
                  <c:v>-621691.619975311</c:v>
                </c:pt>
                <c:pt idx="1396">
                  <c:v>-609091.619975311</c:v>
                </c:pt>
                <c:pt idx="1397">
                  <c:v>-587791.619975311</c:v>
                </c:pt>
                <c:pt idx="1398">
                  <c:v>-566491.619975311</c:v>
                </c:pt>
                <c:pt idx="1399">
                  <c:v>-545191.619975311</c:v>
                </c:pt>
                <c:pt idx="1400">
                  <c:v>-979211.394835235</c:v>
                </c:pt>
                <c:pt idx="1401">
                  <c:v>-957911.394835235</c:v>
                </c:pt>
                <c:pt idx="1402">
                  <c:v>-945311.394835235</c:v>
                </c:pt>
                <c:pt idx="1403">
                  <c:v>-932711.394835235</c:v>
                </c:pt>
                <c:pt idx="1404">
                  <c:v>-911411.394835235</c:v>
                </c:pt>
                <c:pt idx="1405">
                  <c:v>-890111.394835235</c:v>
                </c:pt>
                <c:pt idx="1406">
                  <c:v>-868811.394835235</c:v>
                </c:pt>
                <c:pt idx="1407">
                  <c:v>-847511.394835235</c:v>
                </c:pt>
                <c:pt idx="1408">
                  <c:v>-826211.394835235</c:v>
                </c:pt>
                <c:pt idx="1409">
                  <c:v>-813611.394835235</c:v>
                </c:pt>
                <c:pt idx="1410">
                  <c:v>-800711.394835235</c:v>
                </c:pt>
                <c:pt idx="1411">
                  <c:v>-779411.394835235</c:v>
                </c:pt>
                <c:pt idx="1412">
                  <c:v>-758111.394835235</c:v>
                </c:pt>
                <c:pt idx="1413">
                  <c:v>-736811.394835235</c:v>
                </c:pt>
                <c:pt idx="1414">
                  <c:v>-715511.394835235</c:v>
                </c:pt>
                <c:pt idx="1415">
                  <c:v>-694211.394835235</c:v>
                </c:pt>
                <c:pt idx="1416">
                  <c:v>-681311.394835235</c:v>
                </c:pt>
                <c:pt idx="1417">
                  <c:v>-668411.394835235</c:v>
                </c:pt>
                <c:pt idx="1418">
                  <c:v>-647111.394835235</c:v>
                </c:pt>
                <c:pt idx="1419">
                  <c:v>-625811.394835235</c:v>
                </c:pt>
                <c:pt idx="1420">
                  <c:v>-604511.394835235</c:v>
                </c:pt>
                <c:pt idx="1421">
                  <c:v>-583211.394835235</c:v>
                </c:pt>
                <c:pt idx="1422">
                  <c:v>-561911.394835235</c:v>
                </c:pt>
                <c:pt idx="1423">
                  <c:v>-549011.394835235</c:v>
                </c:pt>
                <c:pt idx="1424">
                  <c:v>-536111.394835235</c:v>
                </c:pt>
                <c:pt idx="1425">
                  <c:v>-514811.394835235</c:v>
                </c:pt>
                <c:pt idx="1426">
                  <c:v>-493511.394835235</c:v>
                </c:pt>
                <c:pt idx="1427">
                  <c:v>-472211.394835235</c:v>
                </c:pt>
                <c:pt idx="1428">
                  <c:v>-450911.394835235</c:v>
                </c:pt>
                <c:pt idx="1429">
                  <c:v>-429611.394835235</c:v>
                </c:pt>
                <c:pt idx="1430">
                  <c:v>-873397.129019739</c:v>
                </c:pt>
                <c:pt idx="1431">
                  <c:v>-860497.129019739</c:v>
                </c:pt>
                <c:pt idx="1432">
                  <c:v>-839197.129019739</c:v>
                </c:pt>
                <c:pt idx="1433">
                  <c:v>-817897.129019739</c:v>
                </c:pt>
                <c:pt idx="1434">
                  <c:v>-796597.129019739</c:v>
                </c:pt>
                <c:pt idx="1435">
                  <c:v>-775297.129019739</c:v>
                </c:pt>
                <c:pt idx="1436">
                  <c:v>-753997.129019739</c:v>
                </c:pt>
                <c:pt idx="1437">
                  <c:v>-741097.129019739</c:v>
                </c:pt>
                <c:pt idx="1438">
                  <c:v>-728197.129019739</c:v>
                </c:pt>
                <c:pt idx="1439">
                  <c:v>-706897.129019739</c:v>
                </c:pt>
                <c:pt idx="1440">
                  <c:v>-685597.129019739</c:v>
                </c:pt>
                <c:pt idx="1441">
                  <c:v>-664297.129019739</c:v>
                </c:pt>
                <c:pt idx="1442">
                  <c:v>-642997.129019739</c:v>
                </c:pt>
                <c:pt idx="1443">
                  <c:v>-621697.129019739</c:v>
                </c:pt>
                <c:pt idx="1444">
                  <c:v>-608797.129019739</c:v>
                </c:pt>
                <c:pt idx="1445">
                  <c:v>-595897.129019739</c:v>
                </c:pt>
                <c:pt idx="1446">
                  <c:v>-574597.129019739</c:v>
                </c:pt>
                <c:pt idx="1447">
                  <c:v>-553297.129019739</c:v>
                </c:pt>
                <c:pt idx="1448">
                  <c:v>-531997.129019739</c:v>
                </c:pt>
                <c:pt idx="1449">
                  <c:v>-510697.129019739</c:v>
                </c:pt>
                <c:pt idx="1450">
                  <c:v>-489397.129019739</c:v>
                </c:pt>
                <c:pt idx="1451">
                  <c:v>-476497.129019739</c:v>
                </c:pt>
                <c:pt idx="1452">
                  <c:v>-463597.129019739</c:v>
                </c:pt>
                <c:pt idx="1453">
                  <c:v>-442297.129019739</c:v>
                </c:pt>
                <c:pt idx="1454">
                  <c:v>-420997.129019739</c:v>
                </c:pt>
                <c:pt idx="1455">
                  <c:v>-399697.129019739</c:v>
                </c:pt>
                <c:pt idx="1456">
                  <c:v>-378397.129019739</c:v>
                </c:pt>
                <c:pt idx="1457">
                  <c:v>-357097.129019739</c:v>
                </c:pt>
                <c:pt idx="1458">
                  <c:v>-344197.129019739</c:v>
                </c:pt>
                <c:pt idx="1459">
                  <c:v>-331297.129019739</c:v>
                </c:pt>
                <c:pt idx="1460">
                  <c:v>-309997.129019739</c:v>
                </c:pt>
                <c:pt idx="1461">
                  <c:v>-746752.920406796</c:v>
                </c:pt>
                <c:pt idx="1462">
                  <c:v>-725452.920406796</c:v>
                </c:pt>
                <c:pt idx="1463">
                  <c:v>-704152.920406796</c:v>
                </c:pt>
                <c:pt idx="1464">
                  <c:v>-682852.920406796</c:v>
                </c:pt>
                <c:pt idx="1465">
                  <c:v>-669952.920406796</c:v>
                </c:pt>
                <c:pt idx="1466">
                  <c:v>-657052.920406796</c:v>
                </c:pt>
                <c:pt idx="1467">
                  <c:v>-635752.920406796</c:v>
                </c:pt>
                <c:pt idx="1468">
                  <c:v>-614452.920406796</c:v>
                </c:pt>
                <c:pt idx="1469">
                  <c:v>-593152.920406796</c:v>
                </c:pt>
                <c:pt idx="1470">
                  <c:v>-571852.920406796</c:v>
                </c:pt>
                <c:pt idx="1471">
                  <c:v>-550552.920406796</c:v>
                </c:pt>
                <c:pt idx="1472">
                  <c:v>-537652.920406796</c:v>
                </c:pt>
                <c:pt idx="1473">
                  <c:v>-524752.920406796</c:v>
                </c:pt>
                <c:pt idx="1474">
                  <c:v>-503452.920406796</c:v>
                </c:pt>
                <c:pt idx="1475">
                  <c:v>-482152.920406796</c:v>
                </c:pt>
                <c:pt idx="1476">
                  <c:v>-460852.920406796</c:v>
                </c:pt>
                <c:pt idx="1477">
                  <c:v>-439552.920406796</c:v>
                </c:pt>
                <c:pt idx="1478">
                  <c:v>-418252.920406796</c:v>
                </c:pt>
                <c:pt idx="1479">
                  <c:v>-405352.920406796</c:v>
                </c:pt>
                <c:pt idx="1480">
                  <c:v>-392452.920406796</c:v>
                </c:pt>
                <c:pt idx="1481">
                  <c:v>-371152.920406796</c:v>
                </c:pt>
                <c:pt idx="1482">
                  <c:v>-349852.920406796</c:v>
                </c:pt>
                <c:pt idx="1483">
                  <c:v>-328552.920406796</c:v>
                </c:pt>
                <c:pt idx="1484">
                  <c:v>-307252.920406796</c:v>
                </c:pt>
                <c:pt idx="1485">
                  <c:v>-285952.920406796</c:v>
                </c:pt>
                <c:pt idx="1486">
                  <c:v>-273052.920406796</c:v>
                </c:pt>
                <c:pt idx="1487">
                  <c:v>-260152.920406796</c:v>
                </c:pt>
                <c:pt idx="1488">
                  <c:v>-238852.920406796</c:v>
                </c:pt>
                <c:pt idx="1489">
                  <c:v>-217552.920406796</c:v>
                </c:pt>
                <c:pt idx="1490">
                  <c:v>-196252.920406796</c:v>
                </c:pt>
                <c:pt idx="1491">
                  <c:v>-174952.920406796</c:v>
                </c:pt>
                <c:pt idx="1492">
                  <c:v>-613082.879168015</c:v>
                </c:pt>
                <c:pt idx="1493">
                  <c:v>-600182.879168015</c:v>
                </c:pt>
                <c:pt idx="1494">
                  <c:v>-587282.879168015</c:v>
                </c:pt>
                <c:pt idx="1495">
                  <c:v>-565982.879168015</c:v>
                </c:pt>
                <c:pt idx="1496">
                  <c:v>-544682.879168015</c:v>
                </c:pt>
                <c:pt idx="1497">
                  <c:v>-523382.879168015</c:v>
                </c:pt>
                <c:pt idx="1498">
                  <c:v>-502082.879168015</c:v>
                </c:pt>
                <c:pt idx="1499">
                  <c:v>-480782.879168015</c:v>
                </c:pt>
                <c:pt idx="1500">
                  <c:v>-467882.879168015</c:v>
                </c:pt>
                <c:pt idx="1501">
                  <c:v>-454982.879168015</c:v>
                </c:pt>
                <c:pt idx="1502">
                  <c:v>-433682.879168015</c:v>
                </c:pt>
                <c:pt idx="1503">
                  <c:v>-412382.879168015</c:v>
                </c:pt>
                <c:pt idx="1504">
                  <c:v>-391082.879168015</c:v>
                </c:pt>
                <c:pt idx="1505">
                  <c:v>-369782.879168015</c:v>
                </c:pt>
                <c:pt idx="1506">
                  <c:v>-348482.879168015</c:v>
                </c:pt>
                <c:pt idx="1507">
                  <c:v>-335582.879168015</c:v>
                </c:pt>
                <c:pt idx="1508">
                  <c:v>-322682.879168015</c:v>
                </c:pt>
                <c:pt idx="1509">
                  <c:v>-301082.879168015</c:v>
                </c:pt>
                <c:pt idx="1510">
                  <c:v>-279482.879168015</c:v>
                </c:pt>
                <c:pt idx="1511">
                  <c:v>-257882.879168015</c:v>
                </c:pt>
                <c:pt idx="1512">
                  <c:v>-236282.879168015</c:v>
                </c:pt>
                <c:pt idx="1513">
                  <c:v>-214682.879168015</c:v>
                </c:pt>
                <c:pt idx="1514">
                  <c:v>-201782.879168015</c:v>
                </c:pt>
                <c:pt idx="1515">
                  <c:v>-188882.879168015</c:v>
                </c:pt>
                <c:pt idx="1516">
                  <c:v>-167282.879168015</c:v>
                </c:pt>
                <c:pt idx="1517">
                  <c:v>-145682.879168015</c:v>
                </c:pt>
                <c:pt idx="1518">
                  <c:v>-124082.879168015</c:v>
                </c:pt>
                <c:pt idx="1519">
                  <c:v>-102482.879168015</c:v>
                </c:pt>
                <c:pt idx="1520">
                  <c:v>-541691.127805517</c:v>
                </c:pt>
                <c:pt idx="1521">
                  <c:v>-528791.127805517</c:v>
                </c:pt>
                <c:pt idx="1522">
                  <c:v>-515891.127805517</c:v>
                </c:pt>
                <c:pt idx="1523">
                  <c:v>-494291.127805517</c:v>
                </c:pt>
                <c:pt idx="1524">
                  <c:v>-472691.127805517</c:v>
                </c:pt>
                <c:pt idx="1525">
                  <c:v>-451091.127805517</c:v>
                </c:pt>
                <c:pt idx="1526">
                  <c:v>-429491.127805517</c:v>
                </c:pt>
                <c:pt idx="1527">
                  <c:v>-407891.127805517</c:v>
                </c:pt>
                <c:pt idx="1528">
                  <c:v>-394991.127805517</c:v>
                </c:pt>
                <c:pt idx="1529">
                  <c:v>-382091.127805517</c:v>
                </c:pt>
                <c:pt idx="1530">
                  <c:v>-360491.127805517</c:v>
                </c:pt>
                <c:pt idx="1531">
                  <c:v>-338891.127805517</c:v>
                </c:pt>
                <c:pt idx="1532">
                  <c:v>-317291.127805517</c:v>
                </c:pt>
                <c:pt idx="1533">
                  <c:v>-295691.127805517</c:v>
                </c:pt>
                <c:pt idx="1534">
                  <c:v>-274091.127805517</c:v>
                </c:pt>
                <c:pt idx="1535">
                  <c:v>-261191.127805517</c:v>
                </c:pt>
                <c:pt idx="1536">
                  <c:v>-248291.127805517</c:v>
                </c:pt>
                <c:pt idx="1537">
                  <c:v>-226691.127805517</c:v>
                </c:pt>
                <c:pt idx="1538">
                  <c:v>-205091.127805517</c:v>
                </c:pt>
                <c:pt idx="1539">
                  <c:v>-183491.127805517</c:v>
                </c:pt>
                <c:pt idx="1540">
                  <c:v>-161891.127805517</c:v>
                </c:pt>
                <c:pt idx="1541">
                  <c:v>-140291.127805517</c:v>
                </c:pt>
                <c:pt idx="1542">
                  <c:v>-127391.127805517</c:v>
                </c:pt>
                <c:pt idx="1543">
                  <c:v>-114491.127805517</c:v>
                </c:pt>
                <c:pt idx="1544">
                  <c:v>-92891.1278055168</c:v>
                </c:pt>
                <c:pt idx="1545">
                  <c:v>-71291.1278055168</c:v>
                </c:pt>
                <c:pt idx="1546">
                  <c:v>-49691.1278055168</c:v>
                </c:pt>
                <c:pt idx="1547">
                  <c:v>-28091.1278055168</c:v>
                </c:pt>
                <c:pt idx="1548">
                  <c:v>-6491.12780551682</c:v>
                </c:pt>
                <c:pt idx="1549">
                  <c:v>6408.87219448318</c:v>
                </c:pt>
                <c:pt idx="1550">
                  <c:v>19308.8721944832</c:v>
                </c:pt>
                <c:pt idx="1551">
                  <c:v>-421281.801188931</c:v>
                </c:pt>
                <c:pt idx="1552">
                  <c:v>-399681.801188931</c:v>
                </c:pt>
                <c:pt idx="1553">
                  <c:v>-378081.801188931</c:v>
                </c:pt>
                <c:pt idx="1554">
                  <c:v>-356481.801188931</c:v>
                </c:pt>
                <c:pt idx="1555">
                  <c:v>-334881.801188931</c:v>
                </c:pt>
                <c:pt idx="1556">
                  <c:v>-321981.801188931</c:v>
                </c:pt>
                <c:pt idx="1557">
                  <c:v>-309081.801188931</c:v>
                </c:pt>
                <c:pt idx="1558">
                  <c:v>-287481.801188931</c:v>
                </c:pt>
                <c:pt idx="1559">
                  <c:v>-265881.801188931</c:v>
                </c:pt>
                <c:pt idx="1560">
                  <c:v>-244281.801188931</c:v>
                </c:pt>
                <c:pt idx="1561">
                  <c:v>-222681.801188931</c:v>
                </c:pt>
                <c:pt idx="1562">
                  <c:v>-201081.801188931</c:v>
                </c:pt>
                <c:pt idx="1563">
                  <c:v>-188181.801188931</c:v>
                </c:pt>
                <c:pt idx="1564">
                  <c:v>-175281.801188931</c:v>
                </c:pt>
                <c:pt idx="1565">
                  <c:v>-153681.801188931</c:v>
                </c:pt>
                <c:pt idx="1566">
                  <c:v>-132081.801188931</c:v>
                </c:pt>
                <c:pt idx="1567">
                  <c:v>-110481.801188931</c:v>
                </c:pt>
                <c:pt idx="1568">
                  <c:v>-88881.8011889315</c:v>
                </c:pt>
                <c:pt idx="1569">
                  <c:v>-67281.8011889315</c:v>
                </c:pt>
                <c:pt idx="1570">
                  <c:v>-54381.8011889315</c:v>
                </c:pt>
                <c:pt idx="1571">
                  <c:v>-41481.8011889315</c:v>
                </c:pt>
                <c:pt idx="1572">
                  <c:v>-19881.8011889315</c:v>
                </c:pt>
                <c:pt idx="1573">
                  <c:v>1718.19881106855</c:v>
                </c:pt>
                <c:pt idx="1574">
                  <c:v>23318.1988110686</c:v>
                </c:pt>
                <c:pt idx="1575">
                  <c:v>44918.1988110686</c:v>
                </c:pt>
                <c:pt idx="1576">
                  <c:v>66518.1988110686</c:v>
                </c:pt>
                <c:pt idx="1577">
                  <c:v>79418.1988110686</c:v>
                </c:pt>
                <c:pt idx="1578">
                  <c:v>92318.1988110686</c:v>
                </c:pt>
                <c:pt idx="1579">
                  <c:v>113918.198811069</c:v>
                </c:pt>
                <c:pt idx="1580">
                  <c:v>135518.198811069</c:v>
                </c:pt>
                <c:pt idx="1581">
                  <c:v>-306459.046592496</c:v>
                </c:pt>
                <c:pt idx="1582">
                  <c:v>-284859.046592496</c:v>
                </c:pt>
                <c:pt idx="1583">
                  <c:v>-263259.046592496</c:v>
                </c:pt>
                <c:pt idx="1584">
                  <c:v>-250359.046592496</c:v>
                </c:pt>
                <c:pt idx="1585">
                  <c:v>-237459.046592496</c:v>
                </c:pt>
                <c:pt idx="1586">
                  <c:v>-215859.046592496</c:v>
                </c:pt>
                <c:pt idx="1587">
                  <c:v>-194259.046592496</c:v>
                </c:pt>
                <c:pt idx="1588">
                  <c:v>-172659.046592496</c:v>
                </c:pt>
                <c:pt idx="1589">
                  <c:v>-151059.046592496</c:v>
                </c:pt>
                <c:pt idx="1590">
                  <c:v>-129459.046592496</c:v>
                </c:pt>
                <c:pt idx="1591">
                  <c:v>-116559.046592496</c:v>
                </c:pt>
                <c:pt idx="1592">
                  <c:v>-103659.046592496</c:v>
                </c:pt>
                <c:pt idx="1593">
                  <c:v>-82059.0465924963</c:v>
                </c:pt>
                <c:pt idx="1594">
                  <c:v>-60459.0465924963</c:v>
                </c:pt>
                <c:pt idx="1595">
                  <c:v>-38859.0465924963</c:v>
                </c:pt>
                <c:pt idx="1596">
                  <c:v>-17259.0465924963</c:v>
                </c:pt>
                <c:pt idx="1597">
                  <c:v>4340.95340750372</c:v>
                </c:pt>
                <c:pt idx="1598">
                  <c:v>17240.9534075037</c:v>
                </c:pt>
                <c:pt idx="1599">
                  <c:v>30140.9534075037</c:v>
                </c:pt>
                <c:pt idx="1600">
                  <c:v>51740.9534075037</c:v>
                </c:pt>
                <c:pt idx="1601">
                  <c:v>73340.9534075037</c:v>
                </c:pt>
                <c:pt idx="1602">
                  <c:v>94940.9534075037</c:v>
                </c:pt>
                <c:pt idx="1603">
                  <c:v>116540.953407504</c:v>
                </c:pt>
                <c:pt idx="1604">
                  <c:v>138740.953407504</c:v>
                </c:pt>
                <c:pt idx="1605">
                  <c:v>151640.953407504</c:v>
                </c:pt>
                <c:pt idx="1606">
                  <c:v>164540.953407504</c:v>
                </c:pt>
                <c:pt idx="1607">
                  <c:v>186740.953407504</c:v>
                </c:pt>
                <c:pt idx="1608">
                  <c:v>208940.953407504</c:v>
                </c:pt>
                <c:pt idx="1609">
                  <c:v>231140.953407504</c:v>
                </c:pt>
                <c:pt idx="1610">
                  <c:v>253340.953407504</c:v>
                </c:pt>
                <c:pt idx="1611">
                  <c:v>275540.953407504</c:v>
                </c:pt>
                <c:pt idx="1612">
                  <c:v>-176527.023732272</c:v>
                </c:pt>
                <c:pt idx="1613">
                  <c:v>-163627.023732272</c:v>
                </c:pt>
                <c:pt idx="1614">
                  <c:v>-141427.023732272</c:v>
                </c:pt>
                <c:pt idx="1615">
                  <c:v>-119227.023732272</c:v>
                </c:pt>
                <c:pt idx="1616">
                  <c:v>-97027.0237322719</c:v>
                </c:pt>
                <c:pt idx="1617">
                  <c:v>-74827.0237322719</c:v>
                </c:pt>
                <c:pt idx="1618">
                  <c:v>-52627.0237322719</c:v>
                </c:pt>
                <c:pt idx="1619">
                  <c:v>-39727.0237322719</c:v>
                </c:pt>
                <c:pt idx="1620">
                  <c:v>-26827.0237322719</c:v>
                </c:pt>
                <c:pt idx="1621">
                  <c:v>-4627.02373227186</c:v>
                </c:pt>
                <c:pt idx="1622">
                  <c:v>17572.9762677281</c:v>
                </c:pt>
                <c:pt idx="1623">
                  <c:v>39772.9762677281</c:v>
                </c:pt>
                <c:pt idx="1624">
                  <c:v>61972.9762677281</c:v>
                </c:pt>
                <c:pt idx="1625">
                  <c:v>84172.9762677281</c:v>
                </c:pt>
                <c:pt idx="1626">
                  <c:v>97072.9762677281</c:v>
                </c:pt>
                <c:pt idx="1627">
                  <c:v>109972.976267728</c:v>
                </c:pt>
                <c:pt idx="1628">
                  <c:v>132172.976267728</c:v>
                </c:pt>
                <c:pt idx="1629">
                  <c:v>154372.976267728</c:v>
                </c:pt>
                <c:pt idx="1630">
                  <c:v>176572.976267728</c:v>
                </c:pt>
                <c:pt idx="1631">
                  <c:v>198772.976267728</c:v>
                </c:pt>
                <c:pt idx="1632">
                  <c:v>220972.976267728</c:v>
                </c:pt>
                <c:pt idx="1633">
                  <c:v>233872.976267728</c:v>
                </c:pt>
                <c:pt idx="1634">
                  <c:v>246772.976267728</c:v>
                </c:pt>
                <c:pt idx="1635">
                  <c:v>268972.976267728</c:v>
                </c:pt>
                <c:pt idx="1636">
                  <c:v>291172.976267728</c:v>
                </c:pt>
                <c:pt idx="1637">
                  <c:v>313372.976267728</c:v>
                </c:pt>
                <c:pt idx="1638">
                  <c:v>335572.976267728</c:v>
                </c:pt>
                <c:pt idx="1639">
                  <c:v>357772.976267728</c:v>
                </c:pt>
                <c:pt idx="1640">
                  <c:v>370672.976267728</c:v>
                </c:pt>
                <c:pt idx="1641">
                  <c:v>383572.976267728</c:v>
                </c:pt>
                <c:pt idx="1642">
                  <c:v>-60589.9048034666</c:v>
                </c:pt>
                <c:pt idx="1643">
                  <c:v>-38389.9048034666</c:v>
                </c:pt>
                <c:pt idx="1644">
                  <c:v>-16189.9048034666</c:v>
                </c:pt>
                <c:pt idx="1645">
                  <c:v>6010.09519653337</c:v>
                </c:pt>
                <c:pt idx="1646">
                  <c:v>28510.0951965334</c:v>
                </c:pt>
                <c:pt idx="1647">
                  <c:v>41710.0951965334</c:v>
                </c:pt>
                <c:pt idx="1648">
                  <c:v>54910.0951965334</c:v>
                </c:pt>
                <c:pt idx="1649">
                  <c:v>77410.0951965334</c:v>
                </c:pt>
                <c:pt idx="1650">
                  <c:v>99910.0951965334</c:v>
                </c:pt>
                <c:pt idx="1651">
                  <c:v>122410.095196533</c:v>
                </c:pt>
                <c:pt idx="1652">
                  <c:v>144910.095196533</c:v>
                </c:pt>
                <c:pt idx="1653">
                  <c:v>167410.095196533</c:v>
                </c:pt>
                <c:pt idx="1654">
                  <c:v>180610.095196533</c:v>
                </c:pt>
                <c:pt idx="1655">
                  <c:v>193810.095196533</c:v>
                </c:pt>
                <c:pt idx="1656">
                  <c:v>216310.095196533</c:v>
                </c:pt>
                <c:pt idx="1657">
                  <c:v>238810.095196533</c:v>
                </c:pt>
                <c:pt idx="1658">
                  <c:v>261310.095196533</c:v>
                </c:pt>
                <c:pt idx="1659">
                  <c:v>283810.095196533</c:v>
                </c:pt>
                <c:pt idx="1660">
                  <c:v>306310.095196533</c:v>
                </c:pt>
                <c:pt idx="1661">
                  <c:v>319510.095196533</c:v>
                </c:pt>
                <c:pt idx="1662">
                  <c:v>332710.095196533</c:v>
                </c:pt>
                <c:pt idx="1663">
                  <c:v>355210.095196533</c:v>
                </c:pt>
                <c:pt idx="1664">
                  <c:v>377710.095196533</c:v>
                </c:pt>
                <c:pt idx="1665">
                  <c:v>400210.095196533</c:v>
                </c:pt>
                <c:pt idx="1666">
                  <c:v>422710.095196533</c:v>
                </c:pt>
                <c:pt idx="1667">
                  <c:v>445210.095196533</c:v>
                </c:pt>
                <c:pt idx="1668">
                  <c:v>458410.095196533</c:v>
                </c:pt>
                <c:pt idx="1669">
                  <c:v>471610.095196533</c:v>
                </c:pt>
                <c:pt idx="1670">
                  <c:v>494110.095196533</c:v>
                </c:pt>
                <c:pt idx="1671">
                  <c:v>516610.095196533</c:v>
                </c:pt>
                <c:pt idx="1672">
                  <c:v>539110.095196533</c:v>
                </c:pt>
                <c:pt idx="1673">
                  <c:v>93848.1254821251</c:v>
                </c:pt>
                <c:pt idx="1674">
                  <c:v>116348.125482125</c:v>
                </c:pt>
                <c:pt idx="1675">
                  <c:v>129548.125482125</c:v>
                </c:pt>
                <c:pt idx="1676">
                  <c:v>142748.125482125</c:v>
                </c:pt>
                <c:pt idx="1677">
                  <c:v>165248.125482125</c:v>
                </c:pt>
                <c:pt idx="1678">
                  <c:v>187748.125482125</c:v>
                </c:pt>
                <c:pt idx="1679">
                  <c:v>210248.125482125</c:v>
                </c:pt>
                <c:pt idx="1680">
                  <c:v>232748.125482125</c:v>
                </c:pt>
                <c:pt idx="1681">
                  <c:v>255248.125482125</c:v>
                </c:pt>
                <c:pt idx="1682">
                  <c:v>268448.125482125</c:v>
                </c:pt>
                <c:pt idx="1683">
                  <c:v>282248.125482125</c:v>
                </c:pt>
                <c:pt idx="1684">
                  <c:v>304748.125482125</c:v>
                </c:pt>
                <c:pt idx="1685">
                  <c:v>327248.125482125</c:v>
                </c:pt>
                <c:pt idx="1686">
                  <c:v>349748.125482125</c:v>
                </c:pt>
                <c:pt idx="1687">
                  <c:v>372248.125482125</c:v>
                </c:pt>
                <c:pt idx="1688">
                  <c:v>394748.125482125</c:v>
                </c:pt>
                <c:pt idx="1689">
                  <c:v>408548.125482125</c:v>
                </c:pt>
                <c:pt idx="1690">
                  <c:v>422348.125482125</c:v>
                </c:pt>
                <c:pt idx="1691">
                  <c:v>444848.125482125</c:v>
                </c:pt>
                <c:pt idx="1692">
                  <c:v>467348.125482125</c:v>
                </c:pt>
                <c:pt idx="1693">
                  <c:v>489848.125482125</c:v>
                </c:pt>
                <c:pt idx="1694">
                  <c:v>512348.125482125</c:v>
                </c:pt>
                <c:pt idx="1695">
                  <c:v>534848.125482125</c:v>
                </c:pt>
                <c:pt idx="1696">
                  <c:v>548648.125482125</c:v>
                </c:pt>
                <c:pt idx="1697">
                  <c:v>562448.125482125</c:v>
                </c:pt>
                <c:pt idx="1698">
                  <c:v>584948.125482125</c:v>
                </c:pt>
                <c:pt idx="1699">
                  <c:v>607448.125482125</c:v>
                </c:pt>
                <c:pt idx="1700">
                  <c:v>629948.125482125</c:v>
                </c:pt>
                <c:pt idx="1701">
                  <c:v>652448.125482125</c:v>
                </c:pt>
                <c:pt idx="1702">
                  <c:v>674948.125482125</c:v>
                </c:pt>
                <c:pt idx="1703">
                  <c:v>688748.125482125</c:v>
                </c:pt>
                <c:pt idx="1704">
                  <c:v>233382.869858574</c:v>
                </c:pt>
                <c:pt idx="1705">
                  <c:v>255882.869858574</c:v>
                </c:pt>
                <c:pt idx="1706">
                  <c:v>278382.869858574</c:v>
                </c:pt>
                <c:pt idx="1707">
                  <c:v>300882.869858574</c:v>
                </c:pt>
                <c:pt idx="1708">
                  <c:v>323382.869858574</c:v>
                </c:pt>
                <c:pt idx="1709">
                  <c:v>345882.869858574</c:v>
                </c:pt>
                <c:pt idx="1710">
                  <c:v>359682.869858574</c:v>
                </c:pt>
                <c:pt idx="1711">
                  <c:v>373482.869858574</c:v>
                </c:pt>
                <c:pt idx="1712">
                  <c:v>395982.869858574</c:v>
                </c:pt>
                <c:pt idx="1713">
                  <c:v>418482.869858574</c:v>
                </c:pt>
                <c:pt idx="1714">
                  <c:v>440982.869858574</c:v>
                </c:pt>
                <c:pt idx="1715">
                  <c:v>463482.869858574</c:v>
                </c:pt>
                <c:pt idx="1716">
                  <c:v>485982.869858574</c:v>
                </c:pt>
                <c:pt idx="1717">
                  <c:v>499782.869858574</c:v>
                </c:pt>
                <c:pt idx="1718">
                  <c:v>513582.869858574</c:v>
                </c:pt>
                <c:pt idx="1719">
                  <c:v>536082.869858574</c:v>
                </c:pt>
                <c:pt idx="1720">
                  <c:v>558582.869858574</c:v>
                </c:pt>
                <c:pt idx="1721">
                  <c:v>581082.869858574</c:v>
                </c:pt>
                <c:pt idx="1722">
                  <c:v>603582.869858574</c:v>
                </c:pt>
                <c:pt idx="1723">
                  <c:v>626082.869858574</c:v>
                </c:pt>
                <c:pt idx="1724">
                  <c:v>639882.869858574</c:v>
                </c:pt>
                <c:pt idx="1725">
                  <c:v>653682.869858574</c:v>
                </c:pt>
                <c:pt idx="1726">
                  <c:v>676182.869858574</c:v>
                </c:pt>
                <c:pt idx="1727">
                  <c:v>698682.869858574</c:v>
                </c:pt>
                <c:pt idx="1728">
                  <c:v>721182.869858574</c:v>
                </c:pt>
                <c:pt idx="1729">
                  <c:v>743682.869858574</c:v>
                </c:pt>
                <c:pt idx="1730">
                  <c:v>766182.869858574</c:v>
                </c:pt>
                <c:pt idx="1731">
                  <c:v>779982.869858574</c:v>
                </c:pt>
                <c:pt idx="1732">
                  <c:v>793782.869858574</c:v>
                </c:pt>
                <c:pt idx="1733">
                  <c:v>816282.869858574</c:v>
                </c:pt>
                <c:pt idx="1734">
                  <c:v>368210.118468152</c:v>
                </c:pt>
                <c:pt idx="1735">
                  <c:v>390710.118468152</c:v>
                </c:pt>
                <c:pt idx="1736">
                  <c:v>413210.118468152</c:v>
                </c:pt>
                <c:pt idx="1737">
                  <c:v>435710.118468152</c:v>
                </c:pt>
                <c:pt idx="1738">
                  <c:v>449510.118468152</c:v>
                </c:pt>
                <c:pt idx="1739">
                  <c:v>463310.118468152</c:v>
                </c:pt>
                <c:pt idx="1740">
                  <c:v>485810.118468152</c:v>
                </c:pt>
                <c:pt idx="1741">
                  <c:v>508310.118468152</c:v>
                </c:pt>
                <c:pt idx="1742">
                  <c:v>530810.118468152</c:v>
                </c:pt>
                <c:pt idx="1743">
                  <c:v>553310.118468152</c:v>
                </c:pt>
                <c:pt idx="1744">
                  <c:v>575810.118468152</c:v>
                </c:pt>
                <c:pt idx="1745">
                  <c:v>589610.118468152</c:v>
                </c:pt>
                <c:pt idx="1746">
                  <c:v>603410.118468152</c:v>
                </c:pt>
                <c:pt idx="1747">
                  <c:v>625910.118468152</c:v>
                </c:pt>
                <c:pt idx="1748">
                  <c:v>648410.118468152</c:v>
                </c:pt>
                <c:pt idx="1749">
                  <c:v>670910.118468152</c:v>
                </c:pt>
                <c:pt idx="1750">
                  <c:v>693410.118468152</c:v>
                </c:pt>
                <c:pt idx="1751">
                  <c:v>715910.118468152</c:v>
                </c:pt>
                <c:pt idx="1752">
                  <c:v>729710.118468152</c:v>
                </c:pt>
                <c:pt idx="1753">
                  <c:v>743510.118468152</c:v>
                </c:pt>
                <c:pt idx="1754">
                  <c:v>766010.118468152</c:v>
                </c:pt>
                <c:pt idx="1755">
                  <c:v>788510.118468152</c:v>
                </c:pt>
                <c:pt idx="1756">
                  <c:v>811010.118468152</c:v>
                </c:pt>
                <c:pt idx="1757">
                  <c:v>833510.118468152</c:v>
                </c:pt>
                <c:pt idx="1758">
                  <c:v>856010.118468152</c:v>
                </c:pt>
                <c:pt idx="1759">
                  <c:v>869810.118468152</c:v>
                </c:pt>
                <c:pt idx="1760">
                  <c:v>883610.118468152</c:v>
                </c:pt>
                <c:pt idx="1761">
                  <c:v>906110.118468152</c:v>
                </c:pt>
                <c:pt idx="1762">
                  <c:v>928610.118468152</c:v>
                </c:pt>
                <c:pt idx="1763">
                  <c:v>951110.118468152</c:v>
                </c:pt>
                <c:pt idx="1764">
                  <c:v>973610.118468152</c:v>
                </c:pt>
                <c:pt idx="1765">
                  <c:v>524125.648823558</c:v>
                </c:pt>
                <c:pt idx="1766">
                  <c:v>537925.648823558</c:v>
                </c:pt>
                <c:pt idx="1767">
                  <c:v>551725.648823558</c:v>
                </c:pt>
                <c:pt idx="1768">
                  <c:v>574225.648823558</c:v>
                </c:pt>
                <c:pt idx="1769">
                  <c:v>596725.648823558</c:v>
                </c:pt>
                <c:pt idx="1770">
                  <c:v>619225.648823558</c:v>
                </c:pt>
                <c:pt idx="1771">
                  <c:v>641725.648823558</c:v>
                </c:pt>
                <c:pt idx="1772">
                  <c:v>664225.648823558</c:v>
                </c:pt>
                <c:pt idx="1773">
                  <c:v>678025.648823558</c:v>
                </c:pt>
                <c:pt idx="1774">
                  <c:v>691825.648823558</c:v>
                </c:pt>
                <c:pt idx="1775">
                  <c:v>714325.648823558</c:v>
                </c:pt>
                <c:pt idx="1776">
                  <c:v>736825.648823558</c:v>
                </c:pt>
                <c:pt idx="1777">
                  <c:v>759325.648823558</c:v>
                </c:pt>
                <c:pt idx="1778">
                  <c:v>781825.648823558</c:v>
                </c:pt>
                <c:pt idx="1779">
                  <c:v>804625.648823558</c:v>
                </c:pt>
                <c:pt idx="1780">
                  <c:v>818425.648823558</c:v>
                </c:pt>
                <c:pt idx="1781">
                  <c:v>832225.648823558</c:v>
                </c:pt>
                <c:pt idx="1782">
                  <c:v>855025.648823558</c:v>
                </c:pt>
                <c:pt idx="1783">
                  <c:v>877825.648823558</c:v>
                </c:pt>
                <c:pt idx="1784">
                  <c:v>900625.648823558</c:v>
                </c:pt>
                <c:pt idx="1785">
                  <c:v>923425.648823558</c:v>
                </c:pt>
                <c:pt idx="1786">
                  <c:v>946225.648823558</c:v>
                </c:pt>
                <c:pt idx="1787">
                  <c:v>960025.648823558</c:v>
                </c:pt>
                <c:pt idx="1788">
                  <c:v>973825.648823558</c:v>
                </c:pt>
                <c:pt idx="1789">
                  <c:v>996625.648823558</c:v>
                </c:pt>
                <c:pt idx="1790">
                  <c:v>1019425.64882356</c:v>
                </c:pt>
                <c:pt idx="1791">
                  <c:v>1042225.64882356</c:v>
                </c:pt>
                <c:pt idx="1792">
                  <c:v>1065025.64882356</c:v>
                </c:pt>
                <c:pt idx="1793">
                  <c:v>1087825.64882356</c:v>
                </c:pt>
                <c:pt idx="1794">
                  <c:v>1101625.64882356</c:v>
                </c:pt>
                <c:pt idx="1795">
                  <c:v>642025.225770031</c:v>
                </c:pt>
                <c:pt idx="1796">
                  <c:v>664825.225770031</c:v>
                </c:pt>
                <c:pt idx="1797">
                  <c:v>687625.225770031</c:v>
                </c:pt>
                <c:pt idx="1798">
                  <c:v>710425.225770031</c:v>
                </c:pt>
                <c:pt idx="1799">
                  <c:v>733225.225770031</c:v>
                </c:pt>
                <c:pt idx="1800">
                  <c:v>756025.225770031</c:v>
                </c:pt>
                <c:pt idx="1801">
                  <c:v>769825.225770031</c:v>
                </c:pt>
                <c:pt idx="1802">
                  <c:v>783625.225770031</c:v>
                </c:pt>
                <c:pt idx="1803">
                  <c:v>806425.225770031</c:v>
                </c:pt>
                <c:pt idx="1804">
                  <c:v>829225.225770031</c:v>
                </c:pt>
                <c:pt idx="1805">
                  <c:v>852025.225770031</c:v>
                </c:pt>
                <c:pt idx="1806">
                  <c:v>874825.225770031</c:v>
                </c:pt>
                <c:pt idx="1807">
                  <c:v>897625.225770031</c:v>
                </c:pt>
                <c:pt idx="1808">
                  <c:v>911425.225770031</c:v>
                </c:pt>
                <c:pt idx="1809">
                  <c:v>925225.225770031</c:v>
                </c:pt>
                <c:pt idx="1810">
                  <c:v>948025.225770031</c:v>
                </c:pt>
                <c:pt idx="1811">
                  <c:v>970825.225770031</c:v>
                </c:pt>
                <c:pt idx="1812">
                  <c:v>993625.225770031</c:v>
                </c:pt>
                <c:pt idx="1813">
                  <c:v>1016425.22577003</c:v>
                </c:pt>
                <c:pt idx="1814">
                  <c:v>1039225.22577003</c:v>
                </c:pt>
                <c:pt idx="1815">
                  <c:v>1053025.22577003</c:v>
                </c:pt>
                <c:pt idx="1816">
                  <c:v>1066825.22577003</c:v>
                </c:pt>
                <c:pt idx="1817">
                  <c:v>1089625.22577003</c:v>
                </c:pt>
                <c:pt idx="1818">
                  <c:v>1112425.22577003</c:v>
                </c:pt>
                <c:pt idx="1819">
                  <c:v>1135225.22577003</c:v>
                </c:pt>
                <c:pt idx="1820">
                  <c:v>1158025.22577003</c:v>
                </c:pt>
                <c:pt idx="1821">
                  <c:v>1180825.22577003</c:v>
                </c:pt>
                <c:pt idx="1822">
                  <c:v>1194625.22577003</c:v>
                </c:pt>
                <c:pt idx="1823">
                  <c:v>1208425.22577003</c:v>
                </c:pt>
                <c:pt idx="1824">
                  <c:v>1231225.22577003</c:v>
                </c:pt>
                <c:pt idx="1825">
                  <c:v>1254025.22577003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951068"/>
        <c:axId val="95235723"/>
      </c:lineChart>
      <c:catAx>
        <c:axId val="609510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35723"/>
        <c:crosses val="autoZero"/>
        <c:auto val="1"/>
        <c:lblAlgn val="ctr"/>
        <c:lblOffset val="100"/>
        <c:noMultiLvlLbl val="0"/>
      </c:catAx>
      <c:valAx>
        <c:axId val="952357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Net Cash Position (UGX)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510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160920</xdr:rowOff>
    </xdr:from>
    <xdr:to>
      <xdr:col>5</xdr:col>
      <xdr:colOff>186840</xdr:colOff>
      <xdr:row>40</xdr:row>
      <xdr:rowOff>56880</xdr:rowOff>
    </xdr:to>
    <xdr:graphicFrame>
      <xdr:nvGraphicFramePr>
        <xdr:cNvPr id="0" name="Chart 1"/>
        <xdr:cNvGraphicFramePr/>
      </xdr:nvGraphicFramePr>
      <xdr:xfrm>
        <a:off x="0" y="304812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46023</v>
      </c>
    </row>
    <row r="6" customFormat="false" ht="15" hidden="false" customHeight="false" outlineLevel="0" collapsed="false">
      <c r="A6" s="5" t="s">
        <v>4</v>
      </c>
      <c r="B6" s="6" t="n">
        <v>47848</v>
      </c>
    </row>
    <row r="7" customFormat="false" ht="15" hidden="false" customHeight="false" outlineLevel="0" collapsed="false">
      <c r="A7" s="5" t="s">
        <v>5</v>
      </c>
      <c r="B7" s="7" t="n">
        <f aca="false">B6-B5+1</f>
        <v>1826</v>
      </c>
    </row>
    <row r="9" customFormat="false" ht="15" hidden="false" customHeight="false" outlineLevel="0" collapsed="false">
      <c r="A9" s="3" t="s">
        <v>6</v>
      </c>
      <c r="B9" s="4"/>
      <c r="C9" s="4"/>
    </row>
    <row r="10" customFormat="false" ht="15" hidden="false" customHeight="false" outlineLevel="0" collapsed="false">
      <c r="A10" s="5" t="s">
        <v>7</v>
      </c>
      <c r="B10" s="8" t="n">
        <v>3000000</v>
      </c>
    </row>
    <row r="11" customFormat="false" ht="15" hidden="false" customHeight="false" outlineLevel="0" collapsed="false">
      <c r="A11" s="5" t="s">
        <v>8</v>
      </c>
      <c r="B11" s="8" t="n">
        <v>500000</v>
      </c>
    </row>
    <row r="12" customFormat="false" ht="15" hidden="false" customHeight="false" outlineLevel="0" collapsed="false">
      <c r="A12" s="5" t="s">
        <v>9</v>
      </c>
      <c r="B12" s="8" t="n">
        <v>800000</v>
      </c>
    </row>
    <row r="13" customFormat="false" ht="15" hidden="false" customHeight="false" outlineLevel="0" collapsed="false">
      <c r="A13" s="5" t="s">
        <v>10</v>
      </c>
      <c r="B13" s="8" t="n">
        <v>300000</v>
      </c>
    </row>
    <row r="14" customFormat="false" ht="15" hidden="false" customHeight="false" outlineLevel="0" collapsed="false">
      <c r="A14" s="5" t="s">
        <v>11</v>
      </c>
      <c r="B14" s="8" t="n">
        <v>400000</v>
      </c>
    </row>
    <row r="15" customFormat="false" ht="15" hidden="false" customHeight="false" outlineLevel="0" collapsed="false">
      <c r="A15" s="9" t="s">
        <v>12</v>
      </c>
      <c r="B15" s="10" t="n">
        <f aca="false">SUM(B10:B14)</f>
        <v>5000000</v>
      </c>
    </row>
    <row r="17" customFormat="false" ht="15" hidden="false" customHeight="false" outlineLevel="0" collapsed="false">
      <c r="A17" s="3" t="s">
        <v>13</v>
      </c>
      <c r="B17" s="4"/>
      <c r="C17" s="4"/>
    </row>
    <row r="18" customFormat="false" ht="15" hidden="false" customHeight="false" outlineLevel="0" collapsed="false">
      <c r="A18" s="5" t="s">
        <v>14</v>
      </c>
      <c r="B18" s="11" t="n">
        <v>500</v>
      </c>
      <c r="C18" s="2" t="s">
        <v>15</v>
      </c>
    </row>
    <row r="19" customFormat="false" ht="15" hidden="false" customHeight="false" outlineLevel="0" collapsed="false">
      <c r="A19" s="5" t="s">
        <v>16</v>
      </c>
      <c r="B19" s="12" t="n">
        <f aca="false">B18/30.44</f>
        <v>16.4257555847569</v>
      </c>
      <c r="C19" s="2" t="s">
        <v>17</v>
      </c>
    </row>
    <row r="20" customFormat="false" ht="15" hidden="false" customHeight="false" outlineLevel="0" collapsed="false">
      <c r="A20" s="5" t="s">
        <v>18</v>
      </c>
      <c r="B20" s="13" t="n">
        <v>0.02</v>
      </c>
    </row>
    <row r="21" customFormat="false" ht="15" hidden="false" customHeight="false" outlineLevel="0" collapsed="false">
      <c r="A21" s="5" t="s">
        <v>19</v>
      </c>
      <c r="B21" s="13" t="n">
        <v>0.005</v>
      </c>
    </row>
    <row r="22" customFormat="false" ht="15" hidden="false" customHeight="false" outlineLevel="0" collapsed="false">
      <c r="A22" s="5" t="s">
        <v>20</v>
      </c>
      <c r="B22" s="14" t="n">
        <f aca="false">(1+B20)^(1/30.44)-1</f>
        <v>0.000650757882899811</v>
      </c>
      <c r="C22" s="2" t="s">
        <v>21</v>
      </c>
    </row>
    <row r="23" customFormat="false" ht="15" hidden="false" customHeight="false" outlineLevel="0" collapsed="false">
      <c r="A23" s="5" t="s">
        <v>22</v>
      </c>
      <c r="B23" s="14" t="n">
        <f aca="false">(1+B21)^(1/30.44)-1</f>
        <v>0.000163861699520096</v>
      </c>
    </row>
    <row r="24" customFormat="false" ht="15" hidden="false" customHeight="false" outlineLevel="0" collapsed="false">
      <c r="A24" s="5" t="s">
        <v>23</v>
      </c>
      <c r="B24" s="8" t="n">
        <v>600</v>
      </c>
    </row>
    <row r="26" customFormat="false" ht="15" hidden="false" customHeight="false" outlineLevel="0" collapsed="false">
      <c r="A26" s="3" t="s">
        <v>24</v>
      </c>
      <c r="B26" s="4"/>
      <c r="C26" s="4"/>
    </row>
    <row r="27" customFormat="false" ht="15" hidden="false" customHeight="false" outlineLevel="0" collapsed="false">
      <c r="A27" s="5" t="s">
        <v>25</v>
      </c>
      <c r="B27" s="11" t="n">
        <v>400</v>
      </c>
    </row>
    <row r="28" customFormat="false" ht="15" hidden="false" customHeight="false" outlineLevel="0" collapsed="false">
      <c r="A28" s="5" t="s">
        <v>26</v>
      </c>
      <c r="B28" s="12" t="n">
        <f aca="false">B27/30.44</f>
        <v>13.1406044678055</v>
      </c>
    </row>
    <row r="29" customFormat="false" ht="15" hidden="false" customHeight="false" outlineLevel="0" collapsed="false">
      <c r="A29" s="5" t="s">
        <v>27</v>
      </c>
      <c r="B29" s="13" t="n">
        <v>0.01</v>
      </c>
    </row>
    <row r="30" customFormat="false" ht="15" hidden="false" customHeight="false" outlineLevel="0" collapsed="false">
      <c r="A30" s="5" t="s">
        <v>28</v>
      </c>
      <c r="B30" s="14" t="n">
        <f aca="false">(1+B29)^(1/30.44)-1</f>
        <v>0.000326936837365288</v>
      </c>
    </row>
    <row r="31" customFormat="false" ht="15" hidden="false" customHeight="false" outlineLevel="0" collapsed="false">
      <c r="A31" s="5" t="s">
        <v>29</v>
      </c>
      <c r="B31" s="8" t="n">
        <v>300</v>
      </c>
    </row>
    <row r="33" customFormat="false" ht="15" hidden="false" customHeight="false" outlineLevel="0" collapsed="false">
      <c r="A33" s="3" t="s">
        <v>30</v>
      </c>
      <c r="B33" s="4"/>
      <c r="C33" s="4"/>
    </row>
    <row r="34" customFormat="false" ht="15" hidden="false" customHeight="false" outlineLevel="0" collapsed="false">
      <c r="A34" s="5" t="s">
        <v>31</v>
      </c>
      <c r="B34" s="13" t="n">
        <v>0.6</v>
      </c>
      <c r="C34" s="2" t="s">
        <v>32</v>
      </c>
    </row>
    <row r="35" customFormat="false" ht="15" hidden="false" customHeight="false" outlineLevel="0" collapsed="false">
      <c r="A35" s="5" t="s">
        <v>33</v>
      </c>
      <c r="B35" s="13" t="n">
        <v>1</v>
      </c>
    </row>
    <row r="37" customFormat="false" ht="15" hidden="false" customHeight="false" outlineLevel="0" collapsed="false">
      <c r="A37" s="3" t="s">
        <v>34</v>
      </c>
      <c r="B37" s="4"/>
      <c r="C37" s="4"/>
    </row>
    <row r="38" customFormat="false" ht="15" hidden="false" customHeight="false" outlineLevel="0" collapsed="false">
      <c r="A38" s="5" t="s">
        <v>35</v>
      </c>
      <c r="B38" s="8" t="n">
        <v>150000</v>
      </c>
    </row>
    <row r="39" customFormat="false" ht="15" hidden="false" customHeight="false" outlineLevel="0" collapsed="false">
      <c r="A39" s="5" t="s">
        <v>36</v>
      </c>
      <c r="B39" s="8" t="n">
        <v>40000</v>
      </c>
    </row>
    <row r="40" customFormat="false" ht="15" hidden="false" customHeight="false" outlineLevel="0" collapsed="false">
      <c r="A40" s="5" t="s">
        <v>37</v>
      </c>
      <c r="B40" s="8" t="n">
        <v>30000</v>
      </c>
    </row>
    <row r="41" customFormat="false" ht="15" hidden="false" customHeight="false" outlineLevel="0" collapsed="false">
      <c r="A41" s="5" t="s">
        <v>38</v>
      </c>
      <c r="B41" s="8" t="n">
        <v>20000</v>
      </c>
    </row>
    <row r="42" customFormat="false" ht="15" hidden="false" customHeight="false" outlineLevel="0" collapsed="false">
      <c r="A42" s="5" t="s">
        <v>39</v>
      </c>
      <c r="B42" s="8" t="n">
        <v>150000</v>
      </c>
    </row>
    <row r="43" customFormat="false" ht="15" hidden="false" customHeight="false" outlineLevel="0" collapsed="false">
      <c r="A43" s="5" t="s">
        <v>40</v>
      </c>
      <c r="B43" s="8" t="n">
        <v>20000</v>
      </c>
    </row>
    <row r="45" customFormat="false" ht="15" hidden="false" customHeight="false" outlineLevel="0" collapsed="false">
      <c r="A45" s="3" t="s">
        <v>41</v>
      </c>
      <c r="B45" s="4"/>
      <c r="C45" s="4"/>
    </row>
    <row r="46" customFormat="false" ht="15" hidden="false" customHeight="false" outlineLevel="0" collapsed="false">
      <c r="A46" s="5" t="s">
        <v>42</v>
      </c>
      <c r="B46" s="13" t="n">
        <v>0.003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8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7" min="4" style="0" width="10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3" min="11" style="0" width="12"/>
    <col collapsed="false" customWidth="true" hidden="false" outlineLevel="0" max="14" min="14" style="0" width="13"/>
    <col collapsed="false" customWidth="true" hidden="false" outlineLevel="0" max="17" min="15" style="0" width="10"/>
    <col collapsed="false" customWidth="true" hidden="false" outlineLevel="0" max="20" min="18" style="0" width="9"/>
    <col collapsed="false" customWidth="true" hidden="false" outlineLevel="0" max="22" min="21" style="0" width="12"/>
    <col collapsed="false" customWidth="true" hidden="false" outlineLevel="0" max="23" min="23" style="0" width="18"/>
    <col collapsed="false" customWidth="true" hidden="false" outlineLevel="0" max="24" min="24" style="0" width="12"/>
  </cols>
  <sheetData>
    <row r="1" customFormat="false" ht="52.2" hidden="false" customHeight="false" outlineLevel="0" collapsed="false">
      <c r="A1" s="15" t="s">
        <v>43</v>
      </c>
      <c r="B1" s="15" t="s">
        <v>44</v>
      </c>
      <c r="C1" s="15" t="s">
        <v>45</v>
      </c>
      <c r="D1" s="15" t="s">
        <v>46</v>
      </c>
      <c r="E1" s="15" t="s">
        <v>47</v>
      </c>
      <c r="F1" s="15" t="s">
        <v>48</v>
      </c>
      <c r="G1" s="15" t="s">
        <v>49</v>
      </c>
      <c r="H1" s="15" t="s">
        <v>50</v>
      </c>
      <c r="I1" s="15" t="s">
        <v>51</v>
      </c>
      <c r="J1" s="15" t="s">
        <v>52</v>
      </c>
      <c r="K1" s="15" t="s">
        <v>53</v>
      </c>
      <c r="L1" s="15" t="s">
        <v>54</v>
      </c>
      <c r="M1" s="15" t="s">
        <v>55</v>
      </c>
      <c r="N1" s="15" t="s">
        <v>56</v>
      </c>
      <c r="O1" s="15" t="s">
        <v>57</v>
      </c>
      <c r="P1" s="15" t="s">
        <v>58</v>
      </c>
      <c r="Q1" s="15" t="s">
        <v>59</v>
      </c>
      <c r="R1" s="15" t="s">
        <v>60</v>
      </c>
      <c r="S1" s="15" t="s">
        <v>61</v>
      </c>
      <c r="T1" s="15" t="s">
        <v>62</v>
      </c>
      <c r="U1" s="15" t="s">
        <v>63</v>
      </c>
      <c r="V1" s="15" t="s">
        <v>64</v>
      </c>
      <c r="W1" s="15" t="s">
        <v>65</v>
      </c>
      <c r="X1" s="15" t="s">
        <v>66</v>
      </c>
    </row>
    <row r="2" customFormat="false" ht="15" hidden="false" customHeight="false" outlineLevel="0" collapsed="false">
      <c r="A2" s="16" t="n">
        <v>1</v>
      </c>
      <c r="B2" s="17" t="n">
        <f aca="false">Assumptions!B5</f>
        <v>46023</v>
      </c>
      <c r="C2" s="18" t="n">
        <f aca="false">MIN(ROUNDUP(A2/365,0),5)</f>
        <v>1</v>
      </c>
      <c r="D2" s="18" t="n">
        <f aca="false">DATEDIF(Assumptions!B5,B2,"m")+1</f>
        <v>1</v>
      </c>
      <c r="E2" s="18" t="str">
        <f aca="false">TEXT(B2,"ddd")</f>
        <v>Thu</v>
      </c>
      <c r="F2" s="19" t="n">
        <f aca="false">IF(WEEKDAY(B2,2)&gt;=6,Assumptions!B34,Assumptions!B35)</f>
        <v>1</v>
      </c>
      <c r="G2" s="20" t="n">
        <f aca="false">IF(D2&gt;=13,(1+Assumptions!B46)^(D2-12),1)</f>
        <v>1</v>
      </c>
      <c r="H2" s="21" t="n">
        <f aca="false">Assumptions!B19</f>
        <v>16.4257555847569</v>
      </c>
      <c r="I2" s="16" t="n">
        <f aca="false">ROUND(H2*F2,0)</f>
        <v>16</v>
      </c>
      <c r="J2" s="22" t="n">
        <f aca="false">I2*Assumptions!B24</f>
        <v>9600</v>
      </c>
      <c r="K2" s="21" t="n">
        <f aca="false">Assumptions!B28</f>
        <v>13.1406044678055</v>
      </c>
      <c r="L2" s="16" t="n">
        <f aca="false">ROUND(K2*F2,0)</f>
        <v>13</v>
      </c>
      <c r="M2" s="22" t="n">
        <f aca="false">L2*Assumptions!B31</f>
        <v>3900</v>
      </c>
      <c r="N2" s="22" t="n">
        <f aca="false">J2+M2</f>
        <v>13500</v>
      </c>
      <c r="O2" s="22" t="n">
        <f aca="false">IF(DAY(B2)=1,Assumptions!B38*G2,0)</f>
        <v>150000</v>
      </c>
      <c r="P2" s="22" t="n">
        <f aca="false">IF(DAY(B2)=1,Assumptions!B39*G2,0)</f>
        <v>40000</v>
      </c>
      <c r="Q2" s="22" t="n">
        <f aca="false">IF(DAY(B2)=1,Assumptions!B40*G2,0)</f>
        <v>30000</v>
      </c>
      <c r="R2" s="22" t="n">
        <f aca="false">IF(DAY(B2)=1,Assumptions!B41*G2,0)</f>
        <v>20000</v>
      </c>
      <c r="S2" s="22" t="n">
        <f aca="false">IF(AND(DAY(B2)=1,D2&gt;=13),Assumptions!B42*G2,0)</f>
        <v>0</v>
      </c>
      <c r="T2" s="22" t="n">
        <f aca="false">IF(DAY(B2)=1,Assumptions!B43*G2,0)</f>
        <v>20000</v>
      </c>
      <c r="U2" s="22" t="n">
        <f aca="false">SUM(O2:T2)</f>
        <v>260000</v>
      </c>
      <c r="V2" s="22" t="n">
        <f aca="false">N2-U2</f>
        <v>-246500</v>
      </c>
      <c r="W2" s="22" t="n">
        <f aca="false">-Assumptions!B15+V2</f>
        <v>-5246500</v>
      </c>
      <c r="X2" s="23" t="str">
        <f aca="false">IF(W2&gt;=0,"YES","No")</f>
        <v>No</v>
      </c>
    </row>
    <row r="3" customFormat="false" ht="15" hidden="false" customHeight="false" outlineLevel="0" collapsed="false">
      <c r="A3" s="16" t="n">
        <v>2</v>
      </c>
      <c r="B3" s="17" t="n">
        <f aca="false">B2+1</f>
        <v>46024</v>
      </c>
      <c r="C3" s="18" t="n">
        <f aca="false">MIN(ROUNDUP(A3/365,0),5)</f>
        <v>1</v>
      </c>
      <c r="D3" s="18" t="n">
        <f aca="false">DATEDIF(Assumptions!B5,B3,"m")+1</f>
        <v>1</v>
      </c>
      <c r="E3" s="18" t="str">
        <f aca="false">TEXT(B3,"ddd")</f>
        <v>Fri</v>
      </c>
      <c r="F3" s="19" t="n">
        <f aca="false">IF(WEEKDAY(B3,2)&gt;=6,Assumptions!B34,Assumptions!B35)</f>
        <v>1</v>
      </c>
      <c r="G3" s="20" t="n">
        <f aca="false">IF(D3&gt;=13,(1+Assumptions!B46)^(D3-12),1)</f>
        <v>1</v>
      </c>
      <c r="H3" s="21" t="n">
        <f aca="false">H2*(1+IF(C3=1,Assumptions!B22,Assumptions!B23))</f>
        <v>16.4364447746863</v>
      </c>
      <c r="I3" s="16" t="n">
        <f aca="false">ROUND(H3*F3,0)</f>
        <v>16</v>
      </c>
      <c r="J3" s="22" t="n">
        <f aca="false">I3*Assumptions!B24</f>
        <v>9600</v>
      </c>
      <c r="K3" s="21" t="n">
        <f aca="false">K2*(1+Assumptions!B30)</f>
        <v>13.1449006154713</v>
      </c>
      <c r="L3" s="16" t="n">
        <f aca="false">ROUND(K3*F3,0)</f>
        <v>13</v>
      </c>
      <c r="M3" s="22" t="n">
        <f aca="false">L3*Assumptions!B31</f>
        <v>3900</v>
      </c>
      <c r="N3" s="22" t="n">
        <f aca="false">J3+M3</f>
        <v>13500</v>
      </c>
      <c r="O3" s="22" t="n">
        <f aca="false">IF(DAY(B3)=1,Assumptions!B38*G3,0)</f>
        <v>0</v>
      </c>
      <c r="P3" s="22" t="n">
        <f aca="false">IF(DAY(B3)=1,Assumptions!B39*G3,0)</f>
        <v>0</v>
      </c>
      <c r="Q3" s="22" t="n">
        <f aca="false">IF(DAY(B3)=1,Assumptions!B40*G3,0)</f>
        <v>0</v>
      </c>
      <c r="R3" s="22" t="n">
        <f aca="false">IF(DAY(B3)=1,Assumptions!B41*G3,0)</f>
        <v>0</v>
      </c>
      <c r="S3" s="22" t="n">
        <f aca="false">IF(AND(DAY(B3)=1,D3&gt;=13),Assumptions!B42*G3,0)</f>
        <v>0</v>
      </c>
      <c r="T3" s="22" t="n">
        <f aca="false">IF(DAY(B3)=1,Assumptions!B43*G3,0)</f>
        <v>0</v>
      </c>
      <c r="U3" s="22" t="n">
        <f aca="false">SUM(O3:T3)</f>
        <v>0</v>
      </c>
      <c r="V3" s="22" t="n">
        <f aca="false">N3-U3</f>
        <v>13500</v>
      </c>
      <c r="W3" s="22" t="n">
        <f aca="false">W2+V3</f>
        <v>-5233000</v>
      </c>
      <c r="X3" s="23" t="str">
        <f aca="false">IF(W3&gt;=0,"YES","No")</f>
        <v>No</v>
      </c>
    </row>
    <row r="4" customFormat="false" ht="15" hidden="false" customHeight="false" outlineLevel="0" collapsed="false">
      <c r="A4" s="16" t="n">
        <v>3</v>
      </c>
      <c r="B4" s="17" t="n">
        <f aca="false">B3+1</f>
        <v>46025</v>
      </c>
      <c r="C4" s="18" t="n">
        <f aca="false">MIN(ROUNDUP(A4/365,0),5)</f>
        <v>1</v>
      </c>
      <c r="D4" s="18" t="n">
        <f aca="false">DATEDIF(Assumptions!B5,B4,"m")+1</f>
        <v>1</v>
      </c>
      <c r="E4" s="18" t="str">
        <f aca="false">TEXT(B4,"ddd")</f>
        <v>Sat</v>
      </c>
      <c r="F4" s="19" t="n">
        <f aca="false">IF(WEEKDAY(B4,2)&gt;=6,Assumptions!B34,Assumptions!B35)</f>
        <v>0.6</v>
      </c>
      <c r="G4" s="20" t="n">
        <f aca="false">IF(D4&gt;=13,(1+Assumptions!B46)^(D4-12),1)</f>
        <v>1</v>
      </c>
      <c r="H4" s="21" t="n">
        <f aca="false">H3*(1+IF(C4=1,Assumptions!B22,Assumptions!B23))</f>
        <v>16.4471409206902</v>
      </c>
      <c r="I4" s="16" t="n">
        <f aca="false">ROUND(H4*F4,0)</f>
        <v>10</v>
      </c>
      <c r="J4" s="22" t="n">
        <f aca="false">I4*Assumptions!B24</f>
        <v>6000</v>
      </c>
      <c r="K4" s="21" t="n">
        <f aca="false">K3*(1+Assumptions!B30)</f>
        <v>13.149198167706</v>
      </c>
      <c r="L4" s="16" t="n">
        <f aca="false">ROUND(K4*F4,0)</f>
        <v>8</v>
      </c>
      <c r="M4" s="22" t="n">
        <f aca="false">L4*Assumptions!B31</f>
        <v>2400</v>
      </c>
      <c r="N4" s="22" t="n">
        <f aca="false">J4+M4</f>
        <v>8400</v>
      </c>
      <c r="O4" s="22" t="n">
        <f aca="false">IF(DAY(B4)=1,Assumptions!B38*G4,0)</f>
        <v>0</v>
      </c>
      <c r="P4" s="22" t="n">
        <f aca="false">IF(DAY(B4)=1,Assumptions!B39*G4,0)</f>
        <v>0</v>
      </c>
      <c r="Q4" s="22" t="n">
        <f aca="false">IF(DAY(B4)=1,Assumptions!B40*G4,0)</f>
        <v>0</v>
      </c>
      <c r="R4" s="22" t="n">
        <f aca="false">IF(DAY(B4)=1,Assumptions!B41*G4,0)</f>
        <v>0</v>
      </c>
      <c r="S4" s="22" t="n">
        <f aca="false">IF(AND(DAY(B4)=1,D4&gt;=13),Assumptions!B42*G4,0)</f>
        <v>0</v>
      </c>
      <c r="T4" s="22" t="n">
        <f aca="false">IF(DAY(B4)=1,Assumptions!B43*G4,0)</f>
        <v>0</v>
      </c>
      <c r="U4" s="22" t="n">
        <f aca="false">SUM(O4:T4)</f>
        <v>0</v>
      </c>
      <c r="V4" s="22" t="n">
        <f aca="false">N4-U4</f>
        <v>8400</v>
      </c>
      <c r="W4" s="22" t="n">
        <f aca="false">W3+V4</f>
        <v>-5224600</v>
      </c>
      <c r="X4" s="23" t="str">
        <f aca="false">IF(W4&gt;=0,"YES","No")</f>
        <v>No</v>
      </c>
    </row>
    <row r="5" customFormat="false" ht="15" hidden="false" customHeight="false" outlineLevel="0" collapsed="false">
      <c r="A5" s="16" t="n">
        <v>4</v>
      </c>
      <c r="B5" s="17" t="n">
        <f aca="false">B4+1</f>
        <v>46026</v>
      </c>
      <c r="C5" s="18" t="n">
        <f aca="false">MIN(ROUNDUP(A5/365,0),5)</f>
        <v>1</v>
      </c>
      <c r="D5" s="18" t="n">
        <f aca="false">DATEDIF(Assumptions!B5,B5,"m")+1</f>
        <v>1</v>
      </c>
      <c r="E5" s="18" t="str">
        <f aca="false">TEXT(B5,"ddd")</f>
        <v>Sun</v>
      </c>
      <c r="F5" s="19" t="n">
        <f aca="false">IF(WEEKDAY(B5,2)&gt;=6,Assumptions!B34,Assumptions!B35)</f>
        <v>0.6</v>
      </c>
      <c r="G5" s="20" t="n">
        <f aca="false">IF(D5&gt;=13,(1+Assumptions!B46)^(D5-12),1)</f>
        <v>1</v>
      </c>
      <c r="H5" s="21" t="n">
        <f aca="false">H4*(1+IF(C5=1,Assumptions!B22,Assumptions!B23))</f>
        <v>16.4578440272955</v>
      </c>
      <c r="I5" s="16" t="n">
        <f aca="false">ROUND(H5*F5,0)</f>
        <v>10</v>
      </c>
      <c r="J5" s="22" t="n">
        <f aca="false">I5*Assumptions!B24</f>
        <v>6000</v>
      </c>
      <c r="K5" s="21" t="n">
        <f aca="false">K4*(1+Assumptions!B30)</f>
        <v>13.1534971249688</v>
      </c>
      <c r="L5" s="16" t="n">
        <f aca="false">ROUND(K5*F5,0)</f>
        <v>8</v>
      </c>
      <c r="M5" s="22" t="n">
        <f aca="false">L5*Assumptions!B31</f>
        <v>2400</v>
      </c>
      <c r="N5" s="22" t="n">
        <f aca="false">J5+M5</f>
        <v>8400</v>
      </c>
      <c r="O5" s="22" t="n">
        <f aca="false">IF(DAY(B5)=1,Assumptions!B38*G5,0)</f>
        <v>0</v>
      </c>
      <c r="P5" s="22" t="n">
        <f aca="false">IF(DAY(B5)=1,Assumptions!B39*G5,0)</f>
        <v>0</v>
      </c>
      <c r="Q5" s="22" t="n">
        <f aca="false">IF(DAY(B5)=1,Assumptions!B40*G5,0)</f>
        <v>0</v>
      </c>
      <c r="R5" s="22" t="n">
        <f aca="false">IF(DAY(B5)=1,Assumptions!B41*G5,0)</f>
        <v>0</v>
      </c>
      <c r="S5" s="22" t="n">
        <f aca="false">IF(AND(DAY(B5)=1,D5&gt;=13),Assumptions!B42*G5,0)</f>
        <v>0</v>
      </c>
      <c r="T5" s="22" t="n">
        <f aca="false">IF(DAY(B5)=1,Assumptions!B43*G5,0)</f>
        <v>0</v>
      </c>
      <c r="U5" s="22" t="n">
        <f aca="false">SUM(O5:T5)</f>
        <v>0</v>
      </c>
      <c r="V5" s="22" t="n">
        <f aca="false">N5-U5</f>
        <v>8400</v>
      </c>
      <c r="W5" s="22" t="n">
        <f aca="false">W4+V5</f>
        <v>-5216200</v>
      </c>
      <c r="X5" s="23" t="str">
        <f aca="false">IF(W5&gt;=0,"YES","No")</f>
        <v>No</v>
      </c>
    </row>
    <row r="6" customFormat="false" ht="15" hidden="false" customHeight="false" outlineLevel="0" collapsed="false">
      <c r="A6" s="16" t="n">
        <v>5</v>
      </c>
      <c r="B6" s="17" t="n">
        <f aca="false">B5+1</f>
        <v>46027</v>
      </c>
      <c r="C6" s="18" t="n">
        <f aca="false">MIN(ROUNDUP(A6/365,0),5)</f>
        <v>1</v>
      </c>
      <c r="D6" s="18" t="n">
        <f aca="false">DATEDIF(Assumptions!B5,B6,"m")+1</f>
        <v>1</v>
      </c>
      <c r="E6" s="18" t="str">
        <f aca="false">TEXT(B6,"ddd")</f>
        <v>Mon</v>
      </c>
      <c r="F6" s="19" t="n">
        <f aca="false">IF(WEEKDAY(B6,2)&gt;=6,Assumptions!B34,Assumptions!B35)</f>
        <v>1</v>
      </c>
      <c r="G6" s="20" t="n">
        <f aca="false">IF(D6&gt;=13,(1+Assumptions!B46)^(D6-12),1)</f>
        <v>1</v>
      </c>
      <c r="H6" s="21" t="n">
        <f aca="false">H5*(1+IF(C6=1,Assumptions!B22,Assumptions!B23))</f>
        <v>16.4685540990318</v>
      </c>
      <c r="I6" s="16" t="n">
        <f aca="false">ROUND(H6*F6,0)</f>
        <v>16</v>
      </c>
      <c r="J6" s="22" t="n">
        <f aca="false">I6*Assumptions!B24</f>
        <v>9600</v>
      </c>
      <c r="K6" s="21" t="n">
        <f aca="false">K5*(1+Assumptions!B30)</f>
        <v>13.1577974877192</v>
      </c>
      <c r="L6" s="16" t="n">
        <f aca="false">ROUND(K6*F6,0)</f>
        <v>13</v>
      </c>
      <c r="M6" s="22" t="n">
        <f aca="false">L6*Assumptions!B31</f>
        <v>3900</v>
      </c>
      <c r="N6" s="22" t="n">
        <f aca="false">J6+M6</f>
        <v>13500</v>
      </c>
      <c r="O6" s="22" t="n">
        <f aca="false">IF(DAY(B6)=1,Assumptions!B38*G6,0)</f>
        <v>0</v>
      </c>
      <c r="P6" s="22" t="n">
        <f aca="false">IF(DAY(B6)=1,Assumptions!B39*G6,0)</f>
        <v>0</v>
      </c>
      <c r="Q6" s="22" t="n">
        <f aca="false">IF(DAY(B6)=1,Assumptions!B40*G6,0)</f>
        <v>0</v>
      </c>
      <c r="R6" s="22" t="n">
        <f aca="false">IF(DAY(B6)=1,Assumptions!B41*G6,0)</f>
        <v>0</v>
      </c>
      <c r="S6" s="22" t="n">
        <f aca="false">IF(AND(DAY(B6)=1,D6&gt;=13),Assumptions!B42*G6,0)</f>
        <v>0</v>
      </c>
      <c r="T6" s="22" t="n">
        <f aca="false">IF(DAY(B6)=1,Assumptions!B43*G6,0)</f>
        <v>0</v>
      </c>
      <c r="U6" s="22" t="n">
        <f aca="false">SUM(O6:T6)</f>
        <v>0</v>
      </c>
      <c r="V6" s="22" t="n">
        <f aca="false">N6-U6</f>
        <v>13500</v>
      </c>
      <c r="W6" s="22" t="n">
        <f aca="false">W5+V6</f>
        <v>-5202700</v>
      </c>
      <c r="X6" s="23" t="str">
        <f aca="false">IF(W6&gt;=0,"YES","No")</f>
        <v>No</v>
      </c>
    </row>
    <row r="7" customFormat="false" ht="15" hidden="false" customHeight="false" outlineLevel="0" collapsed="false">
      <c r="A7" s="16" t="n">
        <v>6</v>
      </c>
      <c r="B7" s="17" t="n">
        <f aca="false">B6+1</f>
        <v>46028</v>
      </c>
      <c r="C7" s="18" t="n">
        <f aca="false">MIN(ROUNDUP(A7/365,0),5)</f>
        <v>1</v>
      </c>
      <c r="D7" s="18" t="n">
        <f aca="false">DATEDIF(Assumptions!B5,B7,"m")+1</f>
        <v>1</v>
      </c>
      <c r="E7" s="18" t="str">
        <f aca="false">TEXT(B7,"ddd")</f>
        <v>Tue</v>
      </c>
      <c r="F7" s="19" t="n">
        <f aca="false">IF(WEEKDAY(B7,2)&gt;=6,Assumptions!B34,Assumptions!B35)</f>
        <v>1</v>
      </c>
      <c r="G7" s="20" t="n">
        <f aca="false">IF(D7&gt;=13,(1+Assumptions!B46)^(D7-12),1)</f>
        <v>1</v>
      </c>
      <c r="H7" s="21" t="n">
        <f aca="false">H6*(1+IF(C7=1,Assumptions!B22,Assumptions!B23))</f>
        <v>16.4792711404317</v>
      </c>
      <c r="I7" s="16" t="n">
        <f aca="false">ROUND(H7*F7,0)</f>
        <v>16</v>
      </c>
      <c r="J7" s="22" t="n">
        <f aca="false">I7*Assumptions!B24</f>
        <v>9600</v>
      </c>
      <c r="K7" s="21" t="n">
        <f aca="false">K6*(1+Assumptions!B30)</f>
        <v>13.1620992564165</v>
      </c>
      <c r="L7" s="16" t="n">
        <f aca="false">ROUND(K7*F7,0)</f>
        <v>13</v>
      </c>
      <c r="M7" s="22" t="n">
        <f aca="false">L7*Assumptions!B31</f>
        <v>3900</v>
      </c>
      <c r="N7" s="22" t="n">
        <f aca="false">J7+M7</f>
        <v>13500</v>
      </c>
      <c r="O7" s="22" t="n">
        <f aca="false">IF(DAY(B7)=1,Assumptions!B38*G7,0)</f>
        <v>0</v>
      </c>
      <c r="P7" s="22" t="n">
        <f aca="false">IF(DAY(B7)=1,Assumptions!B39*G7,0)</f>
        <v>0</v>
      </c>
      <c r="Q7" s="22" t="n">
        <f aca="false">IF(DAY(B7)=1,Assumptions!B40*G7,0)</f>
        <v>0</v>
      </c>
      <c r="R7" s="22" t="n">
        <f aca="false">IF(DAY(B7)=1,Assumptions!B41*G7,0)</f>
        <v>0</v>
      </c>
      <c r="S7" s="22" t="n">
        <f aca="false">IF(AND(DAY(B7)=1,D7&gt;=13),Assumptions!B42*G7,0)</f>
        <v>0</v>
      </c>
      <c r="T7" s="22" t="n">
        <f aca="false">IF(DAY(B7)=1,Assumptions!B43*G7,0)</f>
        <v>0</v>
      </c>
      <c r="U7" s="22" t="n">
        <f aca="false">SUM(O7:T7)</f>
        <v>0</v>
      </c>
      <c r="V7" s="22" t="n">
        <f aca="false">N7-U7</f>
        <v>13500</v>
      </c>
      <c r="W7" s="22" t="n">
        <f aca="false">W6+V7</f>
        <v>-5189200</v>
      </c>
      <c r="X7" s="23" t="str">
        <f aca="false">IF(W7&gt;=0,"YES","No")</f>
        <v>No</v>
      </c>
    </row>
    <row r="8" customFormat="false" ht="15" hidden="false" customHeight="false" outlineLevel="0" collapsed="false">
      <c r="A8" s="16" t="n">
        <v>7</v>
      </c>
      <c r="B8" s="17" t="n">
        <f aca="false">B7+1</f>
        <v>46029</v>
      </c>
      <c r="C8" s="18" t="n">
        <f aca="false">MIN(ROUNDUP(A8/365,0),5)</f>
        <v>1</v>
      </c>
      <c r="D8" s="18" t="n">
        <f aca="false">DATEDIF(Assumptions!B5,B8,"m")+1</f>
        <v>1</v>
      </c>
      <c r="E8" s="18" t="str">
        <f aca="false">TEXT(B8,"ddd")</f>
        <v>Wed</v>
      </c>
      <c r="F8" s="19" t="n">
        <f aca="false">IF(WEEKDAY(B8,2)&gt;=6,Assumptions!B34,Assumptions!B35)</f>
        <v>1</v>
      </c>
      <c r="G8" s="20" t="n">
        <f aca="false">IF(D8&gt;=13,(1+Assumptions!B46)^(D8-12),1)</f>
        <v>1</v>
      </c>
      <c r="H8" s="21" t="n">
        <f aca="false">H7*(1+IF(C8=1,Assumptions!B22,Assumptions!B23))</f>
        <v>16.4899951560308</v>
      </c>
      <c r="I8" s="16" t="n">
        <f aca="false">ROUND(H8*F8,0)</f>
        <v>16</v>
      </c>
      <c r="J8" s="22" t="n">
        <f aca="false">I8*Assumptions!B24</f>
        <v>9600</v>
      </c>
      <c r="K8" s="21" t="n">
        <f aca="false">K7*(1+Assumptions!B30)</f>
        <v>13.1664024315205</v>
      </c>
      <c r="L8" s="16" t="n">
        <f aca="false">ROUND(K8*F8,0)</f>
        <v>13</v>
      </c>
      <c r="M8" s="22" t="n">
        <f aca="false">L8*Assumptions!B31</f>
        <v>3900</v>
      </c>
      <c r="N8" s="22" t="n">
        <f aca="false">J8+M8</f>
        <v>13500</v>
      </c>
      <c r="O8" s="22" t="n">
        <f aca="false">IF(DAY(B8)=1,Assumptions!B38*G8,0)</f>
        <v>0</v>
      </c>
      <c r="P8" s="22" t="n">
        <f aca="false">IF(DAY(B8)=1,Assumptions!B39*G8,0)</f>
        <v>0</v>
      </c>
      <c r="Q8" s="22" t="n">
        <f aca="false">IF(DAY(B8)=1,Assumptions!B40*G8,0)</f>
        <v>0</v>
      </c>
      <c r="R8" s="22" t="n">
        <f aca="false">IF(DAY(B8)=1,Assumptions!B41*G8,0)</f>
        <v>0</v>
      </c>
      <c r="S8" s="22" t="n">
        <f aca="false">IF(AND(DAY(B8)=1,D8&gt;=13),Assumptions!B42*G8,0)</f>
        <v>0</v>
      </c>
      <c r="T8" s="22" t="n">
        <f aca="false">IF(DAY(B8)=1,Assumptions!B43*G8,0)</f>
        <v>0</v>
      </c>
      <c r="U8" s="22" t="n">
        <f aca="false">SUM(O8:T8)</f>
        <v>0</v>
      </c>
      <c r="V8" s="22" t="n">
        <f aca="false">N8-U8</f>
        <v>13500</v>
      </c>
      <c r="W8" s="22" t="n">
        <f aca="false">W7+V8</f>
        <v>-5175700</v>
      </c>
      <c r="X8" s="23" t="str">
        <f aca="false">IF(W8&gt;=0,"YES","No")</f>
        <v>No</v>
      </c>
    </row>
    <row r="9" customFormat="false" ht="15" hidden="false" customHeight="false" outlineLevel="0" collapsed="false">
      <c r="A9" s="16" t="n">
        <v>8</v>
      </c>
      <c r="B9" s="17" t="n">
        <f aca="false">B8+1</f>
        <v>46030</v>
      </c>
      <c r="C9" s="18" t="n">
        <f aca="false">MIN(ROUNDUP(A9/365,0),5)</f>
        <v>1</v>
      </c>
      <c r="D9" s="18" t="n">
        <f aca="false">DATEDIF(Assumptions!B5,B9,"m")+1</f>
        <v>1</v>
      </c>
      <c r="E9" s="18" t="str">
        <f aca="false">TEXT(B9,"ddd")</f>
        <v>Thu</v>
      </c>
      <c r="F9" s="19" t="n">
        <f aca="false">IF(WEEKDAY(B9,2)&gt;=6,Assumptions!B34,Assumptions!B35)</f>
        <v>1</v>
      </c>
      <c r="G9" s="20" t="n">
        <f aca="false">IF(D9&gt;=13,(1+Assumptions!B46)^(D9-12),1)</f>
        <v>1</v>
      </c>
      <c r="H9" s="21" t="n">
        <f aca="false">H8*(1+IF(C9=1,Assumptions!B22,Assumptions!B23))</f>
        <v>16.5007261503676</v>
      </c>
      <c r="I9" s="16" t="n">
        <f aca="false">ROUND(H9*F9,0)</f>
        <v>17</v>
      </c>
      <c r="J9" s="22" t="n">
        <f aca="false">I9*Assumptions!B24</f>
        <v>10200</v>
      </c>
      <c r="K9" s="21" t="n">
        <f aca="false">K8*(1+Assumptions!B30)</f>
        <v>13.1707070134909</v>
      </c>
      <c r="L9" s="16" t="n">
        <f aca="false">ROUND(K9*F9,0)</f>
        <v>13</v>
      </c>
      <c r="M9" s="22" t="n">
        <f aca="false">L9*Assumptions!B31</f>
        <v>3900</v>
      </c>
      <c r="N9" s="22" t="n">
        <f aca="false">J9+M9</f>
        <v>14100</v>
      </c>
      <c r="O9" s="22" t="n">
        <f aca="false">IF(DAY(B9)=1,Assumptions!B38*G9,0)</f>
        <v>0</v>
      </c>
      <c r="P9" s="22" t="n">
        <f aca="false">IF(DAY(B9)=1,Assumptions!B39*G9,0)</f>
        <v>0</v>
      </c>
      <c r="Q9" s="22" t="n">
        <f aca="false">IF(DAY(B9)=1,Assumptions!B40*G9,0)</f>
        <v>0</v>
      </c>
      <c r="R9" s="22" t="n">
        <f aca="false">IF(DAY(B9)=1,Assumptions!B41*G9,0)</f>
        <v>0</v>
      </c>
      <c r="S9" s="22" t="n">
        <f aca="false">IF(AND(DAY(B9)=1,D9&gt;=13),Assumptions!B42*G9,0)</f>
        <v>0</v>
      </c>
      <c r="T9" s="22" t="n">
        <f aca="false">IF(DAY(B9)=1,Assumptions!B43*G9,0)</f>
        <v>0</v>
      </c>
      <c r="U9" s="22" t="n">
        <f aca="false">SUM(O9:T9)</f>
        <v>0</v>
      </c>
      <c r="V9" s="22" t="n">
        <f aca="false">N9-U9</f>
        <v>14100</v>
      </c>
      <c r="W9" s="22" t="n">
        <f aca="false">W8+V9</f>
        <v>-5161600</v>
      </c>
      <c r="X9" s="23" t="str">
        <f aca="false">IF(W9&gt;=0,"YES","No")</f>
        <v>No</v>
      </c>
    </row>
    <row r="10" customFormat="false" ht="15" hidden="false" customHeight="false" outlineLevel="0" collapsed="false">
      <c r="A10" s="16" t="n">
        <v>9</v>
      </c>
      <c r="B10" s="17" t="n">
        <f aca="false">B9+1</f>
        <v>46031</v>
      </c>
      <c r="C10" s="18" t="n">
        <f aca="false">MIN(ROUNDUP(A10/365,0),5)</f>
        <v>1</v>
      </c>
      <c r="D10" s="18" t="n">
        <f aca="false">DATEDIF(Assumptions!B5,B10,"m")+1</f>
        <v>1</v>
      </c>
      <c r="E10" s="18" t="str">
        <f aca="false">TEXT(B10,"ddd")</f>
        <v>Fri</v>
      </c>
      <c r="F10" s="19" t="n">
        <f aca="false">IF(WEEKDAY(B10,2)&gt;=6,Assumptions!B34,Assumptions!B35)</f>
        <v>1</v>
      </c>
      <c r="G10" s="20" t="n">
        <f aca="false">IF(D10&gt;=13,(1+Assumptions!B46)^(D10-12),1)</f>
        <v>1</v>
      </c>
      <c r="H10" s="21" t="n">
        <f aca="false">H9*(1+IF(C10=1,Assumptions!B22,Assumptions!B23))</f>
        <v>16.5114641279835</v>
      </c>
      <c r="I10" s="16" t="n">
        <f aca="false">ROUND(H10*F10,0)</f>
        <v>17</v>
      </c>
      <c r="J10" s="22" t="n">
        <f aca="false">I10*Assumptions!B24</f>
        <v>10200</v>
      </c>
      <c r="K10" s="21" t="n">
        <f aca="false">K9*(1+Assumptions!B30)</f>
        <v>13.1750130027878</v>
      </c>
      <c r="L10" s="16" t="n">
        <f aca="false">ROUND(K10*F10,0)</f>
        <v>13</v>
      </c>
      <c r="M10" s="22" t="n">
        <f aca="false">L10*Assumptions!B31</f>
        <v>3900</v>
      </c>
      <c r="N10" s="22" t="n">
        <f aca="false">J10+M10</f>
        <v>14100</v>
      </c>
      <c r="O10" s="22" t="n">
        <f aca="false">IF(DAY(B10)=1,Assumptions!B38*G10,0)</f>
        <v>0</v>
      </c>
      <c r="P10" s="22" t="n">
        <f aca="false">IF(DAY(B10)=1,Assumptions!B39*G10,0)</f>
        <v>0</v>
      </c>
      <c r="Q10" s="22" t="n">
        <f aca="false">IF(DAY(B10)=1,Assumptions!B40*G10,0)</f>
        <v>0</v>
      </c>
      <c r="R10" s="22" t="n">
        <f aca="false">IF(DAY(B10)=1,Assumptions!B41*G10,0)</f>
        <v>0</v>
      </c>
      <c r="S10" s="22" t="n">
        <f aca="false">IF(AND(DAY(B10)=1,D10&gt;=13),Assumptions!B42*G10,0)</f>
        <v>0</v>
      </c>
      <c r="T10" s="22" t="n">
        <f aca="false">IF(DAY(B10)=1,Assumptions!B43*G10,0)</f>
        <v>0</v>
      </c>
      <c r="U10" s="22" t="n">
        <f aca="false">SUM(O10:T10)</f>
        <v>0</v>
      </c>
      <c r="V10" s="22" t="n">
        <f aca="false">N10-U10</f>
        <v>14100</v>
      </c>
      <c r="W10" s="22" t="n">
        <f aca="false">W9+V10</f>
        <v>-5147500</v>
      </c>
      <c r="X10" s="23" t="str">
        <f aca="false">IF(W10&gt;=0,"YES","No")</f>
        <v>No</v>
      </c>
    </row>
    <row r="11" customFormat="false" ht="15" hidden="false" customHeight="false" outlineLevel="0" collapsed="false">
      <c r="A11" s="16" t="n">
        <v>10</v>
      </c>
      <c r="B11" s="17" t="n">
        <f aca="false">B10+1</f>
        <v>46032</v>
      </c>
      <c r="C11" s="18" t="n">
        <f aca="false">MIN(ROUNDUP(A11/365,0),5)</f>
        <v>1</v>
      </c>
      <c r="D11" s="18" t="n">
        <f aca="false">DATEDIF(Assumptions!B5,B11,"m")+1</f>
        <v>1</v>
      </c>
      <c r="E11" s="18" t="str">
        <f aca="false">TEXT(B11,"ddd")</f>
        <v>Sat</v>
      </c>
      <c r="F11" s="19" t="n">
        <f aca="false">IF(WEEKDAY(B11,2)&gt;=6,Assumptions!B34,Assumptions!B35)</f>
        <v>0.6</v>
      </c>
      <c r="G11" s="20" t="n">
        <f aca="false">IF(D11&gt;=13,(1+Assumptions!B46)^(D11-12),1)</f>
        <v>1</v>
      </c>
      <c r="H11" s="21" t="n">
        <f aca="false">H10*(1+IF(C11=1,Assumptions!B22,Assumptions!B23))</f>
        <v>16.522209093423</v>
      </c>
      <c r="I11" s="16" t="n">
        <f aca="false">ROUND(H11*F11,0)</f>
        <v>10</v>
      </c>
      <c r="J11" s="22" t="n">
        <f aca="false">I11*Assumptions!B24</f>
        <v>6000</v>
      </c>
      <c r="K11" s="21" t="n">
        <f aca="false">K10*(1+Assumptions!B30)</f>
        <v>13.1793203998711</v>
      </c>
      <c r="L11" s="16" t="n">
        <f aca="false">ROUND(K11*F11,0)</f>
        <v>8</v>
      </c>
      <c r="M11" s="22" t="n">
        <f aca="false">L11*Assumptions!B31</f>
        <v>2400</v>
      </c>
      <c r="N11" s="22" t="n">
        <f aca="false">J11+M11</f>
        <v>8400</v>
      </c>
      <c r="O11" s="22" t="n">
        <f aca="false">IF(DAY(B11)=1,Assumptions!B38*G11,0)</f>
        <v>0</v>
      </c>
      <c r="P11" s="22" t="n">
        <f aca="false">IF(DAY(B11)=1,Assumptions!B39*G11,0)</f>
        <v>0</v>
      </c>
      <c r="Q11" s="22" t="n">
        <f aca="false">IF(DAY(B11)=1,Assumptions!B40*G11,0)</f>
        <v>0</v>
      </c>
      <c r="R11" s="22" t="n">
        <f aca="false">IF(DAY(B11)=1,Assumptions!B41*G11,0)</f>
        <v>0</v>
      </c>
      <c r="S11" s="22" t="n">
        <f aca="false">IF(AND(DAY(B11)=1,D11&gt;=13),Assumptions!B42*G11,0)</f>
        <v>0</v>
      </c>
      <c r="T11" s="22" t="n">
        <f aca="false">IF(DAY(B11)=1,Assumptions!B43*G11,0)</f>
        <v>0</v>
      </c>
      <c r="U11" s="22" t="n">
        <f aca="false">SUM(O11:T11)</f>
        <v>0</v>
      </c>
      <c r="V11" s="22" t="n">
        <f aca="false">N11-U11</f>
        <v>8400</v>
      </c>
      <c r="W11" s="22" t="n">
        <f aca="false">W10+V11</f>
        <v>-5139100</v>
      </c>
      <c r="X11" s="23" t="str">
        <f aca="false">IF(W11&gt;=0,"YES","No")</f>
        <v>No</v>
      </c>
    </row>
    <row r="12" customFormat="false" ht="15" hidden="false" customHeight="false" outlineLevel="0" collapsed="false">
      <c r="A12" s="16" t="n">
        <v>11</v>
      </c>
      <c r="B12" s="17" t="n">
        <f aca="false">B11+1</f>
        <v>46033</v>
      </c>
      <c r="C12" s="18" t="n">
        <f aca="false">MIN(ROUNDUP(A12/365,0),5)</f>
        <v>1</v>
      </c>
      <c r="D12" s="18" t="n">
        <f aca="false">DATEDIF(Assumptions!B5,B12,"m")+1</f>
        <v>1</v>
      </c>
      <c r="E12" s="18" t="str">
        <f aca="false">TEXT(B12,"ddd")</f>
        <v>Sun</v>
      </c>
      <c r="F12" s="19" t="n">
        <f aca="false">IF(WEEKDAY(B12,2)&gt;=6,Assumptions!B34,Assumptions!B35)</f>
        <v>0.6</v>
      </c>
      <c r="G12" s="20" t="n">
        <f aca="false">IF(D12&gt;=13,(1+Assumptions!B46)^(D12-12),1)</f>
        <v>1</v>
      </c>
      <c r="H12" s="21" t="n">
        <f aca="false">H11*(1+IF(C12=1,Assumptions!B22,Assumptions!B23))</f>
        <v>16.5329610512335</v>
      </c>
      <c r="I12" s="16" t="n">
        <f aca="false">ROUND(H12*F12,0)</f>
        <v>10</v>
      </c>
      <c r="J12" s="22" t="n">
        <f aca="false">I12*Assumptions!B24</f>
        <v>6000</v>
      </c>
      <c r="K12" s="21" t="n">
        <f aca="false">K11*(1+Assumptions!B30)</f>
        <v>13.1836292052013</v>
      </c>
      <c r="L12" s="16" t="n">
        <f aca="false">ROUND(K12*F12,0)</f>
        <v>8</v>
      </c>
      <c r="M12" s="22" t="n">
        <f aca="false">L12*Assumptions!B31</f>
        <v>2400</v>
      </c>
      <c r="N12" s="22" t="n">
        <f aca="false">J12+M12</f>
        <v>8400</v>
      </c>
      <c r="O12" s="22" t="n">
        <f aca="false">IF(DAY(B12)=1,Assumptions!B38*G12,0)</f>
        <v>0</v>
      </c>
      <c r="P12" s="22" t="n">
        <f aca="false">IF(DAY(B12)=1,Assumptions!B39*G12,0)</f>
        <v>0</v>
      </c>
      <c r="Q12" s="22" t="n">
        <f aca="false">IF(DAY(B12)=1,Assumptions!B40*G12,0)</f>
        <v>0</v>
      </c>
      <c r="R12" s="22" t="n">
        <f aca="false">IF(DAY(B12)=1,Assumptions!B41*G12,0)</f>
        <v>0</v>
      </c>
      <c r="S12" s="22" t="n">
        <f aca="false">IF(AND(DAY(B12)=1,D12&gt;=13),Assumptions!B42*G12,0)</f>
        <v>0</v>
      </c>
      <c r="T12" s="22" t="n">
        <f aca="false">IF(DAY(B12)=1,Assumptions!B43*G12,0)</f>
        <v>0</v>
      </c>
      <c r="U12" s="22" t="n">
        <f aca="false">SUM(O12:T12)</f>
        <v>0</v>
      </c>
      <c r="V12" s="22" t="n">
        <f aca="false">N12-U12</f>
        <v>8400</v>
      </c>
      <c r="W12" s="22" t="n">
        <f aca="false">W11+V12</f>
        <v>-5130700</v>
      </c>
      <c r="X12" s="23" t="str">
        <f aca="false">IF(W12&gt;=0,"YES","No")</f>
        <v>No</v>
      </c>
    </row>
    <row r="13" customFormat="false" ht="15" hidden="false" customHeight="false" outlineLevel="0" collapsed="false">
      <c r="A13" s="16" t="n">
        <v>12</v>
      </c>
      <c r="B13" s="17" t="n">
        <f aca="false">B12+1</f>
        <v>46034</v>
      </c>
      <c r="C13" s="18" t="n">
        <f aca="false">MIN(ROUNDUP(A13/365,0),5)</f>
        <v>1</v>
      </c>
      <c r="D13" s="18" t="n">
        <f aca="false">DATEDIF(Assumptions!B5,B13,"m")+1</f>
        <v>1</v>
      </c>
      <c r="E13" s="18" t="str">
        <f aca="false">TEXT(B13,"ddd")</f>
        <v>Mon</v>
      </c>
      <c r="F13" s="19" t="n">
        <f aca="false">IF(WEEKDAY(B13,2)&gt;=6,Assumptions!B34,Assumptions!B35)</f>
        <v>1</v>
      </c>
      <c r="G13" s="20" t="n">
        <f aca="false">IF(D13&gt;=13,(1+Assumptions!B46)^(D13-12),1)</f>
        <v>1</v>
      </c>
      <c r="H13" s="21" t="n">
        <f aca="false">H12*(1+IF(C13=1,Assumptions!B22,Assumptions!B23))</f>
        <v>16.5437200059653</v>
      </c>
      <c r="I13" s="16" t="n">
        <f aca="false">ROUND(H13*F13,0)</f>
        <v>17</v>
      </c>
      <c r="J13" s="22" t="n">
        <f aca="false">I13*Assumptions!B24</f>
        <v>10200</v>
      </c>
      <c r="K13" s="21" t="n">
        <f aca="false">K12*(1+Assumptions!B30)</f>
        <v>13.1879394192387</v>
      </c>
      <c r="L13" s="16" t="n">
        <f aca="false">ROUND(K13*F13,0)</f>
        <v>13</v>
      </c>
      <c r="M13" s="22" t="n">
        <f aca="false">L13*Assumptions!B31</f>
        <v>3900</v>
      </c>
      <c r="N13" s="22" t="n">
        <f aca="false">J13+M13</f>
        <v>14100</v>
      </c>
      <c r="O13" s="22" t="n">
        <f aca="false">IF(DAY(B13)=1,Assumptions!B38*G13,0)</f>
        <v>0</v>
      </c>
      <c r="P13" s="22" t="n">
        <f aca="false">IF(DAY(B13)=1,Assumptions!B39*G13,0)</f>
        <v>0</v>
      </c>
      <c r="Q13" s="22" t="n">
        <f aca="false">IF(DAY(B13)=1,Assumptions!B40*G13,0)</f>
        <v>0</v>
      </c>
      <c r="R13" s="22" t="n">
        <f aca="false">IF(DAY(B13)=1,Assumptions!B41*G13,0)</f>
        <v>0</v>
      </c>
      <c r="S13" s="22" t="n">
        <f aca="false">IF(AND(DAY(B13)=1,D13&gt;=13),Assumptions!B42*G13,0)</f>
        <v>0</v>
      </c>
      <c r="T13" s="22" t="n">
        <f aca="false">IF(DAY(B13)=1,Assumptions!B43*G13,0)</f>
        <v>0</v>
      </c>
      <c r="U13" s="22" t="n">
        <f aca="false">SUM(O13:T13)</f>
        <v>0</v>
      </c>
      <c r="V13" s="22" t="n">
        <f aca="false">N13-U13</f>
        <v>14100</v>
      </c>
      <c r="W13" s="22" t="n">
        <f aca="false">W12+V13</f>
        <v>-5116600</v>
      </c>
      <c r="X13" s="23" t="str">
        <f aca="false">IF(W13&gt;=0,"YES","No")</f>
        <v>No</v>
      </c>
    </row>
    <row r="14" customFormat="false" ht="15" hidden="false" customHeight="false" outlineLevel="0" collapsed="false">
      <c r="A14" s="16" t="n">
        <v>13</v>
      </c>
      <c r="B14" s="17" t="n">
        <f aca="false">B13+1</f>
        <v>46035</v>
      </c>
      <c r="C14" s="18" t="n">
        <f aca="false">MIN(ROUNDUP(A14/365,0),5)</f>
        <v>1</v>
      </c>
      <c r="D14" s="18" t="n">
        <f aca="false">DATEDIF(Assumptions!B5,B14,"m")+1</f>
        <v>1</v>
      </c>
      <c r="E14" s="18" t="str">
        <f aca="false">TEXT(B14,"ddd")</f>
        <v>Tue</v>
      </c>
      <c r="F14" s="19" t="n">
        <f aca="false">IF(WEEKDAY(B14,2)&gt;=6,Assumptions!B34,Assumptions!B35)</f>
        <v>1</v>
      </c>
      <c r="G14" s="20" t="n">
        <f aca="false">IF(D14&gt;=13,(1+Assumptions!B46)^(D14-12),1)</f>
        <v>1</v>
      </c>
      <c r="H14" s="21" t="n">
        <f aca="false">H13*(1+IF(C14=1,Assumptions!B22,Assumptions!B23))</f>
        <v>16.5544859621716</v>
      </c>
      <c r="I14" s="16" t="n">
        <f aca="false">ROUND(H14*F14,0)</f>
        <v>17</v>
      </c>
      <c r="J14" s="22" t="n">
        <f aca="false">I14*Assumptions!B24</f>
        <v>10200</v>
      </c>
      <c r="K14" s="21" t="n">
        <f aca="false">K13*(1+Assumptions!B30)</f>
        <v>13.1922510424437</v>
      </c>
      <c r="L14" s="16" t="n">
        <f aca="false">ROUND(K14*F14,0)</f>
        <v>13</v>
      </c>
      <c r="M14" s="22" t="n">
        <f aca="false">L14*Assumptions!B31</f>
        <v>3900</v>
      </c>
      <c r="N14" s="22" t="n">
        <f aca="false">J14+M14</f>
        <v>14100</v>
      </c>
      <c r="O14" s="22" t="n">
        <f aca="false">IF(DAY(B14)=1,Assumptions!B38*G14,0)</f>
        <v>0</v>
      </c>
      <c r="P14" s="22" t="n">
        <f aca="false">IF(DAY(B14)=1,Assumptions!B39*G14,0)</f>
        <v>0</v>
      </c>
      <c r="Q14" s="22" t="n">
        <f aca="false">IF(DAY(B14)=1,Assumptions!B40*G14,0)</f>
        <v>0</v>
      </c>
      <c r="R14" s="22" t="n">
        <f aca="false">IF(DAY(B14)=1,Assumptions!B41*G14,0)</f>
        <v>0</v>
      </c>
      <c r="S14" s="22" t="n">
        <f aca="false">IF(AND(DAY(B14)=1,D14&gt;=13),Assumptions!B42*G14,0)</f>
        <v>0</v>
      </c>
      <c r="T14" s="22" t="n">
        <f aca="false">IF(DAY(B14)=1,Assumptions!B43*G14,0)</f>
        <v>0</v>
      </c>
      <c r="U14" s="22" t="n">
        <f aca="false">SUM(O14:T14)</f>
        <v>0</v>
      </c>
      <c r="V14" s="22" t="n">
        <f aca="false">N14-U14</f>
        <v>14100</v>
      </c>
      <c r="W14" s="22" t="n">
        <f aca="false">W13+V14</f>
        <v>-5102500</v>
      </c>
      <c r="X14" s="23" t="str">
        <f aca="false">IF(W14&gt;=0,"YES","No")</f>
        <v>No</v>
      </c>
    </row>
    <row r="15" customFormat="false" ht="15" hidden="false" customHeight="false" outlineLevel="0" collapsed="false">
      <c r="A15" s="16" t="n">
        <v>14</v>
      </c>
      <c r="B15" s="17" t="n">
        <f aca="false">B14+1</f>
        <v>46036</v>
      </c>
      <c r="C15" s="18" t="n">
        <f aca="false">MIN(ROUNDUP(A15/365,0),5)</f>
        <v>1</v>
      </c>
      <c r="D15" s="18" t="n">
        <f aca="false">DATEDIF(Assumptions!B5,B15,"m")+1</f>
        <v>1</v>
      </c>
      <c r="E15" s="18" t="str">
        <f aca="false">TEXT(B15,"ddd")</f>
        <v>Wed</v>
      </c>
      <c r="F15" s="19" t="n">
        <f aca="false">IF(WEEKDAY(B15,2)&gt;=6,Assumptions!B34,Assumptions!B35)</f>
        <v>1</v>
      </c>
      <c r="G15" s="20" t="n">
        <f aca="false">IF(D15&gt;=13,(1+Assumptions!B46)^(D15-12),1)</f>
        <v>1</v>
      </c>
      <c r="H15" s="21" t="n">
        <f aca="false">H14*(1+IF(C15=1,Assumptions!B22,Assumptions!B23))</f>
        <v>16.5652589244089</v>
      </c>
      <c r="I15" s="16" t="n">
        <f aca="false">ROUND(H15*F15,0)</f>
        <v>17</v>
      </c>
      <c r="J15" s="22" t="n">
        <f aca="false">I15*Assumptions!B24</f>
        <v>10200</v>
      </c>
      <c r="K15" s="21" t="n">
        <f aca="false">K14*(1+Assumptions!B30)</f>
        <v>13.1965640752773</v>
      </c>
      <c r="L15" s="16" t="n">
        <f aca="false">ROUND(K15*F15,0)</f>
        <v>13</v>
      </c>
      <c r="M15" s="22" t="n">
        <f aca="false">L15*Assumptions!B31</f>
        <v>3900</v>
      </c>
      <c r="N15" s="22" t="n">
        <f aca="false">J15+M15</f>
        <v>14100</v>
      </c>
      <c r="O15" s="22" t="n">
        <f aca="false">IF(DAY(B15)=1,Assumptions!B38*G15,0)</f>
        <v>0</v>
      </c>
      <c r="P15" s="22" t="n">
        <f aca="false">IF(DAY(B15)=1,Assumptions!B39*G15,0)</f>
        <v>0</v>
      </c>
      <c r="Q15" s="22" t="n">
        <f aca="false">IF(DAY(B15)=1,Assumptions!B40*G15,0)</f>
        <v>0</v>
      </c>
      <c r="R15" s="22" t="n">
        <f aca="false">IF(DAY(B15)=1,Assumptions!B41*G15,0)</f>
        <v>0</v>
      </c>
      <c r="S15" s="22" t="n">
        <f aca="false">IF(AND(DAY(B15)=1,D15&gt;=13),Assumptions!B42*G15,0)</f>
        <v>0</v>
      </c>
      <c r="T15" s="22" t="n">
        <f aca="false">IF(DAY(B15)=1,Assumptions!B43*G15,0)</f>
        <v>0</v>
      </c>
      <c r="U15" s="22" t="n">
        <f aca="false">SUM(O15:T15)</f>
        <v>0</v>
      </c>
      <c r="V15" s="22" t="n">
        <f aca="false">N15-U15</f>
        <v>14100</v>
      </c>
      <c r="W15" s="22" t="n">
        <f aca="false">W14+V15</f>
        <v>-5088400</v>
      </c>
      <c r="X15" s="23" t="str">
        <f aca="false">IF(W15&gt;=0,"YES","No")</f>
        <v>No</v>
      </c>
    </row>
    <row r="16" customFormat="false" ht="15" hidden="false" customHeight="false" outlineLevel="0" collapsed="false">
      <c r="A16" s="16" t="n">
        <v>15</v>
      </c>
      <c r="B16" s="17" t="n">
        <f aca="false">B15+1</f>
        <v>46037</v>
      </c>
      <c r="C16" s="18" t="n">
        <f aca="false">MIN(ROUNDUP(A16/365,0),5)</f>
        <v>1</v>
      </c>
      <c r="D16" s="18" t="n">
        <f aca="false">DATEDIF(Assumptions!B5,B16,"m")+1</f>
        <v>1</v>
      </c>
      <c r="E16" s="18" t="str">
        <f aca="false">TEXT(B16,"ddd")</f>
        <v>Thu</v>
      </c>
      <c r="F16" s="19" t="n">
        <f aca="false">IF(WEEKDAY(B16,2)&gt;=6,Assumptions!B34,Assumptions!B35)</f>
        <v>1</v>
      </c>
      <c r="G16" s="20" t="n">
        <f aca="false">IF(D16&gt;=13,(1+Assumptions!B46)^(D16-12),1)</f>
        <v>1</v>
      </c>
      <c r="H16" s="21" t="n">
        <f aca="false">H15*(1+IF(C16=1,Assumptions!B22,Assumptions!B23))</f>
        <v>16.5760388972362</v>
      </c>
      <c r="I16" s="16" t="n">
        <f aca="false">ROUND(H16*F16,0)</f>
        <v>17</v>
      </c>
      <c r="J16" s="22" t="n">
        <f aca="false">I16*Assumptions!B24</f>
        <v>10200</v>
      </c>
      <c r="K16" s="21" t="n">
        <f aca="false">K15*(1+Assumptions!B30)</f>
        <v>13.2008785182001</v>
      </c>
      <c r="L16" s="16" t="n">
        <f aca="false">ROUND(K16*F16,0)</f>
        <v>13</v>
      </c>
      <c r="M16" s="22" t="n">
        <f aca="false">L16*Assumptions!B31</f>
        <v>3900</v>
      </c>
      <c r="N16" s="22" t="n">
        <f aca="false">J16+M16</f>
        <v>14100</v>
      </c>
      <c r="O16" s="22" t="n">
        <f aca="false">IF(DAY(B16)=1,Assumptions!B38*G16,0)</f>
        <v>0</v>
      </c>
      <c r="P16" s="22" t="n">
        <f aca="false">IF(DAY(B16)=1,Assumptions!B39*G16,0)</f>
        <v>0</v>
      </c>
      <c r="Q16" s="22" t="n">
        <f aca="false">IF(DAY(B16)=1,Assumptions!B40*G16,0)</f>
        <v>0</v>
      </c>
      <c r="R16" s="22" t="n">
        <f aca="false">IF(DAY(B16)=1,Assumptions!B41*G16,0)</f>
        <v>0</v>
      </c>
      <c r="S16" s="22" t="n">
        <f aca="false">IF(AND(DAY(B16)=1,D16&gt;=13),Assumptions!B42*G16,0)</f>
        <v>0</v>
      </c>
      <c r="T16" s="22" t="n">
        <f aca="false">IF(DAY(B16)=1,Assumptions!B43*G16,0)</f>
        <v>0</v>
      </c>
      <c r="U16" s="22" t="n">
        <f aca="false">SUM(O16:T16)</f>
        <v>0</v>
      </c>
      <c r="V16" s="22" t="n">
        <f aca="false">N16-U16</f>
        <v>14100</v>
      </c>
      <c r="W16" s="22" t="n">
        <f aca="false">W15+V16</f>
        <v>-5074300</v>
      </c>
      <c r="X16" s="23" t="str">
        <f aca="false">IF(W16&gt;=0,"YES","No")</f>
        <v>No</v>
      </c>
    </row>
    <row r="17" customFormat="false" ht="15" hidden="false" customHeight="false" outlineLevel="0" collapsed="false">
      <c r="A17" s="16" t="n">
        <v>16</v>
      </c>
      <c r="B17" s="17" t="n">
        <f aca="false">B16+1</f>
        <v>46038</v>
      </c>
      <c r="C17" s="18" t="n">
        <f aca="false">MIN(ROUNDUP(A17/365,0),5)</f>
        <v>1</v>
      </c>
      <c r="D17" s="18" t="n">
        <f aca="false">DATEDIF(Assumptions!B5,B17,"m")+1</f>
        <v>1</v>
      </c>
      <c r="E17" s="18" t="str">
        <f aca="false">TEXT(B17,"ddd")</f>
        <v>Fri</v>
      </c>
      <c r="F17" s="19" t="n">
        <f aca="false">IF(WEEKDAY(B17,2)&gt;=6,Assumptions!B34,Assumptions!B35)</f>
        <v>1</v>
      </c>
      <c r="G17" s="20" t="n">
        <f aca="false">IF(D17&gt;=13,(1+Assumptions!B46)^(D17-12),1)</f>
        <v>1</v>
      </c>
      <c r="H17" s="21" t="n">
        <f aca="false">H16*(1+IF(C17=1,Assumptions!B22,Assumptions!B23))</f>
        <v>16.5868258852158</v>
      </c>
      <c r="I17" s="16" t="n">
        <f aca="false">ROUND(H17*F17,0)</f>
        <v>17</v>
      </c>
      <c r="J17" s="22" t="n">
        <f aca="false">I17*Assumptions!B24</f>
        <v>10200</v>
      </c>
      <c r="K17" s="21" t="n">
        <f aca="false">K16*(1+Assumptions!B30)</f>
        <v>13.2051943716733</v>
      </c>
      <c r="L17" s="16" t="n">
        <f aca="false">ROUND(K17*F17,0)</f>
        <v>13</v>
      </c>
      <c r="M17" s="22" t="n">
        <f aca="false">L17*Assumptions!B31</f>
        <v>3900</v>
      </c>
      <c r="N17" s="22" t="n">
        <f aca="false">J17+M17</f>
        <v>14100</v>
      </c>
      <c r="O17" s="22" t="n">
        <f aca="false">IF(DAY(B17)=1,Assumptions!B38*G17,0)</f>
        <v>0</v>
      </c>
      <c r="P17" s="22" t="n">
        <f aca="false">IF(DAY(B17)=1,Assumptions!B39*G17,0)</f>
        <v>0</v>
      </c>
      <c r="Q17" s="22" t="n">
        <f aca="false">IF(DAY(B17)=1,Assumptions!B40*G17,0)</f>
        <v>0</v>
      </c>
      <c r="R17" s="22" t="n">
        <f aca="false">IF(DAY(B17)=1,Assumptions!B41*G17,0)</f>
        <v>0</v>
      </c>
      <c r="S17" s="22" t="n">
        <f aca="false">IF(AND(DAY(B17)=1,D17&gt;=13),Assumptions!B42*G17,0)</f>
        <v>0</v>
      </c>
      <c r="T17" s="22" t="n">
        <f aca="false">IF(DAY(B17)=1,Assumptions!B43*G17,0)</f>
        <v>0</v>
      </c>
      <c r="U17" s="22" t="n">
        <f aca="false">SUM(O17:T17)</f>
        <v>0</v>
      </c>
      <c r="V17" s="22" t="n">
        <f aca="false">N17-U17</f>
        <v>14100</v>
      </c>
      <c r="W17" s="22" t="n">
        <f aca="false">W16+V17</f>
        <v>-5060200</v>
      </c>
      <c r="X17" s="23" t="str">
        <f aca="false">IF(W17&gt;=0,"YES","No")</f>
        <v>No</v>
      </c>
    </row>
    <row r="18" customFormat="false" ht="15" hidden="false" customHeight="false" outlineLevel="0" collapsed="false">
      <c r="A18" s="16" t="n">
        <v>17</v>
      </c>
      <c r="B18" s="17" t="n">
        <f aca="false">B17+1</f>
        <v>46039</v>
      </c>
      <c r="C18" s="18" t="n">
        <f aca="false">MIN(ROUNDUP(A18/365,0),5)</f>
        <v>1</v>
      </c>
      <c r="D18" s="18" t="n">
        <f aca="false">DATEDIF(Assumptions!B5,B18,"m")+1</f>
        <v>1</v>
      </c>
      <c r="E18" s="18" t="str">
        <f aca="false">TEXT(B18,"ddd")</f>
        <v>Sat</v>
      </c>
      <c r="F18" s="19" t="n">
        <f aca="false">IF(WEEKDAY(B18,2)&gt;=6,Assumptions!B34,Assumptions!B35)</f>
        <v>0.6</v>
      </c>
      <c r="G18" s="20" t="n">
        <f aca="false">IF(D18&gt;=13,(1+Assumptions!B46)^(D18-12),1)</f>
        <v>1</v>
      </c>
      <c r="H18" s="21" t="n">
        <f aca="false">H17*(1+IF(C18=1,Assumptions!B22,Assumptions!B23))</f>
        <v>16.5976198929129</v>
      </c>
      <c r="I18" s="16" t="n">
        <f aca="false">ROUND(H18*F18,0)</f>
        <v>10</v>
      </c>
      <c r="J18" s="22" t="n">
        <f aca="false">I18*Assumptions!B24</f>
        <v>6000</v>
      </c>
      <c r="K18" s="21" t="n">
        <f aca="false">K17*(1+Assumptions!B30)</f>
        <v>13.209511636158</v>
      </c>
      <c r="L18" s="16" t="n">
        <f aca="false">ROUND(K18*F18,0)</f>
        <v>8</v>
      </c>
      <c r="M18" s="22" t="n">
        <f aca="false">L18*Assumptions!B31</f>
        <v>2400</v>
      </c>
      <c r="N18" s="22" t="n">
        <f aca="false">J18+M18</f>
        <v>8400</v>
      </c>
      <c r="O18" s="22" t="n">
        <f aca="false">IF(DAY(B18)=1,Assumptions!B38*G18,0)</f>
        <v>0</v>
      </c>
      <c r="P18" s="22" t="n">
        <f aca="false">IF(DAY(B18)=1,Assumptions!B39*G18,0)</f>
        <v>0</v>
      </c>
      <c r="Q18" s="22" t="n">
        <f aca="false">IF(DAY(B18)=1,Assumptions!B40*G18,0)</f>
        <v>0</v>
      </c>
      <c r="R18" s="22" t="n">
        <f aca="false">IF(DAY(B18)=1,Assumptions!B41*G18,0)</f>
        <v>0</v>
      </c>
      <c r="S18" s="22" t="n">
        <f aca="false">IF(AND(DAY(B18)=1,D18&gt;=13),Assumptions!B42*G18,0)</f>
        <v>0</v>
      </c>
      <c r="T18" s="22" t="n">
        <f aca="false">IF(DAY(B18)=1,Assumptions!B43*G18,0)</f>
        <v>0</v>
      </c>
      <c r="U18" s="22" t="n">
        <f aca="false">SUM(O18:T18)</f>
        <v>0</v>
      </c>
      <c r="V18" s="22" t="n">
        <f aca="false">N18-U18</f>
        <v>8400</v>
      </c>
      <c r="W18" s="22" t="n">
        <f aca="false">W17+V18</f>
        <v>-5051800</v>
      </c>
      <c r="X18" s="23" t="str">
        <f aca="false">IF(W18&gt;=0,"YES","No")</f>
        <v>No</v>
      </c>
    </row>
    <row r="19" customFormat="false" ht="15" hidden="false" customHeight="false" outlineLevel="0" collapsed="false">
      <c r="A19" s="16" t="n">
        <v>18</v>
      </c>
      <c r="B19" s="17" t="n">
        <f aca="false">B18+1</f>
        <v>46040</v>
      </c>
      <c r="C19" s="18" t="n">
        <f aca="false">MIN(ROUNDUP(A19/365,0),5)</f>
        <v>1</v>
      </c>
      <c r="D19" s="18" t="n">
        <f aca="false">DATEDIF(Assumptions!B5,B19,"m")+1</f>
        <v>1</v>
      </c>
      <c r="E19" s="18" t="str">
        <f aca="false">TEXT(B19,"ddd")</f>
        <v>Sun</v>
      </c>
      <c r="F19" s="19" t="n">
        <f aca="false">IF(WEEKDAY(B19,2)&gt;=6,Assumptions!B34,Assumptions!B35)</f>
        <v>0.6</v>
      </c>
      <c r="G19" s="20" t="n">
        <f aca="false">IF(D19&gt;=13,(1+Assumptions!B46)^(D19-12),1)</f>
        <v>1</v>
      </c>
      <c r="H19" s="21" t="n">
        <f aca="false">H18*(1+IF(C19=1,Assumptions!B22,Assumptions!B23))</f>
        <v>16.6084209248956</v>
      </c>
      <c r="I19" s="16" t="n">
        <f aca="false">ROUND(H19*F19,0)</f>
        <v>10</v>
      </c>
      <c r="J19" s="22" t="n">
        <f aca="false">I19*Assumptions!B24</f>
        <v>6000</v>
      </c>
      <c r="K19" s="21" t="n">
        <f aca="false">K18*(1+Assumptions!B30)</f>
        <v>13.2138303121155</v>
      </c>
      <c r="L19" s="16" t="n">
        <f aca="false">ROUND(K19*F19,0)</f>
        <v>8</v>
      </c>
      <c r="M19" s="22" t="n">
        <f aca="false">L19*Assumptions!B31</f>
        <v>2400</v>
      </c>
      <c r="N19" s="22" t="n">
        <f aca="false">J19+M19</f>
        <v>8400</v>
      </c>
      <c r="O19" s="22" t="n">
        <f aca="false">IF(DAY(B19)=1,Assumptions!B38*G19,0)</f>
        <v>0</v>
      </c>
      <c r="P19" s="22" t="n">
        <f aca="false">IF(DAY(B19)=1,Assumptions!B39*G19,0)</f>
        <v>0</v>
      </c>
      <c r="Q19" s="22" t="n">
        <f aca="false">IF(DAY(B19)=1,Assumptions!B40*G19,0)</f>
        <v>0</v>
      </c>
      <c r="R19" s="22" t="n">
        <f aca="false">IF(DAY(B19)=1,Assumptions!B41*G19,0)</f>
        <v>0</v>
      </c>
      <c r="S19" s="22" t="n">
        <f aca="false">IF(AND(DAY(B19)=1,D19&gt;=13),Assumptions!B42*G19,0)</f>
        <v>0</v>
      </c>
      <c r="T19" s="22" t="n">
        <f aca="false">IF(DAY(B19)=1,Assumptions!B43*G19,0)</f>
        <v>0</v>
      </c>
      <c r="U19" s="22" t="n">
        <f aca="false">SUM(O19:T19)</f>
        <v>0</v>
      </c>
      <c r="V19" s="22" t="n">
        <f aca="false">N19-U19</f>
        <v>8400</v>
      </c>
      <c r="W19" s="22" t="n">
        <f aca="false">W18+V19</f>
        <v>-5043400</v>
      </c>
      <c r="X19" s="23" t="str">
        <f aca="false">IF(W19&gt;=0,"YES","No")</f>
        <v>No</v>
      </c>
    </row>
    <row r="20" customFormat="false" ht="15" hidden="false" customHeight="false" outlineLevel="0" collapsed="false">
      <c r="A20" s="16" t="n">
        <v>19</v>
      </c>
      <c r="B20" s="17" t="n">
        <f aca="false">B19+1</f>
        <v>46041</v>
      </c>
      <c r="C20" s="18" t="n">
        <f aca="false">MIN(ROUNDUP(A20/365,0),5)</f>
        <v>1</v>
      </c>
      <c r="D20" s="18" t="n">
        <f aca="false">DATEDIF(Assumptions!B5,B20,"m")+1</f>
        <v>1</v>
      </c>
      <c r="E20" s="18" t="str">
        <f aca="false">TEXT(B20,"ddd")</f>
        <v>Mon</v>
      </c>
      <c r="F20" s="19" t="n">
        <f aca="false">IF(WEEKDAY(B20,2)&gt;=6,Assumptions!B34,Assumptions!B35)</f>
        <v>1</v>
      </c>
      <c r="G20" s="20" t="n">
        <f aca="false">IF(D20&gt;=13,(1+Assumptions!B46)^(D20-12),1)</f>
        <v>1</v>
      </c>
      <c r="H20" s="21" t="n">
        <f aca="false">H19*(1+IF(C20=1,Assumptions!B22,Assumptions!B23))</f>
        <v>16.619228985735</v>
      </c>
      <c r="I20" s="16" t="n">
        <f aca="false">ROUND(H20*F20,0)</f>
        <v>17</v>
      </c>
      <c r="J20" s="22" t="n">
        <f aca="false">I20*Assumptions!B24</f>
        <v>10200</v>
      </c>
      <c r="K20" s="21" t="n">
        <f aca="false">K19*(1+Assumptions!B30)</f>
        <v>13.2181504000072</v>
      </c>
      <c r="L20" s="16" t="n">
        <f aca="false">ROUND(K20*F20,0)</f>
        <v>13</v>
      </c>
      <c r="M20" s="22" t="n">
        <f aca="false">L20*Assumptions!B31</f>
        <v>3900</v>
      </c>
      <c r="N20" s="22" t="n">
        <f aca="false">J20+M20</f>
        <v>14100</v>
      </c>
      <c r="O20" s="22" t="n">
        <f aca="false">IF(DAY(B20)=1,Assumptions!B38*G20,0)</f>
        <v>0</v>
      </c>
      <c r="P20" s="22" t="n">
        <f aca="false">IF(DAY(B20)=1,Assumptions!B39*G20,0)</f>
        <v>0</v>
      </c>
      <c r="Q20" s="22" t="n">
        <f aca="false">IF(DAY(B20)=1,Assumptions!B40*G20,0)</f>
        <v>0</v>
      </c>
      <c r="R20" s="22" t="n">
        <f aca="false">IF(DAY(B20)=1,Assumptions!B41*G20,0)</f>
        <v>0</v>
      </c>
      <c r="S20" s="22" t="n">
        <f aca="false">IF(AND(DAY(B20)=1,D20&gt;=13),Assumptions!B42*G20,0)</f>
        <v>0</v>
      </c>
      <c r="T20" s="22" t="n">
        <f aca="false">IF(DAY(B20)=1,Assumptions!B43*G20,0)</f>
        <v>0</v>
      </c>
      <c r="U20" s="22" t="n">
        <f aca="false">SUM(O20:T20)</f>
        <v>0</v>
      </c>
      <c r="V20" s="22" t="n">
        <f aca="false">N20-U20</f>
        <v>14100</v>
      </c>
      <c r="W20" s="22" t="n">
        <f aca="false">W19+V20</f>
        <v>-5029300</v>
      </c>
      <c r="X20" s="23" t="str">
        <f aca="false">IF(W20&gt;=0,"YES","No")</f>
        <v>No</v>
      </c>
    </row>
    <row r="21" customFormat="false" ht="15" hidden="false" customHeight="false" outlineLevel="0" collapsed="false">
      <c r="A21" s="16" t="n">
        <v>20</v>
      </c>
      <c r="B21" s="17" t="n">
        <f aca="false">B20+1</f>
        <v>46042</v>
      </c>
      <c r="C21" s="18" t="n">
        <f aca="false">MIN(ROUNDUP(A21/365,0),5)</f>
        <v>1</v>
      </c>
      <c r="D21" s="18" t="n">
        <f aca="false">DATEDIF(Assumptions!B5,B21,"m")+1</f>
        <v>1</v>
      </c>
      <c r="E21" s="18" t="str">
        <f aca="false">TEXT(B21,"ddd")</f>
        <v>Tue</v>
      </c>
      <c r="F21" s="19" t="n">
        <f aca="false">IF(WEEKDAY(B21,2)&gt;=6,Assumptions!B34,Assumptions!B35)</f>
        <v>1</v>
      </c>
      <c r="G21" s="20" t="n">
        <f aca="false">IF(D21&gt;=13,(1+Assumptions!B46)^(D21-12),1)</f>
        <v>1</v>
      </c>
      <c r="H21" s="21" t="n">
        <f aca="false">H20*(1+IF(C21=1,Assumptions!B22,Assumptions!B23))</f>
        <v>16.6300440800052</v>
      </c>
      <c r="I21" s="16" t="n">
        <f aca="false">ROUND(H21*F21,0)</f>
        <v>17</v>
      </c>
      <c r="J21" s="22" t="n">
        <f aca="false">I21*Assumptions!B24</f>
        <v>10200</v>
      </c>
      <c r="K21" s="21" t="n">
        <f aca="false">K20*(1+Assumptions!B30)</f>
        <v>13.2224719002948</v>
      </c>
      <c r="L21" s="16" t="n">
        <f aca="false">ROUND(K21*F21,0)</f>
        <v>13</v>
      </c>
      <c r="M21" s="22" t="n">
        <f aca="false">L21*Assumptions!B31</f>
        <v>3900</v>
      </c>
      <c r="N21" s="22" t="n">
        <f aca="false">J21+M21</f>
        <v>14100</v>
      </c>
      <c r="O21" s="22" t="n">
        <f aca="false">IF(DAY(B21)=1,Assumptions!B38*G21,0)</f>
        <v>0</v>
      </c>
      <c r="P21" s="22" t="n">
        <f aca="false">IF(DAY(B21)=1,Assumptions!B39*G21,0)</f>
        <v>0</v>
      </c>
      <c r="Q21" s="22" t="n">
        <f aca="false">IF(DAY(B21)=1,Assumptions!B40*G21,0)</f>
        <v>0</v>
      </c>
      <c r="R21" s="22" t="n">
        <f aca="false">IF(DAY(B21)=1,Assumptions!B41*G21,0)</f>
        <v>0</v>
      </c>
      <c r="S21" s="22" t="n">
        <f aca="false">IF(AND(DAY(B21)=1,D21&gt;=13),Assumptions!B42*G21,0)</f>
        <v>0</v>
      </c>
      <c r="T21" s="22" t="n">
        <f aca="false">IF(DAY(B21)=1,Assumptions!B43*G21,0)</f>
        <v>0</v>
      </c>
      <c r="U21" s="22" t="n">
        <f aca="false">SUM(O21:T21)</f>
        <v>0</v>
      </c>
      <c r="V21" s="22" t="n">
        <f aca="false">N21-U21</f>
        <v>14100</v>
      </c>
      <c r="W21" s="22" t="n">
        <f aca="false">W20+V21</f>
        <v>-5015200</v>
      </c>
      <c r="X21" s="23" t="str">
        <f aca="false">IF(W21&gt;=0,"YES","No")</f>
        <v>No</v>
      </c>
    </row>
    <row r="22" customFormat="false" ht="15" hidden="false" customHeight="false" outlineLevel="0" collapsed="false">
      <c r="A22" s="16" t="n">
        <v>21</v>
      </c>
      <c r="B22" s="17" t="n">
        <f aca="false">B21+1</f>
        <v>46043</v>
      </c>
      <c r="C22" s="18" t="n">
        <f aca="false">MIN(ROUNDUP(A22/365,0),5)</f>
        <v>1</v>
      </c>
      <c r="D22" s="18" t="n">
        <f aca="false">DATEDIF(Assumptions!B5,B22,"m")+1</f>
        <v>1</v>
      </c>
      <c r="E22" s="18" t="str">
        <f aca="false">TEXT(B22,"ddd")</f>
        <v>Wed</v>
      </c>
      <c r="F22" s="19" t="n">
        <f aca="false">IF(WEEKDAY(B22,2)&gt;=6,Assumptions!B34,Assumptions!B35)</f>
        <v>1</v>
      </c>
      <c r="G22" s="20" t="n">
        <f aca="false">IF(D22&gt;=13,(1+Assumptions!B46)^(D22-12),1)</f>
        <v>1</v>
      </c>
      <c r="H22" s="21" t="n">
        <f aca="false">H21*(1+IF(C22=1,Assumptions!B22,Assumptions!B23))</f>
        <v>16.6408662122832</v>
      </c>
      <c r="I22" s="16" t="n">
        <f aca="false">ROUND(H22*F22,0)</f>
        <v>17</v>
      </c>
      <c r="J22" s="22" t="n">
        <f aca="false">I22*Assumptions!B24</f>
        <v>10200</v>
      </c>
      <c r="K22" s="21" t="n">
        <f aca="false">K21*(1+Assumptions!B30)</f>
        <v>13.22679481344</v>
      </c>
      <c r="L22" s="16" t="n">
        <f aca="false">ROUND(K22*F22,0)</f>
        <v>13</v>
      </c>
      <c r="M22" s="22" t="n">
        <f aca="false">L22*Assumptions!B31</f>
        <v>3900</v>
      </c>
      <c r="N22" s="22" t="n">
        <f aca="false">J22+M22</f>
        <v>14100</v>
      </c>
      <c r="O22" s="22" t="n">
        <f aca="false">IF(DAY(B22)=1,Assumptions!B38*G22,0)</f>
        <v>0</v>
      </c>
      <c r="P22" s="22" t="n">
        <f aca="false">IF(DAY(B22)=1,Assumptions!B39*G22,0)</f>
        <v>0</v>
      </c>
      <c r="Q22" s="22" t="n">
        <f aca="false">IF(DAY(B22)=1,Assumptions!B40*G22,0)</f>
        <v>0</v>
      </c>
      <c r="R22" s="22" t="n">
        <f aca="false">IF(DAY(B22)=1,Assumptions!B41*G22,0)</f>
        <v>0</v>
      </c>
      <c r="S22" s="22" t="n">
        <f aca="false">IF(AND(DAY(B22)=1,D22&gt;=13),Assumptions!B42*G22,0)</f>
        <v>0</v>
      </c>
      <c r="T22" s="22" t="n">
        <f aca="false">IF(DAY(B22)=1,Assumptions!B43*G22,0)</f>
        <v>0</v>
      </c>
      <c r="U22" s="22" t="n">
        <f aca="false">SUM(O22:T22)</f>
        <v>0</v>
      </c>
      <c r="V22" s="22" t="n">
        <f aca="false">N22-U22</f>
        <v>14100</v>
      </c>
      <c r="W22" s="22" t="n">
        <f aca="false">W21+V22</f>
        <v>-5001100</v>
      </c>
      <c r="X22" s="23" t="str">
        <f aca="false">IF(W22&gt;=0,"YES","No")</f>
        <v>No</v>
      </c>
    </row>
    <row r="23" customFormat="false" ht="15" hidden="false" customHeight="false" outlineLevel="0" collapsed="false">
      <c r="A23" s="16" t="n">
        <v>22</v>
      </c>
      <c r="B23" s="17" t="n">
        <f aca="false">B22+1</f>
        <v>46044</v>
      </c>
      <c r="C23" s="18" t="n">
        <f aca="false">MIN(ROUNDUP(A23/365,0),5)</f>
        <v>1</v>
      </c>
      <c r="D23" s="18" t="n">
        <f aca="false">DATEDIF(Assumptions!B5,B23,"m")+1</f>
        <v>1</v>
      </c>
      <c r="E23" s="18" t="str">
        <f aca="false">TEXT(B23,"ddd")</f>
        <v>Thu</v>
      </c>
      <c r="F23" s="19" t="n">
        <f aca="false">IF(WEEKDAY(B23,2)&gt;=6,Assumptions!B34,Assumptions!B35)</f>
        <v>1</v>
      </c>
      <c r="G23" s="20" t="n">
        <f aca="false">IF(D23&gt;=13,(1+Assumptions!B46)^(D23-12),1)</f>
        <v>1</v>
      </c>
      <c r="H23" s="21" t="n">
        <f aca="false">H22*(1+IF(C23=1,Assumptions!B22,Assumptions!B23))</f>
        <v>16.6516953871491</v>
      </c>
      <c r="I23" s="16" t="n">
        <f aca="false">ROUND(H23*F23,0)</f>
        <v>17</v>
      </c>
      <c r="J23" s="22" t="n">
        <f aca="false">I23*Assumptions!B24</f>
        <v>10200</v>
      </c>
      <c r="K23" s="21" t="n">
        <f aca="false">K22*(1+Assumptions!B30)</f>
        <v>13.2311191399048</v>
      </c>
      <c r="L23" s="16" t="n">
        <f aca="false">ROUND(K23*F23,0)</f>
        <v>13</v>
      </c>
      <c r="M23" s="22" t="n">
        <f aca="false">L23*Assumptions!B31</f>
        <v>3900</v>
      </c>
      <c r="N23" s="22" t="n">
        <f aca="false">J23+M23</f>
        <v>14100</v>
      </c>
      <c r="O23" s="22" t="n">
        <f aca="false">IF(DAY(B23)=1,Assumptions!B38*G23,0)</f>
        <v>0</v>
      </c>
      <c r="P23" s="22" t="n">
        <f aca="false">IF(DAY(B23)=1,Assumptions!B39*G23,0)</f>
        <v>0</v>
      </c>
      <c r="Q23" s="22" t="n">
        <f aca="false">IF(DAY(B23)=1,Assumptions!B40*G23,0)</f>
        <v>0</v>
      </c>
      <c r="R23" s="22" t="n">
        <f aca="false">IF(DAY(B23)=1,Assumptions!B41*G23,0)</f>
        <v>0</v>
      </c>
      <c r="S23" s="22" t="n">
        <f aca="false">IF(AND(DAY(B23)=1,D23&gt;=13),Assumptions!B42*G23,0)</f>
        <v>0</v>
      </c>
      <c r="T23" s="22" t="n">
        <f aca="false">IF(DAY(B23)=1,Assumptions!B43*G23,0)</f>
        <v>0</v>
      </c>
      <c r="U23" s="22" t="n">
        <f aca="false">SUM(O23:T23)</f>
        <v>0</v>
      </c>
      <c r="V23" s="22" t="n">
        <f aca="false">N23-U23</f>
        <v>14100</v>
      </c>
      <c r="W23" s="22" t="n">
        <f aca="false">W22+V23</f>
        <v>-4987000</v>
      </c>
      <c r="X23" s="23" t="str">
        <f aca="false">IF(W23&gt;=0,"YES","No")</f>
        <v>No</v>
      </c>
    </row>
    <row r="24" customFormat="false" ht="15" hidden="false" customHeight="false" outlineLevel="0" collapsed="false">
      <c r="A24" s="16" t="n">
        <v>23</v>
      </c>
      <c r="B24" s="17" t="n">
        <f aca="false">B23+1</f>
        <v>46045</v>
      </c>
      <c r="C24" s="18" t="n">
        <f aca="false">MIN(ROUNDUP(A24/365,0),5)</f>
        <v>1</v>
      </c>
      <c r="D24" s="18" t="n">
        <f aca="false">DATEDIF(Assumptions!B5,B24,"m")+1</f>
        <v>1</v>
      </c>
      <c r="E24" s="18" t="str">
        <f aca="false">TEXT(B24,"ddd")</f>
        <v>Fri</v>
      </c>
      <c r="F24" s="19" t="n">
        <f aca="false">IF(WEEKDAY(B24,2)&gt;=6,Assumptions!B34,Assumptions!B35)</f>
        <v>1</v>
      </c>
      <c r="G24" s="20" t="n">
        <f aca="false">IF(D24&gt;=13,(1+Assumptions!B46)^(D24-12),1)</f>
        <v>1</v>
      </c>
      <c r="H24" s="21" t="n">
        <f aca="false">H23*(1+IF(C24=1,Assumptions!B22,Assumptions!B23))</f>
        <v>16.662531609186</v>
      </c>
      <c r="I24" s="16" t="n">
        <f aca="false">ROUND(H24*F24,0)</f>
        <v>17</v>
      </c>
      <c r="J24" s="22" t="n">
        <f aca="false">I24*Assumptions!B24</f>
        <v>10200</v>
      </c>
      <c r="K24" s="21" t="n">
        <f aca="false">K23*(1+Assumptions!B30)</f>
        <v>13.2354448801512</v>
      </c>
      <c r="L24" s="16" t="n">
        <f aca="false">ROUND(K24*F24,0)</f>
        <v>13</v>
      </c>
      <c r="M24" s="22" t="n">
        <f aca="false">L24*Assumptions!B31</f>
        <v>3900</v>
      </c>
      <c r="N24" s="22" t="n">
        <f aca="false">J24+M24</f>
        <v>14100</v>
      </c>
      <c r="O24" s="22" t="n">
        <f aca="false">IF(DAY(B24)=1,Assumptions!B38*G24,0)</f>
        <v>0</v>
      </c>
      <c r="P24" s="22" t="n">
        <f aca="false">IF(DAY(B24)=1,Assumptions!B39*G24,0)</f>
        <v>0</v>
      </c>
      <c r="Q24" s="22" t="n">
        <f aca="false">IF(DAY(B24)=1,Assumptions!B40*G24,0)</f>
        <v>0</v>
      </c>
      <c r="R24" s="22" t="n">
        <f aca="false">IF(DAY(B24)=1,Assumptions!B41*G24,0)</f>
        <v>0</v>
      </c>
      <c r="S24" s="22" t="n">
        <f aca="false">IF(AND(DAY(B24)=1,D24&gt;=13),Assumptions!B42*G24,0)</f>
        <v>0</v>
      </c>
      <c r="T24" s="22" t="n">
        <f aca="false">IF(DAY(B24)=1,Assumptions!B43*G24,0)</f>
        <v>0</v>
      </c>
      <c r="U24" s="22" t="n">
        <f aca="false">SUM(O24:T24)</f>
        <v>0</v>
      </c>
      <c r="V24" s="22" t="n">
        <f aca="false">N24-U24</f>
        <v>14100</v>
      </c>
      <c r="W24" s="22" t="n">
        <f aca="false">W23+V24</f>
        <v>-4972900</v>
      </c>
      <c r="X24" s="23" t="str">
        <f aca="false">IF(W24&gt;=0,"YES","No")</f>
        <v>No</v>
      </c>
    </row>
    <row r="25" customFormat="false" ht="15" hidden="false" customHeight="false" outlineLevel="0" collapsed="false">
      <c r="A25" s="16" t="n">
        <v>24</v>
      </c>
      <c r="B25" s="17" t="n">
        <f aca="false">B24+1</f>
        <v>46046</v>
      </c>
      <c r="C25" s="18" t="n">
        <f aca="false">MIN(ROUNDUP(A25/365,0),5)</f>
        <v>1</v>
      </c>
      <c r="D25" s="18" t="n">
        <f aca="false">DATEDIF(Assumptions!B5,B25,"m")+1</f>
        <v>1</v>
      </c>
      <c r="E25" s="18" t="str">
        <f aca="false">TEXT(B25,"ddd")</f>
        <v>Sat</v>
      </c>
      <c r="F25" s="19" t="n">
        <f aca="false">IF(WEEKDAY(B25,2)&gt;=6,Assumptions!B34,Assumptions!B35)</f>
        <v>0.6</v>
      </c>
      <c r="G25" s="20" t="n">
        <f aca="false">IF(D25&gt;=13,(1+Assumptions!B46)^(D25-12),1)</f>
        <v>1</v>
      </c>
      <c r="H25" s="21" t="n">
        <f aca="false">H24*(1+IF(C25=1,Assumptions!B22,Assumptions!B23))</f>
        <v>16.6733748829797</v>
      </c>
      <c r="I25" s="16" t="n">
        <f aca="false">ROUND(H25*F25,0)</f>
        <v>10</v>
      </c>
      <c r="J25" s="22" t="n">
        <f aca="false">I25*Assumptions!B24</f>
        <v>6000</v>
      </c>
      <c r="K25" s="21" t="n">
        <f aca="false">K24*(1+Assumptions!B30)</f>
        <v>13.2397720346415</v>
      </c>
      <c r="L25" s="16" t="n">
        <f aca="false">ROUND(K25*F25,0)</f>
        <v>8</v>
      </c>
      <c r="M25" s="22" t="n">
        <f aca="false">L25*Assumptions!B31</f>
        <v>2400</v>
      </c>
      <c r="N25" s="22" t="n">
        <f aca="false">J25+M25</f>
        <v>8400</v>
      </c>
      <c r="O25" s="22" t="n">
        <f aca="false">IF(DAY(B25)=1,Assumptions!B38*G25,0)</f>
        <v>0</v>
      </c>
      <c r="P25" s="22" t="n">
        <f aca="false">IF(DAY(B25)=1,Assumptions!B39*G25,0)</f>
        <v>0</v>
      </c>
      <c r="Q25" s="22" t="n">
        <f aca="false">IF(DAY(B25)=1,Assumptions!B40*G25,0)</f>
        <v>0</v>
      </c>
      <c r="R25" s="22" t="n">
        <f aca="false">IF(DAY(B25)=1,Assumptions!B41*G25,0)</f>
        <v>0</v>
      </c>
      <c r="S25" s="22" t="n">
        <f aca="false">IF(AND(DAY(B25)=1,D25&gt;=13),Assumptions!B42*G25,0)</f>
        <v>0</v>
      </c>
      <c r="T25" s="22" t="n">
        <f aca="false">IF(DAY(B25)=1,Assumptions!B43*G25,0)</f>
        <v>0</v>
      </c>
      <c r="U25" s="22" t="n">
        <f aca="false">SUM(O25:T25)</f>
        <v>0</v>
      </c>
      <c r="V25" s="22" t="n">
        <f aca="false">N25-U25</f>
        <v>8400</v>
      </c>
      <c r="W25" s="22" t="n">
        <f aca="false">W24+V25</f>
        <v>-4964500</v>
      </c>
      <c r="X25" s="23" t="str">
        <f aca="false">IF(W25&gt;=0,"YES","No")</f>
        <v>No</v>
      </c>
    </row>
    <row r="26" customFormat="false" ht="15" hidden="false" customHeight="false" outlineLevel="0" collapsed="false">
      <c r="A26" s="16" t="n">
        <v>25</v>
      </c>
      <c r="B26" s="17" t="n">
        <f aca="false">B25+1</f>
        <v>46047</v>
      </c>
      <c r="C26" s="18" t="n">
        <f aca="false">MIN(ROUNDUP(A26/365,0),5)</f>
        <v>1</v>
      </c>
      <c r="D26" s="18" t="n">
        <f aca="false">DATEDIF(Assumptions!B5,B26,"m")+1</f>
        <v>1</v>
      </c>
      <c r="E26" s="18" t="str">
        <f aca="false">TEXT(B26,"ddd")</f>
        <v>Sun</v>
      </c>
      <c r="F26" s="19" t="n">
        <f aca="false">IF(WEEKDAY(B26,2)&gt;=6,Assumptions!B34,Assumptions!B35)</f>
        <v>0.6</v>
      </c>
      <c r="G26" s="20" t="n">
        <f aca="false">IF(D26&gt;=13,(1+Assumptions!B46)^(D26-12),1)</f>
        <v>1</v>
      </c>
      <c r="H26" s="21" t="n">
        <f aca="false">H25*(1+IF(C26=1,Assumptions!B22,Assumptions!B23))</f>
        <v>16.6842252131194</v>
      </c>
      <c r="I26" s="16" t="n">
        <f aca="false">ROUND(H26*F26,0)</f>
        <v>10</v>
      </c>
      <c r="J26" s="22" t="n">
        <f aca="false">I26*Assumptions!B24</f>
        <v>6000</v>
      </c>
      <c r="K26" s="21" t="n">
        <f aca="false">K25*(1+Assumptions!B30)</f>
        <v>13.2441006038379</v>
      </c>
      <c r="L26" s="16" t="n">
        <f aca="false">ROUND(K26*F26,0)</f>
        <v>8</v>
      </c>
      <c r="M26" s="22" t="n">
        <f aca="false">L26*Assumptions!B31</f>
        <v>2400</v>
      </c>
      <c r="N26" s="22" t="n">
        <f aca="false">J26+M26</f>
        <v>8400</v>
      </c>
      <c r="O26" s="22" t="n">
        <f aca="false">IF(DAY(B26)=1,Assumptions!B38*G26,0)</f>
        <v>0</v>
      </c>
      <c r="P26" s="22" t="n">
        <f aca="false">IF(DAY(B26)=1,Assumptions!B39*G26,0)</f>
        <v>0</v>
      </c>
      <c r="Q26" s="22" t="n">
        <f aca="false">IF(DAY(B26)=1,Assumptions!B40*G26,0)</f>
        <v>0</v>
      </c>
      <c r="R26" s="22" t="n">
        <f aca="false">IF(DAY(B26)=1,Assumptions!B41*G26,0)</f>
        <v>0</v>
      </c>
      <c r="S26" s="22" t="n">
        <f aca="false">IF(AND(DAY(B26)=1,D26&gt;=13),Assumptions!B42*G26,0)</f>
        <v>0</v>
      </c>
      <c r="T26" s="22" t="n">
        <f aca="false">IF(DAY(B26)=1,Assumptions!B43*G26,0)</f>
        <v>0</v>
      </c>
      <c r="U26" s="22" t="n">
        <f aca="false">SUM(O26:T26)</f>
        <v>0</v>
      </c>
      <c r="V26" s="22" t="n">
        <f aca="false">N26-U26</f>
        <v>8400</v>
      </c>
      <c r="W26" s="22" t="n">
        <f aca="false">W25+V26</f>
        <v>-4956100</v>
      </c>
      <c r="X26" s="23" t="str">
        <f aca="false">IF(W26&gt;=0,"YES","No")</f>
        <v>No</v>
      </c>
    </row>
    <row r="27" customFormat="false" ht="15" hidden="false" customHeight="false" outlineLevel="0" collapsed="false">
      <c r="A27" s="16" t="n">
        <v>26</v>
      </c>
      <c r="B27" s="17" t="n">
        <f aca="false">B26+1</f>
        <v>46048</v>
      </c>
      <c r="C27" s="18" t="n">
        <f aca="false">MIN(ROUNDUP(A27/365,0),5)</f>
        <v>1</v>
      </c>
      <c r="D27" s="18" t="n">
        <f aca="false">DATEDIF(Assumptions!B5,B27,"m")+1</f>
        <v>1</v>
      </c>
      <c r="E27" s="18" t="str">
        <f aca="false">TEXT(B27,"ddd")</f>
        <v>Mon</v>
      </c>
      <c r="F27" s="19" t="n">
        <f aca="false">IF(WEEKDAY(B27,2)&gt;=6,Assumptions!B34,Assumptions!B35)</f>
        <v>1</v>
      </c>
      <c r="G27" s="20" t="n">
        <f aca="false">IF(D27&gt;=13,(1+Assumptions!B46)^(D27-12),1)</f>
        <v>1</v>
      </c>
      <c r="H27" s="21" t="n">
        <f aca="false">H26*(1+IF(C27=1,Assumptions!B22,Assumptions!B23))</f>
        <v>16.6950826041969</v>
      </c>
      <c r="I27" s="16" t="n">
        <f aca="false">ROUND(H27*F27,0)</f>
        <v>17</v>
      </c>
      <c r="J27" s="22" t="n">
        <f aca="false">I27*Assumptions!B24</f>
        <v>10200</v>
      </c>
      <c r="K27" s="21" t="n">
        <f aca="false">K26*(1+Assumptions!B30)</f>
        <v>13.2484305882031</v>
      </c>
      <c r="L27" s="16" t="n">
        <f aca="false">ROUND(K27*F27,0)</f>
        <v>13</v>
      </c>
      <c r="M27" s="22" t="n">
        <f aca="false">L27*Assumptions!B31</f>
        <v>3900</v>
      </c>
      <c r="N27" s="22" t="n">
        <f aca="false">J27+M27</f>
        <v>14100</v>
      </c>
      <c r="O27" s="22" t="n">
        <f aca="false">IF(DAY(B27)=1,Assumptions!B38*G27,0)</f>
        <v>0</v>
      </c>
      <c r="P27" s="22" t="n">
        <f aca="false">IF(DAY(B27)=1,Assumptions!B39*G27,0)</f>
        <v>0</v>
      </c>
      <c r="Q27" s="22" t="n">
        <f aca="false">IF(DAY(B27)=1,Assumptions!B40*G27,0)</f>
        <v>0</v>
      </c>
      <c r="R27" s="22" t="n">
        <f aca="false">IF(DAY(B27)=1,Assumptions!B41*G27,0)</f>
        <v>0</v>
      </c>
      <c r="S27" s="22" t="n">
        <f aca="false">IF(AND(DAY(B27)=1,D27&gt;=13),Assumptions!B42*G27,0)</f>
        <v>0</v>
      </c>
      <c r="T27" s="22" t="n">
        <f aca="false">IF(DAY(B27)=1,Assumptions!B43*G27,0)</f>
        <v>0</v>
      </c>
      <c r="U27" s="22" t="n">
        <f aca="false">SUM(O27:T27)</f>
        <v>0</v>
      </c>
      <c r="V27" s="22" t="n">
        <f aca="false">N27-U27</f>
        <v>14100</v>
      </c>
      <c r="W27" s="22" t="n">
        <f aca="false">W26+V27</f>
        <v>-4942000</v>
      </c>
      <c r="X27" s="23" t="str">
        <f aca="false">IF(W27&gt;=0,"YES","No")</f>
        <v>No</v>
      </c>
    </row>
    <row r="28" customFormat="false" ht="15" hidden="false" customHeight="false" outlineLevel="0" collapsed="false">
      <c r="A28" s="16" t="n">
        <v>27</v>
      </c>
      <c r="B28" s="17" t="n">
        <f aca="false">B27+1</f>
        <v>46049</v>
      </c>
      <c r="C28" s="18" t="n">
        <f aca="false">MIN(ROUNDUP(A28/365,0),5)</f>
        <v>1</v>
      </c>
      <c r="D28" s="18" t="n">
        <f aca="false">DATEDIF(Assumptions!B5,B28,"m")+1</f>
        <v>1</v>
      </c>
      <c r="E28" s="18" t="str">
        <f aca="false">TEXT(B28,"ddd")</f>
        <v>Tue</v>
      </c>
      <c r="F28" s="19" t="n">
        <f aca="false">IF(WEEKDAY(B28,2)&gt;=6,Assumptions!B34,Assumptions!B35)</f>
        <v>1</v>
      </c>
      <c r="G28" s="20" t="n">
        <f aca="false">IF(D28&gt;=13,(1+Assumptions!B46)^(D28-12),1)</f>
        <v>1</v>
      </c>
      <c r="H28" s="21" t="n">
        <f aca="false">H27*(1+IF(C28=1,Assumptions!B22,Assumptions!B23))</f>
        <v>16.7059470608072</v>
      </c>
      <c r="I28" s="16" t="n">
        <f aca="false">ROUND(H28*F28,0)</f>
        <v>17</v>
      </c>
      <c r="J28" s="22" t="n">
        <f aca="false">I28*Assumptions!B24</f>
        <v>10200</v>
      </c>
      <c r="K28" s="21" t="n">
        <f aca="false">K27*(1+Assumptions!B30)</f>
        <v>13.2527619881996</v>
      </c>
      <c r="L28" s="16" t="n">
        <f aca="false">ROUND(K28*F28,0)</f>
        <v>13</v>
      </c>
      <c r="M28" s="22" t="n">
        <f aca="false">L28*Assumptions!B31</f>
        <v>3900</v>
      </c>
      <c r="N28" s="22" t="n">
        <f aca="false">J28+M28</f>
        <v>14100</v>
      </c>
      <c r="O28" s="22" t="n">
        <f aca="false">IF(DAY(B28)=1,Assumptions!B38*G28,0)</f>
        <v>0</v>
      </c>
      <c r="P28" s="22" t="n">
        <f aca="false">IF(DAY(B28)=1,Assumptions!B39*G28,0)</f>
        <v>0</v>
      </c>
      <c r="Q28" s="22" t="n">
        <f aca="false">IF(DAY(B28)=1,Assumptions!B40*G28,0)</f>
        <v>0</v>
      </c>
      <c r="R28" s="22" t="n">
        <f aca="false">IF(DAY(B28)=1,Assumptions!B41*G28,0)</f>
        <v>0</v>
      </c>
      <c r="S28" s="22" t="n">
        <f aca="false">IF(AND(DAY(B28)=1,D28&gt;=13),Assumptions!B42*G28,0)</f>
        <v>0</v>
      </c>
      <c r="T28" s="22" t="n">
        <f aca="false">IF(DAY(B28)=1,Assumptions!B43*G28,0)</f>
        <v>0</v>
      </c>
      <c r="U28" s="22" t="n">
        <f aca="false">SUM(O28:T28)</f>
        <v>0</v>
      </c>
      <c r="V28" s="22" t="n">
        <f aca="false">N28-U28</f>
        <v>14100</v>
      </c>
      <c r="W28" s="22" t="n">
        <f aca="false">W27+V28</f>
        <v>-4927900</v>
      </c>
      <c r="X28" s="23" t="str">
        <f aca="false">IF(W28&gt;=0,"YES","No")</f>
        <v>No</v>
      </c>
    </row>
    <row r="29" customFormat="false" ht="15" hidden="false" customHeight="false" outlineLevel="0" collapsed="false">
      <c r="A29" s="16" t="n">
        <v>28</v>
      </c>
      <c r="B29" s="17" t="n">
        <f aca="false">B28+1</f>
        <v>46050</v>
      </c>
      <c r="C29" s="18" t="n">
        <f aca="false">MIN(ROUNDUP(A29/365,0),5)</f>
        <v>1</v>
      </c>
      <c r="D29" s="18" t="n">
        <f aca="false">DATEDIF(Assumptions!B5,B29,"m")+1</f>
        <v>1</v>
      </c>
      <c r="E29" s="18" t="str">
        <f aca="false">TEXT(B29,"ddd")</f>
        <v>Wed</v>
      </c>
      <c r="F29" s="19" t="n">
        <f aca="false">IF(WEEKDAY(B29,2)&gt;=6,Assumptions!B34,Assumptions!B35)</f>
        <v>1</v>
      </c>
      <c r="G29" s="20" t="n">
        <f aca="false">IF(D29&gt;=13,(1+Assumptions!B46)^(D29-12),1)</f>
        <v>1</v>
      </c>
      <c r="H29" s="21" t="n">
        <f aca="false">H28*(1+IF(C29=1,Assumptions!B22,Assumptions!B23))</f>
        <v>16.7168185875484</v>
      </c>
      <c r="I29" s="16" t="n">
        <f aca="false">ROUND(H29*F29,0)</f>
        <v>17</v>
      </c>
      <c r="J29" s="22" t="n">
        <f aca="false">I29*Assumptions!B24</f>
        <v>10200</v>
      </c>
      <c r="K29" s="21" t="n">
        <f aca="false">K28*(1+Assumptions!B30)</f>
        <v>13.2570948042904</v>
      </c>
      <c r="L29" s="16" t="n">
        <f aca="false">ROUND(K29*F29,0)</f>
        <v>13</v>
      </c>
      <c r="M29" s="22" t="n">
        <f aca="false">L29*Assumptions!B31</f>
        <v>3900</v>
      </c>
      <c r="N29" s="22" t="n">
        <f aca="false">J29+M29</f>
        <v>14100</v>
      </c>
      <c r="O29" s="22" t="n">
        <f aca="false">IF(DAY(B29)=1,Assumptions!B38*G29,0)</f>
        <v>0</v>
      </c>
      <c r="P29" s="22" t="n">
        <f aca="false">IF(DAY(B29)=1,Assumptions!B39*G29,0)</f>
        <v>0</v>
      </c>
      <c r="Q29" s="22" t="n">
        <f aca="false">IF(DAY(B29)=1,Assumptions!B40*G29,0)</f>
        <v>0</v>
      </c>
      <c r="R29" s="22" t="n">
        <f aca="false">IF(DAY(B29)=1,Assumptions!B41*G29,0)</f>
        <v>0</v>
      </c>
      <c r="S29" s="22" t="n">
        <f aca="false">IF(AND(DAY(B29)=1,D29&gt;=13),Assumptions!B42*G29,0)</f>
        <v>0</v>
      </c>
      <c r="T29" s="22" t="n">
        <f aca="false">IF(DAY(B29)=1,Assumptions!B43*G29,0)</f>
        <v>0</v>
      </c>
      <c r="U29" s="22" t="n">
        <f aca="false">SUM(O29:T29)</f>
        <v>0</v>
      </c>
      <c r="V29" s="22" t="n">
        <f aca="false">N29-U29</f>
        <v>14100</v>
      </c>
      <c r="W29" s="22" t="n">
        <f aca="false">W28+V29</f>
        <v>-4913800</v>
      </c>
      <c r="X29" s="23" t="str">
        <f aca="false">IF(W29&gt;=0,"YES","No")</f>
        <v>No</v>
      </c>
    </row>
    <row r="30" customFormat="false" ht="15" hidden="false" customHeight="false" outlineLevel="0" collapsed="false">
      <c r="A30" s="16" t="n">
        <v>29</v>
      </c>
      <c r="B30" s="17" t="n">
        <f aca="false">B29+1</f>
        <v>46051</v>
      </c>
      <c r="C30" s="18" t="n">
        <f aca="false">MIN(ROUNDUP(A30/365,0),5)</f>
        <v>1</v>
      </c>
      <c r="D30" s="18" t="n">
        <f aca="false">DATEDIF(Assumptions!B5,B30,"m")+1</f>
        <v>1</v>
      </c>
      <c r="E30" s="18" t="str">
        <f aca="false">TEXT(B30,"ddd")</f>
        <v>Thu</v>
      </c>
      <c r="F30" s="19" t="n">
        <f aca="false">IF(WEEKDAY(B30,2)&gt;=6,Assumptions!B34,Assumptions!B35)</f>
        <v>1</v>
      </c>
      <c r="G30" s="20" t="n">
        <f aca="false">IF(D30&gt;=13,(1+Assumptions!B46)^(D30-12),1)</f>
        <v>1</v>
      </c>
      <c r="H30" s="21" t="n">
        <f aca="false">H29*(1+IF(C30=1,Assumptions!B22,Assumptions!B23))</f>
        <v>16.7276971890212</v>
      </c>
      <c r="I30" s="16" t="n">
        <f aca="false">ROUND(H30*F30,0)</f>
        <v>17</v>
      </c>
      <c r="J30" s="22" t="n">
        <f aca="false">I30*Assumptions!B24</f>
        <v>10200</v>
      </c>
      <c r="K30" s="21" t="n">
        <f aca="false">K29*(1+Assumptions!B30)</f>
        <v>13.2614290369384</v>
      </c>
      <c r="L30" s="16" t="n">
        <f aca="false">ROUND(K30*F30,0)</f>
        <v>13</v>
      </c>
      <c r="M30" s="22" t="n">
        <f aca="false">L30*Assumptions!B31</f>
        <v>3900</v>
      </c>
      <c r="N30" s="22" t="n">
        <f aca="false">J30+M30</f>
        <v>14100</v>
      </c>
      <c r="O30" s="22" t="n">
        <f aca="false">IF(DAY(B30)=1,Assumptions!B38*G30,0)</f>
        <v>0</v>
      </c>
      <c r="P30" s="22" t="n">
        <f aca="false">IF(DAY(B30)=1,Assumptions!B39*G30,0)</f>
        <v>0</v>
      </c>
      <c r="Q30" s="22" t="n">
        <f aca="false">IF(DAY(B30)=1,Assumptions!B40*G30,0)</f>
        <v>0</v>
      </c>
      <c r="R30" s="22" t="n">
        <f aca="false">IF(DAY(B30)=1,Assumptions!B41*G30,0)</f>
        <v>0</v>
      </c>
      <c r="S30" s="22" t="n">
        <f aca="false">IF(AND(DAY(B30)=1,D30&gt;=13),Assumptions!B42*G30,0)</f>
        <v>0</v>
      </c>
      <c r="T30" s="22" t="n">
        <f aca="false">IF(DAY(B30)=1,Assumptions!B43*G30,0)</f>
        <v>0</v>
      </c>
      <c r="U30" s="22" t="n">
        <f aca="false">SUM(O30:T30)</f>
        <v>0</v>
      </c>
      <c r="V30" s="22" t="n">
        <f aca="false">N30-U30</f>
        <v>14100</v>
      </c>
      <c r="W30" s="22" t="n">
        <f aca="false">W29+V30</f>
        <v>-4899700</v>
      </c>
      <c r="X30" s="23" t="str">
        <f aca="false">IF(W30&gt;=0,"YES","No")</f>
        <v>No</v>
      </c>
    </row>
    <row r="31" customFormat="false" ht="15" hidden="false" customHeight="false" outlineLevel="0" collapsed="false">
      <c r="A31" s="16" t="n">
        <v>30</v>
      </c>
      <c r="B31" s="17" t="n">
        <f aca="false">B30+1</f>
        <v>46052</v>
      </c>
      <c r="C31" s="18" t="n">
        <f aca="false">MIN(ROUNDUP(A31/365,0),5)</f>
        <v>1</v>
      </c>
      <c r="D31" s="18" t="n">
        <f aca="false">DATEDIF(Assumptions!B5,B31,"m")+1</f>
        <v>1</v>
      </c>
      <c r="E31" s="18" t="str">
        <f aca="false">TEXT(B31,"ddd")</f>
        <v>Fri</v>
      </c>
      <c r="F31" s="19" t="n">
        <f aca="false">IF(WEEKDAY(B31,2)&gt;=6,Assumptions!B34,Assumptions!B35)</f>
        <v>1</v>
      </c>
      <c r="G31" s="20" t="n">
        <f aca="false">IF(D31&gt;=13,(1+Assumptions!B46)^(D31-12),1)</f>
        <v>1</v>
      </c>
      <c r="H31" s="21" t="n">
        <f aca="false">H30*(1+IF(C31=1,Assumptions!B22,Assumptions!B23))</f>
        <v>16.7385828698297</v>
      </c>
      <c r="I31" s="16" t="n">
        <f aca="false">ROUND(H31*F31,0)</f>
        <v>17</v>
      </c>
      <c r="J31" s="22" t="n">
        <f aca="false">I31*Assumptions!B24</f>
        <v>10200</v>
      </c>
      <c r="K31" s="21" t="n">
        <f aca="false">K30*(1+Assumptions!B30)</f>
        <v>13.2657646866066</v>
      </c>
      <c r="L31" s="16" t="n">
        <f aca="false">ROUND(K31*F31,0)</f>
        <v>13</v>
      </c>
      <c r="M31" s="22" t="n">
        <f aca="false">L31*Assumptions!B31</f>
        <v>3900</v>
      </c>
      <c r="N31" s="22" t="n">
        <f aca="false">J31+M31</f>
        <v>14100</v>
      </c>
      <c r="O31" s="22" t="n">
        <f aca="false">IF(DAY(B31)=1,Assumptions!B38*G31,0)</f>
        <v>0</v>
      </c>
      <c r="P31" s="22" t="n">
        <f aca="false">IF(DAY(B31)=1,Assumptions!B39*G31,0)</f>
        <v>0</v>
      </c>
      <c r="Q31" s="22" t="n">
        <f aca="false">IF(DAY(B31)=1,Assumptions!B40*G31,0)</f>
        <v>0</v>
      </c>
      <c r="R31" s="22" t="n">
        <f aca="false">IF(DAY(B31)=1,Assumptions!B41*G31,0)</f>
        <v>0</v>
      </c>
      <c r="S31" s="22" t="n">
        <f aca="false">IF(AND(DAY(B31)=1,D31&gt;=13),Assumptions!B42*G31,0)</f>
        <v>0</v>
      </c>
      <c r="T31" s="22" t="n">
        <f aca="false">IF(DAY(B31)=1,Assumptions!B43*G31,0)</f>
        <v>0</v>
      </c>
      <c r="U31" s="22" t="n">
        <f aca="false">SUM(O31:T31)</f>
        <v>0</v>
      </c>
      <c r="V31" s="22" t="n">
        <f aca="false">N31-U31</f>
        <v>14100</v>
      </c>
      <c r="W31" s="22" t="n">
        <f aca="false">W30+V31</f>
        <v>-4885600</v>
      </c>
      <c r="X31" s="23" t="str">
        <f aca="false">IF(W31&gt;=0,"YES","No")</f>
        <v>No</v>
      </c>
    </row>
    <row r="32" customFormat="false" ht="15" hidden="false" customHeight="false" outlineLevel="0" collapsed="false">
      <c r="A32" s="16" t="n">
        <v>31</v>
      </c>
      <c r="B32" s="17" t="n">
        <f aca="false">B31+1</f>
        <v>46053</v>
      </c>
      <c r="C32" s="18" t="n">
        <f aca="false">MIN(ROUNDUP(A32/365,0),5)</f>
        <v>1</v>
      </c>
      <c r="D32" s="18" t="n">
        <f aca="false">DATEDIF(Assumptions!B5,B32,"m")+1</f>
        <v>1</v>
      </c>
      <c r="E32" s="18" t="str">
        <f aca="false">TEXT(B32,"ddd")</f>
        <v>Sat</v>
      </c>
      <c r="F32" s="19" t="n">
        <f aca="false">IF(WEEKDAY(B32,2)&gt;=6,Assumptions!B34,Assumptions!B35)</f>
        <v>0.6</v>
      </c>
      <c r="G32" s="20" t="n">
        <f aca="false">IF(D32&gt;=13,(1+Assumptions!B46)^(D32-12),1)</f>
        <v>1</v>
      </c>
      <c r="H32" s="21" t="n">
        <f aca="false">H31*(1+IF(C32=1,Assumptions!B22,Assumptions!B23))</f>
        <v>16.7494756345808</v>
      </c>
      <c r="I32" s="16" t="n">
        <f aca="false">ROUND(H32*F32,0)</f>
        <v>10</v>
      </c>
      <c r="J32" s="22" t="n">
        <f aca="false">I32*Assumptions!B24</f>
        <v>6000</v>
      </c>
      <c r="K32" s="21" t="n">
        <f aca="false">K31*(1+Assumptions!B30)</f>
        <v>13.2701017537585</v>
      </c>
      <c r="L32" s="16" t="n">
        <f aca="false">ROUND(K32*F32,0)</f>
        <v>8</v>
      </c>
      <c r="M32" s="22" t="n">
        <f aca="false">L32*Assumptions!B31</f>
        <v>2400</v>
      </c>
      <c r="N32" s="22" t="n">
        <f aca="false">J32+M32</f>
        <v>8400</v>
      </c>
      <c r="O32" s="22" t="n">
        <f aca="false">IF(DAY(B32)=1,Assumptions!B38*G32,0)</f>
        <v>0</v>
      </c>
      <c r="P32" s="22" t="n">
        <f aca="false">IF(DAY(B32)=1,Assumptions!B39*G32,0)</f>
        <v>0</v>
      </c>
      <c r="Q32" s="22" t="n">
        <f aca="false">IF(DAY(B32)=1,Assumptions!B40*G32,0)</f>
        <v>0</v>
      </c>
      <c r="R32" s="22" t="n">
        <f aca="false">IF(DAY(B32)=1,Assumptions!B41*G32,0)</f>
        <v>0</v>
      </c>
      <c r="S32" s="22" t="n">
        <f aca="false">IF(AND(DAY(B32)=1,D32&gt;=13),Assumptions!B42*G32,0)</f>
        <v>0</v>
      </c>
      <c r="T32" s="22" t="n">
        <f aca="false">IF(DAY(B32)=1,Assumptions!B43*G32,0)</f>
        <v>0</v>
      </c>
      <c r="U32" s="22" t="n">
        <f aca="false">SUM(O32:T32)</f>
        <v>0</v>
      </c>
      <c r="V32" s="22" t="n">
        <f aca="false">N32-U32</f>
        <v>8400</v>
      </c>
      <c r="W32" s="22" t="n">
        <f aca="false">W31+V32</f>
        <v>-4877200</v>
      </c>
      <c r="X32" s="23" t="str">
        <f aca="false">IF(W32&gt;=0,"YES","No")</f>
        <v>No</v>
      </c>
    </row>
    <row r="33" customFormat="false" ht="15" hidden="false" customHeight="false" outlineLevel="0" collapsed="false">
      <c r="A33" s="16" t="n">
        <v>32</v>
      </c>
      <c r="B33" s="17" t="n">
        <f aca="false">B32+1</f>
        <v>46054</v>
      </c>
      <c r="C33" s="18" t="n">
        <f aca="false">MIN(ROUNDUP(A33/365,0),5)</f>
        <v>1</v>
      </c>
      <c r="D33" s="18" t="n">
        <f aca="false">DATEDIF(Assumptions!B5,B33,"m")+1</f>
        <v>2</v>
      </c>
      <c r="E33" s="18" t="str">
        <f aca="false">TEXT(B33,"ddd")</f>
        <v>Sun</v>
      </c>
      <c r="F33" s="19" t="n">
        <f aca="false">IF(WEEKDAY(B33,2)&gt;=6,Assumptions!B34,Assumptions!B35)</f>
        <v>0.6</v>
      </c>
      <c r="G33" s="20" t="n">
        <f aca="false">IF(D33&gt;=13,(1+Assumptions!B46)^(D33-12),1)</f>
        <v>1</v>
      </c>
      <c r="H33" s="21" t="n">
        <f aca="false">H32*(1+IF(C33=1,Assumptions!B22,Assumptions!B23))</f>
        <v>16.7603754878845</v>
      </c>
      <c r="I33" s="16" t="n">
        <f aca="false">ROUND(H33*F33,0)</f>
        <v>10</v>
      </c>
      <c r="J33" s="22" t="n">
        <f aca="false">I33*Assumptions!B24</f>
        <v>6000</v>
      </c>
      <c r="K33" s="21" t="n">
        <f aca="false">K32*(1+Assumptions!B30)</f>
        <v>13.2744402388574</v>
      </c>
      <c r="L33" s="16" t="n">
        <f aca="false">ROUND(K33*F33,0)</f>
        <v>8</v>
      </c>
      <c r="M33" s="22" t="n">
        <f aca="false">L33*Assumptions!B31</f>
        <v>2400</v>
      </c>
      <c r="N33" s="22" t="n">
        <f aca="false">J33+M33</f>
        <v>8400</v>
      </c>
      <c r="O33" s="22" t="n">
        <f aca="false">IF(DAY(B33)=1,Assumptions!B38*G33,0)</f>
        <v>150000</v>
      </c>
      <c r="P33" s="22" t="n">
        <f aca="false">IF(DAY(B33)=1,Assumptions!B39*G33,0)</f>
        <v>40000</v>
      </c>
      <c r="Q33" s="22" t="n">
        <f aca="false">IF(DAY(B33)=1,Assumptions!B40*G33,0)</f>
        <v>30000</v>
      </c>
      <c r="R33" s="22" t="n">
        <f aca="false">IF(DAY(B33)=1,Assumptions!B41*G33,0)</f>
        <v>20000</v>
      </c>
      <c r="S33" s="22" t="n">
        <f aca="false">IF(AND(DAY(B33)=1,D33&gt;=13),Assumptions!B42*G33,0)</f>
        <v>0</v>
      </c>
      <c r="T33" s="22" t="n">
        <f aca="false">IF(DAY(B33)=1,Assumptions!B43*G33,0)</f>
        <v>20000</v>
      </c>
      <c r="U33" s="22" t="n">
        <f aca="false">SUM(O33:T33)</f>
        <v>260000</v>
      </c>
      <c r="V33" s="22" t="n">
        <f aca="false">N33-U33</f>
        <v>-251600</v>
      </c>
      <c r="W33" s="22" t="n">
        <f aca="false">W32+V33</f>
        <v>-5128800</v>
      </c>
      <c r="X33" s="23" t="str">
        <f aca="false">IF(W33&gt;=0,"YES","No")</f>
        <v>No</v>
      </c>
    </row>
    <row r="34" customFormat="false" ht="15" hidden="false" customHeight="false" outlineLevel="0" collapsed="false">
      <c r="A34" s="16" t="n">
        <v>33</v>
      </c>
      <c r="B34" s="17" t="n">
        <f aca="false">B33+1</f>
        <v>46055</v>
      </c>
      <c r="C34" s="18" t="n">
        <f aca="false">MIN(ROUNDUP(A34/365,0),5)</f>
        <v>1</v>
      </c>
      <c r="D34" s="18" t="n">
        <f aca="false">DATEDIF(Assumptions!B5,B34,"m")+1</f>
        <v>2</v>
      </c>
      <c r="E34" s="18" t="str">
        <f aca="false">TEXT(B34,"ddd")</f>
        <v>Mon</v>
      </c>
      <c r="F34" s="19" t="n">
        <f aca="false">IF(WEEKDAY(B34,2)&gt;=6,Assumptions!B34,Assumptions!B35)</f>
        <v>1</v>
      </c>
      <c r="G34" s="20" t="n">
        <f aca="false">IF(D34&gt;=13,(1+Assumptions!B46)^(D34-12),1)</f>
        <v>1</v>
      </c>
      <c r="H34" s="21" t="n">
        <f aca="false">H33*(1+IF(C34=1,Assumptions!B22,Assumptions!B23))</f>
        <v>16.7712824343536</v>
      </c>
      <c r="I34" s="16" t="n">
        <f aca="false">ROUND(H34*F34,0)</f>
        <v>17</v>
      </c>
      <c r="J34" s="22" t="n">
        <f aca="false">I34*Assumptions!B24</f>
        <v>10200</v>
      </c>
      <c r="K34" s="21" t="n">
        <f aca="false">K33*(1+Assumptions!B30)</f>
        <v>13.2787801423669</v>
      </c>
      <c r="L34" s="16" t="n">
        <f aca="false">ROUND(K34*F34,0)</f>
        <v>13</v>
      </c>
      <c r="M34" s="22" t="n">
        <f aca="false">L34*Assumptions!B31</f>
        <v>3900</v>
      </c>
      <c r="N34" s="22" t="n">
        <f aca="false">J34+M34</f>
        <v>14100</v>
      </c>
      <c r="O34" s="22" t="n">
        <f aca="false">IF(DAY(B34)=1,Assumptions!B38*G34,0)</f>
        <v>0</v>
      </c>
      <c r="P34" s="22" t="n">
        <f aca="false">IF(DAY(B34)=1,Assumptions!B39*G34,0)</f>
        <v>0</v>
      </c>
      <c r="Q34" s="22" t="n">
        <f aca="false">IF(DAY(B34)=1,Assumptions!B40*G34,0)</f>
        <v>0</v>
      </c>
      <c r="R34" s="22" t="n">
        <f aca="false">IF(DAY(B34)=1,Assumptions!B41*G34,0)</f>
        <v>0</v>
      </c>
      <c r="S34" s="22" t="n">
        <f aca="false">IF(AND(DAY(B34)=1,D34&gt;=13),Assumptions!B42*G34,0)</f>
        <v>0</v>
      </c>
      <c r="T34" s="22" t="n">
        <f aca="false">IF(DAY(B34)=1,Assumptions!B43*G34,0)</f>
        <v>0</v>
      </c>
      <c r="U34" s="22" t="n">
        <f aca="false">SUM(O34:T34)</f>
        <v>0</v>
      </c>
      <c r="V34" s="22" t="n">
        <f aca="false">N34-U34</f>
        <v>14100</v>
      </c>
      <c r="W34" s="22" t="n">
        <f aca="false">W33+V34</f>
        <v>-5114700</v>
      </c>
      <c r="X34" s="23" t="str">
        <f aca="false">IF(W34&gt;=0,"YES","No")</f>
        <v>No</v>
      </c>
    </row>
    <row r="35" customFormat="false" ht="15" hidden="false" customHeight="false" outlineLevel="0" collapsed="false">
      <c r="A35" s="16" t="n">
        <v>34</v>
      </c>
      <c r="B35" s="17" t="n">
        <f aca="false">B34+1</f>
        <v>46056</v>
      </c>
      <c r="C35" s="18" t="n">
        <f aca="false">MIN(ROUNDUP(A35/365,0),5)</f>
        <v>1</v>
      </c>
      <c r="D35" s="18" t="n">
        <f aca="false">DATEDIF(Assumptions!B5,B35,"m")+1</f>
        <v>2</v>
      </c>
      <c r="E35" s="18" t="str">
        <f aca="false">TEXT(B35,"ddd")</f>
        <v>Tue</v>
      </c>
      <c r="F35" s="19" t="n">
        <f aca="false">IF(WEEKDAY(B35,2)&gt;=6,Assumptions!B34,Assumptions!B35)</f>
        <v>1</v>
      </c>
      <c r="G35" s="20" t="n">
        <f aca="false">IF(D35&gt;=13,(1+Assumptions!B46)^(D35-12),1)</f>
        <v>1</v>
      </c>
      <c r="H35" s="21" t="n">
        <f aca="false">H34*(1+IF(C35=1,Assumptions!B22,Assumptions!B23))</f>
        <v>16.7821964786041</v>
      </c>
      <c r="I35" s="16" t="n">
        <f aca="false">ROUND(H35*F35,0)</f>
        <v>17</v>
      </c>
      <c r="J35" s="22" t="n">
        <f aca="false">I35*Assumptions!B24</f>
        <v>10200</v>
      </c>
      <c r="K35" s="21" t="n">
        <f aca="false">K34*(1+Assumptions!B30)</f>
        <v>13.2831214647507</v>
      </c>
      <c r="L35" s="16" t="n">
        <f aca="false">ROUND(K35*F35,0)</f>
        <v>13</v>
      </c>
      <c r="M35" s="22" t="n">
        <f aca="false">L35*Assumptions!B31</f>
        <v>3900</v>
      </c>
      <c r="N35" s="22" t="n">
        <f aca="false">J35+M35</f>
        <v>14100</v>
      </c>
      <c r="O35" s="22" t="n">
        <f aca="false">IF(DAY(B35)=1,Assumptions!B38*G35,0)</f>
        <v>0</v>
      </c>
      <c r="P35" s="22" t="n">
        <f aca="false">IF(DAY(B35)=1,Assumptions!B39*G35,0)</f>
        <v>0</v>
      </c>
      <c r="Q35" s="22" t="n">
        <f aca="false">IF(DAY(B35)=1,Assumptions!B40*G35,0)</f>
        <v>0</v>
      </c>
      <c r="R35" s="22" t="n">
        <f aca="false">IF(DAY(B35)=1,Assumptions!B41*G35,0)</f>
        <v>0</v>
      </c>
      <c r="S35" s="22" t="n">
        <f aca="false">IF(AND(DAY(B35)=1,D35&gt;=13),Assumptions!B42*G35,0)</f>
        <v>0</v>
      </c>
      <c r="T35" s="22" t="n">
        <f aca="false">IF(DAY(B35)=1,Assumptions!B43*G35,0)</f>
        <v>0</v>
      </c>
      <c r="U35" s="22" t="n">
        <f aca="false">SUM(O35:T35)</f>
        <v>0</v>
      </c>
      <c r="V35" s="22" t="n">
        <f aca="false">N35-U35</f>
        <v>14100</v>
      </c>
      <c r="W35" s="22" t="n">
        <f aca="false">W34+V35</f>
        <v>-5100600</v>
      </c>
      <c r="X35" s="23" t="str">
        <f aca="false">IF(W35&gt;=0,"YES","No")</f>
        <v>No</v>
      </c>
    </row>
    <row r="36" customFormat="false" ht="15" hidden="false" customHeight="false" outlineLevel="0" collapsed="false">
      <c r="A36" s="16" t="n">
        <v>35</v>
      </c>
      <c r="B36" s="17" t="n">
        <f aca="false">B35+1</f>
        <v>46057</v>
      </c>
      <c r="C36" s="18" t="n">
        <f aca="false">MIN(ROUNDUP(A36/365,0),5)</f>
        <v>1</v>
      </c>
      <c r="D36" s="18" t="n">
        <f aca="false">DATEDIF(Assumptions!B5,B36,"m")+1</f>
        <v>2</v>
      </c>
      <c r="E36" s="18" t="str">
        <f aca="false">TEXT(B36,"ddd")</f>
        <v>Wed</v>
      </c>
      <c r="F36" s="19" t="n">
        <f aca="false">IF(WEEKDAY(B36,2)&gt;=6,Assumptions!B34,Assumptions!B35)</f>
        <v>1</v>
      </c>
      <c r="G36" s="20" t="n">
        <f aca="false">IF(D36&gt;=13,(1+Assumptions!B46)^(D36-12),1)</f>
        <v>1</v>
      </c>
      <c r="H36" s="21" t="n">
        <f aca="false">H35*(1+IF(C36=1,Assumptions!B22,Assumptions!B23))</f>
        <v>16.7931176252549</v>
      </c>
      <c r="I36" s="16" t="n">
        <f aca="false">ROUND(H36*F36,0)</f>
        <v>17</v>
      </c>
      <c r="J36" s="22" t="n">
        <f aca="false">I36*Assumptions!B24</f>
        <v>10200</v>
      </c>
      <c r="K36" s="21" t="n">
        <f aca="false">K35*(1+Assumptions!B30)</f>
        <v>13.2874642064727</v>
      </c>
      <c r="L36" s="16" t="n">
        <f aca="false">ROUND(K36*F36,0)</f>
        <v>13</v>
      </c>
      <c r="M36" s="22" t="n">
        <f aca="false">L36*Assumptions!B31</f>
        <v>3900</v>
      </c>
      <c r="N36" s="22" t="n">
        <f aca="false">J36+M36</f>
        <v>14100</v>
      </c>
      <c r="O36" s="22" t="n">
        <f aca="false">IF(DAY(B36)=1,Assumptions!B38*G36,0)</f>
        <v>0</v>
      </c>
      <c r="P36" s="22" t="n">
        <f aca="false">IF(DAY(B36)=1,Assumptions!B39*G36,0)</f>
        <v>0</v>
      </c>
      <c r="Q36" s="22" t="n">
        <f aca="false">IF(DAY(B36)=1,Assumptions!B40*G36,0)</f>
        <v>0</v>
      </c>
      <c r="R36" s="22" t="n">
        <f aca="false">IF(DAY(B36)=1,Assumptions!B41*G36,0)</f>
        <v>0</v>
      </c>
      <c r="S36" s="22" t="n">
        <f aca="false">IF(AND(DAY(B36)=1,D36&gt;=13),Assumptions!B42*G36,0)</f>
        <v>0</v>
      </c>
      <c r="T36" s="22" t="n">
        <f aca="false">IF(DAY(B36)=1,Assumptions!B43*G36,0)</f>
        <v>0</v>
      </c>
      <c r="U36" s="22" t="n">
        <f aca="false">SUM(O36:T36)</f>
        <v>0</v>
      </c>
      <c r="V36" s="22" t="n">
        <f aca="false">N36-U36</f>
        <v>14100</v>
      </c>
      <c r="W36" s="22" t="n">
        <f aca="false">W35+V36</f>
        <v>-5086500</v>
      </c>
      <c r="X36" s="23" t="str">
        <f aca="false">IF(W36&gt;=0,"YES","No")</f>
        <v>No</v>
      </c>
    </row>
    <row r="37" customFormat="false" ht="15" hidden="false" customHeight="false" outlineLevel="0" collapsed="false">
      <c r="A37" s="16" t="n">
        <v>36</v>
      </c>
      <c r="B37" s="17" t="n">
        <f aca="false">B36+1</f>
        <v>46058</v>
      </c>
      <c r="C37" s="18" t="n">
        <f aca="false">MIN(ROUNDUP(A37/365,0),5)</f>
        <v>1</v>
      </c>
      <c r="D37" s="18" t="n">
        <f aca="false">DATEDIF(Assumptions!B5,B37,"m")+1</f>
        <v>2</v>
      </c>
      <c r="E37" s="18" t="str">
        <f aca="false">TEXT(B37,"ddd")</f>
        <v>Thu</v>
      </c>
      <c r="F37" s="19" t="n">
        <f aca="false">IF(WEEKDAY(B37,2)&gt;=6,Assumptions!B34,Assumptions!B35)</f>
        <v>1</v>
      </c>
      <c r="G37" s="20" t="n">
        <f aca="false">IF(D37&gt;=13,(1+Assumptions!B46)^(D37-12),1)</f>
        <v>1</v>
      </c>
      <c r="H37" s="21" t="n">
        <f aca="false">H36*(1+IF(C37=1,Assumptions!B22,Assumptions!B23))</f>
        <v>16.804045878928</v>
      </c>
      <c r="I37" s="16" t="n">
        <f aca="false">ROUND(H37*F37,0)</f>
        <v>17</v>
      </c>
      <c r="J37" s="22" t="n">
        <f aca="false">I37*Assumptions!B24</f>
        <v>10200</v>
      </c>
      <c r="K37" s="21" t="n">
        <f aca="false">K36*(1+Assumptions!B30)</f>
        <v>13.291808367997</v>
      </c>
      <c r="L37" s="16" t="n">
        <f aca="false">ROUND(K37*F37,0)</f>
        <v>13</v>
      </c>
      <c r="M37" s="22" t="n">
        <f aca="false">L37*Assumptions!B31</f>
        <v>3900</v>
      </c>
      <c r="N37" s="22" t="n">
        <f aca="false">J37+M37</f>
        <v>14100</v>
      </c>
      <c r="O37" s="22" t="n">
        <f aca="false">IF(DAY(B37)=1,Assumptions!B38*G37,0)</f>
        <v>0</v>
      </c>
      <c r="P37" s="22" t="n">
        <f aca="false">IF(DAY(B37)=1,Assumptions!B39*G37,0)</f>
        <v>0</v>
      </c>
      <c r="Q37" s="22" t="n">
        <f aca="false">IF(DAY(B37)=1,Assumptions!B40*G37,0)</f>
        <v>0</v>
      </c>
      <c r="R37" s="22" t="n">
        <f aca="false">IF(DAY(B37)=1,Assumptions!B41*G37,0)</f>
        <v>0</v>
      </c>
      <c r="S37" s="22" t="n">
        <f aca="false">IF(AND(DAY(B37)=1,D37&gt;=13),Assumptions!B42*G37,0)</f>
        <v>0</v>
      </c>
      <c r="T37" s="22" t="n">
        <f aca="false">IF(DAY(B37)=1,Assumptions!B43*G37,0)</f>
        <v>0</v>
      </c>
      <c r="U37" s="22" t="n">
        <f aca="false">SUM(O37:T37)</f>
        <v>0</v>
      </c>
      <c r="V37" s="22" t="n">
        <f aca="false">N37-U37</f>
        <v>14100</v>
      </c>
      <c r="W37" s="22" t="n">
        <f aca="false">W36+V37</f>
        <v>-5072400</v>
      </c>
      <c r="X37" s="23" t="str">
        <f aca="false">IF(W37&gt;=0,"YES","No")</f>
        <v>No</v>
      </c>
    </row>
    <row r="38" customFormat="false" ht="15" hidden="false" customHeight="false" outlineLevel="0" collapsed="false">
      <c r="A38" s="16" t="n">
        <v>37</v>
      </c>
      <c r="B38" s="17" t="n">
        <f aca="false">B37+1</f>
        <v>46059</v>
      </c>
      <c r="C38" s="18" t="n">
        <f aca="false">MIN(ROUNDUP(A38/365,0),5)</f>
        <v>1</v>
      </c>
      <c r="D38" s="18" t="n">
        <f aca="false">DATEDIF(Assumptions!B5,B38,"m")+1</f>
        <v>2</v>
      </c>
      <c r="E38" s="18" t="str">
        <f aca="false">TEXT(B38,"ddd")</f>
        <v>Fri</v>
      </c>
      <c r="F38" s="19" t="n">
        <f aca="false">IF(WEEKDAY(B38,2)&gt;=6,Assumptions!B34,Assumptions!B35)</f>
        <v>1</v>
      </c>
      <c r="G38" s="20" t="n">
        <f aca="false">IF(D38&gt;=13,(1+Assumptions!B46)^(D38-12),1)</f>
        <v>1</v>
      </c>
      <c r="H38" s="21" t="n">
        <f aca="false">H37*(1+IF(C38=1,Assumptions!B22,Assumptions!B23))</f>
        <v>16.8149812442483</v>
      </c>
      <c r="I38" s="16" t="n">
        <f aca="false">ROUND(H38*F38,0)</f>
        <v>17</v>
      </c>
      <c r="J38" s="22" t="n">
        <f aca="false">I38*Assumptions!B24</f>
        <v>10200</v>
      </c>
      <c r="K38" s="21" t="n">
        <f aca="false">K37*(1+Assumptions!B30)</f>
        <v>13.2961539497877</v>
      </c>
      <c r="L38" s="16" t="n">
        <f aca="false">ROUND(K38*F38,0)</f>
        <v>13</v>
      </c>
      <c r="M38" s="22" t="n">
        <f aca="false">L38*Assumptions!B31</f>
        <v>3900</v>
      </c>
      <c r="N38" s="22" t="n">
        <f aca="false">J38+M38</f>
        <v>14100</v>
      </c>
      <c r="O38" s="22" t="n">
        <f aca="false">IF(DAY(B38)=1,Assumptions!B38*G38,0)</f>
        <v>0</v>
      </c>
      <c r="P38" s="22" t="n">
        <f aca="false">IF(DAY(B38)=1,Assumptions!B39*G38,0)</f>
        <v>0</v>
      </c>
      <c r="Q38" s="22" t="n">
        <f aca="false">IF(DAY(B38)=1,Assumptions!B40*G38,0)</f>
        <v>0</v>
      </c>
      <c r="R38" s="22" t="n">
        <f aca="false">IF(DAY(B38)=1,Assumptions!B41*G38,0)</f>
        <v>0</v>
      </c>
      <c r="S38" s="22" t="n">
        <f aca="false">IF(AND(DAY(B38)=1,D38&gt;=13),Assumptions!B42*G38,0)</f>
        <v>0</v>
      </c>
      <c r="T38" s="22" t="n">
        <f aca="false">IF(DAY(B38)=1,Assumptions!B43*G38,0)</f>
        <v>0</v>
      </c>
      <c r="U38" s="22" t="n">
        <f aca="false">SUM(O38:T38)</f>
        <v>0</v>
      </c>
      <c r="V38" s="22" t="n">
        <f aca="false">N38-U38</f>
        <v>14100</v>
      </c>
      <c r="W38" s="22" t="n">
        <f aca="false">W37+V38</f>
        <v>-5058300</v>
      </c>
      <c r="X38" s="23" t="str">
        <f aca="false">IF(W38&gt;=0,"YES","No")</f>
        <v>No</v>
      </c>
    </row>
    <row r="39" customFormat="false" ht="15" hidden="false" customHeight="false" outlineLevel="0" collapsed="false">
      <c r="A39" s="16" t="n">
        <v>38</v>
      </c>
      <c r="B39" s="17" t="n">
        <f aca="false">B38+1</f>
        <v>46060</v>
      </c>
      <c r="C39" s="18" t="n">
        <f aca="false">MIN(ROUNDUP(A39/365,0),5)</f>
        <v>1</v>
      </c>
      <c r="D39" s="18" t="n">
        <f aca="false">DATEDIF(Assumptions!B5,B39,"m")+1</f>
        <v>2</v>
      </c>
      <c r="E39" s="18" t="str">
        <f aca="false">TEXT(B39,"ddd")</f>
        <v>Sat</v>
      </c>
      <c r="F39" s="19" t="n">
        <f aca="false">IF(WEEKDAY(B39,2)&gt;=6,Assumptions!B34,Assumptions!B35)</f>
        <v>0.6</v>
      </c>
      <c r="G39" s="20" t="n">
        <f aca="false">IF(D39&gt;=13,(1+Assumptions!B46)^(D39-12),1)</f>
        <v>1</v>
      </c>
      <c r="H39" s="21" t="n">
        <f aca="false">H38*(1+IF(C39=1,Assumptions!B22,Assumptions!B23))</f>
        <v>16.8259237258438</v>
      </c>
      <c r="I39" s="16" t="n">
        <f aca="false">ROUND(H39*F39,0)</f>
        <v>10</v>
      </c>
      <c r="J39" s="22" t="n">
        <f aca="false">I39*Assumptions!B24</f>
        <v>6000</v>
      </c>
      <c r="K39" s="21" t="n">
        <f aca="false">K38*(1+Assumptions!B30)</f>
        <v>13.3005009523092</v>
      </c>
      <c r="L39" s="16" t="n">
        <f aca="false">ROUND(K39*F39,0)</f>
        <v>8</v>
      </c>
      <c r="M39" s="22" t="n">
        <f aca="false">L39*Assumptions!B31</f>
        <v>2400</v>
      </c>
      <c r="N39" s="22" t="n">
        <f aca="false">J39+M39</f>
        <v>8400</v>
      </c>
      <c r="O39" s="22" t="n">
        <f aca="false">IF(DAY(B39)=1,Assumptions!B38*G39,0)</f>
        <v>0</v>
      </c>
      <c r="P39" s="22" t="n">
        <f aca="false">IF(DAY(B39)=1,Assumptions!B39*G39,0)</f>
        <v>0</v>
      </c>
      <c r="Q39" s="22" t="n">
        <f aca="false">IF(DAY(B39)=1,Assumptions!B40*G39,0)</f>
        <v>0</v>
      </c>
      <c r="R39" s="22" t="n">
        <f aca="false">IF(DAY(B39)=1,Assumptions!B41*G39,0)</f>
        <v>0</v>
      </c>
      <c r="S39" s="22" t="n">
        <f aca="false">IF(AND(DAY(B39)=1,D39&gt;=13),Assumptions!B42*G39,0)</f>
        <v>0</v>
      </c>
      <c r="T39" s="22" t="n">
        <f aca="false">IF(DAY(B39)=1,Assumptions!B43*G39,0)</f>
        <v>0</v>
      </c>
      <c r="U39" s="22" t="n">
        <f aca="false">SUM(O39:T39)</f>
        <v>0</v>
      </c>
      <c r="V39" s="22" t="n">
        <f aca="false">N39-U39</f>
        <v>8400</v>
      </c>
      <c r="W39" s="22" t="n">
        <f aca="false">W38+V39</f>
        <v>-5049900</v>
      </c>
      <c r="X39" s="23" t="str">
        <f aca="false">IF(W39&gt;=0,"YES","No")</f>
        <v>No</v>
      </c>
    </row>
    <row r="40" customFormat="false" ht="15" hidden="false" customHeight="false" outlineLevel="0" collapsed="false">
      <c r="A40" s="16" t="n">
        <v>39</v>
      </c>
      <c r="B40" s="17" t="n">
        <f aca="false">B39+1</f>
        <v>46061</v>
      </c>
      <c r="C40" s="18" t="n">
        <f aca="false">MIN(ROUNDUP(A40/365,0),5)</f>
        <v>1</v>
      </c>
      <c r="D40" s="18" t="n">
        <f aca="false">DATEDIF(Assumptions!B5,B40,"m")+1</f>
        <v>2</v>
      </c>
      <c r="E40" s="18" t="str">
        <f aca="false">TEXT(B40,"ddd")</f>
        <v>Sun</v>
      </c>
      <c r="F40" s="19" t="n">
        <f aca="false">IF(WEEKDAY(B40,2)&gt;=6,Assumptions!B34,Assumptions!B35)</f>
        <v>0.6</v>
      </c>
      <c r="G40" s="20" t="n">
        <f aca="false">IF(D40&gt;=13,(1+Assumptions!B46)^(D40-12),1)</f>
        <v>1</v>
      </c>
      <c r="H40" s="21" t="n">
        <f aca="false">H39*(1+IF(C40=1,Assumptions!B22,Assumptions!B23))</f>
        <v>16.8368733283455</v>
      </c>
      <c r="I40" s="16" t="n">
        <f aca="false">ROUND(H40*F40,0)</f>
        <v>10</v>
      </c>
      <c r="J40" s="22" t="n">
        <f aca="false">I40*Assumptions!B24</f>
        <v>6000</v>
      </c>
      <c r="K40" s="21" t="n">
        <f aca="false">K39*(1+Assumptions!B30)</f>
        <v>13.3048493760259</v>
      </c>
      <c r="L40" s="16" t="n">
        <f aca="false">ROUND(K40*F40,0)</f>
        <v>8</v>
      </c>
      <c r="M40" s="22" t="n">
        <f aca="false">L40*Assumptions!B31</f>
        <v>2400</v>
      </c>
      <c r="N40" s="22" t="n">
        <f aca="false">J40+M40</f>
        <v>8400</v>
      </c>
      <c r="O40" s="22" t="n">
        <f aca="false">IF(DAY(B40)=1,Assumptions!B38*G40,0)</f>
        <v>0</v>
      </c>
      <c r="P40" s="22" t="n">
        <f aca="false">IF(DAY(B40)=1,Assumptions!B39*G40,0)</f>
        <v>0</v>
      </c>
      <c r="Q40" s="22" t="n">
        <f aca="false">IF(DAY(B40)=1,Assumptions!B40*G40,0)</f>
        <v>0</v>
      </c>
      <c r="R40" s="22" t="n">
        <f aca="false">IF(DAY(B40)=1,Assumptions!B41*G40,0)</f>
        <v>0</v>
      </c>
      <c r="S40" s="22" t="n">
        <f aca="false">IF(AND(DAY(B40)=1,D40&gt;=13),Assumptions!B42*G40,0)</f>
        <v>0</v>
      </c>
      <c r="T40" s="22" t="n">
        <f aca="false">IF(DAY(B40)=1,Assumptions!B43*G40,0)</f>
        <v>0</v>
      </c>
      <c r="U40" s="22" t="n">
        <f aca="false">SUM(O40:T40)</f>
        <v>0</v>
      </c>
      <c r="V40" s="22" t="n">
        <f aca="false">N40-U40</f>
        <v>8400</v>
      </c>
      <c r="W40" s="22" t="n">
        <f aca="false">W39+V40</f>
        <v>-5041500</v>
      </c>
      <c r="X40" s="23" t="str">
        <f aca="false">IF(W40&gt;=0,"YES","No")</f>
        <v>No</v>
      </c>
    </row>
    <row r="41" customFormat="false" ht="15" hidden="false" customHeight="false" outlineLevel="0" collapsed="false">
      <c r="A41" s="16" t="n">
        <v>40</v>
      </c>
      <c r="B41" s="17" t="n">
        <f aca="false">B40+1</f>
        <v>46062</v>
      </c>
      <c r="C41" s="18" t="n">
        <f aca="false">MIN(ROUNDUP(A41/365,0),5)</f>
        <v>1</v>
      </c>
      <c r="D41" s="18" t="n">
        <f aca="false">DATEDIF(Assumptions!B5,B41,"m")+1</f>
        <v>2</v>
      </c>
      <c r="E41" s="18" t="str">
        <f aca="false">TEXT(B41,"ddd")</f>
        <v>Mon</v>
      </c>
      <c r="F41" s="19" t="n">
        <f aca="false">IF(WEEKDAY(B41,2)&gt;=6,Assumptions!B34,Assumptions!B35)</f>
        <v>1</v>
      </c>
      <c r="G41" s="20" t="n">
        <f aca="false">IF(D41&gt;=13,(1+Assumptions!B46)^(D41-12),1)</f>
        <v>1</v>
      </c>
      <c r="H41" s="21" t="n">
        <f aca="false">H40*(1+IF(C41=1,Assumptions!B22,Assumptions!B23))</f>
        <v>16.8478300563873</v>
      </c>
      <c r="I41" s="16" t="n">
        <f aca="false">ROUND(H41*F41,0)</f>
        <v>17</v>
      </c>
      <c r="J41" s="22" t="n">
        <f aca="false">I41*Assumptions!B24</f>
        <v>10200</v>
      </c>
      <c r="K41" s="21" t="n">
        <f aca="false">K40*(1+Assumptions!B30)</f>
        <v>13.3091992214025</v>
      </c>
      <c r="L41" s="16" t="n">
        <f aca="false">ROUND(K41*F41,0)</f>
        <v>13</v>
      </c>
      <c r="M41" s="22" t="n">
        <f aca="false">L41*Assumptions!B31</f>
        <v>3900</v>
      </c>
      <c r="N41" s="22" t="n">
        <f aca="false">J41+M41</f>
        <v>14100</v>
      </c>
      <c r="O41" s="22" t="n">
        <f aca="false">IF(DAY(B41)=1,Assumptions!B38*G41,0)</f>
        <v>0</v>
      </c>
      <c r="P41" s="22" t="n">
        <f aca="false">IF(DAY(B41)=1,Assumptions!B39*G41,0)</f>
        <v>0</v>
      </c>
      <c r="Q41" s="22" t="n">
        <f aca="false">IF(DAY(B41)=1,Assumptions!B40*G41,0)</f>
        <v>0</v>
      </c>
      <c r="R41" s="22" t="n">
        <f aca="false">IF(DAY(B41)=1,Assumptions!B41*G41,0)</f>
        <v>0</v>
      </c>
      <c r="S41" s="22" t="n">
        <f aca="false">IF(AND(DAY(B41)=1,D41&gt;=13),Assumptions!B42*G41,0)</f>
        <v>0</v>
      </c>
      <c r="T41" s="22" t="n">
        <f aca="false">IF(DAY(B41)=1,Assumptions!B43*G41,0)</f>
        <v>0</v>
      </c>
      <c r="U41" s="22" t="n">
        <f aca="false">SUM(O41:T41)</f>
        <v>0</v>
      </c>
      <c r="V41" s="22" t="n">
        <f aca="false">N41-U41</f>
        <v>14100</v>
      </c>
      <c r="W41" s="22" t="n">
        <f aca="false">W40+V41</f>
        <v>-5027400</v>
      </c>
      <c r="X41" s="23" t="str">
        <f aca="false">IF(W41&gt;=0,"YES","No")</f>
        <v>No</v>
      </c>
    </row>
    <row r="42" customFormat="false" ht="15" hidden="false" customHeight="false" outlineLevel="0" collapsed="false">
      <c r="A42" s="16" t="n">
        <v>41</v>
      </c>
      <c r="B42" s="17" t="n">
        <f aca="false">B41+1</f>
        <v>46063</v>
      </c>
      <c r="C42" s="18" t="n">
        <f aca="false">MIN(ROUNDUP(A42/365,0),5)</f>
        <v>1</v>
      </c>
      <c r="D42" s="18" t="n">
        <f aca="false">DATEDIF(Assumptions!B5,B42,"m")+1</f>
        <v>2</v>
      </c>
      <c r="E42" s="18" t="str">
        <f aca="false">TEXT(B42,"ddd")</f>
        <v>Tue</v>
      </c>
      <c r="F42" s="19" t="n">
        <f aca="false">IF(WEEKDAY(B42,2)&gt;=6,Assumptions!B34,Assumptions!B35)</f>
        <v>1</v>
      </c>
      <c r="G42" s="20" t="n">
        <f aca="false">IF(D42&gt;=13,(1+Assumptions!B46)^(D42-12),1)</f>
        <v>1</v>
      </c>
      <c r="H42" s="21" t="n">
        <f aca="false">H41*(1+IF(C42=1,Assumptions!B22,Assumptions!B23))</f>
        <v>16.8587939146062</v>
      </c>
      <c r="I42" s="16" t="n">
        <f aca="false">ROUND(H42*F42,0)</f>
        <v>17</v>
      </c>
      <c r="J42" s="22" t="n">
        <f aca="false">I42*Assumptions!B24</f>
        <v>10200</v>
      </c>
      <c r="K42" s="21" t="n">
        <f aca="false">K41*(1+Assumptions!B30)</f>
        <v>13.3135504889038</v>
      </c>
      <c r="L42" s="16" t="n">
        <f aca="false">ROUND(K42*F42,0)</f>
        <v>13</v>
      </c>
      <c r="M42" s="22" t="n">
        <f aca="false">L42*Assumptions!B31</f>
        <v>3900</v>
      </c>
      <c r="N42" s="22" t="n">
        <f aca="false">J42+M42</f>
        <v>14100</v>
      </c>
      <c r="O42" s="22" t="n">
        <f aca="false">IF(DAY(B42)=1,Assumptions!B38*G42,0)</f>
        <v>0</v>
      </c>
      <c r="P42" s="22" t="n">
        <f aca="false">IF(DAY(B42)=1,Assumptions!B39*G42,0)</f>
        <v>0</v>
      </c>
      <c r="Q42" s="22" t="n">
        <f aca="false">IF(DAY(B42)=1,Assumptions!B40*G42,0)</f>
        <v>0</v>
      </c>
      <c r="R42" s="22" t="n">
        <f aca="false">IF(DAY(B42)=1,Assumptions!B41*G42,0)</f>
        <v>0</v>
      </c>
      <c r="S42" s="22" t="n">
        <f aca="false">IF(AND(DAY(B42)=1,D42&gt;=13),Assumptions!B42*G42,0)</f>
        <v>0</v>
      </c>
      <c r="T42" s="22" t="n">
        <f aca="false">IF(DAY(B42)=1,Assumptions!B43*G42,0)</f>
        <v>0</v>
      </c>
      <c r="U42" s="22" t="n">
        <f aca="false">SUM(O42:T42)</f>
        <v>0</v>
      </c>
      <c r="V42" s="22" t="n">
        <f aca="false">N42-U42</f>
        <v>14100</v>
      </c>
      <c r="W42" s="22" t="n">
        <f aca="false">W41+V42</f>
        <v>-5013300</v>
      </c>
      <c r="X42" s="23" t="str">
        <f aca="false">IF(W42&gt;=0,"YES","No")</f>
        <v>No</v>
      </c>
    </row>
    <row r="43" customFormat="false" ht="15" hidden="false" customHeight="false" outlineLevel="0" collapsed="false">
      <c r="A43" s="16" t="n">
        <v>42</v>
      </c>
      <c r="B43" s="17" t="n">
        <f aca="false">B42+1</f>
        <v>46064</v>
      </c>
      <c r="C43" s="18" t="n">
        <f aca="false">MIN(ROUNDUP(A43/365,0),5)</f>
        <v>1</v>
      </c>
      <c r="D43" s="18" t="n">
        <f aca="false">DATEDIF(Assumptions!B5,B43,"m")+1</f>
        <v>2</v>
      </c>
      <c r="E43" s="18" t="str">
        <f aca="false">TEXT(B43,"ddd")</f>
        <v>Wed</v>
      </c>
      <c r="F43" s="19" t="n">
        <f aca="false">IF(WEEKDAY(B43,2)&gt;=6,Assumptions!B34,Assumptions!B35)</f>
        <v>1</v>
      </c>
      <c r="G43" s="20" t="n">
        <f aca="false">IF(D43&gt;=13,(1+Assumptions!B46)^(D43-12),1)</f>
        <v>1</v>
      </c>
      <c r="H43" s="21" t="n">
        <f aca="false">H42*(1+IF(C43=1,Assumptions!B22,Assumptions!B23))</f>
        <v>16.8697649076424</v>
      </c>
      <c r="I43" s="16" t="n">
        <f aca="false">ROUND(H43*F43,0)</f>
        <v>17</v>
      </c>
      <c r="J43" s="22" t="n">
        <f aca="false">I43*Assumptions!B24</f>
        <v>10200</v>
      </c>
      <c r="K43" s="21" t="n">
        <f aca="false">K42*(1+Assumptions!B30)</f>
        <v>13.3179031789948</v>
      </c>
      <c r="L43" s="16" t="n">
        <f aca="false">ROUND(K43*F43,0)</f>
        <v>13</v>
      </c>
      <c r="M43" s="22" t="n">
        <f aca="false">L43*Assumptions!B31</f>
        <v>3900</v>
      </c>
      <c r="N43" s="22" t="n">
        <f aca="false">J43+M43</f>
        <v>14100</v>
      </c>
      <c r="O43" s="22" t="n">
        <f aca="false">IF(DAY(B43)=1,Assumptions!B38*G43,0)</f>
        <v>0</v>
      </c>
      <c r="P43" s="22" t="n">
        <f aca="false">IF(DAY(B43)=1,Assumptions!B39*G43,0)</f>
        <v>0</v>
      </c>
      <c r="Q43" s="22" t="n">
        <f aca="false">IF(DAY(B43)=1,Assumptions!B40*G43,0)</f>
        <v>0</v>
      </c>
      <c r="R43" s="22" t="n">
        <f aca="false">IF(DAY(B43)=1,Assumptions!B41*G43,0)</f>
        <v>0</v>
      </c>
      <c r="S43" s="22" t="n">
        <f aca="false">IF(AND(DAY(B43)=1,D43&gt;=13),Assumptions!B42*G43,0)</f>
        <v>0</v>
      </c>
      <c r="T43" s="22" t="n">
        <f aca="false">IF(DAY(B43)=1,Assumptions!B43*G43,0)</f>
        <v>0</v>
      </c>
      <c r="U43" s="22" t="n">
        <f aca="false">SUM(O43:T43)</f>
        <v>0</v>
      </c>
      <c r="V43" s="22" t="n">
        <f aca="false">N43-U43</f>
        <v>14100</v>
      </c>
      <c r="W43" s="22" t="n">
        <f aca="false">W42+V43</f>
        <v>-4999200</v>
      </c>
      <c r="X43" s="23" t="str">
        <f aca="false">IF(W43&gt;=0,"YES","No")</f>
        <v>No</v>
      </c>
    </row>
    <row r="44" customFormat="false" ht="15" hidden="false" customHeight="false" outlineLevel="0" collapsed="false">
      <c r="A44" s="16" t="n">
        <v>43</v>
      </c>
      <c r="B44" s="17" t="n">
        <f aca="false">B43+1</f>
        <v>46065</v>
      </c>
      <c r="C44" s="18" t="n">
        <f aca="false">MIN(ROUNDUP(A44/365,0),5)</f>
        <v>1</v>
      </c>
      <c r="D44" s="18" t="n">
        <f aca="false">DATEDIF(Assumptions!B5,B44,"m")+1</f>
        <v>2</v>
      </c>
      <c r="E44" s="18" t="str">
        <f aca="false">TEXT(B44,"ddd")</f>
        <v>Thu</v>
      </c>
      <c r="F44" s="19" t="n">
        <f aca="false">IF(WEEKDAY(B44,2)&gt;=6,Assumptions!B34,Assumptions!B35)</f>
        <v>1</v>
      </c>
      <c r="G44" s="20" t="n">
        <f aca="false">IF(D44&gt;=13,(1+Assumptions!B46)^(D44-12),1)</f>
        <v>1</v>
      </c>
      <c r="H44" s="21" t="n">
        <f aca="false">H43*(1+IF(C44=1,Assumptions!B22,Assumptions!B23))</f>
        <v>16.8807430401387</v>
      </c>
      <c r="I44" s="16" t="n">
        <f aca="false">ROUND(H44*F44,0)</f>
        <v>17</v>
      </c>
      <c r="J44" s="22" t="n">
        <f aca="false">I44*Assumptions!B24</f>
        <v>10200</v>
      </c>
      <c r="K44" s="21" t="n">
        <f aca="false">K43*(1+Assumptions!B30)</f>
        <v>13.3222572921404</v>
      </c>
      <c r="L44" s="16" t="n">
        <f aca="false">ROUND(K44*F44,0)</f>
        <v>13</v>
      </c>
      <c r="M44" s="22" t="n">
        <f aca="false">L44*Assumptions!B31</f>
        <v>3900</v>
      </c>
      <c r="N44" s="22" t="n">
        <f aca="false">J44+M44</f>
        <v>14100</v>
      </c>
      <c r="O44" s="22" t="n">
        <f aca="false">IF(DAY(B44)=1,Assumptions!B38*G44,0)</f>
        <v>0</v>
      </c>
      <c r="P44" s="22" t="n">
        <f aca="false">IF(DAY(B44)=1,Assumptions!B39*G44,0)</f>
        <v>0</v>
      </c>
      <c r="Q44" s="22" t="n">
        <f aca="false">IF(DAY(B44)=1,Assumptions!B40*G44,0)</f>
        <v>0</v>
      </c>
      <c r="R44" s="22" t="n">
        <f aca="false">IF(DAY(B44)=1,Assumptions!B41*G44,0)</f>
        <v>0</v>
      </c>
      <c r="S44" s="22" t="n">
        <f aca="false">IF(AND(DAY(B44)=1,D44&gt;=13),Assumptions!B42*G44,0)</f>
        <v>0</v>
      </c>
      <c r="T44" s="22" t="n">
        <f aca="false">IF(DAY(B44)=1,Assumptions!B43*G44,0)</f>
        <v>0</v>
      </c>
      <c r="U44" s="22" t="n">
        <f aca="false">SUM(O44:T44)</f>
        <v>0</v>
      </c>
      <c r="V44" s="22" t="n">
        <f aca="false">N44-U44</f>
        <v>14100</v>
      </c>
      <c r="W44" s="22" t="n">
        <f aca="false">W43+V44</f>
        <v>-4985100</v>
      </c>
      <c r="X44" s="23" t="str">
        <f aca="false">IF(W44&gt;=0,"YES","No")</f>
        <v>No</v>
      </c>
    </row>
    <row r="45" customFormat="false" ht="15" hidden="false" customHeight="false" outlineLevel="0" collapsed="false">
      <c r="A45" s="16" t="n">
        <v>44</v>
      </c>
      <c r="B45" s="17" t="n">
        <f aca="false">B44+1</f>
        <v>46066</v>
      </c>
      <c r="C45" s="18" t="n">
        <f aca="false">MIN(ROUNDUP(A45/365,0),5)</f>
        <v>1</v>
      </c>
      <c r="D45" s="18" t="n">
        <f aca="false">DATEDIF(Assumptions!B5,B45,"m")+1</f>
        <v>2</v>
      </c>
      <c r="E45" s="18" t="str">
        <f aca="false">TEXT(B45,"ddd")</f>
        <v>Fri</v>
      </c>
      <c r="F45" s="19" t="n">
        <f aca="false">IF(WEEKDAY(B45,2)&gt;=6,Assumptions!B34,Assumptions!B35)</f>
        <v>1</v>
      </c>
      <c r="G45" s="20" t="n">
        <f aca="false">IF(D45&gt;=13,(1+Assumptions!B46)^(D45-12),1)</f>
        <v>1</v>
      </c>
      <c r="H45" s="21" t="n">
        <f aca="false">H44*(1+IF(C45=1,Assumptions!B22,Assumptions!B23))</f>
        <v>16.8917283167413</v>
      </c>
      <c r="I45" s="16" t="n">
        <f aca="false">ROUND(H45*F45,0)</f>
        <v>17</v>
      </c>
      <c r="J45" s="22" t="n">
        <f aca="false">I45*Assumptions!B24</f>
        <v>10200</v>
      </c>
      <c r="K45" s="21" t="n">
        <f aca="false">K44*(1+Assumptions!B30)</f>
        <v>13.3266128288061</v>
      </c>
      <c r="L45" s="16" t="n">
        <f aca="false">ROUND(K45*F45,0)</f>
        <v>13</v>
      </c>
      <c r="M45" s="22" t="n">
        <f aca="false">L45*Assumptions!B31</f>
        <v>3900</v>
      </c>
      <c r="N45" s="22" t="n">
        <f aca="false">J45+M45</f>
        <v>14100</v>
      </c>
      <c r="O45" s="22" t="n">
        <f aca="false">IF(DAY(B45)=1,Assumptions!B38*G45,0)</f>
        <v>0</v>
      </c>
      <c r="P45" s="22" t="n">
        <f aca="false">IF(DAY(B45)=1,Assumptions!B39*G45,0)</f>
        <v>0</v>
      </c>
      <c r="Q45" s="22" t="n">
        <f aca="false">IF(DAY(B45)=1,Assumptions!B40*G45,0)</f>
        <v>0</v>
      </c>
      <c r="R45" s="22" t="n">
        <f aca="false">IF(DAY(B45)=1,Assumptions!B41*G45,0)</f>
        <v>0</v>
      </c>
      <c r="S45" s="22" t="n">
        <f aca="false">IF(AND(DAY(B45)=1,D45&gt;=13),Assumptions!B42*G45,0)</f>
        <v>0</v>
      </c>
      <c r="T45" s="22" t="n">
        <f aca="false">IF(DAY(B45)=1,Assumptions!B43*G45,0)</f>
        <v>0</v>
      </c>
      <c r="U45" s="22" t="n">
        <f aca="false">SUM(O45:T45)</f>
        <v>0</v>
      </c>
      <c r="V45" s="22" t="n">
        <f aca="false">N45-U45</f>
        <v>14100</v>
      </c>
      <c r="W45" s="22" t="n">
        <f aca="false">W44+V45</f>
        <v>-4971000</v>
      </c>
      <c r="X45" s="23" t="str">
        <f aca="false">IF(W45&gt;=0,"YES","No")</f>
        <v>No</v>
      </c>
    </row>
    <row r="46" customFormat="false" ht="15" hidden="false" customHeight="false" outlineLevel="0" collapsed="false">
      <c r="A46" s="16" t="n">
        <v>45</v>
      </c>
      <c r="B46" s="17" t="n">
        <f aca="false">B45+1</f>
        <v>46067</v>
      </c>
      <c r="C46" s="18" t="n">
        <f aca="false">MIN(ROUNDUP(A46/365,0),5)</f>
        <v>1</v>
      </c>
      <c r="D46" s="18" t="n">
        <f aca="false">DATEDIF(Assumptions!B5,B46,"m")+1</f>
        <v>2</v>
      </c>
      <c r="E46" s="18" t="str">
        <f aca="false">TEXT(B46,"ddd")</f>
        <v>Sat</v>
      </c>
      <c r="F46" s="19" t="n">
        <f aca="false">IF(WEEKDAY(B46,2)&gt;=6,Assumptions!B34,Assumptions!B35)</f>
        <v>0.6</v>
      </c>
      <c r="G46" s="20" t="n">
        <f aca="false">IF(D46&gt;=13,(1+Assumptions!B46)^(D46-12),1)</f>
        <v>1</v>
      </c>
      <c r="H46" s="21" t="n">
        <f aca="false">H45*(1+IF(C46=1,Assumptions!B22,Assumptions!B23))</f>
        <v>16.9027207420992</v>
      </c>
      <c r="I46" s="16" t="n">
        <f aca="false">ROUND(H46*F46,0)</f>
        <v>10</v>
      </c>
      <c r="J46" s="22" t="n">
        <f aca="false">I46*Assumptions!B24</f>
        <v>6000</v>
      </c>
      <c r="K46" s="21" t="n">
        <f aca="false">K45*(1+Assumptions!B30)</f>
        <v>13.3309697894571</v>
      </c>
      <c r="L46" s="16" t="n">
        <f aca="false">ROUND(K46*F46,0)</f>
        <v>8</v>
      </c>
      <c r="M46" s="22" t="n">
        <f aca="false">L46*Assumptions!B31</f>
        <v>2400</v>
      </c>
      <c r="N46" s="22" t="n">
        <f aca="false">J46+M46</f>
        <v>8400</v>
      </c>
      <c r="O46" s="22" t="n">
        <f aca="false">IF(DAY(B46)=1,Assumptions!B38*G46,0)</f>
        <v>0</v>
      </c>
      <c r="P46" s="22" t="n">
        <f aca="false">IF(DAY(B46)=1,Assumptions!B39*G46,0)</f>
        <v>0</v>
      </c>
      <c r="Q46" s="22" t="n">
        <f aca="false">IF(DAY(B46)=1,Assumptions!B40*G46,0)</f>
        <v>0</v>
      </c>
      <c r="R46" s="22" t="n">
        <f aca="false">IF(DAY(B46)=1,Assumptions!B41*G46,0)</f>
        <v>0</v>
      </c>
      <c r="S46" s="22" t="n">
        <f aca="false">IF(AND(DAY(B46)=1,D46&gt;=13),Assumptions!B42*G46,0)</f>
        <v>0</v>
      </c>
      <c r="T46" s="22" t="n">
        <f aca="false">IF(DAY(B46)=1,Assumptions!B43*G46,0)</f>
        <v>0</v>
      </c>
      <c r="U46" s="22" t="n">
        <f aca="false">SUM(O46:T46)</f>
        <v>0</v>
      </c>
      <c r="V46" s="22" t="n">
        <f aca="false">N46-U46</f>
        <v>8400</v>
      </c>
      <c r="W46" s="22" t="n">
        <f aca="false">W45+V46</f>
        <v>-4962600</v>
      </c>
      <c r="X46" s="23" t="str">
        <f aca="false">IF(W46&gt;=0,"YES","No")</f>
        <v>No</v>
      </c>
    </row>
    <row r="47" customFormat="false" ht="15" hidden="false" customHeight="false" outlineLevel="0" collapsed="false">
      <c r="A47" s="16" t="n">
        <v>46</v>
      </c>
      <c r="B47" s="17" t="n">
        <f aca="false">B46+1</f>
        <v>46068</v>
      </c>
      <c r="C47" s="18" t="n">
        <f aca="false">MIN(ROUNDUP(A47/365,0),5)</f>
        <v>1</v>
      </c>
      <c r="D47" s="18" t="n">
        <f aca="false">DATEDIF(Assumptions!B5,B47,"m")+1</f>
        <v>2</v>
      </c>
      <c r="E47" s="18" t="str">
        <f aca="false">TEXT(B47,"ddd")</f>
        <v>Sun</v>
      </c>
      <c r="F47" s="19" t="n">
        <f aca="false">IF(WEEKDAY(B47,2)&gt;=6,Assumptions!B34,Assumptions!B35)</f>
        <v>0.6</v>
      </c>
      <c r="G47" s="20" t="n">
        <f aca="false">IF(D47&gt;=13,(1+Assumptions!B46)^(D47-12),1)</f>
        <v>1</v>
      </c>
      <c r="H47" s="21" t="n">
        <f aca="false">H46*(1+IF(C47=1,Assumptions!B22,Assumptions!B23))</f>
        <v>16.9137203208646</v>
      </c>
      <c r="I47" s="16" t="n">
        <f aca="false">ROUND(H47*F47,0)</f>
        <v>10</v>
      </c>
      <c r="J47" s="22" t="n">
        <f aca="false">I47*Assumptions!B24</f>
        <v>6000</v>
      </c>
      <c r="K47" s="21" t="n">
        <f aca="false">K46*(1+Assumptions!B30)</f>
        <v>13.3353281745591</v>
      </c>
      <c r="L47" s="16" t="n">
        <f aca="false">ROUND(K47*F47,0)</f>
        <v>8</v>
      </c>
      <c r="M47" s="22" t="n">
        <f aca="false">L47*Assumptions!B31</f>
        <v>2400</v>
      </c>
      <c r="N47" s="22" t="n">
        <f aca="false">J47+M47</f>
        <v>8400</v>
      </c>
      <c r="O47" s="22" t="n">
        <f aca="false">IF(DAY(B47)=1,Assumptions!B38*G47,0)</f>
        <v>0</v>
      </c>
      <c r="P47" s="22" t="n">
        <f aca="false">IF(DAY(B47)=1,Assumptions!B39*G47,0)</f>
        <v>0</v>
      </c>
      <c r="Q47" s="22" t="n">
        <f aca="false">IF(DAY(B47)=1,Assumptions!B40*G47,0)</f>
        <v>0</v>
      </c>
      <c r="R47" s="22" t="n">
        <f aca="false">IF(DAY(B47)=1,Assumptions!B41*G47,0)</f>
        <v>0</v>
      </c>
      <c r="S47" s="22" t="n">
        <f aca="false">IF(AND(DAY(B47)=1,D47&gt;=13),Assumptions!B42*G47,0)</f>
        <v>0</v>
      </c>
      <c r="T47" s="22" t="n">
        <f aca="false">IF(DAY(B47)=1,Assumptions!B43*G47,0)</f>
        <v>0</v>
      </c>
      <c r="U47" s="22" t="n">
        <f aca="false">SUM(O47:T47)</f>
        <v>0</v>
      </c>
      <c r="V47" s="22" t="n">
        <f aca="false">N47-U47</f>
        <v>8400</v>
      </c>
      <c r="W47" s="22" t="n">
        <f aca="false">W46+V47</f>
        <v>-4954200</v>
      </c>
      <c r="X47" s="23" t="str">
        <f aca="false">IF(W47&gt;=0,"YES","No")</f>
        <v>No</v>
      </c>
    </row>
    <row r="48" customFormat="false" ht="15" hidden="false" customHeight="false" outlineLevel="0" collapsed="false">
      <c r="A48" s="16" t="n">
        <v>47</v>
      </c>
      <c r="B48" s="17" t="n">
        <f aca="false">B47+1</f>
        <v>46069</v>
      </c>
      <c r="C48" s="18" t="n">
        <f aca="false">MIN(ROUNDUP(A48/365,0),5)</f>
        <v>1</v>
      </c>
      <c r="D48" s="18" t="n">
        <f aca="false">DATEDIF(Assumptions!B5,B48,"m")+1</f>
        <v>2</v>
      </c>
      <c r="E48" s="18" t="str">
        <f aca="false">TEXT(B48,"ddd")</f>
        <v>Mon</v>
      </c>
      <c r="F48" s="19" t="n">
        <f aca="false">IF(WEEKDAY(B48,2)&gt;=6,Assumptions!B34,Assumptions!B35)</f>
        <v>1</v>
      </c>
      <c r="G48" s="20" t="n">
        <f aca="false">IF(D48&gt;=13,(1+Assumptions!B46)^(D48-12),1)</f>
        <v>1</v>
      </c>
      <c r="H48" s="21" t="n">
        <f aca="false">H47*(1+IF(C48=1,Assumptions!B22,Assumptions!B23))</f>
        <v>16.9247270576925</v>
      </c>
      <c r="I48" s="16" t="n">
        <f aca="false">ROUND(H48*F48,0)</f>
        <v>17</v>
      </c>
      <c r="J48" s="22" t="n">
        <f aca="false">I48*Assumptions!B24</f>
        <v>10200</v>
      </c>
      <c r="K48" s="21" t="n">
        <f aca="false">K47*(1+Assumptions!B30)</f>
        <v>13.3396879845777</v>
      </c>
      <c r="L48" s="16" t="n">
        <f aca="false">ROUND(K48*F48,0)</f>
        <v>13</v>
      </c>
      <c r="M48" s="22" t="n">
        <f aca="false">L48*Assumptions!B31</f>
        <v>3900</v>
      </c>
      <c r="N48" s="22" t="n">
        <f aca="false">J48+M48</f>
        <v>14100</v>
      </c>
      <c r="O48" s="22" t="n">
        <f aca="false">IF(DAY(B48)=1,Assumptions!B38*G48,0)</f>
        <v>0</v>
      </c>
      <c r="P48" s="22" t="n">
        <f aca="false">IF(DAY(B48)=1,Assumptions!B39*G48,0)</f>
        <v>0</v>
      </c>
      <c r="Q48" s="22" t="n">
        <f aca="false">IF(DAY(B48)=1,Assumptions!B40*G48,0)</f>
        <v>0</v>
      </c>
      <c r="R48" s="22" t="n">
        <f aca="false">IF(DAY(B48)=1,Assumptions!B41*G48,0)</f>
        <v>0</v>
      </c>
      <c r="S48" s="22" t="n">
        <f aca="false">IF(AND(DAY(B48)=1,D48&gt;=13),Assumptions!B42*G48,0)</f>
        <v>0</v>
      </c>
      <c r="T48" s="22" t="n">
        <f aca="false">IF(DAY(B48)=1,Assumptions!B43*G48,0)</f>
        <v>0</v>
      </c>
      <c r="U48" s="22" t="n">
        <f aca="false">SUM(O48:T48)</f>
        <v>0</v>
      </c>
      <c r="V48" s="22" t="n">
        <f aca="false">N48-U48</f>
        <v>14100</v>
      </c>
      <c r="W48" s="22" t="n">
        <f aca="false">W47+V48</f>
        <v>-4940100</v>
      </c>
      <c r="X48" s="23" t="str">
        <f aca="false">IF(W48&gt;=0,"YES","No")</f>
        <v>No</v>
      </c>
    </row>
    <row r="49" customFormat="false" ht="15" hidden="false" customHeight="false" outlineLevel="0" collapsed="false">
      <c r="A49" s="16" t="n">
        <v>48</v>
      </c>
      <c r="B49" s="17" t="n">
        <f aca="false">B48+1</f>
        <v>46070</v>
      </c>
      <c r="C49" s="18" t="n">
        <f aca="false">MIN(ROUNDUP(A49/365,0),5)</f>
        <v>1</v>
      </c>
      <c r="D49" s="18" t="n">
        <f aca="false">DATEDIF(Assumptions!B5,B49,"m")+1</f>
        <v>2</v>
      </c>
      <c r="E49" s="18" t="str">
        <f aca="false">TEXT(B49,"ddd")</f>
        <v>Tue</v>
      </c>
      <c r="F49" s="19" t="n">
        <f aca="false">IF(WEEKDAY(B49,2)&gt;=6,Assumptions!B34,Assumptions!B35)</f>
        <v>1</v>
      </c>
      <c r="G49" s="20" t="n">
        <f aca="false">IF(D49&gt;=13,(1+Assumptions!B46)^(D49-12),1)</f>
        <v>1</v>
      </c>
      <c r="H49" s="21" t="n">
        <f aca="false">H48*(1+IF(C49=1,Assumptions!B22,Assumptions!B23))</f>
        <v>16.9357409572412</v>
      </c>
      <c r="I49" s="16" t="n">
        <f aca="false">ROUND(H49*F49,0)</f>
        <v>17</v>
      </c>
      <c r="J49" s="22" t="n">
        <f aca="false">I49*Assumptions!B24</f>
        <v>10200</v>
      </c>
      <c r="K49" s="21" t="n">
        <f aca="false">K48*(1+Assumptions!B30)</f>
        <v>13.3440492199789</v>
      </c>
      <c r="L49" s="16" t="n">
        <f aca="false">ROUND(K49*F49,0)</f>
        <v>13</v>
      </c>
      <c r="M49" s="22" t="n">
        <f aca="false">L49*Assumptions!B31</f>
        <v>3900</v>
      </c>
      <c r="N49" s="22" t="n">
        <f aca="false">J49+M49</f>
        <v>14100</v>
      </c>
      <c r="O49" s="22" t="n">
        <f aca="false">IF(DAY(B49)=1,Assumptions!B38*G49,0)</f>
        <v>0</v>
      </c>
      <c r="P49" s="22" t="n">
        <f aca="false">IF(DAY(B49)=1,Assumptions!B39*G49,0)</f>
        <v>0</v>
      </c>
      <c r="Q49" s="22" t="n">
        <f aca="false">IF(DAY(B49)=1,Assumptions!B40*G49,0)</f>
        <v>0</v>
      </c>
      <c r="R49" s="22" t="n">
        <f aca="false">IF(DAY(B49)=1,Assumptions!B41*G49,0)</f>
        <v>0</v>
      </c>
      <c r="S49" s="22" t="n">
        <f aca="false">IF(AND(DAY(B49)=1,D49&gt;=13),Assumptions!B42*G49,0)</f>
        <v>0</v>
      </c>
      <c r="T49" s="22" t="n">
        <f aca="false">IF(DAY(B49)=1,Assumptions!B43*G49,0)</f>
        <v>0</v>
      </c>
      <c r="U49" s="22" t="n">
        <f aca="false">SUM(O49:T49)</f>
        <v>0</v>
      </c>
      <c r="V49" s="22" t="n">
        <f aca="false">N49-U49</f>
        <v>14100</v>
      </c>
      <c r="W49" s="22" t="n">
        <f aca="false">W48+V49</f>
        <v>-4926000</v>
      </c>
      <c r="X49" s="23" t="str">
        <f aca="false">IF(W49&gt;=0,"YES","No")</f>
        <v>No</v>
      </c>
    </row>
    <row r="50" customFormat="false" ht="15" hidden="false" customHeight="false" outlineLevel="0" collapsed="false">
      <c r="A50" s="16" t="n">
        <v>49</v>
      </c>
      <c r="B50" s="17" t="n">
        <f aca="false">B49+1</f>
        <v>46071</v>
      </c>
      <c r="C50" s="18" t="n">
        <f aca="false">MIN(ROUNDUP(A50/365,0),5)</f>
        <v>1</v>
      </c>
      <c r="D50" s="18" t="n">
        <f aca="false">DATEDIF(Assumptions!B5,B50,"m")+1</f>
        <v>2</v>
      </c>
      <c r="E50" s="18" t="str">
        <f aca="false">TEXT(B50,"ddd")</f>
        <v>Wed</v>
      </c>
      <c r="F50" s="19" t="n">
        <f aca="false">IF(WEEKDAY(B50,2)&gt;=6,Assumptions!B34,Assumptions!B35)</f>
        <v>1</v>
      </c>
      <c r="G50" s="20" t="n">
        <f aca="false">IF(D50&gt;=13,(1+Assumptions!B46)^(D50-12),1)</f>
        <v>1</v>
      </c>
      <c r="H50" s="21" t="n">
        <f aca="false">H49*(1+IF(C50=1,Assumptions!B22,Assumptions!B23))</f>
        <v>16.9467620241719</v>
      </c>
      <c r="I50" s="16" t="n">
        <f aca="false">ROUND(H50*F50,0)</f>
        <v>17</v>
      </c>
      <c r="J50" s="22" t="n">
        <f aca="false">I50*Assumptions!B24</f>
        <v>10200</v>
      </c>
      <c r="K50" s="21" t="n">
        <f aca="false">K49*(1+Assumptions!B30)</f>
        <v>13.3484118812285</v>
      </c>
      <c r="L50" s="16" t="n">
        <f aca="false">ROUND(K50*F50,0)</f>
        <v>13</v>
      </c>
      <c r="M50" s="22" t="n">
        <f aca="false">L50*Assumptions!B31</f>
        <v>3900</v>
      </c>
      <c r="N50" s="22" t="n">
        <f aca="false">J50+M50</f>
        <v>14100</v>
      </c>
      <c r="O50" s="22" t="n">
        <f aca="false">IF(DAY(B50)=1,Assumptions!B38*G50,0)</f>
        <v>0</v>
      </c>
      <c r="P50" s="22" t="n">
        <f aca="false">IF(DAY(B50)=1,Assumptions!B39*G50,0)</f>
        <v>0</v>
      </c>
      <c r="Q50" s="22" t="n">
        <f aca="false">IF(DAY(B50)=1,Assumptions!B40*G50,0)</f>
        <v>0</v>
      </c>
      <c r="R50" s="22" t="n">
        <f aca="false">IF(DAY(B50)=1,Assumptions!B41*G50,0)</f>
        <v>0</v>
      </c>
      <c r="S50" s="22" t="n">
        <f aca="false">IF(AND(DAY(B50)=1,D50&gt;=13),Assumptions!B42*G50,0)</f>
        <v>0</v>
      </c>
      <c r="T50" s="22" t="n">
        <f aca="false">IF(DAY(B50)=1,Assumptions!B43*G50,0)</f>
        <v>0</v>
      </c>
      <c r="U50" s="22" t="n">
        <f aca="false">SUM(O50:T50)</f>
        <v>0</v>
      </c>
      <c r="V50" s="22" t="n">
        <f aca="false">N50-U50</f>
        <v>14100</v>
      </c>
      <c r="W50" s="22" t="n">
        <f aca="false">W49+V50</f>
        <v>-4911900</v>
      </c>
      <c r="X50" s="23" t="str">
        <f aca="false">IF(W50&gt;=0,"YES","No")</f>
        <v>No</v>
      </c>
    </row>
    <row r="51" customFormat="false" ht="15" hidden="false" customHeight="false" outlineLevel="0" collapsed="false">
      <c r="A51" s="16" t="n">
        <v>50</v>
      </c>
      <c r="B51" s="17" t="n">
        <f aca="false">B50+1</f>
        <v>46072</v>
      </c>
      <c r="C51" s="18" t="n">
        <f aca="false">MIN(ROUNDUP(A51/365,0),5)</f>
        <v>1</v>
      </c>
      <c r="D51" s="18" t="n">
        <f aca="false">DATEDIF(Assumptions!B5,B51,"m")+1</f>
        <v>2</v>
      </c>
      <c r="E51" s="18" t="str">
        <f aca="false">TEXT(B51,"ddd")</f>
        <v>Thu</v>
      </c>
      <c r="F51" s="19" t="n">
        <f aca="false">IF(WEEKDAY(B51,2)&gt;=6,Assumptions!B34,Assumptions!B35)</f>
        <v>1</v>
      </c>
      <c r="G51" s="20" t="n">
        <f aca="false">IF(D51&gt;=13,(1+Assumptions!B46)^(D51-12),1)</f>
        <v>1</v>
      </c>
      <c r="H51" s="21" t="n">
        <f aca="false">H50*(1+IF(C51=1,Assumptions!B22,Assumptions!B23))</f>
        <v>16.9577902631488</v>
      </c>
      <c r="I51" s="16" t="n">
        <f aca="false">ROUND(H51*F51,0)</f>
        <v>17</v>
      </c>
      <c r="J51" s="22" t="n">
        <f aca="false">I51*Assumptions!B24</f>
        <v>10200</v>
      </c>
      <c r="K51" s="21" t="n">
        <f aca="false">K50*(1+Assumptions!B30)</f>
        <v>13.3527759687928</v>
      </c>
      <c r="L51" s="16" t="n">
        <f aca="false">ROUND(K51*F51,0)</f>
        <v>13</v>
      </c>
      <c r="M51" s="22" t="n">
        <f aca="false">L51*Assumptions!B31</f>
        <v>3900</v>
      </c>
      <c r="N51" s="22" t="n">
        <f aca="false">J51+M51</f>
        <v>14100</v>
      </c>
      <c r="O51" s="22" t="n">
        <f aca="false">IF(DAY(B51)=1,Assumptions!B38*G51,0)</f>
        <v>0</v>
      </c>
      <c r="P51" s="22" t="n">
        <f aca="false">IF(DAY(B51)=1,Assumptions!B39*G51,0)</f>
        <v>0</v>
      </c>
      <c r="Q51" s="22" t="n">
        <f aca="false">IF(DAY(B51)=1,Assumptions!B40*G51,0)</f>
        <v>0</v>
      </c>
      <c r="R51" s="22" t="n">
        <f aca="false">IF(DAY(B51)=1,Assumptions!B41*G51,0)</f>
        <v>0</v>
      </c>
      <c r="S51" s="22" t="n">
        <f aca="false">IF(AND(DAY(B51)=1,D51&gt;=13),Assumptions!B42*G51,0)</f>
        <v>0</v>
      </c>
      <c r="T51" s="22" t="n">
        <f aca="false">IF(DAY(B51)=1,Assumptions!B43*G51,0)</f>
        <v>0</v>
      </c>
      <c r="U51" s="22" t="n">
        <f aca="false">SUM(O51:T51)</f>
        <v>0</v>
      </c>
      <c r="V51" s="22" t="n">
        <f aca="false">N51-U51</f>
        <v>14100</v>
      </c>
      <c r="W51" s="22" t="n">
        <f aca="false">W50+V51</f>
        <v>-4897800</v>
      </c>
      <c r="X51" s="23" t="str">
        <f aca="false">IF(W51&gt;=0,"YES","No")</f>
        <v>No</v>
      </c>
    </row>
    <row r="52" customFormat="false" ht="15" hidden="false" customHeight="false" outlineLevel="0" collapsed="false">
      <c r="A52" s="16" t="n">
        <v>51</v>
      </c>
      <c r="B52" s="17" t="n">
        <f aca="false">B51+1</f>
        <v>46073</v>
      </c>
      <c r="C52" s="18" t="n">
        <f aca="false">MIN(ROUNDUP(A52/365,0),5)</f>
        <v>1</v>
      </c>
      <c r="D52" s="18" t="n">
        <f aca="false">DATEDIF(Assumptions!B5,B52,"m")+1</f>
        <v>2</v>
      </c>
      <c r="E52" s="18" t="str">
        <f aca="false">TEXT(B52,"ddd")</f>
        <v>Fri</v>
      </c>
      <c r="F52" s="19" t="n">
        <f aca="false">IF(WEEKDAY(B52,2)&gt;=6,Assumptions!B34,Assumptions!B35)</f>
        <v>1</v>
      </c>
      <c r="G52" s="20" t="n">
        <f aca="false">IF(D52&gt;=13,(1+Assumptions!B46)^(D52-12),1)</f>
        <v>1</v>
      </c>
      <c r="H52" s="21" t="n">
        <f aca="false">H51*(1+IF(C52=1,Assumptions!B22,Assumptions!B23))</f>
        <v>16.9688256788391</v>
      </c>
      <c r="I52" s="16" t="n">
        <f aca="false">ROUND(H52*F52,0)</f>
        <v>17</v>
      </c>
      <c r="J52" s="22" t="n">
        <f aca="false">I52*Assumptions!B24</f>
        <v>10200</v>
      </c>
      <c r="K52" s="21" t="n">
        <f aca="false">K51*(1+Assumptions!B30)</f>
        <v>13.3571414831381</v>
      </c>
      <c r="L52" s="16" t="n">
        <f aca="false">ROUND(K52*F52,0)</f>
        <v>13</v>
      </c>
      <c r="M52" s="22" t="n">
        <f aca="false">L52*Assumptions!B31</f>
        <v>3900</v>
      </c>
      <c r="N52" s="22" t="n">
        <f aca="false">J52+M52</f>
        <v>14100</v>
      </c>
      <c r="O52" s="22" t="n">
        <f aca="false">IF(DAY(B52)=1,Assumptions!B38*G52,0)</f>
        <v>0</v>
      </c>
      <c r="P52" s="22" t="n">
        <f aca="false">IF(DAY(B52)=1,Assumptions!B39*G52,0)</f>
        <v>0</v>
      </c>
      <c r="Q52" s="22" t="n">
        <f aca="false">IF(DAY(B52)=1,Assumptions!B40*G52,0)</f>
        <v>0</v>
      </c>
      <c r="R52" s="22" t="n">
        <f aca="false">IF(DAY(B52)=1,Assumptions!B41*G52,0)</f>
        <v>0</v>
      </c>
      <c r="S52" s="22" t="n">
        <f aca="false">IF(AND(DAY(B52)=1,D52&gt;=13),Assumptions!B42*G52,0)</f>
        <v>0</v>
      </c>
      <c r="T52" s="22" t="n">
        <f aca="false">IF(DAY(B52)=1,Assumptions!B43*G52,0)</f>
        <v>0</v>
      </c>
      <c r="U52" s="22" t="n">
        <f aca="false">SUM(O52:T52)</f>
        <v>0</v>
      </c>
      <c r="V52" s="22" t="n">
        <f aca="false">N52-U52</f>
        <v>14100</v>
      </c>
      <c r="W52" s="22" t="n">
        <f aca="false">W51+V52</f>
        <v>-4883700</v>
      </c>
      <c r="X52" s="23" t="str">
        <f aca="false">IF(W52&gt;=0,"YES","No")</f>
        <v>No</v>
      </c>
    </row>
    <row r="53" customFormat="false" ht="15" hidden="false" customHeight="false" outlineLevel="0" collapsed="false">
      <c r="A53" s="16" t="n">
        <v>52</v>
      </c>
      <c r="B53" s="17" t="n">
        <f aca="false">B52+1</f>
        <v>46074</v>
      </c>
      <c r="C53" s="18" t="n">
        <f aca="false">MIN(ROUNDUP(A53/365,0),5)</f>
        <v>1</v>
      </c>
      <c r="D53" s="18" t="n">
        <f aca="false">DATEDIF(Assumptions!B5,B53,"m")+1</f>
        <v>2</v>
      </c>
      <c r="E53" s="18" t="str">
        <f aca="false">TEXT(B53,"ddd")</f>
        <v>Sat</v>
      </c>
      <c r="F53" s="19" t="n">
        <f aca="false">IF(WEEKDAY(B53,2)&gt;=6,Assumptions!B34,Assumptions!B35)</f>
        <v>0.6</v>
      </c>
      <c r="G53" s="20" t="n">
        <f aca="false">IF(D53&gt;=13,(1+Assumptions!B46)^(D53-12),1)</f>
        <v>1</v>
      </c>
      <c r="H53" s="21" t="n">
        <f aca="false">H52*(1+IF(C53=1,Assumptions!B22,Assumptions!B23))</f>
        <v>16.9798682759131</v>
      </c>
      <c r="I53" s="16" t="n">
        <f aca="false">ROUND(H53*F53,0)</f>
        <v>10</v>
      </c>
      <c r="J53" s="22" t="n">
        <f aca="false">I53*Assumptions!B24</f>
        <v>6000</v>
      </c>
      <c r="K53" s="21" t="n">
        <f aca="false">K52*(1+Assumptions!B30)</f>
        <v>13.3615084247308</v>
      </c>
      <c r="L53" s="16" t="n">
        <f aca="false">ROUND(K53*F53,0)</f>
        <v>8</v>
      </c>
      <c r="M53" s="22" t="n">
        <f aca="false">L53*Assumptions!B31</f>
        <v>2400</v>
      </c>
      <c r="N53" s="22" t="n">
        <f aca="false">J53+M53</f>
        <v>8400</v>
      </c>
      <c r="O53" s="22" t="n">
        <f aca="false">IF(DAY(B53)=1,Assumptions!B38*G53,0)</f>
        <v>0</v>
      </c>
      <c r="P53" s="22" t="n">
        <f aca="false">IF(DAY(B53)=1,Assumptions!B39*G53,0)</f>
        <v>0</v>
      </c>
      <c r="Q53" s="22" t="n">
        <f aca="false">IF(DAY(B53)=1,Assumptions!B40*G53,0)</f>
        <v>0</v>
      </c>
      <c r="R53" s="22" t="n">
        <f aca="false">IF(DAY(B53)=1,Assumptions!B41*G53,0)</f>
        <v>0</v>
      </c>
      <c r="S53" s="22" t="n">
        <f aca="false">IF(AND(DAY(B53)=1,D53&gt;=13),Assumptions!B42*G53,0)</f>
        <v>0</v>
      </c>
      <c r="T53" s="22" t="n">
        <f aca="false">IF(DAY(B53)=1,Assumptions!B43*G53,0)</f>
        <v>0</v>
      </c>
      <c r="U53" s="22" t="n">
        <f aca="false">SUM(O53:T53)</f>
        <v>0</v>
      </c>
      <c r="V53" s="22" t="n">
        <f aca="false">N53-U53</f>
        <v>8400</v>
      </c>
      <c r="W53" s="22" t="n">
        <f aca="false">W52+V53</f>
        <v>-4875300</v>
      </c>
      <c r="X53" s="23" t="str">
        <f aca="false">IF(W53&gt;=0,"YES","No")</f>
        <v>No</v>
      </c>
    </row>
    <row r="54" customFormat="false" ht="15" hidden="false" customHeight="false" outlineLevel="0" collapsed="false">
      <c r="A54" s="16" t="n">
        <v>53</v>
      </c>
      <c r="B54" s="17" t="n">
        <f aca="false">B53+1</f>
        <v>46075</v>
      </c>
      <c r="C54" s="18" t="n">
        <f aca="false">MIN(ROUNDUP(A54/365,0),5)</f>
        <v>1</v>
      </c>
      <c r="D54" s="18" t="n">
        <f aca="false">DATEDIF(Assumptions!B5,B54,"m")+1</f>
        <v>2</v>
      </c>
      <c r="E54" s="18" t="str">
        <f aca="false">TEXT(B54,"ddd")</f>
        <v>Sun</v>
      </c>
      <c r="F54" s="19" t="n">
        <f aca="false">IF(WEEKDAY(B54,2)&gt;=6,Assumptions!B34,Assumptions!B35)</f>
        <v>0.6</v>
      </c>
      <c r="G54" s="20" t="n">
        <f aca="false">IF(D54&gt;=13,(1+Assumptions!B46)^(D54-12),1)</f>
        <v>1</v>
      </c>
      <c r="H54" s="21" t="n">
        <f aca="false">H53*(1+IF(C54=1,Assumptions!B22,Assumptions!B23))</f>
        <v>16.9909180590443</v>
      </c>
      <c r="I54" s="16" t="n">
        <f aca="false">ROUND(H54*F54,0)</f>
        <v>10</v>
      </c>
      <c r="J54" s="22" t="n">
        <f aca="false">I54*Assumptions!B24</f>
        <v>6000</v>
      </c>
      <c r="K54" s="21" t="n">
        <f aca="false">K53*(1+Assumptions!B30)</f>
        <v>13.3658767940376</v>
      </c>
      <c r="L54" s="16" t="n">
        <f aca="false">ROUND(K54*F54,0)</f>
        <v>8</v>
      </c>
      <c r="M54" s="22" t="n">
        <f aca="false">L54*Assumptions!B31</f>
        <v>2400</v>
      </c>
      <c r="N54" s="22" t="n">
        <f aca="false">J54+M54</f>
        <v>8400</v>
      </c>
      <c r="O54" s="22" t="n">
        <f aca="false">IF(DAY(B54)=1,Assumptions!B38*G54,0)</f>
        <v>0</v>
      </c>
      <c r="P54" s="22" t="n">
        <f aca="false">IF(DAY(B54)=1,Assumptions!B39*G54,0)</f>
        <v>0</v>
      </c>
      <c r="Q54" s="22" t="n">
        <f aca="false">IF(DAY(B54)=1,Assumptions!B40*G54,0)</f>
        <v>0</v>
      </c>
      <c r="R54" s="22" t="n">
        <f aca="false">IF(DAY(B54)=1,Assumptions!B41*G54,0)</f>
        <v>0</v>
      </c>
      <c r="S54" s="22" t="n">
        <f aca="false">IF(AND(DAY(B54)=1,D54&gt;=13),Assumptions!B42*G54,0)</f>
        <v>0</v>
      </c>
      <c r="T54" s="22" t="n">
        <f aca="false">IF(DAY(B54)=1,Assumptions!B43*G54,0)</f>
        <v>0</v>
      </c>
      <c r="U54" s="22" t="n">
        <f aca="false">SUM(O54:T54)</f>
        <v>0</v>
      </c>
      <c r="V54" s="22" t="n">
        <f aca="false">N54-U54</f>
        <v>8400</v>
      </c>
      <c r="W54" s="22" t="n">
        <f aca="false">W53+V54</f>
        <v>-4866900</v>
      </c>
      <c r="X54" s="23" t="str">
        <f aca="false">IF(W54&gt;=0,"YES","No")</f>
        <v>No</v>
      </c>
    </row>
    <row r="55" customFormat="false" ht="15" hidden="false" customHeight="false" outlineLevel="0" collapsed="false">
      <c r="A55" s="16" t="n">
        <v>54</v>
      </c>
      <c r="B55" s="17" t="n">
        <f aca="false">B54+1</f>
        <v>46076</v>
      </c>
      <c r="C55" s="18" t="n">
        <f aca="false">MIN(ROUNDUP(A55/365,0),5)</f>
        <v>1</v>
      </c>
      <c r="D55" s="18" t="n">
        <f aca="false">DATEDIF(Assumptions!B5,B55,"m")+1</f>
        <v>2</v>
      </c>
      <c r="E55" s="18" t="str">
        <f aca="false">TEXT(B55,"ddd")</f>
        <v>Mon</v>
      </c>
      <c r="F55" s="19" t="n">
        <f aca="false">IF(WEEKDAY(B55,2)&gt;=6,Assumptions!B34,Assumptions!B35)</f>
        <v>1</v>
      </c>
      <c r="G55" s="20" t="n">
        <f aca="false">IF(D55&gt;=13,(1+Assumptions!B46)^(D55-12),1)</f>
        <v>1</v>
      </c>
      <c r="H55" s="21" t="n">
        <f aca="false">H54*(1+IF(C55=1,Assumptions!B22,Assumptions!B23))</f>
        <v>17.0019750329089</v>
      </c>
      <c r="I55" s="16" t="n">
        <f aca="false">ROUND(H55*F55,0)</f>
        <v>17</v>
      </c>
      <c r="J55" s="22" t="n">
        <f aca="false">I55*Assumptions!B24</f>
        <v>10200</v>
      </c>
      <c r="K55" s="21" t="n">
        <f aca="false">K54*(1+Assumptions!B30)</f>
        <v>13.3702465915253</v>
      </c>
      <c r="L55" s="16" t="n">
        <f aca="false">ROUND(K55*F55,0)</f>
        <v>13</v>
      </c>
      <c r="M55" s="22" t="n">
        <f aca="false">L55*Assumptions!B31</f>
        <v>3900</v>
      </c>
      <c r="N55" s="22" t="n">
        <f aca="false">J55+M55</f>
        <v>14100</v>
      </c>
      <c r="O55" s="22" t="n">
        <f aca="false">IF(DAY(B55)=1,Assumptions!B38*G55,0)</f>
        <v>0</v>
      </c>
      <c r="P55" s="22" t="n">
        <f aca="false">IF(DAY(B55)=1,Assumptions!B39*G55,0)</f>
        <v>0</v>
      </c>
      <c r="Q55" s="22" t="n">
        <f aca="false">IF(DAY(B55)=1,Assumptions!B40*G55,0)</f>
        <v>0</v>
      </c>
      <c r="R55" s="22" t="n">
        <f aca="false">IF(DAY(B55)=1,Assumptions!B41*G55,0)</f>
        <v>0</v>
      </c>
      <c r="S55" s="22" t="n">
        <f aca="false">IF(AND(DAY(B55)=1,D55&gt;=13),Assumptions!B42*G55,0)</f>
        <v>0</v>
      </c>
      <c r="T55" s="22" t="n">
        <f aca="false">IF(DAY(B55)=1,Assumptions!B43*G55,0)</f>
        <v>0</v>
      </c>
      <c r="U55" s="22" t="n">
        <f aca="false">SUM(O55:T55)</f>
        <v>0</v>
      </c>
      <c r="V55" s="22" t="n">
        <f aca="false">N55-U55</f>
        <v>14100</v>
      </c>
      <c r="W55" s="22" t="n">
        <f aca="false">W54+V55</f>
        <v>-4852800</v>
      </c>
      <c r="X55" s="23" t="str">
        <f aca="false">IF(W55&gt;=0,"YES","No")</f>
        <v>No</v>
      </c>
    </row>
    <row r="56" customFormat="false" ht="15" hidden="false" customHeight="false" outlineLevel="0" collapsed="false">
      <c r="A56" s="16" t="n">
        <v>55</v>
      </c>
      <c r="B56" s="17" t="n">
        <f aca="false">B55+1</f>
        <v>46077</v>
      </c>
      <c r="C56" s="18" t="n">
        <f aca="false">MIN(ROUNDUP(A56/365,0),5)</f>
        <v>1</v>
      </c>
      <c r="D56" s="18" t="n">
        <f aca="false">DATEDIF(Assumptions!B5,B56,"m")+1</f>
        <v>2</v>
      </c>
      <c r="E56" s="18" t="str">
        <f aca="false">TEXT(B56,"ddd")</f>
        <v>Tue</v>
      </c>
      <c r="F56" s="19" t="n">
        <f aca="false">IF(WEEKDAY(B56,2)&gt;=6,Assumptions!B34,Assumptions!B35)</f>
        <v>1</v>
      </c>
      <c r="G56" s="20" t="n">
        <f aca="false">IF(D56&gt;=13,(1+Assumptions!B46)^(D56-12),1)</f>
        <v>1</v>
      </c>
      <c r="H56" s="21" t="n">
        <f aca="false">H55*(1+IF(C56=1,Assumptions!B22,Assumptions!B23))</f>
        <v>17.0130392021864</v>
      </c>
      <c r="I56" s="16" t="n">
        <f aca="false">ROUND(H56*F56,0)</f>
        <v>17</v>
      </c>
      <c r="J56" s="22" t="n">
        <f aca="false">I56*Assumptions!B24</f>
        <v>10200</v>
      </c>
      <c r="K56" s="21" t="n">
        <f aca="false">K55*(1+Assumptions!B30)</f>
        <v>13.3746178176607</v>
      </c>
      <c r="L56" s="16" t="n">
        <f aca="false">ROUND(K56*F56,0)</f>
        <v>13</v>
      </c>
      <c r="M56" s="22" t="n">
        <f aca="false">L56*Assumptions!B31</f>
        <v>3900</v>
      </c>
      <c r="N56" s="22" t="n">
        <f aca="false">J56+M56</f>
        <v>14100</v>
      </c>
      <c r="O56" s="22" t="n">
        <f aca="false">IF(DAY(B56)=1,Assumptions!B38*G56,0)</f>
        <v>0</v>
      </c>
      <c r="P56" s="22" t="n">
        <f aca="false">IF(DAY(B56)=1,Assumptions!B39*G56,0)</f>
        <v>0</v>
      </c>
      <c r="Q56" s="22" t="n">
        <f aca="false">IF(DAY(B56)=1,Assumptions!B40*G56,0)</f>
        <v>0</v>
      </c>
      <c r="R56" s="22" t="n">
        <f aca="false">IF(DAY(B56)=1,Assumptions!B41*G56,0)</f>
        <v>0</v>
      </c>
      <c r="S56" s="22" t="n">
        <f aca="false">IF(AND(DAY(B56)=1,D56&gt;=13),Assumptions!B42*G56,0)</f>
        <v>0</v>
      </c>
      <c r="T56" s="22" t="n">
        <f aca="false">IF(DAY(B56)=1,Assumptions!B43*G56,0)</f>
        <v>0</v>
      </c>
      <c r="U56" s="22" t="n">
        <f aca="false">SUM(O56:T56)</f>
        <v>0</v>
      </c>
      <c r="V56" s="22" t="n">
        <f aca="false">N56-U56</f>
        <v>14100</v>
      </c>
      <c r="W56" s="22" t="n">
        <f aca="false">W55+V56</f>
        <v>-4838700</v>
      </c>
      <c r="X56" s="23" t="str">
        <f aca="false">IF(W56&gt;=0,"YES","No")</f>
        <v>No</v>
      </c>
    </row>
    <row r="57" customFormat="false" ht="15" hidden="false" customHeight="false" outlineLevel="0" collapsed="false">
      <c r="A57" s="16" t="n">
        <v>56</v>
      </c>
      <c r="B57" s="17" t="n">
        <f aca="false">B56+1</f>
        <v>46078</v>
      </c>
      <c r="C57" s="18" t="n">
        <f aca="false">MIN(ROUNDUP(A57/365,0),5)</f>
        <v>1</v>
      </c>
      <c r="D57" s="18" t="n">
        <f aca="false">DATEDIF(Assumptions!B5,B57,"m")+1</f>
        <v>2</v>
      </c>
      <c r="E57" s="18" t="str">
        <f aca="false">TEXT(B57,"ddd")</f>
        <v>Wed</v>
      </c>
      <c r="F57" s="19" t="n">
        <f aca="false">IF(WEEKDAY(B57,2)&gt;=6,Assumptions!B34,Assumptions!B35)</f>
        <v>1</v>
      </c>
      <c r="G57" s="20" t="n">
        <f aca="false">IF(D57&gt;=13,(1+Assumptions!B46)^(D57-12),1)</f>
        <v>1</v>
      </c>
      <c r="H57" s="21" t="n">
        <f aca="false">H56*(1+IF(C57=1,Assumptions!B22,Assumptions!B23))</f>
        <v>17.0241105715593</v>
      </c>
      <c r="I57" s="16" t="n">
        <f aca="false">ROUND(H57*F57,0)</f>
        <v>17</v>
      </c>
      <c r="J57" s="22" t="n">
        <f aca="false">I57*Assumptions!B24</f>
        <v>10200</v>
      </c>
      <c r="K57" s="21" t="n">
        <f aca="false">K56*(1+Assumptions!B30)</f>
        <v>13.378990472911</v>
      </c>
      <c r="L57" s="16" t="n">
        <f aca="false">ROUND(K57*F57,0)</f>
        <v>13</v>
      </c>
      <c r="M57" s="22" t="n">
        <f aca="false">L57*Assumptions!B31</f>
        <v>3900</v>
      </c>
      <c r="N57" s="22" t="n">
        <f aca="false">J57+M57</f>
        <v>14100</v>
      </c>
      <c r="O57" s="22" t="n">
        <f aca="false">IF(DAY(B57)=1,Assumptions!B38*G57,0)</f>
        <v>0</v>
      </c>
      <c r="P57" s="22" t="n">
        <f aca="false">IF(DAY(B57)=1,Assumptions!B39*G57,0)</f>
        <v>0</v>
      </c>
      <c r="Q57" s="22" t="n">
        <f aca="false">IF(DAY(B57)=1,Assumptions!B40*G57,0)</f>
        <v>0</v>
      </c>
      <c r="R57" s="22" t="n">
        <f aca="false">IF(DAY(B57)=1,Assumptions!B41*G57,0)</f>
        <v>0</v>
      </c>
      <c r="S57" s="22" t="n">
        <f aca="false">IF(AND(DAY(B57)=1,D57&gt;=13),Assumptions!B42*G57,0)</f>
        <v>0</v>
      </c>
      <c r="T57" s="22" t="n">
        <f aca="false">IF(DAY(B57)=1,Assumptions!B43*G57,0)</f>
        <v>0</v>
      </c>
      <c r="U57" s="22" t="n">
        <f aca="false">SUM(O57:T57)</f>
        <v>0</v>
      </c>
      <c r="V57" s="22" t="n">
        <f aca="false">N57-U57</f>
        <v>14100</v>
      </c>
      <c r="W57" s="22" t="n">
        <f aca="false">W56+V57</f>
        <v>-4824600</v>
      </c>
      <c r="X57" s="23" t="str">
        <f aca="false">IF(W57&gt;=0,"YES","No")</f>
        <v>No</v>
      </c>
    </row>
    <row r="58" customFormat="false" ht="15" hidden="false" customHeight="false" outlineLevel="0" collapsed="false">
      <c r="A58" s="16" t="n">
        <v>57</v>
      </c>
      <c r="B58" s="17" t="n">
        <f aca="false">B57+1</f>
        <v>46079</v>
      </c>
      <c r="C58" s="18" t="n">
        <f aca="false">MIN(ROUNDUP(A58/365,0),5)</f>
        <v>1</v>
      </c>
      <c r="D58" s="18" t="n">
        <f aca="false">DATEDIF(Assumptions!B5,B58,"m")+1</f>
        <v>2</v>
      </c>
      <c r="E58" s="18" t="str">
        <f aca="false">TEXT(B58,"ddd")</f>
        <v>Thu</v>
      </c>
      <c r="F58" s="19" t="n">
        <f aca="false">IF(WEEKDAY(B58,2)&gt;=6,Assumptions!B34,Assumptions!B35)</f>
        <v>1</v>
      </c>
      <c r="G58" s="20" t="n">
        <f aca="false">IF(D58&gt;=13,(1+Assumptions!B46)^(D58-12),1)</f>
        <v>1</v>
      </c>
      <c r="H58" s="21" t="n">
        <f aca="false">H57*(1+IF(C58=1,Assumptions!B22,Assumptions!B23))</f>
        <v>17.0351891457131</v>
      </c>
      <c r="I58" s="16" t="n">
        <f aca="false">ROUND(H58*F58,0)</f>
        <v>17</v>
      </c>
      <c r="J58" s="22" t="n">
        <f aca="false">I58*Assumptions!B24</f>
        <v>10200</v>
      </c>
      <c r="K58" s="21" t="n">
        <f aca="false">K57*(1+Assumptions!B30)</f>
        <v>13.3833645577433</v>
      </c>
      <c r="L58" s="16" t="n">
        <f aca="false">ROUND(K58*F58,0)</f>
        <v>13</v>
      </c>
      <c r="M58" s="22" t="n">
        <f aca="false">L58*Assumptions!B31</f>
        <v>3900</v>
      </c>
      <c r="N58" s="22" t="n">
        <f aca="false">J58+M58</f>
        <v>14100</v>
      </c>
      <c r="O58" s="22" t="n">
        <f aca="false">IF(DAY(B58)=1,Assumptions!B38*G58,0)</f>
        <v>0</v>
      </c>
      <c r="P58" s="22" t="n">
        <f aca="false">IF(DAY(B58)=1,Assumptions!B39*G58,0)</f>
        <v>0</v>
      </c>
      <c r="Q58" s="22" t="n">
        <f aca="false">IF(DAY(B58)=1,Assumptions!B40*G58,0)</f>
        <v>0</v>
      </c>
      <c r="R58" s="22" t="n">
        <f aca="false">IF(DAY(B58)=1,Assumptions!B41*G58,0)</f>
        <v>0</v>
      </c>
      <c r="S58" s="22" t="n">
        <f aca="false">IF(AND(DAY(B58)=1,D58&gt;=13),Assumptions!B42*G58,0)</f>
        <v>0</v>
      </c>
      <c r="T58" s="22" t="n">
        <f aca="false">IF(DAY(B58)=1,Assumptions!B43*G58,0)</f>
        <v>0</v>
      </c>
      <c r="U58" s="22" t="n">
        <f aca="false">SUM(O58:T58)</f>
        <v>0</v>
      </c>
      <c r="V58" s="22" t="n">
        <f aca="false">N58-U58</f>
        <v>14100</v>
      </c>
      <c r="W58" s="22" t="n">
        <f aca="false">W57+V58</f>
        <v>-4810500</v>
      </c>
      <c r="X58" s="23" t="str">
        <f aca="false">IF(W58&gt;=0,"YES","No")</f>
        <v>No</v>
      </c>
    </row>
    <row r="59" customFormat="false" ht="15" hidden="false" customHeight="false" outlineLevel="0" collapsed="false">
      <c r="A59" s="16" t="n">
        <v>58</v>
      </c>
      <c r="B59" s="17" t="n">
        <f aca="false">B58+1</f>
        <v>46080</v>
      </c>
      <c r="C59" s="18" t="n">
        <f aca="false">MIN(ROUNDUP(A59/365,0),5)</f>
        <v>1</v>
      </c>
      <c r="D59" s="18" t="n">
        <f aca="false">DATEDIF(Assumptions!B5,B59,"m")+1</f>
        <v>2</v>
      </c>
      <c r="E59" s="18" t="str">
        <f aca="false">TEXT(B59,"ddd")</f>
        <v>Fri</v>
      </c>
      <c r="F59" s="19" t="n">
        <f aca="false">IF(WEEKDAY(B59,2)&gt;=6,Assumptions!B34,Assumptions!B35)</f>
        <v>1</v>
      </c>
      <c r="G59" s="20" t="n">
        <f aca="false">IF(D59&gt;=13,(1+Assumptions!B46)^(D59-12),1)</f>
        <v>1</v>
      </c>
      <c r="H59" s="21" t="n">
        <f aca="false">H58*(1+IF(C59=1,Assumptions!B22,Assumptions!B23))</f>
        <v>17.0462749293364</v>
      </c>
      <c r="I59" s="16" t="n">
        <f aca="false">ROUND(H59*F59,0)</f>
        <v>17</v>
      </c>
      <c r="J59" s="22" t="n">
        <f aca="false">I59*Assumptions!B24</f>
        <v>10200</v>
      </c>
      <c r="K59" s="21" t="n">
        <f aca="false">K58*(1+Assumptions!B30)</f>
        <v>13.3877400726251</v>
      </c>
      <c r="L59" s="16" t="n">
        <f aca="false">ROUND(K59*F59,0)</f>
        <v>13</v>
      </c>
      <c r="M59" s="22" t="n">
        <f aca="false">L59*Assumptions!B31</f>
        <v>3900</v>
      </c>
      <c r="N59" s="22" t="n">
        <f aca="false">J59+M59</f>
        <v>14100</v>
      </c>
      <c r="O59" s="22" t="n">
        <f aca="false">IF(DAY(B59)=1,Assumptions!B38*G59,0)</f>
        <v>0</v>
      </c>
      <c r="P59" s="22" t="n">
        <f aca="false">IF(DAY(B59)=1,Assumptions!B39*G59,0)</f>
        <v>0</v>
      </c>
      <c r="Q59" s="22" t="n">
        <f aca="false">IF(DAY(B59)=1,Assumptions!B40*G59,0)</f>
        <v>0</v>
      </c>
      <c r="R59" s="22" t="n">
        <f aca="false">IF(DAY(B59)=1,Assumptions!B41*G59,0)</f>
        <v>0</v>
      </c>
      <c r="S59" s="22" t="n">
        <f aca="false">IF(AND(DAY(B59)=1,D59&gt;=13),Assumptions!B42*G59,0)</f>
        <v>0</v>
      </c>
      <c r="T59" s="22" t="n">
        <f aca="false">IF(DAY(B59)=1,Assumptions!B43*G59,0)</f>
        <v>0</v>
      </c>
      <c r="U59" s="22" t="n">
        <f aca="false">SUM(O59:T59)</f>
        <v>0</v>
      </c>
      <c r="V59" s="22" t="n">
        <f aca="false">N59-U59</f>
        <v>14100</v>
      </c>
      <c r="W59" s="22" t="n">
        <f aca="false">W58+V59</f>
        <v>-4796400</v>
      </c>
      <c r="X59" s="23" t="str">
        <f aca="false">IF(W59&gt;=0,"YES","No")</f>
        <v>No</v>
      </c>
    </row>
    <row r="60" customFormat="false" ht="15" hidden="false" customHeight="false" outlineLevel="0" collapsed="false">
      <c r="A60" s="16" t="n">
        <v>59</v>
      </c>
      <c r="B60" s="17" t="n">
        <f aca="false">B59+1</f>
        <v>46081</v>
      </c>
      <c r="C60" s="18" t="n">
        <f aca="false">MIN(ROUNDUP(A60/365,0),5)</f>
        <v>1</v>
      </c>
      <c r="D60" s="18" t="n">
        <f aca="false">DATEDIF(Assumptions!B5,B60,"m")+1</f>
        <v>2</v>
      </c>
      <c r="E60" s="18" t="str">
        <f aca="false">TEXT(B60,"ddd")</f>
        <v>Sat</v>
      </c>
      <c r="F60" s="19" t="n">
        <f aca="false">IF(WEEKDAY(B60,2)&gt;=6,Assumptions!B34,Assumptions!B35)</f>
        <v>0.6</v>
      </c>
      <c r="G60" s="20" t="n">
        <f aca="false">IF(D60&gt;=13,(1+Assumptions!B46)^(D60-12),1)</f>
        <v>1</v>
      </c>
      <c r="H60" s="21" t="n">
        <f aca="false">H59*(1+IF(C60=1,Assumptions!B22,Assumptions!B23))</f>
        <v>17.0573679271207</v>
      </c>
      <c r="I60" s="16" t="n">
        <f aca="false">ROUND(H60*F60,0)</f>
        <v>10</v>
      </c>
      <c r="J60" s="22" t="n">
        <f aca="false">I60*Assumptions!B24</f>
        <v>6000</v>
      </c>
      <c r="K60" s="21" t="n">
        <f aca="false">K59*(1+Assumptions!B30)</f>
        <v>13.3921170180239</v>
      </c>
      <c r="L60" s="16" t="n">
        <f aca="false">ROUND(K60*F60,0)</f>
        <v>8</v>
      </c>
      <c r="M60" s="22" t="n">
        <f aca="false">L60*Assumptions!B31</f>
        <v>2400</v>
      </c>
      <c r="N60" s="22" t="n">
        <f aca="false">J60+M60</f>
        <v>8400</v>
      </c>
      <c r="O60" s="22" t="n">
        <f aca="false">IF(DAY(B60)=1,Assumptions!B38*G60,0)</f>
        <v>0</v>
      </c>
      <c r="P60" s="22" t="n">
        <f aca="false">IF(DAY(B60)=1,Assumptions!B39*G60,0)</f>
        <v>0</v>
      </c>
      <c r="Q60" s="22" t="n">
        <f aca="false">IF(DAY(B60)=1,Assumptions!B40*G60,0)</f>
        <v>0</v>
      </c>
      <c r="R60" s="22" t="n">
        <f aca="false">IF(DAY(B60)=1,Assumptions!B41*G60,0)</f>
        <v>0</v>
      </c>
      <c r="S60" s="22" t="n">
        <f aca="false">IF(AND(DAY(B60)=1,D60&gt;=13),Assumptions!B42*G60,0)</f>
        <v>0</v>
      </c>
      <c r="T60" s="22" t="n">
        <f aca="false">IF(DAY(B60)=1,Assumptions!B43*G60,0)</f>
        <v>0</v>
      </c>
      <c r="U60" s="22" t="n">
        <f aca="false">SUM(O60:T60)</f>
        <v>0</v>
      </c>
      <c r="V60" s="22" t="n">
        <f aca="false">N60-U60</f>
        <v>8400</v>
      </c>
      <c r="W60" s="22" t="n">
        <f aca="false">W59+V60</f>
        <v>-4788000</v>
      </c>
      <c r="X60" s="23" t="str">
        <f aca="false">IF(W60&gt;=0,"YES","No")</f>
        <v>No</v>
      </c>
    </row>
    <row r="61" customFormat="false" ht="15" hidden="false" customHeight="false" outlineLevel="0" collapsed="false">
      <c r="A61" s="16" t="n">
        <v>60</v>
      </c>
      <c r="B61" s="17" t="n">
        <f aca="false">B60+1</f>
        <v>46082</v>
      </c>
      <c r="C61" s="18" t="n">
        <f aca="false">MIN(ROUNDUP(A61/365,0),5)</f>
        <v>1</v>
      </c>
      <c r="D61" s="18" t="n">
        <f aca="false">DATEDIF(Assumptions!B5,B61,"m")+1</f>
        <v>3</v>
      </c>
      <c r="E61" s="18" t="str">
        <f aca="false">TEXT(B61,"ddd")</f>
        <v>Sun</v>
      </c>
      <c r="F61" s="19" t="n">
        <f aca="false">IF(WEEKDAY(B61,2)&gt;=6,Assumptions!B34,Assumptions!B35)</f>
        <v>0.6</v>
      </c>
      <c r="G61" s="20" t="n">
        <f aca="false">IF(D61&gt;=13,(1+Assumptions!B46)^(D61-12),1)</f>
        <v>1</v>
      </c>
      <c r="H61" s="21" t="n">
        <f aca="false">H60*(1+IF(C61=1,Assumptions!B22,Assumptions!B23))</f>
        <v>17.0684681437608</v>
      </c>
      <c r="I61" s="16" t="n">
        <f aca="false">ROUND(H61*F61,0)</f>
        <v>10</v>
      </c>
      <c r="J61" s="22" t="n">
        <f aca="false">I61*Assumptions!B24</f>
        <v>6000</v>
      </c>
      <c r="K61" s="21" t="n">
        <f aca="false">K60*(1+Assumptions!B30)</f>
        <v>13.3964953944074</v>
      </c>
      <c r="L61" s="16" t="n">
        <f aca="false">ROUND(K61*F61,0)</f>
        <v>8</v>
      </c>
      <c r="M61" s="22" t="n">
        <f aca="false">L61*Assumptions!B31</f>
        <v>2400</v>
      </c>
      <c r="N61" s="22" t="n">
        <f aca="false">J61+M61</f>
        <v>8400</v>
      </c>
      <c r="O61" s="22" t="n">
        <f aca="false">IF(DAY(B61)=1,Assumptions!B38*G61,0)</f>
        <v>150000</v>
      </c>
      <c r="P61" s="22" t="n">
        <f aca="false">IF(DAY(B61)=1,Assumptions!B39*G61,0)</f>
        <v>40000</v>
      </c>
      <c r="Q61" s="22" t="n">
        <f aca="false">IF(DAY(B61)=1,Assumptions!B40*G61,0)</f>
        <v>30000</v>
      </c>
      <c r="R61" s="22" t="n">
        <f aca="false">IF(DAY(B61)=1,Assumptions!B41*G61,0)</f>
        <v>20000</v>
      </c>
      <c r="S61" s="22" t="n">
        <f aca="false">IF(AND(DAY(B61)=1,D61&gt;=13),Assumptions!B42*G61,0)</f>
        <v>0</v>
      </c>
      <c r="T61" s="22" t="n">
        <f aca="false">IF(DAY(B61)=1,Assumptions!B43*G61,0)</f>
        <v>20000</v>
      </c>
      <c r="U61" s="22" t="n">
        <f aca="false">SUM(O61:T61)</f>
        <v>260000</v>
      </c>
      <c r="V61" s="22" t="n">
        <f aca="false">N61-U61</f>
        <v>-251600</v>
      </c>
      <c r="W61" s="22" t="n">
        <f aca="false">W60+V61</f>
        <v>-5039600</v>
      </c>
      <c r="X61" s="23" t="str">
        <f aca="false">IF(W61&gt;=0,"YES","No")</f>
        <v>No</v>
      </c>
    </row>
    <row r="62" customFormat="false" ht="15" hidden="false" customHeight="false" outlineLevel="0" collapsed="false">
      <c r="A62" s="16" t="n">
        <v>61</v>
      </c>
      <c r="B62" s="17" t="n">
        <f aca="false">B61+1</f>
        <v>46083</v>
      </c>
      <c r="C62" s="18" t="n">
        <f aca="false">MIN(ROUNDUP(A62/365,0),5)</f>
        <v>1</v>
      </c>
      <c r="D62" s="18" t="n">
        <f aca="false">DATEDIF(Assumptions!B5,B62,"m")+1</f>
        <v>3</v>
      </c>
      <c r="E62" s="18" t="str">
        <f aca="false">TEXT(B62,"ddd")</f>
        <v>Mon</v>
      </c>
      <c r="F62" s="19" t="n">
        <f aca="false">IF(WEEKDAY(B62,2)&gt;=6,Assumptions!B34,Assumptions!B35)</f>
        <v>1</v>
      </c>
      <c r="G62" s="20" t="n">
        <f aca="false">IF(D62&gt;=13,(1+Assumptions!B46)^(D62-12),1)</f>
        <v>1</v>
      </c>
      <c r="H62" s="21" t="n">
        <f aca="false">H61*(1+IF(C62=1,Assumptions!B22,Assumptions!B23))</f>
        <v>17.0795755839544</v>
      </c>
      <c r="I62" s="16" t="n">
        <f aca="false">ROUND(H62*F62,0)</f>
        <v>17</v>
      </c>
      <c r="J62" s="22" t="n">
        <f aca="false">I62*Assumptions!B24</f>
        <v>10200</v>
      </c>
      <c r="K62" s="21" t="n">
        <f aca="false">K61*(1+Assumptions!B30)</f>
        <v>13.4008752022435</v>
      </c>
      <c r="L62" s="16" t="n">
        <f aca="false">ROUND(K62*F62,0)</f>
        <v>13</v>
      </c>
      <c r="M62" s="22" t="n">
        <f aca="false">L62*Assumptions!B31</f>
        <v>3900</v>
      </c>
      <c r="N62" s="22" t="n">
        <f aca="false">J62+M62</f>
        <v>14100</v>
      </c>
      <c r="O62" s="22" t="n">
        <f aca="false">IF(DAY(B62)=1,Assumptions!B38*G62,0)</f>
        <v>0</v>
      </c>
      <c r="P62" s="22" t="n">
        <f aca="false">IF(DAY(B62)=1,Assumptions!B39*G62,0)</f>
        <v>0</v>
      </c>
      <c r="Q62" s="22" t="n">
        <f aca="false">IF(DAY(B62)=1,Assumptions!B40*G62,0)</f>
        <v>0</v>
      </c>
      <c r="R62" s="22" t="n">
        <f aca="false">IF(DAY(B62)=1,Assumptions!B41*G62,0)</f>
        <v>0</v>
      </c>
      <c r="S62" s="22" t="n">
        <f aca="false">IF(AND(DAY(B62)=1,D62&gt;=13),Assumptions!B42*G62,0)</f>
        <v>0</v>
      </c>
      <c r="T62" s="22" t="n">
        <f aca="false">IF(DAY(B62)=1,Assumptions!B43*G62,0)</f>
        <v>0</v>
      </c>
      <c r="U62" s="22" t="n">
        <f aca="false">SUM(O62:T62)</f>
        <v>0</v>
      </c>
      <c r="V62" s="22" t="n">
        <f aca="false">N62-U62</f>
        <v>14100</v>
      </c>
      <c r="W62" s="22" t="n">
        <f aca="false">W61+V62</f>
        <v>-5025500</v>
      </c>
      <c r="X62" s="23" t="str">
        <f aca="false">IF(W62&gt;=0,"YES","No")</f>
        <v>No</v>
      </c>
    </row>
    <row r="63" customFormat="false" ht="15" hidden="false" customHeight="false" outlineLevel="0" collapsed="false">
      <c r="A63" s="16" t="n">
        <v>62</v>
      </c>
      <c r="B63" s="17" t="n">
        <f aca="false">B62+1</f>
        <v>46084</v>
      </c>
      <c r="C63" s="18" t="n">
        <f aca="false">MIN(ROUNDUP(A63/365,0),5)</f>
        <v>1</v>
      </c>
      <c r="D63" s="18" t="n">
        <f aca="false">DATEDIF(Assumptions!B5,B63,"m")+1</f>
        <v>3</v>
      </c>
      <c r="E63" s="18" t="str">
        <f aca="false">TEXT(B63,"ddd")</f>
        <v>Tue</v>
      </c>
      <c r="F63" s="19" t="n">
        <f aca="false">IF(WEEKDAY(B63,2)&gt;=6,Assumptions!B34,Assumptions!B35)</f>
        <v>1</v>
      </c>
      <c r="G63" s="20" t="n">
        <f aca="false">IF(D63&gt;=13,(1+Assumptions!B46)^(D63-12),1)</f>
        <v>1</v>
      </c>
      <c r="H63" s="21" t="n">
        <f aca="false">H62*(1+IF(C63=1,Assumptions!B22,Assumptions!B23))</f>
        <v>17.0906902524023</v>
      </c>
      <c r="I63" s="16" t="n">
        <f aca="false">ROUND(H63*F63,0)</f>
        <v>17</v>
      </c>
      <c r="J63" s="22" t="n">
        <f aca="false">I63*Assumptions!B24</f>
        <v>10200</v>
      </c>
      <c r="K63" s="21" t="n">
        <f aca="false">K62*(1+Assumptions!B30)</f>
        <v>13.405256442</v>
      </c>
      <c r="L63" s="16" t="n">
        <f aca="false">ROUND(K63*F63,0)</f>
        <v>13</v>
      </c>
      <c r="M63" s="22" t="n">
        <f aca="false">L63*Assumptions!B31</f>
        <v>3900</v>
      </c>
      <c r="N63" s="22" t="n">
        <f aca="false">J63+M63</f>
        <v>14100</v>
      </c>
      <c r="O63" s="22" t="n">
        <f aca="false">IF(DAY(B63)=1,Assumptions!B38*G63,0)</f>
        <v>0</v>
      </c>
      <c r="P63" s="22" t="n">
        <f aca="false">IF(DAY(B63)=1,Assumptions!B39*G63,0)</f>
        <v>0</v>
      </c>
      <c r="Q63" s="22" t="n">
        <f aca="false">IF(DAY(B63)=1,Assumptions!B40*G63,0)</f>
        <v>0</v>
      </c>
      <c r="R63" s="22" t="n">
        <f aca="false">IF(DAY(B63)=1,Assumptions!B41*G63,0)</f>
        <v>0</v>
      </c>
      <c r="S63" s="22" t="n">
        <f aca="false">IF(AND(DAY(B63)=1,D63&gt;=13),Assumptions!B42*G63,0)</f>
        <v>0</v>
      </c>
      <c r="T63" s="22" t="n">
        <f aca="false">IF(DAY(B63)=1,Assumptions!B43*G63,0)</f>
        <v>0</v>
      </c>
      <c r="U63" s="22" t="n">
        <f aca="false">SUM(O63:T63)</f>
        <v>0</v>
      </c>
      <c r="V63" s="22" t="n">
        <f aca="false">N63-U63</f>
        <v>14100</v>
      </c>
      <c r="W63" s="22" t="n">
        <f aca="false">W62+V63</f>
        <v>-5011400</v>
      </c>
      <c r="X63" s="23" t="str">
        <f aca="false">IF(W63&gt;=0,"YES","No")</f>
        <v>No</v>
      </c>
    </row>
    <row r="64" customFormat="false" ht="15" hidden="false" customHeight="false" outlineLevel="0" collapsed="false">
      <c r="A64" s="16" t="n">
        <v>63</v>
      </c>
      <c r="B64" s="17" t="n">
        <f aca="false">B63+1</f>
        <v>46085</v>
      </c>
      <c r="C64" s="18" t="n">
        <f aca="false">MIN(ROUNDUP(A64/365,0),5)</f>
        <v>1</v>
      </c>
      <c r="D64" s="18" t="n">
        <f aca="false">DATEDIF(Assumptions!B5,B64,"m")+1</f>
        <v>3</v>
      </c>
      <c r="E64" s="18" t="str">
        <f aca="false">TEXT(B64,"ddd")</f>
        <v>Wed</v>
      </c>
      <c r="F64" s="19" t="n">
        <f aca="false">IF(WEEKDAY(B64,2)&gt;=6,Assumptions!B34,Assumptions!B35)</f>
        <v>1</v>
      </c>
      <c r="G64" s="20" t="n">
        <f aca="false">IF(D64&gt;=13,(1+Assumptions!B46)^(D64-12),1)</f>
        <v>1</v>
      </c>
      <c r="H64" s="21" t="n">
        <f aca="false">H63*(1+IF(C64=1,Assumptions!B22,Assumptions!B23))</f>
        <v>17.1018121538082</v>
      </c>
      <c r="I64" s="16" t="n">
        <f aca="false">ROUND(H64*F64,0)</f>
        <v>17</v>
      </c>
      <c r="J64" s="22" t="n">
        <f aca="false">I64*Assumptions!B24</f>
        <v>10200</v>
      </c>
      <c r="K64" s="21" t="n">
        <f aca="false">K63*(1+Assumptions!B30)</f>
        <v>13.4096391141452</v>
      </c>
      <c r="L64" s="16" t="n">
        <f aca="false">ROUND(K64*F64,0)</f>
        <v>13</v>
      </c>
      <c r="M64" s="22" t="n">
        <f aca="false">L64*Assumptions!B31</f>
        <v>3900</v>
      </c>
      <c r="N64" s="22" t="n">
        <f aca="false">J64+M64</f>
        <v>14100</v>
      </c>
      <c r="O64" s="22" t="n">
        <f aca="false">IF(DAY(B64)=1,Assumptions!B38*G64,0)</f>
        <v>0</v>
      </c>
      <c r="P64" s="22" t="n">
        <f aca="false">IF(DAY(B64)=1,Assumptions!B39*G64,0)</f>
        <v>0</v>
      </c>
      <c r="Q64" s="22" t="n">
        <f aca="false">IF(DAY(B64)=1,Assumptions!B40*G64,0)</f>
        <v>0</v>
      </c>
      <c r="R64" s="22" t="n">
        <f aca="false">IF(DAY(B64)=1,Assumptions!B41*G64,0)</f>
        <v>0</v>
      </c>
      <c r="S64" s="22" t="n">
        <f aca="false">IF(AND(DAY(B64)=1,D64&gt;=13),Assumptions!B42*G64,0)</f>
        <v>0</v>
      </c>
      <c r="T64" s="22" t="n">
        <f aca="false">IF(DAY(B64)=1,Assumptions!B43*G64,0)</f>
        <v>0</v>
      </c>
      <c r="U64" s="22" t="n">
        <f aca="false">SUM(O64:T64)</f>
        <v>0</v>
      </c>
      <c r="V64" s="22" t="n">
        <f aca="false">N64-U64</f>
        <v>14100</v>
      </c>
      <c r="W64" s="22" t="n">
        <f aca="false">W63+V64</f>
        <v>-4997300</v>
      </c>
      <c r="X64" s="23" t="str">
        <f aca="false">IF(W64&gt;=0,"YES","No")</f>
        <v>No</v>
      </c>
    </row>
    <row r="65" customFormat="false" ht="15" hidden="false" customHeight="false" outlineLevel="0" collapsed="false">
      <c r="A65" s="16" t="n">
        <v>64</v>
      </c>
      <c r="B65" s="17" t="n">
        <f aca="false">B64+1</f>
        <v>46086</v>
      </c>
      <c r="C65" s="18" t="n">
        <f aca="false">MIN(ROUNDUP(A65/365,0),5)</f>
        <v>1</v>
      </c>
      <c r="D65" s="18" t="n">
        <f aca="false">DATEDIF(Assumptions!B5,B65,"m")+1</f>
        <v>3</v>
      </c>
      <c r="E65" s="18" t="str">
        <f aca="false">TEXT(B65,"ddd")</f>
        <v>Thu</v>
      </c>
      <c r="F65" s="19" t="n">
        <f aca="false">IF(WEEKDAY(B65,2)&gt;=6,Assumptions!B34,Assumptions!B35)</f>
        <v>1</v>
      </c>
      <c r="G65" s="20" t="n">
        <f aca="false">IF(D65&gt;=13,(1+Assumptions!B46)^(D65-12),1)</f>
        <v>1</v>
      </c>
      <c r="H65" s="21" t="n">
        <f aca="false">H64*(1+IF(C65=1,Assumptions!B22,Assumptions!B23))</f>
        <v>17.1129412928792</v>
      </c>
      <c r="I65" s="16" t="n">
        <f aca="false">ROUND(H65*F65,0)</f>
        <v>17</v>
      </c>
      <c r="J65" s="22" t="n">
        <f aca="false">I65*Assumptions!B24</f>
        <v>10200</v>
      </c>
      <c r="K65" s="21" t="n">
        <f aca="false">K64*(1+Assumptions!B30)</f>
        <v>13.4140232191474</v>
      </c>
      <c r="L65" s="16" t="n">
        <f aca="false">ROUND(K65*F65,0)</f>
        <v>13</v>
      </c>
      <c r="M65" s="22" t="n">
        <f aca="false">L65*Assumptions!B31</f>
        <v>3900</v>
      </c>
      <c r="N65" s="22" t="n">
        <f aca="false">J65+M65</f>
        <v>14100</v>
      </c>
      <c r="O65" s="22" t="n">
        <f aca="false">IF(DAY(B65)=1,Assumptions!B38*G65,0)</f>
        <v>0</v>
      </c>
      <c r="P65" s="22" t="n">
        <f aca="false">IF(DAY(B65)=1,Assumptions!B39*G65,0)</f>
        <v>0</v>
      </c>
      <c r="Q65" s="22" t="n">
        <f aca="false">IF(DAY(B65)=1,Assumptions!B40*G65,0)</f>
        <v>0</v>
      </c>
      <c r="R65" s="22" t="n">
        <f aca="false">IF(DAY(B65)=1,Assumptions!B41*G65,0)</f>
        <v>0</v>
      </c>
      <c r="S65" s="22" t="n">
        <f aca="false">IF(AND(DAY(B65)=1,D65&gt;=13),Assumptions!B42*G65,0)</f>
        <v>0</v>
      </c>
      <c r="T65" s="22" t="n">
        <f aca="false">IF(DAY(B65)=1,Assumptions!B43*G65,0)</f>
        <v>0</v>
      </c>
      <c r="U65" s="22" t="n">
        <f aca="false">SUM(O65:T65)</f>
        <v>0</v>
      </c>
      <c r="V65" s="22" t="n">
        <f aca="false">N65-U65</f>
        <v>14100</v>
      </c>
      <c r="W65" s="22" t="n">
        <f aca="false">W64+V65</f>
        <v>-4983200</v>
      </c>
      <c r="X65" s="23" t="str">
        <f aca="false">IF(W65&gt;=0,"YES","No")</f>
        <v>No</v>
      </c>
    </row>
    <row r="66" customFormat="false" ht="15" hidden="false" customHeight="false" outlineLevel="0" collapsed="false">
      <c r="A66" s="16" t="n">
        <v>65</v>
      </c>
      <c r="B66" s="17" t="n">
        <f aca="false">B65+1</f>
        <v>46087</v>
      </c>
      <c r="C66" s="18" t="n">
        <f aca="false">MIN(ROUNDUP(A66/365,0),5)</f>
        <v>1</v>
      </c>
      <c r="D66" s="18" t="n">
        <f aca="false">DATEDIF(Assumptions!B5,B66,"m")+1</f>
        <v>3</v>
      </c>
      <c r="E66" s="18" t="str">
        <f aca="false">TEXT(B66,"ddd")</f>
        <v>Fri</v>
      </c>
      <c r="F66" s="19" t="n">
        <f aca="false">IF(WEEKDAY(B66,2)&gt;=6,Assumptions!B34,Assumptions!B35)</f>
        <v>1</v>
      </c>
      <c r="G66" s="20" t="n">
        <f aca="false">IF(D66&gt;=13,(1+Assumptions!B46)^(D66-12),1)</f>
        <v>1</v>
      </c>
      <c r="H66" s="21" t="n">
        <f aca="false">H65*(1+IF(C66=1,Assumptions!B22,Assumptions!B23))</f>
        <v>17.1240776743251</v>
      </c>
      <c r="I66" s="16" t="n">
        <f aca="false">ROUND(H66*F66,0)</f>
        <v>17</v>
      </c>
      <c r="J66" s="22" t="n">
        <f aca="false">I66*Assumptions!B24</f>
        <v>10200</v>
      </c>
      <c r="K66" s="21" t="n">
        <f aca="false">K65*(1+Assumptions!B30)</f>
        <v>13.418408757475</v>
      </c>
      <c r="L66" s="16" t="n">
        <f aca="false">ROUND(K66*F66,0)</f>
        <v>13</v>
      </c>
      <c r="M66" s="22" t="n">
        <f aca="false">L66*Assumptions!B31</f>
        <v>3900</v>
      </c>
      <c r="N66" s="22" t="n">
        <f aca="false">J66+M66</f>
        <v>14100</v>
      </c>
      <c r="O66" s="22" t="n">
        <f aca="false">IF(DAY(B66)=1,Assumptions!B38*G66,0)</f>
        <v>0</v>
      </c>
      <c r="P66" s="22" t="n">
        <f aca="false">IF(DAY(B66)=1,Assumptions!B39*G66,0)</f>
        <v>0</v>
      </c>
      <c r="Q66" s="22" t="n">
        <f aca="false">IF(DAY(B66)=1,Assumptions!B40*G66,0)</f>
        <v>0</v>
      </c>
      <c r="R66" s="22" t="n">
        <f aca="false">IF(DAY(B66)=1,Assumptions!B41*G66,0)</f>
        <v>0</v>
      </c>
      <c r="S66" s="22" t="n">
        <f aca="false">IF(AND(DAY(B66)=1,D66&gt;=13),Assumptions!B42*G66,0)</f>
        <v>0</v>
      </c>
      <c r="T66" s="22" t="n">
        <f aca="false">IF(DAY(B66)=1,Assumptions!B43*G66,0)</f>
        <v>0</v>
      </c>
      <c r="U66" s="22" t="n">
        <f aca="false">SUM(O66:T66)</f>
        <v>0</v>
      </c>
      <c r="V66" s="22" t="n">
        <f aca="false">N66-U66</f>
        <v>14100</v>
      </c>
      <c r="W66" s="22" t="n">
        <f aca="false">W65+V66</f>
        <v>-4969100</v>
      </c>
      <c r="X66" s="23" t="str">
        <f aca="false">IF(W66&gt;=0,"YES","No")</f>
        <v>No</v>
      </c>
    </row>
    <row r="67" customFormat="false" ht="15" hidden="false" customHeight="false" outlineLevel="0" collapsed="false">
      <c r="A67" s="16" t="n">
        <v>66</v>
      </c>
      <c r="B67" s="17" t="n">
        <f aca="false">B66+1</f>
        <v>46088</v>
      </c>
      <c r="C67" s="18" t="n">
        <f aca="false">MIN(ROUNDUP(A67/365,0),5)</f>
        <v>1</v>
      </c>
      <c r="D67" s="18" t="n">
        <f aca="false">DATEDIF(Assumptions!B5,B67,"m")+1</f>
        <v>3</v>
      </c>
      <c r="E67" s="18" t="str">
        <f aca="false">TEXT(B67,"ddd")</f>
        <v>Sat</v>
      </c>
      <c r="F67" s="19" t="n">
        <f aca="false">IF(WEEKDAY(B67,2)&gt;=6,Assumptions!B34,Assumptions!B35)</f>
        <v>0.6</v>
      </c>
      <c r="G67" s="20" t="n">
        <f aca="false">IF(D67&gt;=13,(1+Assumptions!B46)^(D67-12),1)</f>
        <v>1</v>
      </c>
      <c r="H67" s="21" t="n">
        <f aca="false">H66*(1+IF(C67=1,Assumptions!B22,Assumptions!B23))</f>
        <v>17.1352213028591</v>
      </c>
      <c r="I67" s="16" t="n">
        <f aca="false">ROUND(H67*F67,0)</f>
        <v>10</v>
      </c>
      <c r="J67" s="22" t="n">
        <f aca="false">I67*Assumptions!B24</f>
        <v>6000</v>
      </c>
      <c r="K67" s="21" t="n">
        <f aca="false">K66*(1+Assumptions!B30)</f>
        <v>13.4227957295967</v>
      </c>
      <c r="L67" s="16" t="n">
        <f aca="false">ROUND(K67*F67,0)</f>
        <v>8</v>
      </c>
      <c r="M67" s="22" t="n">
        <f aca="false">L67*Assumptions!B31</f>
        <v>2400</v>
      </c>
      <c r="N67" s="22" t="n">
        <f aca="false">J67+M67</f>
        <v>8400</v>
      </c>
      <c r="O67" s="22" t="n">
        <f aca="false">IF(DAY(B67)=1,Assumptions!B38*G67,0)</f>
        <v>0</v>
      </c>
      <c r="P67" s="22" t="n">
        <f aca="false">IF(DAY(B67)=1,Assumptions!B39*G67,0)</f>
        <v>0</v>
      </c>
      <c r="Q67" s="22" t="n">
        <f aca="false">IF(DAY(B67)=1,Assumptions!B40*G67,0)</f>
        <v>0</v>
      </c>
      <c r="R67" s="22" t="n">
        <f aca="false">IF(DAY(B67)=1,Assumptions!B41*G67,0)</f>
        <v>0</v>
      </c>
      <c r="S67" s="22" t="n">
        <f aca="false">IF(AND(DAY(B67)=1,D67&gt;=13),Assumptions!B42*G67,0)</f>
        <v>0</v>
      </c>
      <c r="T67" s="22" t="n">
        <f aca="false">IF(DAY(B67)=1,Assumptions!B43*G67,0)</f>
        <v>0</v>
      </c>
      <c r="U67" s="22" t="n">
        <f aca="false">SUM(O67:T67)</f>
        <v>0</v>
      </c>
      <c r="V67" s="22" t="n">
        <f aca="false">N67-U67</f>
        <v>8400</v>
      </c>
      <c r="W67" s="22" t="n">
        <f aca="false">W66+V67</f>
        <v>-4960700</v>
      </c>
      <c r="X67" s="23" t="str">
        <f aca="false">IF(W67&gt;=0,"YES","No")</f>
        <v>No</v>
      </c>
    </row>
    <row r="68" customFormat="false" ht="15" hidden="false" customHeight="false" outlineLevel="0" collapsed="false">
      <c r="A68" s="16" t="n">
        <v>67</v>
      </c>
      <c r="B68" s="17" t="n">
        <f aca="false">B67+1</f>
        <v>46089</v>
      </c>
      <c r="C68" s="18" t="n">
        <f aca="false">MIN(ROUNDUP(A68/365,0),5)</f>
        <v>1</v>
      </c>
      <c r="D68" s="18" t="n">
        <f aca="false">DATEDIF(Assumptions!B5,B68,"m")+1</f>
        <v>3</v>
      </c>
      <c r="E68" s="18" t="str">
        <f aca="false">TEXT(B68,"ddd")</f>
        <v>Sun</v>
      </c>
      <c r="F68" s="19" t="n">
        <f aca="false">IF(WEEKDAY(B68,2)&gt;=6,Assumptions!B34,Assumptions!B35)</f>
        <v>0.6</v>
      </c>
      <c r="G68" s="20" t="n">
        <f aca="false">IF(D68&gt;=13,(1+Assumptions!B46)^(D68-12),1)</f>
        <v>1</v>
      </c>
      <c r="H68" s="21" t="n">
        <f aca="false">H67*(1+IF(C68=1,Assumptions!B22,Assumptions!B23))</f>
        <v>17.1463721831971</v>
      </c>
      <c r="I68" s="16" t="n">
        <f aca="false">ROUND(H68*F68,0)</f>
        <v>10</v>
      </c>
      <c r="J68" s="22" t="n">
        <f aca="false">I68*Assumptions!B24</f>
        <v>6000</v>
      </c>
      <c r="K68" s="21" t="n">
        <f aca="false">K67*(1+Assumptions!B30)</f>
        <v>13.4271841359811</v>
      </c>
      <c r="L68" s="16" t="n">
        <f aca="false">ROUND(K68*F68,0)</f>
        <v>8</v>
      </c>
      <c r="M68" s="22" t="n">
        <f aca="false">L68*Assumptions!B31</f>
        <v>2400</v>
      </c>
      <c r="N68" s="22" t="n">
        <f aca="false">J68+M68</f>
        <v>8400</v>
      </c>
      <c r="O68" s="22" t="n">
        <f aca="false">IF(DAY(B68)=1,Assumptions!B38*G68,0)</f>
        <v>0</v>
      </c>
      <c r="P68" s="22" t="n">
        <f aca="false">IF(DAY(B68)=1,Assumptions!B39*G68,0)</f>
        <v>0</v>
      </c>
      <c r="Q68" s="22" t="n">
        <f aca="false">IF(DAY(B68)=1,Assumptions!B40*G68,0)</f>
        <v>0</v>
      </c>
      <c r="R68" s="22" t="n">
        <f aca="false">IF(DAY(B68)=1,Assumptions!B41*G68,0)</f>
        <v>0</v>
      </c>
      <c r="S68" s="22" t="n">
        <f aca="false">IF(AND(DAY(B68)=1,D68&gt;=13),Assumptions!B42*G68,0)</f>
        <v>0</v>
      </c>
      <c r="T68" s="22" t="n">
        <f aca="false">IF(DAY(B68)=1,Assumptions!B43*G68,0)</f>
        <v>0</v>
      </c>
      <c r="U68" s="22" t="n">
        <f aca="false">SUM(O68:T68)</f>
        <v>0</v>
      </c>
      <c r="V68" s="22" t="n">
        <f aca="false">N68-U68</f>
        <v>8400</v>
      </c>
      <c r="W68" s="22" t="n">
        <f aca="false">W67+V68</f>
        <v>-4952300</v>
      </c>
      <c r="X68" s="23" t="str">
        <f aca="false">IF(W68&gt;=0,"YES","No")</f>
        <v>No</v>
      </c>
    </row>
    <row r="69" customFormat="false" ht="15" hidden="false" customHeight="false" outlineLevel="0" collapsed="false">
      <c r="A69" s="16" t="n">
        <v>68</v>
      </c>
      <c r="B69" s="17" t="n">
        <f aca="false">B68+1</f>
        <v>46090</v>
      </c>
      <c r="C69" s="18" t="n">
        <f aca="false">MIN(ROUNDUP(A69/365,0),5)</f>
        <v>1</v>
      </c>
      <c r="D69" s="18" t="n">
        <f aca="false">DATEDIF(Assumptions!B5,B69,"m")+1</f>
        <v>3</v>
      </c>
      <c r="E69" s="18" t="str">
        <f aca="false">TEXT(B69,"ddd")</f>
        <v>Mon</v>
      </c>
      <c r="F69" s="19" t="n">
        <f aca="false">IF(WEEKDAY(B69,2)&gt;=6,Assumptions!B34,Assumptions!B35)</f>
        <v>1</v>
      </c>
      <c r="G69" s="20" t="n">
        <f aca="false">IF(D69&gt;=13,(1+Assumptions!B46)^(D69-12),1)</f>
        <v>1</v>
      </c>
      <c r="H69" s="21" t="n">
        <f aca="false">H68*(1+IF(C69=1,Assumptions!B22,Assumptions!B23))</f>
        <v>17.1575303200585</v>
      </c>
      <c r="I69" s="16" t="n">
        <f aca="false">ROUND(H69*F69,0)</f>
        <v>17</v>
      </c>
      <c r="J69" s="22" t="n">
        <f aca="false">I69*Assumptions!B24</f>
        <v>10200</v>
      </c>
      <c r="K69" s="21" t="n">
        <f aca="false">K68*(1+Assumptions!B30)</f>
        <v>13.4315739770973</v>
      </c>
      <c r="L69" s="16" t="n">
        <f aca="false">ROUND(K69*F69,0)</f>
        <v>13</v>
      </c>
      <c r="M69" s="22" t="n">
        <f aca="false">L69*Assumptions!B31</f>
        <v>3900</v>
      </c>
      <c r="N69" s="22" t="n">
        <f aca="false">J69+M69</f>
        <v>14100</v>
      </c>
      <c r="O69" s="22" t="n">
        <f aca="false">IF(DAY(B69)=1,Assumptions!B38*G69,0)</f>
        <v>0</v>
      </c>
      <c r="P69" s="22" t="n">
        <f aca="false">IF(DAY(B69)=1,Assumptions!B39*G69,0)</f>
        <v>0</v>
      </c>
      <c r="Q69" s="22" t="n">
        <f aca="false">IF(DAY(B69)=1,Assumptions!B40*G69,0)</f>
        <v>0</v>
      </c>
      <c r="R69" s="22" t="n">
        <f aca="false">IF(DAY(B69)=1,Assumptions!B41*G69,0)</f>
        <v>0</v>
      </c>
      <c r="S69" s="22" t="n">
        <f aca="false">IF(AND(DAY(B69)=1,D69&gt;=13),Assumptions!B42*G69,0)</f>
        <v>0</v>
      </c>
      <c r="T69" s="22" t="n">
        <f aca="false">IF(DAY(B69)=1,Assumptions!B43*G69,0)</f>
        <v>0</v>
      </c>
      <c r="U69" s="22" t="n">
        <f aca="false">SUM(O69:T69)</f>
        <v>0</v>
      </c>
      <c r="V69" s="22" t="n">
        <f aca="false">N69-U69</f>
        <v>14100</v>
      </c>
      <c r="W69" s="22" t="n">
        <f aca="false">W68+V69</f>
        <v>-4938200</v>
      </c>
      <c r="X69" s="23" t="str">
        <f aca="false">IF(W69&gt;=0,"YES","No")</f>
        <v>No</v>
      </c>
    </row>
    <row r="70" customFormat="false" ht="15" hidden="false" customHeight="false" outlineLevel="0" collapsed="false">
      <c r="A70" s="16" t="n">
        <v>69</v>
      </c>
      <c r="B70" s="17" t="n">
        <f aca="false">B69+1</f>
        <v>46091</v>
      </c>
      <c r="C70" s="18" t="n">
        <f aca="false">MIN(ROUNDUP(A70/365,0),5)</f>
        <v>1</v>
      </c>
      <c r="D70" s="18" t="n">
        <f aca="false">DATEDIF(Assumptions!B5,B70,"m")+1</f>
        <v>3</v>
      </c>
      <c r="E70" s="18" t="str">
        <f aca="false">TEXT(B70,"ddd")</f>
        <v>Tue</v>
      </c>
      <c r="F70" s="19" t="n">
        <f aca="false">IF(WEEKDAY(B70,2)&gt;=6,Assumptions!B34,Assumptions!B35)</f>
        <v>1</v>
      </c>
      <c r="G70" s="20" t="n">
        <f aca="false">IF(D70&gt;=13,(1+Assumptions!B46)^(D70-12),1)</f>
        <v>1</v>
      </c>
      <c r="H70" s="21" t="n">
        <f aca="false">H69*(1+IF(C70=1,Assumptions!B22,Assumptions!B23))</f>
        <v>17.1686957181654</v>
      </c>
      <c r="I70" s="16" t="n">
        <f aca="false">ROUND(H70*F70,0)</f>
        <v>17</v>
      </c>
      <c r="J70" s="22" t="n">
        <f aca="false">I70*Assumptions!B24</f>
        <v>10200</v>
      </c>
      <c r="K70" s="21" t="n">
        <f aca="false">K69*(1+Assumptions!B30)</f>
        <v>13.4359652534142</v>
      </c>
      <c r="L70" s="16" t="n">
        <f aca="false">ROUND(K70*F70,0)</f>
        <v>13</v>
      </c>
      <c r="M70" s="22" t="n">
        <f aca="false">L70*Assumptions!B31</f>
        <v>3900</v>
      </c>
      <c r="N70" s="22" t="n">
        <f aca="false">J70+M70</f>
        <v>14100</v>
      </c>
      <c r="O70" s="22" t="n">
        <f aca="false">IF(DAY(B70)=1,Assumptions!B38*G70,0)</f>
        <v>0</v>
      </c>
      <c r="P70" s="22" t="n">
        <f aca="false">IF(DAY(B70)=1,Assumptions!B39*G70,0)</f>
        <v>0</v>
      </c>
      <c r="Q70" s="22" t="n">
        <f aca="false">IF(DAY(B70)=1,Assumptions!B40*G70,0)</f>
        <v>0</v>
      </c>
      <c r="R70" s="22" t="n">
        <f aca="false">IF(DAY(B70)=1,Assumptions!B41*G70,0)</f>
        <v>0</v>
      </c>
      <c r="S70" s="22" t="n">
        <f aca="false">IF(AND(DAY(B70)=1,D70&gt;=13),Assumptions!B42*G70,0)</f>
        <v>0</v>
      </c>
      <c r="T70" s="22" t="n">
        <f aca="false">IF(DAY(B70)=1,Assumptions!B43*G70,0)</f>
        <v>0</v>
      </c>
      <c r="U70" s="22" t="n">
        <f aca="false">SUM(O70:T70)</f>
        <v>0</v>
      </c>
      <c r="V70" s="22" t="n">
        <f aca="false">N70-U70</f>
        <v>14100</v>
      </c>
      <c r="W70" s="22" t="n">
        <f aca="false">W69+V70</f>
        <v>-4924100</v>
      </c>
      <c r="X70" s="23" t="str">
        <f aca="false">IF(W70&gt;=0,"YES","No")</f>
        <v>No</v>
      </c>
    </row>
    <row r="71" customFormat="false" ht="15" hidden="false" customHeight="false" outlineLevel="0" collapsed="false">
      <c r="A71" s="16" t="n">
        <v>70</v>
      </c>
      <c r="B71" s="17" t="n">
        <f aca="false">B70+1</f>
        <v>46092</v>
      </c>
      <c r="C71" s="18" t="n">
        <f aca="false">MIN(ROUNDUP(A71/365,0),5)</f>
        <v>1</v>
      </c>
      <c r="D71" s="18" t="n">
        <f aca="false">DATEDIF(Assumptions!B5,B71,"m")+1</f>
        <v>3</v>
      </c>
      <c r="E71" s="18" t="str">
        <f aca="false">TEXT(B71,"ddd")</f>
        <v>Wed</v>
      </c>
      <c r="F71" s="19" t="n">
        <f aca="false">IF(WEEKDAY(B71,2)&gt;=6,Assumptions!B34,Assumptions!B35)</f>
        <v>1</v>
      </c>
      <c r="G71" s="20" t="n">
        <f aca="false">IF(D71&gt;=13,(1+Assumptions!B46)^(D71-12),1)</f>
        <v>1</v>
      </c>
      <c r="H71" s="21" t="n">
        <f aca="false">H70*(1+IF(C71=1,Assumptions!B22,Assumptions!B23))</f>
        <v>17.1798683822431</v>
      </c>
      <c r="I71" s="16" t="n">
        <f aca="false">ROUND(H71*F71,0)</f>
        <v>17</v>
      </c>
      <c r="J71" s="22" t="n">
        <f aca="false">I71*Assumptions!B24</f>
        <v>10200</v>
      </c>
      <c r="K71" s="21" t="n">
        <f aca="false">K70*(1+Assumptions!B30)</f>
        <v>13.4403579654011</v>
      </c>
      <c r="L71" s="16" t="n">
        <f aca="false">ROUND(K71*F71,0)</f>
        <v>13</v>
      </c>
      <c r="M71" s="22" t="n">
        <f aca="false">L71*Assumptions!B31</f>
        <v>3900</v>
      </c>
      <c r="N71" s="22" t="n">
        <f aca="false">J71+M71</f>
        <v>14100</v>
      </c>
      <c r="O71" s="22" t="n">
        <f aca="false">IF(DAY(B71)=1,Assumptions!B38*G71,0)</f>
        <v>0</v>
      </c>
      <c r="P71" s="22" t="n">
        <f aca="false">IF(DAY(B71)=1,Assumptions!B39*G71,0)</f>
        <v>0</v>
      </c>
      <c r="Q71" s="22" t="n">
        <f aca="false">IF(DAY(B71)=1,Assumptions!B40*G71,0)</f>
        <v>0</v>
      </c>
      <c r="R71" s="22" t="n">
        <f aca="false">IF(DAY(B71)=1,Assumptions!B41*G71,0)</f>
        <v>0</v>
      </c>
      <c r="S71" s="22" t="n">
        <f aca="false">IF(AND(DAY(B71)=1,D71&gt;=13),Assumptions!B42*G71,0)</f>
        <v>0</v>
      </c>
      <c r="T71" s="22" t="n">
        <f aca="false">IF(DAY(B71)=1,Assumptions!B43*G71,0)</f>
        <v>0</v>
      </c>
      <c r="U71" s="22" t="n">
        <f aca="false">SUM(O71:T71)</f>
        <v>0</v>
      </c>
      <c r="V71" s="22" t="n">
        <f aca="false">N71-U71</f>
        <v>14100</v>
      </c>
      <c r="W71" s="22" t="n">
        <f aca="false">W70+V71</f>
        <v>-4910000</v>
      </c>
      <c r="X71" s="23" t="str">
        <f aca="false">IF(W71&gt;=0,"YES","No")</f>
        <v>No</v>
      </c>
    </row>
    <row r="72" customFormat="false" ht="15" hidden="false" customHeight="false" outlineLevel="0" collapsed="false">
      <c r="A72" s="16" t="n">
        <v>71</v>
      </c>
      <c r="B72" s="17" t="n">
        <f aca="false">B71+1</f>
        <v>46093</v>
      </c>
      <c r="C72" s="18" t="n">
        <f aca="false">MIN(ROUNDUP(A72/365,0),5)</f>
        <v>1</v>
      </c>
      <c r="D72" s="18" t="n">
        <f aca="false">DATEDIF(Assumptions!B5,B72,"m")+1</f>
        <v>3</v>
      </c>
      <c r="E72" s="18" t="str">
        <f aca="false">TEXT(B72,"ddd")</f>
        <v>Thu</v>
      </c>
      <c r="F72" s="19" t="n">
        <f aca="false">IF(WEEKDAY(B72,2)&gt;=6,Assumptions!B34,Assumptions!B35)</f>
        <v>1</v>
      </c>
      <c r="G72" s="20" t="n">
        <f aca="false">IF(D72&gt;=13,(1+Assumptions!B46)^(D72-12),1)</f>
        <v>1</v>
      </c>
      <c r="H72" s="21" t="n">
        <f aca="false">H71*(1+IF(C72=1,Assumptions!B22,Assumptions!B23))</f>
        <v>17.19104831702</v>
      </c>
      <c r="I72" s="16" t="n">
        <f aca="false">ROUND(H72*F72,0)</f>
        <v>17</v>
      </c>
      <c r="J72" s="22" t="n">
        <f aca="false">I72*Assumptions!B24</f>
        <v>10200</v>
      </c>
      <c r="K72" s="21" t="n">
        <f aca="false">K71*(1+Assumptions!B30)</f>
        <v>13.4447521135273</v>
      </c>
      <c r="L72" s="16" t="n">
        <f aca="false">ROUND(K72*F72,0)</f>
        <v>13</v>
      </c>
      <c r="M72" s="22" t="n">
        <f aca="false">L72*Assumptions!B31</f>
        <v>3900</v>
      </c>
      <c r="N72" s="22" t="n">
        <f aca="false">J72+M72</f>
        <v>14100</v>
      </c>
      <c r="O72" s="22" t="n">
        <f aca="false">IF(DAY(B72)=1,Assumptions!B38*G72,0)</f>
        <v>0</v>
      </c>
      <c r="P72" s="22" t="n">
        <f aca="false">IF(DAY(B72)=1,Assumptions!B39*G72,0)</f>
        <v>0</v>
      </c>
      <c r="Q72" s="22" t="n">
        <f aca="false">IF(DAY(B72)=1,Assumptions!B40*G72,0)</f>
        <v>0</v>
      </c>
      <c r="R72" s="22" t="n">
        <f aca="false">IF(DAY(B72)=1,Assumptions!B41*G72,0)</f>
        <v>0</v>
      </c>
      <c r="S72" s="22" t="n">
        <f aca="false">IF(AND(DAY(B72)=1,D72&gt;=13),Assumptions!B42*G72,0)</f>
        <v>0</v>
      </c>
      <c r="T72" s="22" t="n">
        <f aca="false">IF(DAY(B72)=1,Assumptions!B43*G72,0)</f>
        <v>0</v>
      </c>
      <c r="U72" s="22" t="n">
        <f aca="false">SUM(O72:T72)</f>
        <v>0</v>
      </c>
      <c r="V72" s="22" t="n">
        <f aca="false">N72-U72</f>
        <v>14100</v>
      </c>
      <c r="W72" s="22" t="n">
        <f aca="false">W71+V72</f>
        <v>-4895900</v>
      </c>
      <c r="X72" s="23" t="str">
        <f aca="false">IF(W72&gt;=0,"YES","No")</f>
        <v>No</v>
      </c>
    </row>
    <row r="73" customFormat="false" ht="15" hidden="false" customHeight="false" outlineLevel="0" collapsed="false">
      <c r="A73" s="16" t="n">
        <v>72</v>
      </c>
      <c r="B73" s="17" t="n">
        <f aca="false">B72+1</f>
        <v>46094</v>
      </c>
      <c r="C73" s="18" t="n">
        <f aca="false">MIN(ROUNDUP(A73/365,0),5)</f>
        <v>1</v>
      </c>
      <c r="D73" s="18" t="n">
        <f aca="false">DATEDIF(Assumptions!B5,B73,"m")+1</f>
        <v>3</v>
      </c>
      <c r="E73" s="18" t="str">
        <f aca="false">TEXT(B73,"ddd")</f>
        <v>Fri</v>
      </c>
      <c r="F73" s="19" t="n">
        <f aca="false">IF(WEEKDAY(B73,2)&gt;=6,Assumptions!B34,Assumptions!B35)</f>
        <v>1</v>
      </c>
      <c r="G73" s="20" t="n">
        <f aca="false">IF(D73&gt;=13,(1+Assumptions!B46)^(D73-12),1)</f>
        <v>1</v>
      </c>
      <c r="H73" s="21" t="n">
        <f aca="false">H72*(1+IF(C73=1,Assumptions!B22,Assumptions!B23))</f>
        <v>17.2022355272276</v>
      </c>
      <c r="I73" s="16" t="n">
        <f aca="false">ROUND(H73*F73,0)</f>
        <v>17</v>
      </c>
      <c r="J73" s="22" t="n">
        <f aca="false">I73*Assumptions!B24</f>
        <v>10200</v>
      </c>
      <c r="K73" s="21" t="n">
        <f aca="false">K72*(1+Assumptions!B30)</f>
        <v>13.4491476982625</v>
      </c>
      <c r="L73" s="16" t="n">
        <f aca="false">ROUND(K73*F73,0)</f>
        <v>13</v>
      </c>
      <c r="M73" s="22" t="n">
        <f aca="false">L73*Assumptions!B31</f>
        <v>3900</v>
      </c>
      <c r="N73" s="22" t="n">
        <f aca="false">J73+M73</f>
        <v>14100</v>
      </c>
      <c r="O73" s="22" t="n">
        <f aca="false">IF(DAY(B73)=1,Assumptions!B38*G73,0)</f>
        <v>0</v>
      </c>
      <c r="P73" s="22" t="n">
        <f aca="false">IF(DAY(B73)=1,Assumptions!B39*G73,0)</f>
        <v>0</v>
      </c>
      <c r="Q73" s="22" t="n">
        <f aca="false">IF(DAY(B73)=1,Assumptions!B40*G73,0)</f>
        <v>0</v>
      </c>
      <c r="R73" s="22" t="n">
        <f aca="false">IF(DAY(B73)=1,Assumptions!B41*G73,0)</f>
        <v>0</v>
      </c>
      <c r="S73" s="22" t="n">
        <f aca="false">IF(AND(DAY(B73)=1,D73&gt;=13),Assumptions!B42*G73,0)</f>
        <v>0</v>
      </c>
      <c r="T73" s="22" t="n">
        <f aca="false">IF(DAY(B73)=1,Assumptions!B43*G73,0)</f>
        <v>0</v>
      </c>
      <c r="U73" s="22" t="n">
        <f aca="false">SUM(O73:T73)</f>
        <v>0</v>
      </c>
      <c r="V73" s="22" t="n">
        <f aca="false">N73-U73</f>
        <v>14100</v>
      </c>
      <c r="W73" s="22" t="n">
        <f aca="false">W72+V73</f>
        <v>-4881800</v>
      </c>
      <c r="X73" s="23" t="str">
        <f aca="false">IF(W73&gt;=0,"YES","No")</f>
        <v>No</v>
      </c>
    </row>
    <row r="74" customFormat="false" ht="15" hidden="false" customHeight="false" outlineLevel="0" collapsed="false">
      <c r="A74" s="16" t="n">
        <v>73</v>
      </c>
      <c r="B74" s="17" t="n">
        <f aca="false">B73+1</f>
        <v>46095</v>
      </c>
      <c r="C74" s="18" t="n">
        <f aca="false">MIN(ROUNDUP(A74/365,0),5)</f>
        <v>1</v>
      </c>
      <c r="D74" s="18" t="n">
        <f aca="false">DATEDIF(Assumptions!B5,B74,"m")+1</f>
        <v>3</v>
      </c>
      <c r="E74" s="18" t="str">
        <f aca="false">TEXT(B74,"ddd")</f>
        <v>Sat</v>
      </c>
      <c r="F74" s="19" t="n">
        <f aca="false">IF(WEEKDAY(B74,2)&gt;=6,Assumptions!B34,Assumptions!B35)</f>
        <v>0.6</v>
      </c>
      <c r="G74" s="20" t="n">
        <f aca="false">IF(D74&gt;=13,(1+Assumptions!B46)^(D74-12),1)</f>
        <v>1</v>
      </c>
      <c r="H74" s="21" t="n">
        <f aca="false">H73*(1+IF(C74=1,Assumptions!B22,Assumptions!B23))</f>
        <v>17.2134300176004</v>
      </c>
      <c r="I74" s="16" t="n">
        <f aca="false">ROUND(H74*F74,0)</f>
        <v>10</v>
      </c>
      <c r="J74" s="22" t="n">
        <f aca="false">I74*Assumptions!B24</f>
        <v>6000</v>
      </c>
      <c r="K74" s="21" t="n">
        <f aca="false">K73*(1+Assumptions!B30)</f>
        <v>13.4535447200762</v>
      </c>
      <c r="L74" s="16" t="n">
        <f aca="false">ROUND(K74*F74,0)</f>
        <v>8</v>
      </c>
      <c r="M74" s="22" t="n">
        <f aca="false">L74*Assumptions!B31</f>
        <v>2400</v>
      </c>
      <c r="N74" s="22" t="n">
        <f aca="false">J74+M74</f>
        <v>8400</v>
      </c>
      <c r="O74" s="22" t="n">
        <f aca="false">IF(DAY(B74)=1,Assumptions!B38*G74,0)</f>
        <v>0</v>
      </c>
      <c r="P74" s="22" t="n">
        <f aca="false">IF(DAY(B74)=1,Assumptions!B39*G74,0)</f>
        <v>0</v>
      </c>
      <c r="Q74" s="22" t="n">
        <f aca="false">IF(DAY(B74)=1,Assumptions!B40*G74,0)</f>
        <v>0</v>
      </c>
      <c r="R74" s="22" t="n">
        <f aca="false">IF(DAY(B74)=1,Assumptions!B41*G74,0)</f>
        <v>0</v>
      </c>
      <c r="S74" s="22" t="n">
        <f aca="false">IF(AND(DAY(B74)=1,D74&gt;=13),Assumptions!B42*G74,0)</f>
        <v>0</v>
      </c>
      <c r="T74" s="22" t="n">
        <f aca="false">IF(DAY(B74)=1,Assumptions!B43*G74,0)</f>
        <v>0</v>
      </c>
      <c r="U74" s="22" t="n">
        <f aca="false">SUM(O74:T74)</f>
        <v>0</v>
      </c>
      <c r="V74" s="22" t="n">
        <f aca="false">N74-U74</f>
        <v>8400</v>
      </c>
      <c r="W74" s="22" t="n">
        <f aca="false">W73+V74</f>
        <v>-4873400</v>
      </c>
      <c r="X74" s="23" t="str">
        <f aca="false">IF(W74&gt;=0,"YES","No")</f>
        <v>No</v>
      </c>
    </row>
    <row r="75" customFormat="false" ht="15" hidden="false" customHeight="false" outlineLevel="0" collapsed="false">
      <c r="A75" s="16" t="n">
        <v>74</v>
      </c>
      <c r="B75" s="17" t="n">
        <f aca="false">B74+1</f>
        <v>46096</v>
      </c>
      <c r="C75" s="18" t="n">
        <f aca="false">MIN(ROUNDUP(A75/365,0),5)</f>
        <v>1</v>
      </c>
      <c r="D75" s="18" t="n">
        <f aca="false">DATEDIF(Assumptions!B5,B75,"m")+1</f>
        <v>3</v>
      </c>
      <c r="E75" s="18" t="str">
        <f aca="false">TEXT(B75,"ddd")</f>
        <v>Sun</v>
      </c>
      <c r="F75" s="19" t="n">
        <f aca="false">IF(WEEKDAY(B75,2)&gt;=6,Assumptions!B34,Assumptions!B35)</f>
        <v>0.6</v>
      </c>
      <c r="G75" s="20" t="n">
        <f aca="false">IF(D75&gt;=13,(1+Assumptions!B46)^(D75-12),1)</f>
        <v>1</v>
      </c>
      <c r="H75" s="21" t="n">
        <f aca="false">H74*(1+IF(C75=1,Assumptions!B22,Assumptions!B23))</f>
        <v>17.2246317928761</v>
      </c>
      <c r="I75" s="16" t="n">
        <f aca="false">ROUND(H75*F75,0)</f>
        <v>10</v>
      </c>
      <c r="J75" s="22" t="n">
        <f aca="false">I75*Assumptions!B24</f>
        <v>6000</v>
      </c>
      <c r="K75" s="21" t="n">
        <f aca="false">K74*(1+Assumptions!B30)</f>
        <v>13.4579431794384</v>
      </c>
      <c r="L75" s="16" t="n">
        <f aca="false">ROUND(K75*F75,0)</f>
        <v>8</v>
      </c>
      <c r="M75" s="22" t="n">
        <f aca="false">L75*Assumptions!B31</f>
        <v>2400</v>
      </c>
      <c r="N75" s="22" t="n">
        <f aca="false">J75+M75</f>
        <v>8400</v>
      </c>
      <c r="O75" s="22" t="n">
        <f aca="false">IF(DAY(B75)=1,Assumptions!B38*G75,0)</f>
        <v>0</v>
      </c>
      <c r="P75" s="22" t="n">
        <f aca="false">IF(DAY(B75)=1,Assumptions!B39*G75,0)</f>
        <v>0</v>
      </c>
      <c r="Q75" s="22" t="n">
        <f aca="false">IF(DAY(B75)=1,Assumptions!B40*G75,0)</f>
        <v>0</v>
      </c>
      <c r="R75" s="22" t="n">
        <f aca="false">IF(DAY(B75)=1,Assumptions!B41*G75,0)</f>
        <v>0</v>
      </c>
      <c r="S75" s="22" t="n">
        <f aca="false">IF(AND(DAY(B75)=1,D75&gt;=13),Assumptions!B42*G75,0)</f>
        <v>0</v>
      </c>
      <c r="T75" s="22" t="n">
        <f aca="false">IF(DAY(B75)=1,Assumptions!B43*G75,0)</f>
        <v>0</v>
      </c>
      <c r="U75" s="22" t="n">
        <f aca="false">SUM(O75:T75)</f>
        <v>0</v>
      </c>
      <c r="V75" s="22" t="n">
        <f aca="false">N75-U75</f>
        <v>8400</v>
      </c>
      <c r="W75" s="22" t="n">
        <f aca="false">W74+V75</f>
        <v>-4865000</v>
      </c>
      <c r="X75" s="23" t="str">
        <f aca="false">IF(W75&gt;=0,"YES","No")</f>
        <v>No</v>
      </c>
    </row>
    <row r="76" customFormat="false" ht="15" hidden="false" customHeight="false" outlineLevel="0" collapsed="false">
      <c r="A76" s="16" t="n">
        <v>75</v>
      </c>
      <c r="B76" s="17" t="n">
        <f aca="false">B75+1</f>
        <v>46097</v>
      </c>
      <c r="C76" s="18" t="n">
        <f aca="false">MIN(ROUNDUP(A76/365,0),5)</f>
        <v>1</v>
      </c>
      <c r="D76" s="18" t="n">
        <f aca="false">DATEDIF(Assumptions!B5,B76,"m")+1</f>
        <v>3</v>
      </c>
      <c r="E76" s="18" t="str">
        <f aca="false">TEXT(B76,"ddd")</f>
        <v>Mon</v>
      </c>
      <c r="F76" s="19" t="n">
        <f aca="false">IF(WEEKDAY(B76,2)&gt;=6,Assumptions!B34,Assumptions!B35)</f>
        <v>1</v>
      </c>
      <c r="G76" s="20" t="n">
        <f aca="false">IF(D76&gt;=13,(1+Assumptions!B46)^(D76-12),1)</f>
        <v>1</v>
      </c>
      <c r="H76" s="21" t="n">
        <f aca="false">H75*(1+IF(C76=1,Assumptions!B22,Assumptions!B23))</f>
        <v>17.2358408577954</v>
      </c>
      <c r="I76" s="16" t="n">
        <f aca="false">ROUND(H76*F76,0)</f>
        <v>17</v>
      </c>
      <c r="J76" s="22" t="n">
        <f aca="false">I76*Assumptions!B24</f>
        <v>10200</v>
      </c>
      <c r="K76" s="21" t="n">
        <f aca="false">K75*(1+Assumptions!B30)</f>
        <v>13.4623430768189</v>
      </c>
      <c r="L76" s="16" t="n">
        <f aca="false">ROUND(K76*F76,0)</f>
        <v>13</v>
      </c>
      <c r="M76" s="22" t="n">
        <f aca="false">L76*Assumptions!B31</f>
        <v>3900</v>
      </c>
      <c r="N76" s="22" t="n">
        <f aca="false">J76+M76</f>
        <v>14100</v>
      </c>
      <c r="O76" s="22" t="n">
        <f aca="false">IF(DAY(B76)=1,Assumptions!B38*G76,0)</f>
        <v>0</v>
      </c>
      <c r="P76" s="22" t="n">
        <f aca="false">IF(DAY(B76)=1,Assumptions!B39*G76,0)</f>
        <v>0</v>
      </c>
      <c r="Q76" s="22" t="n">
        <f aca="false">IF(DAY(B76)=1,Assumptions!B40*G76,0)</f>
        <v>0</v>
      </c>
      <c r="R76" s="22" t="n">
        <f aca="false">IF(DAY(B76)=1,Assumptions!B41*G76,0)</f>
        <v>0</v>
      </c>
      <c r="S76" s="22" t="n">
        <f aca="false">IF(AND(DAY(B76)=1,D76&gt;=13),Assumptions!B42*G76,0)</f>
        <v>0</v>
      </c>
      <c r="T76" s="22" t="n">
        <f aca="false">IF(DAY(B76)=1,Assumptions!B43*G76,0)</f>
        <v>0</v>
      </c>
      <c r="U76" s="22" t="n">
        <f aca="false">SUM(O76:T76)</f>
        <v>0</v>
      </c>
      <c r="V76" s="22" t="n">
        <f aca="false">N76-U76</f>
        <v>14100</v>
      </c>
      <c r="W76" s="22" t="n">
        <f aca="false">W75+V76</f>
        <v>-4850900</v>
      </c>
      <c r="X76" s="23" t="str">
        <f aca="false">IF(W76&gt;=0,"YES","No")</f>
        <v>No</v>
      </c>
    </row>
    <row r="77" customFormat="false" ht="15" hidden="false" customHeight="false" outlineLevel="0" collapsed="false">
      <c r="A77" s="16" t="n">
        <v>76</v>
      </c>
      <c r="B77" s="17" t="n">
        <f aca="false">B76+1</f>
        <v>46098</v>
      </c>
      <c r="C77" s="18" t="n">
        <f aca="false">MIN(ROUNDUP(A77/365,0),5)</f>
        <v>1</v>
      </c>
      <c r="D77" s="18" t="n">
        <f aca="false">DATEDIF(Assumptions!B5,B77,"m")+1</f>
        <v>3</v>
      </c>
      <c r="E77" s="18" t="str">
        <f aca="false">TEXT(B77,"ddd")</f>
        <v>Tue</v>
      </c>
      <c r="F77" s="19" t="n">
        <f aca="false">IF(WEEKDAY(B77,2)&gt;=6,Assumptions!B34,Assumptions!B35)</f>
        <v>1</v>
      </c>
      <c r="G77" s="20" t="n">
        <f aca="false">IF(D77&gt;=13,(1+Assumptions!B46)^(D77-12),1)</f>
        <v>1</v>
      </c>
      <c r="H77" s="21" t="n">
        <f aca="false">H76*(1+IF(C77=1,Assumptions!B22,Assumptions!B23))</f>
        <v>17.247057217102</v>
      </c>
      <c r="I77" s="16" t="n">
        <f aca="false">ROUND(H77*F77,0)</f>
        <v>17</v>
      </c>
      <c r="J77" s="22" t="n">
        <f aca="false">I77*Assumptions!B24</f>
        <v>10200</v>
      </c>
      <c r="K77" s="21" t="n">
        <f aca="false">K76*(1+Assumptions!B30)</f>
        <v>13.4667444126879</v>
      </c>
      <c r="L77" s="16" t="n">
        <f aca="false">ROUND(K77*F77,0)</f>
        <v>13</v>
      </c>
      <c r="M77" s="22" t="n">
        <f aca="false">L77*Assumptions!B31</f>
        <v>3900</v>
      </c>
      <c r="N77" s="22" t="n">
        <f aca="false">J77+M77</f>
        <v>14100</v>
      </c>
      <c r="O77" s="22" t="n">
        <f aca="false">IF(DAY(B77)=1,Assumptions!B38*G77,0)</f>
        <v>0</v>
      </c>
      <c r="P77" s="22" t="n">
        <f aca="false">IF(DAY(B77)=1,Assumptions!B39*G77,0)</f>
        <v>0</v>
      </c>
      <c r="Q77" s="22" t="n">
        <f aca="false">IF(DAY(B77)=1,Assumptions!B40*G77,0)</f>
        <v>0</v>
      </c>
      <c r="R77" s="22" t="n">
        <f aca="false">IF(DAY(B77)=1,Assumptions!B41*G77,0)</f>
        <v>0</v>
      </c>
      <c r="S77" s="22" t="n">
        <f aca="false">IF(AND(DAY(B77)=1,D77&gt;=13),Assumptions!B42*G77,0)</f>
        <v>0</v>
      </c>
      <c r="T77" s="22" t="n">
        <f aca="false">IF(DAY(B77)=1,Assumptions!B43*G77,0)</f>
        <v>0</v>
      </c>
      <c r="U77" s="22" t="n">
        <f aca="false">SUM(O77:T77)</f>
        <v>0</v>
      </c>
      <c r="V77" s="22" t="n">
        <f aca="false">N77-U77</f>
        <v>14100</v>
      </c>
      <c r="W77" s="22" t="n">
        <f aca="false">W76+V77</f>
        <v>-4836800</v>
      </c>
      <c r="X77" s="23" t="str">
        <f aca="false">IF(W77&gt;=0,"YES","No")</f>
        <v>No</v>
      </c>
    </row>
    <row r="78" customFormat="false" ht="15" hidden="false" customHeight="false" outlineLevel="0" collapsed="false">
      <c r="A78" s="16" t="n">
        <v>77</v>
      </c>
      <c r="B78" s="17" t="n">
        <f aca="false">B77+1</f>
        <v>46099</v>
      </c>
      <c r="C78" s="18" t="n">
        <f aca="false">MIN(ROUNDUP(A78/365,0),5)</f>
        <v>1</v>
      </c>
      <c r="D78" s="18" t="n">
        <f aca="false">DATEDIF(Assumptions!B5,B78,"m")+1</f>
        <v>3</v>
      </c>
      <c r="E78" s="18" t="str">
        <f aca="false">TEXT(B78,"ddd")</f>
        <v>Wed</v>
      </c>
      <c r="F78" s="19" t="n">
        <f aca="false">IF(WEEKDAY(B78,2)&gt;=6,Assumptions!B34,Assumptions!B35)</f>
        <v>1</v>
      </c>
      <c r="G78" s="20" t="n">
        <f aca="false">IF(D78&gt;=13,(1+Assumptions!B46)^(D78-12),1)</f>
        <v>1</v>
      </c>
      <c r="H78" s="21" t="n">
        <f aca="false">H77*(1+IF(C78=1,Assumptions!B22,Assumptions!B23))</f>
        <v>17.2582808755429</v>
      </c>
      <c r="I78" s="16" t="n">
        <f aca="false">ROUND(H78*F78,0)</f>
        <v>17</v>
      </c>
      <c r="J78" s="22" t="n">
        <f aca="false">I78*Assumptions!B24</f>
        <v>10200</v>
      </c>
      <c r="K78" s="21" t="n">
        <f aca="false">K77*(1+Assumptions!B30)</f>
        <v>13.4711471875158</v>
      </c>
      <c r="L78" s="16" t="n">
        <f aca="false">ROUND(K78*F78,0)</f>
        <v>13</v>
      </c>
      <c r="M78" s="22" t="n">
        <f aca="false">L78*Assumptions!B31</f>
        <v>3900</v>
      </c>
      <c r="N78" s="22" t="n">
        <f aca="false">J78+M78</f>
        <v>14100</v>
      </c>
      <c r="O78" s="22" t="n">
        <f aca="false">IF(DAY(B78)=1,Assumptions!B38*G78,0)</f>
        <v>0</v>
      </c>
      <c r="P78" s="22" t="n">
        <f aca="false">IF(DAY(B78)=1,Assumptions!B39*G78,0)</f>
        <v>0</v>
      </c>
      <c r="Q78" s="22" t="n">
        <f aca="false">IF(DAY(B78)=1,Assumptions!B40*G78,0)</f>
        <v>0</v>
      </c>
      <c r="R78" s="22" t="n">
        <f aca="false">IF(DAY(B78)=1,Assumptions!B41*G78,0)</f>
        <v>0</v>
      </c>
      <c r="S78" s="22" t="n">
        <f aca="false">IF(AND(DAY(B78)=1,D78&gt;=13),Assumptions!B42*G78,0)</f>
        <v>0</v>
      </c>
      <c r="T78" s="22" t="n">
        <f aca="false">IF(DAY(B78)=1,Assumptions!B43*G78,0)</f>
        <v>0</v>
      </c>
      <c r="U78" s="22" t="n">
        <f aca="false">SUM(O78:T78)</f>
        <v>0</v>
      </c>
      <c r="V78" s="22" t="n">
        <f aca="false">N78-U78</f>
        <v>14100</v>
      </c>
      <c r="W78" s="22" t="n">
        <f aca="false">W77+V78</f>
        <v>-4822700</v>
      </c>
      <c r="X78" s="23" t="str">
        <f aca="false">IF(W78&gt;=0,"YES","No")</f>
        <v>No</v>
      </c>
    </row>
    <row r="79" customFormat="false" ht="15" hidden="false" customHeight="false" outlineLevel="0" collapsed="false">
      <c r="A79" s="16" t="n">
        <v>78</v>
      </c>
      <c r="B79" s="17" t="n">
        <f aca="false">B78+1</f>
        <v>46100</v>
      </c>
      <c r="C79" s="18" t="n">
        <f aca="false">MIN(ROUNDUP(A79/365,0),5)</f>
        <v>1</v>
      </c>
      <c r="D79" s="18" t="n">
        <f aca="false">DATEDIF(Assumptions!B5,B79,"m")+1</f>
        <v>3</v>
      </c>
      <c r="E79" s="18" t="str">
        <f aca="false">TEXT(B79,"ddd")</f>
        <v>Thu</v>
      </c>
      <c r="F79" s="19" t="n">
        <f aca="false">IF(WEEKDAY(B79,2)&gt;=6,Assumptions!B34,Assumptions!B35)</f>
        <v>1</v>
      </c>
      <c r="G79" s="20" t="n">
        <f aca="false">IF(D79&gt;=13,(1+Assumptions!B46)^(D79-12),1)</f>
        <v>1</v>
      </c>
      <c r="H79" s="21" t="n">
        <f aca="false">H78*(1+IF(C79=1,Assumptions!B22,Assumptions!B23))</f>
        <v>17.2695118378679</v>
      </c>
      <c r="I79" s="16" t="n">
        <f aca="false">ROUND(H79*F79,0)</f>
        <v>17</v>
      </c>
      <c r="J79" s="22" t="n">
        <f aca="false">I79*Assumptions!B24</f>
        <v>10200</v>
      </c>
      <c r="K79" s="21" t="n">
        <f aca="false">K78*(1+Assumptions!B30)</f>
        <v>13.475551401773</v>
      </c>
      <c r="L79" s="16" t="n">
        <f aca="false">ROUND(K79*F79,0)</f>
        <v>13</v>
      </c>
      <c r="M79" s="22" t="n">
        <f aca="false">L79*Assumptions!B31</f>
        <v>3900</v>
      </c>
      <c r="N79" s="22" t="n">
        <f aca="false">J79+M79</f>
        <v>14100</v>
      </c>
      <c r="O79" s="22" t="n">
        <f aca="false">IF(DAY(B79)=1,Assumptions!B38*G79,0)</f>
        <v>0</v>
      </c>
      <c r="P79" s="22" t="n">
        <f aca="false">IF(DAY(B79)=1,Assumptions!B39*G79,0)</f>
        <v>0</v>
      </c>
      <c r="Q79" s="22" t="n">
        <f aca="false">IF(DAY(B79)=1,Assumptions!B40*G79,0)</f>
        <v>0</v>
      </c>
      <c r="R79" s="22" t="n">
        <f aca="false">IF(DAY(B79)=1,Assumptions!B41*G79,0)</f>
        <v>0</v>
      </c>
      <c r="S79" s="22" t="n">
        <f aca="false">IF(AND(DAY(B79)=1,D79&gt;=13),Assumptions!B42*G79,0)</f>
        <v>0</v>
      </c>
      <c r="T79" s="22" t="n">
        <f aca="false">IF(DAY(B79)=1,Assumptions!B43*G79,0)</f>
        <v>0</v>
      </c>
      <c r="U79" s="22" t="n">
        <f aca="false">SUM(O79:T79)</f>
        <v>0</v>
      </c>
      <c r="V79" s="22" t="n">
        <f aca="false">N79-U79</f>
        <v>14100</v>
      </c>
      <c r="W79" s="22" t="n">
        <f aca="false">W78+V79</f>
        <v>-4808600</v>
      </c>
      <c r="X79" s="23" t="str">
        <f aca="false">IF(W79&gt;=0,"YES","No")</f>
        <v>No</v>
      </c>
    </row>
    <row r="80" customFormat="false" ht="15" hidden="false" customHeight="false" outlineLevel="0" collapsed="false">
      <c r="A80" s="16" t="n">
        <v>79</v>
      </c>
      <c r="B80" s="17" t="n">
        <f aca="false">B79+1</f>
        <v>46101</v>
      </c>
      <c r="C80" s="18" t="n">
        <f aca="false">MIN(ROUNDUP(A80/365,0),5)</f>
        <v>1</v>
      </c>
      <c r="D80" s="18" t="n">
        <f aca="false">DATEDIF(Assumptions!B5,B80,"m")+1</f>
        <v>3</v>
      </c>
      <c r="E80" s="18" t="str">
        <f aca="false">TEXT(B80,"ddd")</f>
        <v>Fri</v>
      </c>
      <c r="F80" s="19" t="n">
        <f aca="false">IF(WEEKDAY(B80,2)&gt;=6,Assumptions!B34,Assumptions!B35)</f>
        <v>1</v>
      </c>
      <c r="G80" s="20" t="n">
        <f aca="false">IF(D80&gt;=13,(1+Assumptions!B46)^(D80-12),1)</f>
        <v>1</v>
      </c>
      <c r="H80" s="21" t="n">
        <f aca="false">H79*(1+IF(C80=1,Assumptions!B22,Assumptions!B23))</f>
        <v>17.2807501088303</v>
      </c>
      <c r="I80" s="16" t="n">
        <f aca="false">ROUND(H80*F80,0)</f>
        <v>17</v>
      </c>
      <c r="J80" s="22" t="n">
        <f aca="false">I80*Assumptions!B24</f>
        <v>10200</v>
      </c>
      <c r="K80" s="21" t="n">
        <f aca="false">K79*(1+Assumptions!B30)</f>
        <v>13.4799570559301</v>
      </c>
      <c r="L80" s="16" t="n">
        <f aca="false">ROUND(K80*F80,0)</f>
        <v>13</v>
      </c>
      <c r="M80" s="22" t="n">
        <f aca="false">L80*Assumptions!B31</f>
        <v>3900</v>
      </c>
      <c r="N80" s="22" t="n">
        <f aca="false">J80+M80</f>
        <v>14100</v>
      </c>
      <c r="O80" s="22" t="n">
        <f aca="false">IF(DAY(B80)=1,Assumptions!B38*G80,0)</f>
        <v>0</v>
      </c>
      <c r="P80" s="22" t="n">
        <f aca="false">IF(DAY(B80)=1,Assumptions!B39*G80,0)</f>
        <v>0</v>
      </c>
      <c r="Q80" s="22" t="n">
        <f aca="false">IF(DAY(B80)=1,Assumptions!B40*G80,0)</f>
        <v>0</v>
      </c>
      <c r="R80" s="22" t="n">
        <f aca="false">IF(DAY(B80)=1,Assumptions!B41*G80,0)</f>
        <v>0</v>
      </c>
      <c r="S80" s="22" t="n">
        <f aca="false">IF(AND(DAY(B80)=1,D80&gt;=13),Assumptions!B42*G80,0)</f>
        <v>0</v>
      </c>
      <c r="T80" s="22" t="n">
        <f aca="false">IF(DAY(B80)=1,Assumptions!B43*G80,0)</f>
        <v>0</v>
      </c>
      <c r="U80" s="22" t="n">
        <f aca="false">SUM(O80:T80)</f>
        <v>0</v>
      </c>
      <c r="V80" s="22" t="n">
        <f aca="false">N80-U80</f>
        <v>14100</v>
      </c>
      <c r="W80" s="22" t="n">
        <f aca="false">W79+V80</f>
        <v>-4794500</v>
      </c>
      <c r="X80" s="23" t="str">
        <f aca="false">IF(W80&gt;=0,"YES","No")</f>
        <v>No</v>
      </c>
    </row>
    <row r="81" customFormat="false" ht="15" hidden="false" customHeight="false" outlineLevel="0" collapsed="false">
      <c r="A81" s="16" t="n">
        <v>80</v>
      </c>
      <c r="B81" s="17" t="n">
        <f aca="false">B80+1</f>
        <v>46102</v>
      </c>
      <c r="C81" s="18" t="n">
        <f aca="false">MIN(ROUNDUP(A81/365,0),5)</f>
        <v>1</v>
      </c>
      <c r="D81" s="18" t="n">
        <f aca="false">DATEDIF(Assumptions!B5,B81,"m")+1</f>
        <v>3</v>
      </c>
      <c r="E81" s="18" t="str">
        <f aca="false">TEXT(B81,"ddd")</f>
        <v>Sat</v>
      </c>
      <c r="F81" s="19" t="n">
        <f aca="false">IF(WEEKDAY(B81,2)&gt;=6,Assumptions!B34,Assumptions!B35)</f>
        <v>0.6</v>
      </c>
      <c r="G81" s="20" t="n">
        <f aca="false">IF(D81&gt;=13,(1+Assumptions!B46)^(D81-12),1)</f>
        <v>1</v>
      </c>
      <c r="H81" s="21" t="n">
        <f aca="false">H80*(1+IF(C81=1,Assumptions!B22,Assumptions!B23))</f>
        <v>17.291995693186</v>
      </c>
      <c r="I81" s="16" t="n">
        <f aca="false">ROUND(H81*F81,0)</f>
        <v>10</v>
      </c>
      <c r="J81" s="22" t="n">
        <f aca="false">I81*Assumptions!B24</f>
        <v>6000</v>
      </c>
      <c r="K81" s="21" t="n">
        <f aca="false">K80*(1+Assumptions!B30)</f>
        <v>13.4843641504577</v>
      </c>
      <c r="L81" s="16" t="n">
        <f aca="false">ROUND(K81*F81,0)</f>
        <v>8</v>
      </c>
      <c r="M81" s="22" t="n">
        <f aca="false">L81*Assumptions!B31</f>
        <v>2400</v>
      </c>
      <c r="N81" s="22" t="n">
        <f aca="false">J81+M81</f>
        <v>8400</v>
      </c>
      <c r="O81" s="22" t="n">
        <f aca="false">IF(DAY(B81)=1,Assumptions!B38*G81,0)</f>
        <v>0</v>
      </c>
      <c r="P81" s="22" t="n">
        <f aca="false">IF(DAY(B81)=1,Assumptions!B39*G81,0)</f>
        <v>0</v>
      </c>
      <c r="Q81" s="22" t="n">
        <f aca="false">IF(DAY(B81)=1,Assumptions!B40*G81,0)</f>
        <v>0</v>
      </c>
      <c r="R81" s="22" t="n">
        <f aca="false">IF(DAY(B81)=1,Assumptions!B41*G81,0)</f>
        <v>0</v>
      </c>
      <c r="S81" s="22" t="n">
        <f aca="false">IF(AND(DAY(B81)=1,D81&gt;=13),Assumptions!B42*G81,0)</f>
        <v>0</v>
      </c>
      <c r="T81" s="22" t="n">
        <f aca="false">IF(DAY(B81)=1,Assumptions!B43*G81,0)</f>
        <v>0</v>
      </c>
      <c r="U81" s="22" t="n">
        <f aca="false">SUM(O81:T81)</f>
        <v>0</v>
      </c>
      <c r="V81" s="22" t="n">
        <f aca="false">N81-U81</f>
        <v>8400</v>
      </c>
      <c r="W81" s="22" t="n">
        <f aca="false">W80+V81</f>
        <v>-4786100</v>
      </c>
      <c r="X81" s="23" t="str">
        <f aca="false">IF(W81&gt;=0,"YES","No")</f>
        <v>No</v>
      </c>
    </row>
    <row r="82" customFormat="false" ht="15" hidden="false" customHeight="false" outlineLevel="0" collapsed="false">
      <c r="A82" s="16" t="n">
        <v>81</v>
      </c>
      <c r="B82" s="17" t="n">
        <f aca="false">B81+1</f>
        <v>46103</v>
      </c>
      <c r="C82" s="18" t="n">
        <f aca="false">MIN(ROUNDUP(A82/365,0),5)</f>
        <v>1</v>
      </c>
      <c r="D82" s="18" t="n">
        <f aca="false">DATEDIF(Assumptions!B5,B82,"m")+1</f>
        <v>3</v>
      </c>
      <c r="E82" s="18" t="str">
        <f aca="false">TEXT(B82,"ddd")</f>
        <v>Sun</v>
      </c>
      <c r="F82" s="19" t="n">
        <f aca="false">IF(WEEKDAY(B82,2)&gt;=6,Assumptions!B34,Assumptions!B35)</f>
        <v>0.6</v>
      </c>
      <c r="G82" s="20" t="n">
        <f aca="false">IF(D82&gt;=13,(1+Assumptions!B46)^(D82-12),1)</f>
        <v>1</v>
      </c>
      <c r="H82" s="21" t="n">
        <f aca="false">H81*(1+IF(C82=1,Assumptions!B22,Assumptions!B23))</f>
        <v>17.3032485956944</v>
      </c>
      <c r="I82" s="16" t="n">
        <f aca="false">ROUND(H82*F82,0)</f>
        <v>10</v>
      </c>
      <c r="J82" s="22" t="n">
        <f aca="false">I82*Assumptions!B24</f>
        <v>6000</v>
      </c>
      <c r="K82" s="21" t="n">
        <f aca="false">K81*(1+Assumptions!B30)</f>
        <v>13.488772685827</v>
      </c>
      <c r="L82" s="16" t="n">
        <f aca="false">ROUND(K82*F82,0)</f>
        <v>8</v>
      </c>
      <c r="M82" s="22" t="n">
        <f aca="false">L82*Assumptions!B31</f>
        <v>2400</v>
      </c>
      <c r="N82" s="22" t="n">
        <f aca="false">J82+M82</f>
        <v>8400</v>
      </c>
      <c r="O82" s="22" t="n">
        <f aca="false">IF(DAY(B82)=1,Assumptions!B38*G82,0)</f>
        <v>0</v>
      </c>
      <c r="P82" s="22" t="n">
        <f aca="false">IF(DAY(B82)=1,Assumptions!B39*G82,0)</f>
        <v>0</v>
      </c>
      <c r="Q82" s="22" t="n">
        <f aca="false">IF(DAY(B82)=1,Assumptions!B40*G82,0)</f>
        <v>0</v>
      </c>
      <c r="R82" s="22" t="n">
        <f aca="false">IF(DAY(B82)=1,Assumptions!B41*G82,0)</f>
        <v>0</v>
      </c>
      <c r="S82" s="22" t="n">
        <f aca="false">IF(AND(DAY(B82)=1,D82&gt;=13),Assumptions!B42*G82,0)</f>
        <v>0</v>
      </c>
      <c r="T82" s="22" t="n">
        <f aca="false">IF(DAY(B82)=1,Assumptions!B43*G82,0)</f>
        <v>0</v>
      </c>
      <c r="U82" s="22" t="n">
        <f aca="false">SUM(O82:T82)</f>
        <v>0</v>
      </c>
      <c r="V82" s="22" t="n">
        <f aca="false">N82-U82</f>
        <v>8400</v>
      </c>
      <c r="W82" s="22" t="n">
        <f aca="false">W81+V82</f>
        <v>-4777700</v>
      </c>
      <c r="X82" s="23" t="str">
        <f aca="false">IF(W82&gt;=0,"YES","No")</f>
        <v>No</v>
      </c>
    </row>
    <row r="83" customFormat="false" ht="15" hidden="false" customHeight="false" outlineLevel="0" collapsed="false">
      <c r="A83" s="16" t="n">
        <v>82</v>
      </c>
      <c r="B83" s="17" t="n">
        <f aca="false">B82+1</f>
        <v>46104</v>
      </c>
      <c r="C83" s="18" t="n">
        <f aca="false">MIN(ROUNDUP(A83/365,0),5)</f>
        <v>1</v>
      </c>
      <c r="D83" s="18" t="n">
        <f aca="false">DATEDIF(Assumptions!B5,B83,"m")+1</f>
        <v>3</v>
      </c>
      <c r="E83" s="18" t="str">
        <f aca="false">TEXT(B83,"ddd")</f>
        <v>Mon</v>
      </c>
      <c r="F83" s="19" t="n">
        <f aca="false">IF(WEEKDAY(B83,2)&gt;=6,Assumptions!B34,Assumptions!B35)</f>
        <v>1</v>
      </c>
      <c r="G83" s="20" t="n">
        <f aca="false">IF(D83&gt;=13,(1+Assumptions!B46)^(D83-12),1)</f>
        <v>1</v>
      </c>
      <c r="H83" s="21" t="n">
        <f aca="false">H82*(1+IF(C83=1,Assumptions!B22,Assumptions!B23))</f>
        <v>17.3145088211178</v>
      </c>
      <c r="I83" s="16" t="n">
        <f aca="false">ROUND(H83*F83,0)</f>
        <v>17</v>
      </c>
      <c r="J83" s="22" t="n">
        <f aca="false">I83*Assumptions!B24</f>
        <v>10200</v>
      </c>
      <c r="K83" s="21" t="n">
        <f aca="false">K82*(1+Assumptions!B30)</f>
        <v>13.4931826625088</v>
      </c>
      <c r="L83" s="16" t="n">
        <f aca="false">ROUND(K83*F83,0)</f>
        <v>13</v>
      </c>
      <c r="M83" s="22" t="n">
        <f aca="false">L83*Assumptions!B31</f>
        <v>3900</v>
      </c>
      <c r="N83" s="22" t="n">
        <f aca="false">J83+M83</f>
        <v>14100</v>
      </c>
      <c r="O83" s="22" t="n">
        <f aca="false">IF(DAY(B83)=1,Assumptions!B38*G83,0)</f>
        <v>0</v>
      </c>
      <c r="P83" s="22" t="n">
        <f aca="false">IF(DAY(B83)=1,Assumptions!B39*G83,0)</f>
        <v>0</v>
      </c>
      <c r="Q83" s="22" t="n">
        <f aca="false">IF(DAY(B83)=1,Assumptions!B40*G83,0)</f>
        <v>0</v>
      </c>
      <c r="R83" s="22" t="n">
        <f aca="false">IF(DAY(B83)=1,Assumptions!B41*G83,0)</f>
        <v>0</v>
      </c>
      <c r="S83" s="22" t="n">
        <f aca="false">IF(AND(DAY(B83)=1,D83&gt;=13),Assumptions!B42*G83,0)</f>
        <v>0</v>
      </c>
      <c r="T83" s="22" t="n">
        <f aca="false">IF(DAY(B83)=1,Assumptions!B43*G83,0)</f>
        <v>0</v>
      </c>
      <c r="U83" s="22" t="n">
        <f aca="false">SUM(O83:T83)</f>
        <v>0</v>
      </c>
      <c r="V83" s="22" t="n">
        <f aca="false">N83-U83</f>
        <v>14100</v>
      </c>
      <c r="W83" s="22" t="n">
        <f aca="false">W82+V83</f>
        <v>-4763600</v>
      </c>
      <c r="X83" s="23" t="str">
        <f aca="false">IF(W83&gt;=0,"YES","No")</f>
        <v>No</v>
      </c>
    </row>
    <row r="84" customFormat="false" ht="15" hidden="false" customHeight="false" outlineLevel="0" collapsed="false">
      <c r="A84" s="16" t="n">
        <v>83</v>
      </c>
      <c r="B84" s="17" t="n">
        <f aca="false">B83+1</f>
        <v>46105</v>
      </c>
      <c r="C84" s="18" t="n">
        <f aca="false">MIN(ROUNDUP(A84/365,0),5)</f>
        <v>1</v>
      </c>
      <c r="D84" s="18" t="n">
        <f aca="false">DATEDIF(Assumptions!B5,B84,"m")+1</f>
        <v>3</v>
      </c>
      <c r="E84" s="18" t="str">
        <f aca="false">TEXT(B84,"ddd")</f>
        <v>Tue</v>
      </c>
      <c r="F84" s="19" t="n">
        <f aca="false">IF(WEEKDAY(B84,2)&gt;=6,Assumptions!B34,Assumptions!B35)</f>
        <v>1</v>
      </c>
      <c r="G84" s="20" t="n">
        <f aca="false">IF(D84&gt;=13,(1+Assumptions!B46)^(D84-12),1)</f>
        <v>1</v>
      </c>
      <c r="H84" s="21" t="n">
        <f aca="false">H83*(1+IF(C84=1,Assumptions!B22,Assumptions!B23))</f>
        <v>17.3257763742217</v>
      </c>
      <c r="I84" s="16" t="n">
        <f aca="false">ROUND(H84*F84,0)</f>
        <v>17</v>
      </c>
      <c r="J84" s="22" t="n">
        <f aca="false">I84*Assumptions!B24</f>
        <v>10200</v>
      </c>
      <c r="K84" s="21" t="n">
        <f aca="false">K83*(1+Assumptions!B30)</f>
        <v>13.4975940809745</v>
      </c>
      <c r="L84" s="16" t="n">
        <f aca="false">ROUND(K84*F84,0)</f>
        <v>13</v>
      </c>
      <c r="M84" s="22" t="n">
        <f aca="false">L84*Assumptions!B31</f>
        <v>3900</v>
      </c>
      <c r="N84" s="22" t="n">
        <f aca="false">J84+M84</f>
        <v>14100</v>
      </c>
      <c r="O84" s="22" t="n">
        <f aca="false">IF(DAY(B84)=1,Assumptions!B38*G84,0)</f>
        <v>0</v>
      </c>
      <c r="P84" s="22" t="n">
        <f aca="false">IF(DAY(B84)=1,Assumptions!B39*G84,0)</f>
        <v>0</v>
      </c>
      <c r="Q84" s="22" t="n">
        <f aca="false">IF(DAY(B84)=1,Assumptions!B40*G84,0)</f>
        <v>0</v>
      </c>
      <c r="R84" s="22" t="n">
        <f aca="false">IF(DAY(B84)=1,Assumptions!B41*G84,0)</f>
        <v>0</v>
      </c>
      <c r="S84" s="22" t="n">
        <f aca="false">IF(AND(DAY(B84)=1,D84&gt;=13),Assumptions!B42*G84,0)</f>
        <v>0</v>
      </c>
      <c r="T84" s="22" t="n">
        <f aca="false">IF(DAY(B84)=1,Assumptions!B43*G84,0)</f>
        <v>0</v>
      </c>
      <c r="U84" s="22" t="n">
        <f aca="false">SUM(O84:T84)</f>
        <v>0</v>
      </c>
      <c r="V84" s="22" t="n">
        <f aca="false">N84-U84</f>
        <v>14100</v>
      </c>
      <c r="W84" s="22" t="n">
        <f aca="false">W83+V84</f>
        <v>-4749500</v>
      </c>
      <c r="X84" s="23" t="str">
        <f aca="false">IF(W84&gt;=0,"YES","No")</f>
        <v>No</v>
      </c>
    </row>
    <row r="85" customFormat="false" ht="15" hidden="false" customHeight="false" outlineLevel="0" collapsed="false">
      <c r="A85" s="16" t="n">
        <v>84</v>
      </c>
      <c r="B85" s="17" t="n">
        <f aca="false">B84+1</f>
        <v>46106</v>
      </c>
      <c r="C85" s="18" t="n">
        <f aca="false">MIN(ROUNDUP(A85/365,0),5)</f>
        <v>1</v>
      </c>
      <c r="D85" s="18" t="n">
        <f aca="false">DATEDIF(Assumptions!B5,B85,"m")+1</f>
        <v>3</v>
      </c>
      <c r="E85" s="18" t="str">
        <f aca="false">TEXT(B85,"ddd")</f>
        <v>Wed</v>
      </c>
      <c r="F85" s="19" t="n">
        <f aca="false">IF(WEEKDAY(B85,2)&gt;=6,Assumptions!B34,Assumptions!B35)</f>
        <v>1</v>
      </c>
      <c r="G85" s="20" t="n">
        <f aca="false">IF(D85&gt;=13,(1+Assumptions!B46)^(D85-12),1)</f>
        <v>1</v>
      </c>
      <c r="H85" s="21" t="n">
        <f aca="false">H84*(1+IF(C85=1,Assumptions!B22,Assumptions!B23))</f>
        <v>17.3370512597746</v>
      </c>
      <c r="I85" s="16" t="n">
        <f aca="false">ROUND(H85*F85,0)</f>
        <v>17</v>
      </c>
      <c r="J85" s="22" t="n">
        <f aca="false">I85*Assumptions!B24</f>
        <v>10200</v>
      </c>
      <c r="K85" s="21" t="n">
        <f aca="false">K84*(1+Assumptions!B30)</f>
        <v>13.5020069416954</v>
      </c>
      <c r="L85" s="16" t="n">
        <f aca="false">ROUND(K85*F85,0)</f>
        <v>14</v>
      </c>
      <c r="M85" s="22" t="n">
        <f aca="false">L85*Assumptions!B31</f>
        <v>4200</v>
      </c>
      <c r="N85" s="22" t="n">
        <f aca="false">J85+M85</f>
        <v>14400</v>
      </c>
      <c r="O85" s="22" t="n">
        <f aca="false">IF(DAY(B85)=1,Assumptions!B38*G85,0)</f>
        <v>0</v>
      </c>
      <c r="P85" s="22" t="n">
        <f aca="false">IF(DAY(B85)=1,Assumptions!B39*G85,0)</f>
        <v>0</v>
      </c>
      <c r="Q85" s="22" t="n">
        <f aca="false">IF(DAY(B85)=1,Assumptions!B40*G85,0)</f>
        <v>0</v>
      </c>
      <c r="R85" s="22" t="n">
        <f aca="false">IF(DAY(B85)=1,Assumptions!B41*G85,0)</f>
        <v>0</v>
      </c>
      <c r="S85" s="22" t="n">
        <f aca="false">IF(AND(DAY(B85)=1,D85&gt;=13),Assumptions!B42*G85,0)</f>
        <v>0</v>
      </c>
      <c r="T85" s="22" t="n">
        <f aca="false">IF(DAY(B85)=1,Assumptions!B43*G85,0)</f>
        <v>0</v>
      </c>
      <c r="U85" s="22" t="n">
        <f aca="false">SUM(O85:T85)</f>
        <v>0</v>
      </c>
      <c r="V85" s="22" t="n">
        <f aca="false">N85-U85</f>
        <v>14400</v>
      </c>
      <c r="W85" s="22" t="n">
        <f aca="false">W84+V85</f>
        <v>-4735100</v>
      </c>
      <c r="X85" s="23" t="str">
        <f aca="false">IF(W85&gt;=0,"YES","No")</f>
        <v>No</v>
      </c>
    </row>
    <row r="86" customFormat="false" ht="15" hidden="false" customHeight="false" outlineLevel="0" collapsed="false">
      <c r="A86" s="16" t="n">
        <v>85</v>
      </c>
      <c r="B86" s="17" t="n">
        <f aca="false">B85+1</f>
        <v>46107</v>
      </c>
      <c r="C86" s="18" t="n">
        <f aca="false">MIN(ROUNDUP(A86/365,0),5)</f>
        <v>1</v>
      </c>
      <c r="D86" s="18" t="n">
        <f aca="false">DATEDIF(Assumptions!B5,B86,"m")+1</f>
        <v>3</v>
      </c>
      <c r="E86" s="18" t="str">
        <f aca="false">TEXT(B86,"ddd")</f>
        <v>Thu</v>
      </c>
      <c r="F86" s="19" t="n">
        <f aca="false">IF(WEEKDAY(B86,2)&gt;=6,Assumptions!B34,Assumptions!B35)</f>
        <v>1</v>
      </c>
      <c r="G86" s="20" t="n">
        <f aca="false">IF(D86&gt;=13,(1+Assumptions!B46)^(D86-12),1)</f>
        <v>1</v>
      </c>
      <c r="H86" s="21" t="n">
        <f aca="false">H85*(1+IF(C86=1,Assumptions!B22,Assumptions!B23))</f>
        <v>17.3483334825481</v>
      </c>
      <c r="I86" s="16" t="n">
        <f aca="false">ROUND(H86*F86,0)</f>
        <v>17</v>
      </c>
      <c r="J86" s="22" t="n">
        <f aca="false">I86*Assumptions!B24</f>
        <v>10200</v>
      </c>
      <c r="K86" s="21" t="n">
        <f aca="false">K85*(1+Assumptions!B30)</f>
        <v>13.506421245143</v>
      </c>
      <c r="L86" s="16" t="n">
        <f aca="false">ROUND(K86*F86,0)</f>
        <v>14</v>
      </c>
      <c r="M86" s="22" t="n">
        <f aca="false">L86*Assumptions!B31</f>
        <v>4200</v>
      </c>
      <c r="N86" s="22" t="n">
        <f aca="false">J86+M86</f>
        <v>14400</v>
      </c>
      <c r="O86" s="22" t="n">
        <f aca="false">IF(DAY(B86)=1,Assumptions!B38*G86,0)</f>
        <v>0</v>
      </c>
      <c r="P86" s="22" t="n">
        <f aca="false">IF(DAY(B86)=1,Assumptions!B39*G86,0)</f>
        <v>0</v>
      </c>
      <c r="Q86" s="22" t="n">
        <f aca="false">IF(DAY(B86)=1,Assumptions!B40*G86,0)</f>
        <v>0</v>
      </c>
      <c r="R86" s="22" t="n">
        <f aca="false">IF(DAY(B86)=1,Assumptions!B41*G86,0)</f>
        <v>0</v>
      </c>
      <c r="S86" s="22" t="n">
        <f aca="false">IF(AND(DAY(B86)=1,D86&gt;=13),Assumptions!B42*G86,0)</f>
        <v>0</v>
      </c>
      <c r="T86" s="22" t="n">
        <f aca="false">IF(DAY(B86)=1,Assumptions!B43*G86,0)</f>
        <v>0</v>
      </c>
      <c r="U86" s="22" t="n">
        <f aca="false">SUM(O86:T86)</f>
        <v>0</v>
      </c>
      <c r="V86" s="22" t="n">
        <f aca="false">N86-U86</f>
        <v>14400</v>
      </c>
      <c r="W86" s="22" t="n">
        <f aca="false">W85+V86</f>
        <v>-4720700</v>
      </c>
      <c r="X86" s="23" t="str">
        <f aca="false">IF(W86&gt;=0,"YES","No")</f>
        <v>No</v>
      </c>
    </row>
    <row r="87" customFormat="false" ht="15" hidden="false" customHeight="false" outlineLevel="0" collapsed="false">
      <c r="A87" s="16" t="n">
        <v>86</v>
      </c>
      <c r="B87" s="17" t="n">
        <f aca="false">B86+1</f>
        <v>46108</v>
      </c>
      <c r="C87" s="18" t="n">
        <f aca="false">MIN(ROUNDUP(A87/365,0),5)</f>
        <v>1</v>
      </c>
      <c r="D87" s="18" t="n">
        <f aca="false">DATEDIF(Assumptions!B5,B87,"m")+1</f>
        <v>3</v>
      </c>
      <c r="E87" s="18" t="str">
        <f aca="false">TEXT(B87,"ddd")</f>
        <v>Fri</v>
      </c>
      <c r="F87" s="19" t="n">
        <f aca="false">IF(WEEKDAY(B87,2)&gt;=6,Assumptions!B34,Assumptions!B35)</f>
        <v>1</v>
      </c>
      <c r="G87" s="20" t="n">
        <f aca="false">IF(D87&gt;=13,(1+Assumptions!B46)^(D87-12),1)</f>
        <v>1</v>
      </c>
      <c r="H87" s="21" t="n">
        <f aca="false">H86*(1+IF(C87=1,Assumptions!B22,Assumptions!B23))</f>
        <v>17.3596230473171</v>
      </c>
      <c r="I87" s="16" t="n">
        <f aca="false">ROUND(H87*F87,0)</f>
        <v>17</v>
      </c>
      <c r="J87" s="22" t="n">
        <f aca="false">I87*Assumptions!B24</f>
        <v>10200</v>
      </c>
      <c r="K87" s="21" t="n">
        <f aca="false">K86*(1+Assumptions!B30)</f>
        <v>13.510836991789</v>
      </c>
      <c r="L87" s="16" t="n">
        <f aca="false">ROUND(K87*F87,0)</f>
        <v>14</v>
      </c>
      <c r="M87" s="22" t="n">
        <f aca="false">L87*Assumptions!B31</f>
        <v>4200</v>
      </c>
      <c r="N87" s="22" t="n">
        <f aca="false">J87+M87</f>
        <v>14400</v>
      </c>
      <c r="O87" s="22" t="n">
        <f aca="false">IF(DAY(B87)=1,Assumptions!B38*G87,0)</f>
        <v>0</v>
      </c>
      <c r="P87" s="22" t="n">
        <f aca="false">IF(DAY(B87)=1,Assumptions!B39*G87,0)</f>
        <v>0</v>
      </c>
      <c r="Q87" s="22" t="n">
        <f aca="false">IF(DAY(B87)=1,Assumptions!B40*G87,0)</f>
        <v>0</v>
      </c>
      <c r="R87" s="22" t="n">
        <f aca="false">IF(DAY(B87)=1,Assumptions!B41*G87,0)</f>
        <v>0</v>
      </c>
      <c r="S87" s="22" t="n">
        <f aca="false">IF(AND(DAY(B87)=1,D87&gt;=13),Assumptions!B42*G87,0)</f>
        <v>0</v>
      </c>
      <c r="T87" s="22" t="n">
        <f aca="false">IF(DAY(B87)=1,Assumptions!B43*G87,0)</f>
        <v>0</v>
      </c>
      <c r="U87" s="22" t="n">
        <f aca="false">SUM(O87:T87)</f>
        <v>0</v>
      </c>
      <c r="V87" s="22" t="n">
        <f aca="false">N87-U87</f>
        <v>14400</v>
      </c>
      <c r="W87" s="22" t="n">
        <f aca="false">W86+V87</f>
        <v>-4706300</v>
      </c>
      <c r="X87" s="23" t="str">
        <f aca="false">IF(W87&gt;=0,"YES","No")</f>
        <v>No</v>
      </c>
    </row>
    <row r="88" customFormat="false" ht="15" hidden="false" customHeight="false" outlineLevel="0" collapsed="false">
      <c r="A88" s="16" t="n">
        <v>87</v>
      </c>
      <c r="B88" s="17" t="n">
        <f aca="false">B87+1</f>
        <v>46109</v>
      </c>
      <c r="C88" s="18" t="n">
        <f aca="false">MIN(ROUNDUP(A88/365,0),5)</f>
        <v>1</v>
      </c>
      <c r="D88" s="18" t="n">
        <f aca="false">DATEDIF(Assumptions!B5,B88,"m")+1</f>
        <v>3</v>
      </c>
      <c r="E88" s="18" t="str">
        <f aca="false">TEXT(B88,"ddd")</f>
        <v>Sat</v>
      </c>
      <c r="F88" s="19" t="n">
        <f aca="false">IF(WEEKDAY(B88,2)&gt;=6,Assumptions!B34,Assumptions!B35)</f>
        <v>0.6</v>
      </c>
      <c r="G88" s="20" t="n">
        <f aca="false">IF(D88&gt;=13,(1+Assumptions!B46)^(D88-12),1)</f>
        <v>1</v>
      </c>
      <c r="H88" s="21" t="n">
        <f aca="false">H87*(1+IF(C88=1,Assumptions!B22,Assumptions!B23))</f>
        <v>17.3709199588593</v>
      </c>
      <c r="I88" s="16" t="n">
        <f aca="false">ROUND(H88*F88,0)</f>
        <v>10</v>
      </c>
      <c r="J88" s="22" t="n">
        <f aca="false">I88*Assumptions!B24</f>
        <v>6000</v>
      </c>
      <c r="K88" s="21" t="n">
        <f aca="false">K87*(1+Assumptions!B30)</f>
        <v>13.5152541821052</v>
      </c>
      <c r="L88" s="16" t="n">
        <f aca="false">ROUND(K88*F88,0)</f>
        <v>8</v>
      </c>
      <c r="M88" s="22" t="n">
        <f aca="false">L88*Assumptions!B31</f>
        <v>2400</v>
      </c>
      <c r="N88" s="22" t="n">
        <f aca="false">J88+M88</f>
        <v>8400</v>
      </c>
      <c r="O88" s="22" t="n">
        <f aca="false">IF(DAY(B88)=1,Assumptions!B38*G88,0)</f>
        <v>0</v>
      </c>
      <c r="P88" s="22" t="n">
        <f aca="false">IF(DAY(B88)=1,Assumptions!B39*G88,0)</f>
        <v>0</v>
      </c>
      <c r="Q88" s="22" t="n">
        <f aca="false">IF(DAY(B88)=1,Assumptions!B40*G88,0)</f>
        <v>0</v>
      </c>
      <c r="R88" s="22" t="n">
        <f aca="false">IF(DAY(B88)=1,Assumptions!B41*G88,0)</f>
        <v>0</v>
      </c>
      <c r="S88" s="22" t="n">
        <f aca="false">IF(AND(DAY(B88)=1,D88&gt;=13),Assumptions!B42*G88,0)</f>
        <v>0</v>
      </c>
      <c r="T88" s="22" t="n">
        <f aca="false">IF(DAY(B88)=1,Assumptions!B43*G88,0)</f>
        <v>0</v>
      </c>
      <c r="U88" s="22" t="n">
        <f aca="false">SUM(O88:T88)</f>
        <v>0</v>
      </c>
      <c r="V88" s="22" t="n">
        <f aca="false">N88-U88</f>
        <v>8400</v>
      </c>
      <c r="W88" s="22" t="n">
        <f aca="false">W87+V88</f>
        <v>-4697900</v>
      </c>
      <c r="X88" s="23" t="str">
        <f aca="false">IF(W88&gt;=0,"YES","No")</f>
        <v>No</v>
      </c>
    </row>
    <row r="89" customFormat="false" ht="15" hidden="false" customHeight="false" outlineLevel="0" collapsed="false">
      <c r="A89" s="16" t="n">
        <v>88</v>
      </c>
      <c r="B89" s="17" t="n">
        <f aca="false">B88+1</f>
        <v>46110</v>
      </c>
      <c r="C89" s="18" t="n">
        <f aca="false">MIN(ROUNDUP(A89/365,0),5)</f>
        <v>1</v>
      </c>
      <c r="D89" s="18" t="n">
        <f aca="false">DATEDIF(Assumptions!B5,B89,"m")+1</f>
        <v>3</v>
      </c>
      <c r="E89" s="18" t="str">
        <f aca="false">TEXT(B89,"ddd")</f>
        <v>Sun</v>
      </c>
      <c r="F89" s="19" t="n">
        <f aca="false">IF(WEEKDAY(B89,2)&gt;=6,Assumptions!B34,Assumptions!B35)</f>
        <v>0.6</v>
      </c>
      <c r="G89" s="20" t="n">
        <f aca="false">IF(D89&gt;=13,(1+Assumptions!B46)^(D89-12),1)</f>
        <v>1</v>
      </c>
      <c r="H89" s="21" t="n">
        <f aca="false">H88*(1+IF(C89=1,Assumptions!B22,Assumptions!B23))</f>
        <v>17.3822242219557</v>
      </c>
      <c r="I89" s="16" t="n">
        <f aca="false">ROUND(H89*F89,0)</f>
        <v>10</v>
      </c>
      <c r="J89" s="22" t="n">
        <f aca="false">I89*Assumptions!B24</f>
        <v>6000</v>
      </c>
      <c r="K89" s="21" t="n">
        <f aca="false">K88*(1+Assumptions!B30)</f>
        <v>13.5196728165637</v>
      </c>
      <c r="L89" s="16" t="n">
        <f aca="false">ROUND(K89*F89,0)</f>
        <v>8</v>
      </c>
      <c r="M89" s="22" t="n">
        <f aca="false">L89*Assumptions!B31</f>
        <v>2400</v>
      </c>
      <c r="N89" s="22" t="n">
        <f aca="false">J89+M89</f>
        <v>8400</v>
      </c>
      <c r="O89" s="22" t="n">
        <f aca="false">IF(DAY(B89)=1,Assumptions!B38*G89,0)</f>
        <v>0</v>
      </c>
      <c r="P89" s="22" t="n">
        <f aca="false">IF(DAY(B89)=1,Assumptions!B39*G89,0)</f>
        <v>0</v>
      </c>
      <c r="Q89" s="22" t="n">
        <f aca="false">IF(DAY(B89)=1,Assumptions!B40*G89,0)</f>
        <v>0</v>
      </c>
      <c r="R89" s="22" t="n">
        <f aca="false">IF(DAY(B89)=1,Assumptions!B41*G89,0)</f>
        <v>0</v>
      </c>
      <c r="S89" s="22" t="n">
        <f aca="false">IF(AND(DAY(B89)=1,D89&gt;=13),Assumptions!B42*G89,0)</f>
        <v>0</v>
      </c>
      <c r="T89" s="22" t="n">
        <f aca="false">IF(DAY(B89)=1,Assumptions!B43*G89,0)</f>
        <v>0</v>
      </c>
      <c r="U89" s="22" t="n">
        <f aca="false">SUM(O89:T89)</f>
        <v>0</v>
      </c>
      <c r="V89" s="22" t="n">
        <f aca="false">N89-U89</f>
        <v>8400</v>
      </c>
      <c r="W89" s="22" t="n">
        <f aca="false">W88+V89</f>
        <v>-4689500</v>
      </c>
      <c r="X89" s="23" t="str">
        <f aca="false">IF(W89&gt;=0,"YES","No")</f>
        <v>No</v>
      </c>
    </row>
    <row r="90" customFormat="false" ht="15" hidden="false" customHeight="false" outlineLevel="0" collapsed="false">
      <c r="A90" s="16" t="n">
        <v>89</v>
      </c>
      <c r="B90" s="17" t="n">
        <f aca="false">B89+1</f>
        <v>46111</v>
      </c>
      <c r="C90" s="18" t="n">
        <f aca="false">MIN(ROUNDUP(A90/365,0),5)</f>
        <v>1</v>
      </c>
      <c r="D90" s="18" t="n">
        <f aca="false">DATEDIF(Assumptions!B5,B90,"m")+1</f>
        <v>3</v>
      </c>
      <c r="E90" s="18" t="str">
        <f aca="false">TEXT(B90,"ddd")</f>
        <v>Mon</v>
      </c>
      <c r="F90" s="19" t="n">
        <f aca="false">IF(WEEKDAY(B90,2)&gt;=6,Assumptions!B34,Assumptions!B35)</f>
        <v>1</v>
      </c>
      <c r="G90" s="20" t="n">
        <f aca="false">IF(D90&gt;=13,(1+Assumptions!B46)^(D90-12),1)</f>
        <v>1</v>
      </c>
      <c r="H90" s="21" t="n">
        <f aca="false">H89*(1+IF(C90=1,Assumptions!B22,Assumptions!B23))</f>
        <v>17.3935358413905</v>
      </c>
      <c r="I90" s="16" t="n">
        <f aca="false">ROUND(H90*F90,0)</f>
        <v>17</v>
      </c>
      <c r="J90" s="22" t="n">
        <f aca="false">I90*Assumptions!B24</f>
        <v>10200</v>
      </c>
      <c r="K90" s="21" t="n">
        <f aca="false">K89*(1+Assumptions!B30)</f>
        <v>13.5240928956366</v>
      </c>
      <c r="L90" s="16" t="n">
        <f aca="false">ROUND(K90*F90,0)</f>
        <v>14</v>
      </c>
      <c r="M90" s="22" t="n">
        <f aca="false">L90*Assumptions!B31</f>
        <v>4200</v>
      </c>
      <c r="N90" s="22" t="n">
        <f aca="false">J90+M90</f>
        <v>14400</v>
      </c>
      <c r="O90" s="22" t="n">
        <f aca="false">IF(DAY(B90)=1,Assumptions!B38*G90,0)</f>
        <v>0</v>
      </c>
      <c r="P90" s="22" t="n">
        <f aca="false">IF(DAY(B90)=1,Assumptions!B39*G90,0)</f>
        <v>0</v>
      </c>
      <c r="Q90" s="22" t="n">
        <f aca="false">IF(DAY(B90)=1,Assumptions!B40*G90,0)</f>
        <v>0</v>
      </c>
      <c r="R90" s="22" t="n">
        <f aca="false">IF(DAY(B90)=1,Assumptions!B41*G90,0)</f>
        <v>0</v>
      </c>
      <c r="S90" s="22" t="n">
        <f aca="false">IF(AND(DAY(B90)=1,D90&gt;=13),Assumptions!B42*G90,0)</f>
        <v>0</v>
      </c>
      <c r="T90" s="22" t="n">
        <f aca="false">IF(DAY(B90)=1,Assumptions!B43*G90,0)</f>
        <v>0</v>
      </c>
      <c r="U90" s="22" t="n">
        <f aca="false">SUM(O90:T90)</f>
        <v>0</v>
      </c>
      <c r="V90" s="22" t="n">
        <f aca="false">N90-U90</f>
        <v>14400</v>
      </c>
      <c r="W90" s="22" t="n">
        <f aca="false">W89+V90</f>
        <v>-4675100</v>
      </c>
      <c r="X90" s="23" t="str">
        <f aca="false">IF(W90&gt;=0,"YES","No")</f>
        <v>No</v>
      </c>
    </row>
    <row r="91" customFormat="false" ht="15" hidden="false" customHeight="false" outlineLevel="0" collapsed="false">
      <c r="A91" s="16" t="n">
        <v>90</v>
      </c>
      <c r="B91" s="17" t="n">
        <f aca="false">B90+1</f>
        <v>46112</v>
      </c>
      <c r="C91" s="18" t="n">
        <f aca="false">MIN(ROUNDUP(A91/365,0),5)</f>
        <v>1</v>
      </c>
      <c r="D91" s="18" t="n">
        <f aca="false">DATEDIF(Assumptions!B5,B91,"m")+1</f>
        <v>3</v>
      </c>
      <c r="E91" s="18" t="str">
        <f aca="false">TEXT(B91,"ddd")</f>
        <v>Tue</v>
      </c>
      <c r="F91" s="19" t="n">
        <f aca="false">IF(WEEKDAY(B91,2)&gt;=6,Assumptions!B34,Assumptions!B35)</f>
        <v>1</v>
      </c>
      <c r="G91" s="20" t="n">
        <f aca="false">IF(D91&gt;=13,(1+Assumptions!B46)^(D91-12),1)</f>
        <v>1</v>
      </c>
      <c r="H91" s="21" t="n">
        <f aca="false">H90*(1+IF(C91=1,Assumptions!B22,Assumptions!B23))</f>
        <v>17.4048548219508</v>
      </c>
      <c r="I91" s="16" t="n">
        <f aca="false">ROUND(H91*F91,0)</f>
        <v>17</v>
      </c>
      <c r="J91" s="22" t="n">
        <f aca="false">I91*Assumptions!B24</f>
        <v>10200</v>
      </c>
      <c r="K91" s="21" t="n">
        <f aca="false">K90*(1+Assumptions!B30)</f>
        <v>13.5285144197961</v>
      </c>
      <c r="L91" s="16" t="n">
        <f aca="false">ROUND(K91*F91,0)</f>
        <v>14</v>
      </c>
      <c r="M91" s="22" t="n">
        <f aca="false">L91*Assumptions!B31</f>
        <v>4200</v>
      </c>
      <c r="N91" s="22" t="n">
        <f aca="false">J91+M91</f>
        <v>14400</v>
      </c>
      <c r="O91" s="22" t="n">
        <f aca="false">IF(DAY(B91)=1,Assumptions!B38*G91,0)</f>
        <v>0</v>
      </c>
      <c r="P91" s="22" t="n">
        <f aca="false">IF(DAY(B91)=1,Assumptions!B39*G91,0)</f>
        <v>0</v>
      </c>
      <c r="Q91" s="22" t="n">
        <f aca="false">IF(DAY(B91)=1,Assumptions!B40*G91,0)</f>
        <v>0</v>
      </c>
      <c r="R91" s="22" t="n">
        <f aca="false">IF(DAY(B91)=1,Assumptions!B41*G91,0)</f>
        <v>0</v>
      </c>
      <c r="S91" s="22" t="n">
        <f aca="false">IF(AND(DAY(B91)=1,D91&gt;=13),Assumptions!B42*G91,0)</f>
        <v>0</v>
      </c>
      <c r="T91" s="22" t="n">
        <f aca="false">IF(DAY(B91)=1,Assumptions!B43*G91,0)</f>
        <v>0</v>
      </c>
      <c r="U91" s="22" t="n">
        <f aca="false">SUM(O91:T91)</f>
        <v>0</v>
      </c>
      <c r="V91" s="22" t="n">
        <f aca="false">N91-U91</f>
        <v>14400</v>
      </c>
      <c r="W91" s="22" t="n">
        <f aca="false">W90+V91</f>
        <v>-4660700</v>
      </c>
      <c r="X91" s="23" t="str">
        <f aca="false">IF(W91&gt;=0,"YES","No")</f>
        <v>No</v>
      </c>
    </row>
    <row r="92" customFormat="false" ht="15" hidden="false" customHeight="false" outlineLevel="0" collapsed="false">
      <c r="A92" s="16" t="n">
        <v>91</v>
      </c>
      <c r="B92" s="17" t="n">
        <f aca="false">B91+1</f>
        <v>46113</v>
      </c>
      <c r="C92" s="18" t="n">
        <f aca="false">MIN(ROUNDUP(A92/365,0),5)</f>
        <v>1</v>
      </c>
      <c r="D92" s="18" t="n">
        <f aca="false">DATEDIF(Assumptions!B5,B92,"m")+1</f>
        <v>4</v>
      </c>
      <c r="E92" s="18" t="str">
        <f aca="false">TEXT(B92,"ddd")</f>
        <v>Wed</v>
      </c>
      <c r="F92" s="19" t="n">
        <f aca="false">IF(WEEKDAY(B92,2)&gt;=6,Assumptions!B34,Assumptions!B35)</f>
        <v>1</v>
      </c>
      <c r="G92" s="20" t="n">
        <f aca="false">IF(D92&gt;=13,(1+Assumptions!B46)^(D92-12),1)</f>
        <v>1</v>
      </c>
      <c r="H92" s="21" t="n">
        <f aca="false">H91*(1+IF(C92=1,Assumptions!B22,Assumptions!B23))</f>
        <v>17.4161811684269</v>
      </c>
      <c r="I92" s="16" t="n">
        <f aca="false">ROUND(H92*F92,0)</f>
        <v>17</v>
      </c>
      <c r="J92" s="22" t="n">
        <f aca="false">I92*Assumptions!B24</f>
        <v>10200</v>
      </c>
      <c r="K92" s="21" t="n">
        <f aca="false">K91*(1+Assumptions!B30)</f>
        <v>13.5329373895148</v>
      </c>
      <c r="L92" s="16" t="n">
        <f aca="false">ROUND(K92*F92,0)</f>
        <v>14</v>
      </c>
      <c r="M92" s="22" t="n">
        <f aca="false">L92*Assumptions!B31</f>
        <v>4200</v>
      </c>
      <c r="N92" s="22" t="n">
        <f aca="false">J92+M92</f>
        <v>14400</v>
      </c>
      <c r="O92" s="22" t="n">
        <f aca="false">IF(DAY(B92)=1,Assumptions!B38*G92,0)</f>
        <v>150000</v>
      </c>
      <c r="P92" s="22" t="n">
        <f aca="false">IF(DAY(B92)=1,Assumptions!B39*G92,0)</f>
        <v>40000</v>
      </c>
      <c r="Q92" s="22" t="n">
        <f aca="false">IF(DAY(B92)=1,Assumptions!B40*G92,0)</f>
        <v>30000</v>
      </c>
      <c r="R92" s="22" t="n">
        <f aca="false">IF(DAY(B92)=1,Assumptions!B41*G92,0)</f>
        <v>20000</v>
      </c>
      <c r="S92" s="22" t="n">
        <f aca="false">IF(AND(DAY(B92)=1,D92&gt;=13),Assumptions!B42*G92,0)</f>
        <v>0</v>
      </c>
      <c r="T92" s="22" t="n">
        <f aca="false">IF(DAY(B92)=1,Assumptions!B43*G92,0)</f>
        <v>20000</v>
      </c>
      <c r="U92" s="22" t="n">
        <f aca="false">SUM(O92:T92)</f>
        <v>260000</v>
      </c>
      <c r="V92" s="22" t="n">
        <f aca="false">N92-U92</f>
        <v>-245600</v>
      </c>
      <c r="W92" s="22" t="n">
        <f aca="false">W91+V92</f>
        <v>-4906300</v>
      </c>
      <c r="X92" s="23" t="str">
        <f aca="false">IF(W92&gt;=0,"YES","No")</f>
        <v>No</v>
      </c>
    </row>
    <row r="93" customFormat="false" ht="15" hidden="false" customHeight="false" outlineLevel="0" collapsed="false">
      <c r="A93" s="16" t="n">
        <v>92</v>
      </c>
      <c r="B93" s="17" t="n">
        <f aca="false">B92+1</f>
        <v>46114</v>
      </c>
      <c r="C93" s="18" t="n">
        <f aca="false">MIN(ROUNDUP(A93/365,0),5)</f>
        <v>1</v>
      </c>
      <c r="D93" s="18" t="n">
        <f aca="false">DATEDIF(Assumptions!B5,B93,"m")+1</f>
        <v>4</v>
      </c>
      <c r="E93" s="18" t="str">
        <f aca="false">TEXT(B93,"ddd")</f>
        <v>Thu</v>
      </c>
      <c r="F93" s="19" t="n">
        <f aca="false">IF(WEEKDAY(B93,2)&gt;=6,Assumptions!B34,Assumptions!B35)</f>
        <v>1</v>
      </c>
      <c r="G93" s="20" t="n">
        <f aca="false">IF(D93&gt;=13,(1+Assumptions!B46)^(D93-12),1)</f>
        <v>1</v>
      </c>
      <c r="H93" s="21" t="n">
        <f aca="false">H92*(1+IF(C93=1,Assumptions!B22,Assumptions!B23))</f>
        <v>17.4275148856123</v>
      </c>
      <c r="I93" s="16" t="n">
        <f aca="false">ROUND(H93*F93,0)</f>
        <v>17</v>
      </c>
      <c r="J93" s="22" t="n">
        <f aca="false">I93*Assumptions!B24</f>
        <v>10200</v>
      </c>
      <c r="K93" s="21" t="n">
        <f aca="false">K92*(1+Assumptions!B30)</f>
        <v>13.5373618052652</v>
      </c>
      <c r="L93" s="16" t="n">
        <f aca="false">ROUND(K93*F93,0)</f>
        <v>14</v>
      </c>
      <c r="M93" s="22" t="n">
        <f aca="false">L93*Assumptions!B31</f>
        <v>4200</v>
      </c>
      <c r="N93" s="22" t="n">
        <f aca="false">J93+M93</f>
        <v>14400</v>
      </c>
      <c r="O93" s="22" t="n">
        <f aca="false">IF(DAY(B93)=1,Assumptions!B38*G93,0)</f>
        <v>0</v>
      </c>
      <c r="P93" s="22" t="n">
        <f aca="false">IF(DAY(B93)=1,Assumptions!B39*G93,0)</f>
        <v>0</v>
      </c>
      <c r="Q93" s="22" t="n">
        <f aca="false">IF(DAY(B93)=1,Assumptions!B40*G93,0)</f>
        <v>0</v>
      </c>
      <c r="R93" s="22" t="n">
        <f aca="false">IF(DAY(B93)=1,Assumptions!B41*G93,0)</f>
        <v>0</v>
      </c>
      <c r="S93" s="22" t="n">
        <f aca="false">IF(AND(DAY(B93)=1,D93&gt;=13),Assumptions!B42*G93,0)</f>
        <v>0</v>
      </c>
      <c r="T93" s="22" t="n">
        <f aca="false">IF(DAY(B93)=1,Assumptions!B43*G93,0)</f>
        <v>0</v>
      </c>
      <c r="U93" s="22" t="n">
        <f aca="false">SUM(O93:T93)</f>
        <v>0</v>
      </c>
      <c r="V93" s="22" t="n">
        <f aca="false">N93-U93</f>
        <v>14400</v>
      </c>
      <c r="W93" s="22" t="n">
        <f aca="false">W92+V93</f>
        <v>-4891900</v>
      </c>
      <c r="X93" s="23" t="str">
        <f aca="false">IF(W93&gt;=0,"YES","No")</f>
        <v>No</v>
      </c>
    </row>
    <row r="94" customFormat="false" ht="15" hidden="false" customHeight="false" outlineLevel="0" collapsed="false">
      <c r="A94" s="16" t="n">
        <v>93</v>
      </c>
      <c r="B94" s="17" t="n">
        <f aca="false">B93+1</f>
        <v>46115</v>
      </c>
      <c r="C94" s="18" t="n">
        <f aca="false">MIN(ROUNDUP(A94/365,0),5)</f>
        <v>1</v>
      </c>
      <c r="D94" s="18" t="n">
        <f aca="false">DATEDIF(Assumptions!B5,B94,"m")+1</f>
        <v>4</v>
      </c>
      <c r="E94" s="18" t="str">
        <f aca="false">TEXT(B94,"ddd")</f>
        <v>Fri</v>
      </c>
      <c r="F94" s="19" t="n">
        <f aca="false">IF(WEEKDAY(B94,2)&gt;=6,Assumptions!B34,Assumptions!B35)</f>
        <v>1</v>
      </c>
      <c r="G94" s="20" t="n">
        <f aca="false">IF(D94&gt;=13,(1+Assumptions!B46)^(D94-12),1)</f>
        <v>1</v>
      </c>
      <c r="H94" s="21" t="n">
        <f aca="false">H93*(1+IF(C94=1,Assumptions!B22,Assumptions!B23))</f>
        <v>17.4388559783034</v>
      </c>
      <c r="I94" s="16" t="n">
        <f aca="false">ROUND(H94*F94,0)</f>
        <v>17</v>
      </c>
      <c r="J94" s="22" t="n">
        <f aca="false">I94*Assumptions!B24</f>
        <v>10200</v>
      </c>
      <c r="K94" s="21" t="n">
        <f aca="false">K93*(1+Assumptions!B30)</f>
        <v>13.54178766752</v>
      </c>
      <c r="L94" s="16" t="n">
        <f aca="false">ROUND(K94*F94,0)</f>
        <v>14</v>
      </c>
      <c r="M94" s="22" t="n">
        <f aca="false">L94*Assumptions!B31</f>
        <v>4200</v>
      </c>
      <c r="N94" s="22" t="n">
        <f aca="false">J94+M94</f>
        <v>14400</v>
      </c>
      <c r="O94" s="22" t="n">
        <f aca="false">IF(DAY(B94)=1,Assumptions!B38*G94,0)</f>
        <v>0</v>
      </c>
      <c r="P94" s="22" t="n">
        <f aca="false">IF(DAY(B94)=1,Assumptions!B39*G94,0)</f>
        <v>0</v>
      </c>
      <c r="Q94" s="22" t="n">
        <f aca="false">IF(DAY(B94)=1,Assumptions!B40*G94,0)</f>
        <v>0</v>
      </c>
      <c r="R94" s="22" t="n">
        <f aca="false">IF(DAY(B94)=1,Assumptions!B41*G94,0)</f>
        <v>0</v>
      </c>
      <c r="S94" s="22" t="n">
        <f aca="false">IF(AND(DAY(B94)=1,D94&gt;=13),Assumptions!B42*G94,0)</f>
        <v>0</v>
      </c>
      <c r="T94" s="22" t="n">
        <f aca="false">IF(DAY(B94)=1,Assumptions!B43*G94,0)</f>
        <v>0</v>
      </c>
      <c r="U94" s="22" t="n">
        <f aca="false">SUM(O94:T94)</f>
        <v>0</v>
      </c>
      <c r="V94" s="22" t="n">
        <f aca="false">N94-U94</f>
        <v>14400</v>
      </c>
      <c r="W94" s="22" t="n">
        <f aca="false">W93+V94</f>
        <v>-4877500</v>
      </c>
      <c r="X94" s="23" t="str">
        <f aca="false">IF(W94&gt;=0,"YES","No")</f>
        <v>No</v>
      </c>
    </row>
    <row r="95" customFormat="false" ht="15" hidden="false" customHeight="false" outlineLevel="0" collapsed="false">
      <c r="A95" s="16" t="n">
        <v>94</v>
      </c>
      <c r="B95" s="17" t="n">
        <f aca="false">B94+1</f>
        <v>46116</v>
      </c>
      <c r="C95" s="18" t="n">
        <f aca="false">MIN(ROUNDUP(A95/365,0),5)</f>
        <v>1</v>
      </c>
      <c r="D95" s="18" t="n">
        <f aca="false">DATEDIF(Assumptions!B5,B95,"m")+1</f>
        <v>4</v>
      </c>
      <c r="E95" s="18" t="str">
        <f aca="false">TEXT(B95,"ddd")</f>
        <v>Sat</v>
      </c>
      <c r="F95" s="19" t="n">
        <f aca="false">IF(WEEKDAY(B95,2)&gt;=6,Assumptions!B34,Assumptions!B35)</f>
        <v>0.6</v>
      </c>
      <c r="G95" s="20" t="n">
        <f aca="false">IF(D95&gt;=13,(1+Assumptions!B46)^(D95-12),1)</f>
        <v>1</v>
      </c>
      <c r="H95" s="21" t="n">
        <f aca="false">H94*(1+IF(C95=1,Assumptions!B22,Assumptions!B23))</f>
        <v>17.4502044513001</v>
      </c>
      <c r="I95" s="16" t="n">
        <f aca="false">ROUND(H95*F95,0)</f>
        <v>10</v>
      </c>
      <c r="J95" s="22" t="n">
        <f aca="false">I95*Assumptions!B24</f>
        <v>6000</v>
      </c>
      <c r="K95" s="21" t="n">
        <f aca="false">K94*(1+Assumptions!B30)</f>
        <v>13.5462149767523</v>
      </c>
      <c r="L95" s="16" t="n">
        <f aca="false">ROUND(K95*F95,0)</f>
        <v>8</v>
      </c>
      <c r="M95" s="22" t="n">
        <f aca="false">L95*Assumptions!B31</f>
        <v>2400</v>
      </c>
      <c r="N95" s="22" t="n">
        <f aca="false">J95+M95</f>
        <v>8400</v>
      </c>
      <c r="O95" s="22" t="n">
        <f aca="false">IF(DAY(B95)=1,Assumptions!B38*G95,0)</f>
        <v>0</v>
      </c>
      <c r="P95" s="22" t="n">
        <f aca="false">IF(DAY(B95)=1,Assumptions!B39*G95,0)</f>
        <v>0</v>
      </c>
      <c r="Q95" s="22" t="n">
        <f aca="false">IF(DAY(B95)=1,Assumptions!B40*G95,0)</f>
        <v>0</v>
      </c>
      <c r="R95" s="22" t="n">
        <f aca="false">IF(DAY(B95)=1,Assumptions!B41*G95,0)</f>
        <v>0</v>
      </c>
      <c r="S95" s="22" t="n">
        <f aca="false">IF(AND(DAY(B95)=1,D95&gt;=13),Assumptions!B42*G95,0)</f>
        <v>0</v>
      </c>
      <c r="T95" s="22" t="n">
        <f aca="false">IF(DAY(B95)=1,Assumptions!B43*G95,0)</f>
        <v>0</v>
      </c>
      <c r="U95" s="22" t="n">
        <f aca="false">SUM(O95:T95)</f>
        <v>0</v>
      </c>
      <c r="V95" s="22" t="n">
        <f aca="false">N95-U95</f>
        <v>8400</v>
      </c>
      <c r="W95" s="22" t="n">
        <f aca="false">W94+V95</f>
        <v>-4869100</v>
      </c>
      <c r="X95" s="23" t="str">
        <f aca="false">IF(W95&gt;=0,"YES","No")</f>
        <v>No</v>
      </c>
    </row>
    <row r="96" customFormat="false" ht="15" hidden="false" customHeight="false" outlineLevel="0" collapsed="false">
      <c r="A96" s="16" t="n">
        <v>95</v>
      </c>
      <c r="B96" s="17" t="n">
        <f aca="false">B95+1</f>
        <v>46117</v>
      </c>
      <c r="C96" s="18" t="n">
        <f aca="false">MIN(ROUNDUP(A96/365,0),5)</f>
        <v>1</v>
      </c>
      <c r="D96" s="18" t="n">
        <f aca="false">DATEDIF(Assumptions!B5,B96,"m")+1</f>
        <v>4</v>
      </c>
      <c r="E96" s="18" t="str">
        <f aca="false">TEXT(B96,"ddd")</f>
        <v>Sun</v>
      </c>
      <c r="F96" s="19" t="n">
        <f aca="false">IF(WEEKDAY(B96,2)&gt;=6,Assumptions!B34,Assumptions!B35)</f>
        <v>0.6</v>
      </c>
      <c r="G96" s="20" t="n">
        <f aca="false">IF(D96&gt;=13,(1+Assumptions!B46)^(D96-12),1)</f>
        <v>1</v>
      </c>
      <c r="H96" s="21" t="n">
        <f aca="false">H95*(1+IF(C96=1,Assumptions!B22,Assumptions!B23))</f>
        <v>17.461560309405</v>
      </c>
      <c r="I96" s="16" t="n">
        <f aca="false">ROUND(H96*F96,0)</f>
        <v>10</v>
      </c>
      <c r="J96" s="22" t="n">
        <f aca="false">I96*Assumptions!B24</f>
        <v>6000</v>
      </c>
      <c r="K96" s="21" t="n">
        <f aca="false">K95*(1+Assumptions!B30)</f>
        <v>13.5506437334351</v>
      </c>
      <c r="L96" s="16" t="n">
        <f aca="false">ROUND(K96*F96,0)</f>
        <v>8</v>
      </c>
      <c r="M96" s="22" t="n">
        <f aca="false">L96*Assumptions!B31</f>
        <v>2400</v>
      </c>
      <c r="N96" s="22" t="n">
        <f aca="false">J96+M96</f>
        <v>8400</v>
      </c>
      <c r="O96" s="22" t="n">
        <f aca="false">IF(DAY(B96)=1,Assumptions!B38*G96,0)</f>
        <v>0</v>
      </c>
      <c r="P96" s="22" t="n">
        <f aca="false">IF(DAY(B96)=1,Assumptions!B39*G96,0)</f>
        <v>0</v>
      </c>
      <c r="Q96" s="22" t="n">
        <f aca="false">IF(DAY(B96)=1,Assumptions!B40*G96,0)</f>
        <v>0</v>
      </c>
      <c r="R96" s="22" t="n">
        <f aca="false">IF(DAY(B96)=1,Assumptions!B41*G96,0)</f>
        <v>0</v>
      </c>
      <c r="S96" s="22" t="n">
        <f aca="false">IF(AND(DAY(B96)=1,D96&gt;=13),Assumptions!B42*G96,0)</f>
        <v>0</v>
      </c>
      <c r="T96" s="22" t="n">
        <f aca="false">IF(DAY(B96)=1,Assumptions!B43*G96,0)</f>
        <v>0</v>
      </c>
      <c r="U96" s="22" t="n">
        <f aca="false">SUM(O96:T96)</f>
        <v>0</v>
      </c>
      <c r="V96" s="22" t="n">
        <f aca="false">N96-U96</f>
        <v>8400</v>
      </c>
      <c r="W96" s="22" t="n">
        <f aca="false">W95+V96</f>
        <v>-4860700</v>
      </c>
      <c r="X96" s="23" t="str">
        <f aca="false">IF(W96&gt;=0,"YES","No")</f>
        <v>No</v>
      </c>
    </row>
    <row r="97" customFormat="false" ht="15" hidden="false" customHeight="false" outlineLevel="0" collapsed="false">
      <c r="A97" s="16" t="n">
        <v>96</v>
      </c>
      <c r="B97" s="17" t="n">
        <f aca="false">B96+1</f>
        <v>46118</v>
      </c>
      <c r="C97" s="18" t="n">
        <f aca="false">MIN(ROUNDUP(A97/365,0),5)</f>
        <v>1</v>
      </c>
      <c r="D97" s="18" t="n">
        <f aca="false">DATEDIF(Assumptions!B5,B97,"m")+1</f>
        <v>4</v>
      </c>
      <c r="E97" s="18" t="str">
        <f aca="false">TEXT(B97,"ddd")</f>
        <v>Mon</v>
      </c>
      <c r="F97" s="19" t="n">
        <f aca="false">IF(WEEKDAY(B97,2)&gt;=6,Assumptions!B34,Assumptions!B35)</f>
        <v>1</v>
      </c>
      <c r="G97" s="20" t="n">
        <f aca="false">IF(D97&gt;=13,(1+Assumptions!B46)^(D97-12),1)</f>
        <v>1</v>
      </c>
      <c r="H97" s="21" t="n">
        <f aca="false">H96*(1+IF(C97=1,Assumptions!B22,Assumptions!B23))</f>
        <v>17.472923557424</v>
      </c>
      <c r="I97" s="16" t="n">
        <f aca="false">ROUND(H97*F97,0)</f>
        <v>17</v>
      </c>
      <c r="J97" s="22" t="n">
        <f aca="false">I97*Assumptions!B24</f>
        <v>10200</v>
      </c>
      <c r="K97" s="21" t="n">
        <f aca="false">K96*(1+Assumptions!B30)</f>
        <v>13.5550739380416</v>
      </c>
      <c r="L97" s="16" t="n">
        <f aca="false">ROUND(K97*F97,0)</f>
        <v>14</v>
      </c>
      <c r="M97" s="22" t="n">
        <f aca="false">L97*Assumptions!B31</f>
        <v>4200</v>
      </c>
      <c r="N97" s="22" t="n">
        <f aca="false">J97+M97</f>
        <v>14400</v>
      </c>
      <c r="O97" s="22" t="n">
        <f aca="false">IF(DAY(B97)=1,Assumptions!B38*G97,0)</f>
        <v>0</v>
      </c>
      <c r="P97" s="22" t="n">
        <f aca="false">IF(DAY(B97)=1,Assumptions!B39*G97,0)</f>
        <v>0</v>
      </c>
      <c r="Q97" s="22" t="n">
        <f aca="false">IF(DAY(B97)=1,Assumptions!B40*G97,0)</f>
        <v>0</v>
      </c>
      <c r="R97" s="22" t="n">
        <f aca="false">IF(DAY(B97)=1,Assumptions!B41*G97,0)</f>
        <v>0</v>
      </c>
      <c r="S97" s="22" t="n">
        <f aca="false">IF(AND(DAY(B97)=1,D97&gt;=13),Assumptions!B42*G97,0)</f>
        <v>0</v>
      </c>
      <c r="T97" s="22" t="n">
        <f aca="false">IF(DAY(B97)=1,Assumptions!B43*G97,0)</f>
        <v>0</v>
      </c>
      <c r="U97" s="22" t="n">
        <f aca="false">SUM(O97:T97)</f>
        <v>0</v>
      </c>
      <c r="V97" s="22" t="n">
        <f aca="false">N97-U97</f>
        <v>14400</v>
      </c>
      <c r="W97" s="22" t="n">
        <f aca="false">W96+V97</f>
        <v>-4846300</v>
      </c>
      <c r="X97" s="23" t="str">
        <f aca="false">IF(W97&gt;=0,"YES","No")</f>
        <v>No</v>
      </c>
    </row>
    <row r="98" customFormat="false" ht="15" hidden="false" customHeight="false" outlineLevel="0" collapsed="false">
      <c r="A98" s="16" t="n">
        <v>97</v>
      </c>
      <c r="B98" s="17" t="n">
        <f aca="false">B97+1</f>
        <v>46119</v>
      </c>
      <c r="C98" s="18" t="n">
        <f aca="false">MIN(ROUNDUP(A98/365,0),5)</f>
        <v>1</v>
      </c>
      <c r="D98" s="18" t="n">
        <f aca="false">DATEDIF(Assumptions!B5,B98,"m")+1</f>
        <v>4</v>
      </c>
      <c r="E98" s="18" t="str">
        <f aca="false">TEXT(B98,"ddd")</f>
        <v>Tue</v>
      </c>
      <c r="F98" s="19" t="n">
        <f aca="false">IF(WEEKDAY(B98,2)&gt;=6,Assumptions!B34,Assumptions!B35)</f>
        <v>1</v>
      </c>
      <c r="G98" s="20" t="n">
        <f aca="false">IF(D98&gt;=13,(1+Assumptions!B46)^(D98-12),1)</f>
        <v>1</v>
      </c>
      <c r="H98" s="21" t="n">
        <f aca="false">H97*(1+IF(C98=1,Assumptions!B22,Assumptions!B23))</f>
        <v>17.4842942001663</v>
      </c>
      <c r="I98" s="16" t="n">
        <f aca="false">ROUND(H98*F98,0)</f>
        <v>17</v>
      </c>
      <c r="J98" s="22" t="n">
        <f aca="false">I98*Assumptions!B24</f>
        <v>10200</v>
      </c>
      <c r="K98" s="21" t="n">
        <f aca="false">K97*(1+Assumptions!B30)</f>
        <v>13.5595055910451</v>
      </c>
      <c r="L98" s="16" t="n">
        <f aca="false">ROUND(K98*F98,0)</f>
        <v>14</v>
      </c>
      <c r="M98" s="22" t="n">
        <f aca="false">L98*Assumptions!B31</f>
        <v>4200</v>
      </c>
      <c r="N98" s="22" t="n">
        <f aca="false">J98+M98</f>
        <v>14400</v>
      </c>
      <c r="O98" s="22" t="n">
        <f aca="false">IF(DAY(B98)=1,Assumptions!B38*G98,0)</f>
        <v>0</v>
      </c>
      <c r="P98" s="22" t="n">
        <f aca="false">IF(DAY(B98)=1,Assumptions!B39*G98,0)</f>
        <v>0</v>
      </c>
      <c r="Q98" s="22" t="n">
        <f aca="false">IF(DAY(B98)=1,Assumptions!B40*G98,0)</f>
        <v>0</v>
      </c>
      <c r="R98" s="22" t="n">
        <f aca="false">IF(DAY(B98)=1,Assumptions!B41*G98,0)</f>
        <v>0</v>
      </c>
      <c r="S98" s="22" t="n">
        <f aca="false">IF(AND(DAY(B98)=1,D98&gt;=13),Assumptions!B42*G98,0)</f>
        <v>0</v>
      </c>
      <c r="T98" s="22" t="n">
        <f aca="false">IF(DAY(B98)=1,Assumptions!B43*G98,0)</f>
        <v>0</v>
      </c>
      <c r="U98" s="22" t="n">
        <f aca="false">SUM(O98:T98)</f>
        <v>0</v>
      </c>
      <c r="V98" s="22" t="n">
        <f aca="false">N98-U98</f>
        <v>14400</v>
      </c>
      <c r="W98" s="22" t="n">
        <f aca="false">W97+V98</f>
        <v>-4831900</v>
      </c>
      <c r="X98" s="23" t="str">
        <f aca="false">IF(W98&gt;=0,"YES","No")</f>
        <v>No</v>
      </c>
    </row>
    <row r="99" customFormat="false" ht="15" hidden="false" customHeight="false" outlineLevel="0" collapsed="false">
      <c r="A99" s="16" t="n">
        <v>98</v>
      </c>
      <c r="B99" s="17" t="n">
        <f aca="false">B98+1</f>
        <v>46120</v>
      </c>
      <c r="C99" s="18" t="n">
        <f aca="false">MIN(ROUNDUP(A99/365,0),5)</f>
        <v>1</v>
      </c>
      <c r="D99" s="18" t="n">
        <f aca="false">DATEDIF(Assumptions!B5,B99,"m")+1</f>
        <v>4</v>
      </c>
      <c r="E99" s="18" t="str">
        <f aca="false">TEXT(B99,"ddd")</f>
        <v>Wed</v>
      </c>
      <c r="F99" s="19" t="n">
        <f aca="false">IF(WEEKDAY(B99,2)&gt;=6,Assumptions!B34,Assumptions!B35)</f>
        <v>1</v>
      </c>
      <c r="G99" s="20" t="n">
        <f aca="false">IF(D99&gt;=13,(1+Assumptions!B46)^(D99-12),1)</f>
        <v>1</v>
      </c>
      <c r="H99" s="21" t="n">
        <f aca="false">H98*(1+IF(C99=1,Assumptions!B22,Assumptions!B23))</f>
        <v>17.495672242444</v>
      </c>
      <c r="I99" s="16" t="n">
        <f aca="false">ROUND(H99*F99,0)</f>
        <v>17</v>
      </c>
      <c r="J99" s="22" t="n">
        <f aca="false">I99*Assumptions!B24</f>
        <v>10200</v>
      </c>
      <c r="K99" s="21" t="n">
        <f aca="false">K98*(1+Assumptions!B30)</f>
        <v>13.5639386929193</v>
      </c>
      <c r="L99" s="16" t="n">
        <f aca="false">ROUND(K99*F99,0)</f>
        <v>14</v>
      </c>
      <c r="M99" s="22" t="n">
        <f aca="false">L99*Assumptions!B31</f>
        <v>4200</v>
      </c>
      <c r="N99" s="22" t="n">
        <f aca="false">J99+M99</f>
        <v>14400</v>
      </c>
      <c r="O99" s="22" t="n">
        <f aca="false">IF(DAY(B99)=1,Assumptions!B38*G99,0)</f>
        <v>0</v>
      </c>
      <c r="P99" s="22" t="n">
        <f aca="false">IF(DAY(B99)=1,Assumptions!B39*G99,0)</f>
        <v>0</v>
      </c>
      <c r="Q99" s="22" t="n">
        <f aca="false">IF(DAY(B99)=1,Assumptions!B40*G99,0)</f>
        <v>0</v>
      </c>
      <c r="R99" s="22" t="n">
        <f aca="false">IF(DAY(B99)=1,Assumptions!B41*G99,0)</f>
        <v>0</v>
      </c>
      <c r="S99" s="22" t="n">
        <f aca="false">IF(AND(DAY(B99)=1,D99&gt;=13),Assumptions!B42*G99,0)</f>
        <v>0</v>
      </c>
      <c r="T99" s="22" t="n">
        <f aca="false">IF(DAY(B99)=1,Assumptions!B43*G99,0)</f>
        <v>0</v>
      </c>
      <c r="U99" s="22" t="n">
        <f aca="false">SUM(O99:T99)</f>
        <v>0</v>
      </c>
      <c r="V99" s="22" t="n">
        <f aca="false">N99-U99</f>
        <v>14400</v>
      </c>
      <c r="W99" s="22" t="n">
        <f aca="false">W98+V99</f>
        <v>-4817500</v>
      </c>
      <c r="X99" s="23" t="str">
        <f aca="false">IF(W99&gt;=0,"YES","No")</f>
        <v>No</v>
      </c>
    </row>
    <row r="100" customFormat="false" ht="15" hidden="false" customHeight="false" outlineLevel="0" collapsed="false">
      <c r="A100" s="16" t="n">
        <v>99</v>
      </c>
      <c r="B100" s="17" t="n">
        <f aca="false">B99+1</f>
        <v>46121</v>
      </c>
      <c r="C100" s="18" t="n">
        <f aca="false">MIN(ROUNDUP(A100/365,0),5)</f>
        <v>1</v>
      </c>
      <c r="D100" s="18" t="n">
        <f aca="false">DATEDIF(Assumptions!B5,B100,"m")+1</f>
        <v>4</v>
      </c>
      <c r="E100" s="18" t="str">
        <f aca="false">TEXT(B100,"ddd")</f>
        <v>Thu</v>
      </c>
      <c r="F100" s="19" t="n">
        <f aca="false">IF(WEEKDAY(B100,2)&gt;=6,Assumptions!B34,Assumptions!B35)</f>
        <v>1</v>
      </c>
      <c r="G100" s="20" t="n">
        <f aca="false">IF(D100&gt;=13,(1+Assumptions!B46)^(D100-12),1)</f>
        <v>1</v>
      </c>
      <c r="H100" s="21" t="n">
        <f aca="false">H99*(1+IF(C100=1,Assumptions!B22,Assumptions!B23))</f>
        <v>17.5070576890724</v>
      </c>
      <c r="I100" s="16" t="n">
        <f aca="false">ROUND(H100*F100,0)</f>
        <v>18</v>
      </c>
      <c r="J100" s="22" t="n">
        <f aca="false">I100*Assumptions!B24</f>
        <v>10800</v>
      </c>
      <c r="K100" s="21" t="n">
        <f aca="false">K99*(1+Assumptions!B30)</f>
        <v>13.5683732441378</v>
      </c>
      <c r="L100" s="16" t="n">
        <f aca="false">ROUND(K100*F100,0)</f>
        <v>14</v>
      </c>
      <c r="M100" s="22" t="n">
        <f aca="false">L100*Assumptions!B31</f>
        <v>4200</v>
      </c>
      <c r="N100" s="22" t="n">
        <f aca="false">J100+M100</f>
        <v>15000</v>
      </c>
      <c r="O100" s="22" t="n">
        <f aca="false">IF(DAY(B100)=1,Assumptions!B38*G100,0)</f>
        <v>0</v>
      </c>
      <c r="P100" s="22" t="n">
        <f aca="false">IF(DAY(B100)=1,Assumptions!B39*G100,0)</f>
        <v>0</v>
      </c>
      <c r="Q100" s="22" t="n">
        <f aca="false">IF(DAY(B100)=1,Assumptions!B40*G100,0)</f>
        <v>0</v>
      </c>
      <c r="R100" s="22" t="n">
        <f aca="false">IF(DAY(B100)=1,Assumptions!B41*G100,0)</f>
        <v>0</v>
      </c>
      <c r="S100" s="22" t="n">
        <f aca="false">IF(AND(DAY(B100)=1,D100&gt;=13),Assumptions!B42*G100,0)</f>
        <v>0</v>
      </c>
      <c r="T100" s="22" t="n">
        <f aca="false">IF(DAY(B100)=1,Assumptions!B43*G100,0)</f>
        <v>0</v>
      </c>
      <c r="U100" s="22" t="n">
        <f aca="false">SUM(O100:T100)</f>
        <v>0</v>
      </c>
      <c r="V100" s="22" t="n">
        <f aca="false">N100-U100</f>
        <v>15000</v>
      </c>
      <c r="W100" s="22" t="n">
        <f aca="false">W99+V100</f>
        <v>-4802500</v>
      </c>
      <c r="X100" s="23" t="str">
        <f aca="false">IF(W100&gt;=0,"YES","No")</f>
        <v>No</v>
      </c>
    </row>
    <row r="101" customFormat="false" ht="15" hidden="false" customHeight="false" outlineLevel="0" collapsed="false">
      <c r="A101" s="16" t="n">
        <v>100</v>
      </c>
      <c r="B101" s="17" t="n">
        <f aca="false">B100+1</f>
        <v>46122</v>
      </c>
      <c r="C101" s="18" t="n">
        <f aca="false">MIN(ROUNDUP(A101/365,0),5)</f>
        <v>1</v>
      </c>
      <c r="D101" s="18" t="n">
        <f aca="false">DATEDIF(Assumptions!B5,B101,"m")+1</f>
        <v>4</v>
      </c>
      <c r="E101" s="18" t="str">
        <f aca="false">TEXT(B101,"ddd")</f>
        <v>Fri</v>
      </c>
      <c r="F101" s="19" t="n">
        <f aca="false">IF(WEEKDAY(B101,2)&gt;=6,Assumptions!B34,Assumptions!B35)</f>
        <v>1</v>
      </c>
      <c r="G101" s="20" t="n">
        <f aca="false">IF(D101&gt;=13,(1+Assumptions!B46)^(D101-12),1)</f>
        <v>1</v>
      </c>
      <c r="H101" s="21" t="n">
        <f aca="false">H100*(1+IF(C101=1,Assumptions!B22,Assumptions!B23))</f>
        <v>17.51845054487</v>
      </c>
      <c r="I101" s="16" t="n">
        <f aca="false">ROUND(H101*F101,0)</f>
        <v>18</v>
      </c>
      <c r="J101" s="22" t="n">
        <f aca="false">I101*Assumptions!B24</f>
        <v>10800</v>
      </c>
      <c r="K101" s="21" t="n">
        <f aca="false">K100*(1+Assumptions!B30)</f>
        <v>13.5728092451744</v>
      </c>
      <c r="L101" s="16" t="n">
        <f aca="false">ROUND(K101*F101,0)</f>
        <v>14</v>
      </c>
      <c r="M101" s="22" t="n">
        <f aca="false">L101*Assumptions!B31</f>
        <v>4200</v>
      </c>
      <c r="N101" s="22" t="n">
        <f aca="false">J101+M101</f>
        <v>15000</v>
      </c>
      <c r="O101" s="22" t="n">
        <f aca="false">IF(DAY(B101)=1,Assumptions!B38*G101,0)</f>
        <v>0</v>
      </c>
      <c r="P101" s="22" t="n">
        <f aca="false">IF(DAY(B101)=1,Assumptions!B39*G101,0)</f>
        <v>0</v>
      </c>
      <c r="Q101" s="22" t="n">
        <f aca="false">IF(DAY(B101)=1,Assumptions!B40*G101,0)</f>
        <v>0</v>
      </c>
      <c r="R101" s="22" t="n">
        <f aca="false">IF(DAY(B101)=1,Assumptions!B41*G101,0)</f>
        <v>0</v>
      </c>
      <c r="S101" s="22" t="n">
        <f aca="false">IF(AND(DAY(B101)=1,D101&gt;=13),Assumptions!B42*G101,0)</f>
        <v>0</v>
      </c>
      <c r="T101" s="22" t="n">
        <f aca="false">IF(DAY(B101)=1,Assumptions!B43*G101,0)</f>
        <v>0</v>
      </c>
      <c r="U101" s="22" t="n">
        <f aca="false">SUM(O101:T101)</f>
        <v>0</v>
      </c>
      <c r="V101" s="22" t="n">
        <f aca="false">N101-U101</f>
        <v>15000</v>
      </c>
      <c r="W101" s="22" t="n">
        <f aca="false">W100+V101</f>
        <v>-4787500</v>
      </c>
      <c r="X101" s="23" t="str">
        <f aca="false">IF(W101&gt;=0,"YES","No")</f>
        <v>No</v>
      </c>
    </row>
    <row r="102" customFormat="false" ht="15" hidden="false" customHeight="false" outlineLevel="0" collapsed="false">
      <c r="A102" s="16" t="n">
        <v>101</v>
      </c>
      <c r="B102" s="17" t="n">
        <f aca="false">B101+1</f>
        <v>46123</v>
      </c>
      <c r="C102" s="18" t="n">
        <f aca="false">MIN(ROUNDUP(A102/365,0),5)</f>
        <v>1</v>
      </c>
      <c r="D102" s="18" t="n">
        <f aca="false">DATEDIF(Assumptions!B5,B102,"m")+1</f>
        <v>4</v>
      </c>
      <c r="E102" s="18" t="str">
        <f aca="false">TEXT(B102,"ddd")</f>
        <v>Sat</v>
      </c>
      <c r="F102" s="19" t="n">
        <f aca="false">IF(WEEKDAY(B102,2)&gt;=6,Assumptions!B34,Assumptions!B35)</f>
        <v>0.6</v>
      </c>
      <c r="G102" s="20" t="n">
        <f aca="false">IF(D102&gt;=13,(1+Assumptions!B46)^(D102-12),1)</f>
        <v>1</v>
      </c>
      <c r="H102" s="21" t="n">
        <f aca="false">H101*(1+IF(C102=1,Assumptions!B22,Assumptions!B23))</f>
        <v>17.5298508146583</v>
      </c>
      <c r="I102" s="16" t="n">
        <f aca="false">ROUND(H102*F102,0)</f>
        <v>11</v>
      </c>
      <c r="J102" s="22" t="n">
        <f aca="false">I102*Assumptions!B24</f>
        <v>6600</v>
      </c>
      <c r="K102" s="21" t="n">
        <f aca="false">K101*(1+Assumptions!B30)</f>
        <v>13.5772466965032</v>
      </c>
      <c r="L102" s="16" t="n">
        <f aca="false">ROUND(K102*F102,0)</f>
        <v>8</v>
      </c>
      <c r="M102" s="22" t="n">
        <f aca="false">L102*Assumptions!B31</f>
        <v>2400</v>
      </c>
      <c r="N102" s="22" t="n">
        <f aca="false">J102+M102</f>
        <v>9000</v>
      </c>
      <c r="O102" s="22" t="n">
        <f aca="false">IF(DAY(B102)=1,Assumptions!B38*G102,0)</f>
        <v>0</v>
      </c>
      <c r="P102" s="22" t="n">
        <f aca="false">IF(DAY(B102)=1,Assumptions!B39*G102,0)</f>
        <v>0</v>
      </c>
      <c r="Q102" s="22" t="n">
        <f aca="false">IF(DAY(B102)=1,Assumptions!B40*G102,0)</f>
        <v>0</v>
      </c>
      <c r="R102" s="22" t="n">
        <f aca="false">IF(DAY(B102)=1,Assumptions!B41*G102,0)</f>
        <v>0</v>
      </c>
      <c r="S102" s="22" t="n">
        <f aca="false">IF(AND(DAY(B102)=1,D102&gt;=13),Assumptions!B42*G102,0)</f>
        <v>0</v>
      </c>
      <c r="T102" s="22" t="n">
        <f aca="false">IF(DAY(B102)=1,Assumptions!B43*G102,0)</f>
        <v>0</v>
      </c>
      <c r="U102" s="22" t="n">
        <f aca="false">SUM(O102:T102)</f>
        <v>0</v>
      </c>
      <c r="V102" s="22" t="n">
        <f aca="false">N102-U102</f>
        <v>9000</v>
      </c>
      <c r="W102" s="22" t="n">
        <f aca="false">W101+V102</f>
        <v>-4778500</v>
      </c>
      <c r="X102" s="23" t="str">
        <f aca="false">IF(W102&gt;=0,"YES","No")</f>
        <v>No</v>
      </c>
    </row>
    <row r="103" customFormat="false" ht="15" hidden="false" customHeight="false" outlineLevel="0" collapsed="false">
      <c r="A103" s="16" t="n">
        <v>102</v>
      </c>
      <c r="B103" s="17" t="n">
        <f aca="false">B102+1</f>
        <v>46124</v>
      </c>
      <c r="C103" s="18" t="n">
        <f aca="false">MIN(ROUNDUP(A103/365,0),5)</f>
        <v>1</v>
      </c>
      <c r="D103" s="18" t="n">
        <f aca="false">DATEDIF(Assumptions!B5,B103,"m")+1</f>
        <v>4</v>
      </c>
      <c r="E103" s="18" t="str">
        <f aca="false">TEXT(B103,"ddd")</f>
        <v>Sun</v>
      </c>
      <c r="F103" s="19" t="n">
        <f aca="false">IF(WEEKDAY(B103,2)&gt;=6,Assumptions!B34,Assumptions!B35)</f>
        <v>0.6</v>
      </c>
      <c r="G103" s="20" t="n">
        <f aca="false">IF(D103&gt;=13,(1+Assumptions!B46)^(D103-12),1)</f>
        <v>1</v>
      </c>
      <c r="H103" s="21" t="n">
        <f aca="false">H102*(1+IF(C103=1,Assumptions!B22,Assumptions!B23))</f>
        <v>17.541258503262</v>
      </c>
      <c r="I103" s="16" t="n">
        <f aca="false">ROUND(H103*F103,0)</f>
        <v>11</v>
      </c>
      <c r="J103" s="22" t="n">
        <f aca="false">I103*Assumptions!B24</f>
        <v>6600</v>
      </c>
      <c r="K103" s="21" t="n">
        <f aca="false">K102*(1+Assumptions!B30)</f>
        <v>13.5816855985983</v>
      </c>
      <c r="L103" s="16" t="n">
        <f aca="false">ROUND(K103*F103,0)</f>
        <v>8</v>
      </c>
      <c r="M103" s="22" t="n">
        <f aca="false">L103*Assumptions!B31</f>
        <v>2400</v>
      </c>
      <c r="N103" s="22" t="n">
        <f aca="false">J103+M103</f>
        <v>9000</v>
      </c>
      <c r="O103" s="22" t="n">
        <f aca="false">IF(DAY(B103)=1,Assumptions!B38*G103,0)</f>
        <v>0</v>
      </c>
      <c r="P103" s="22" t="n">
        <f aca="false">IF(DAY(B103)=1,Assumptions!B39*G103,0)</f>
        <v>0</v>
      </c>
      <c r="Q103" s="22" t="n">
        <f aca="false">IF(DAY(B103)=1,Assumptions!B40*G103,0)</f>
        <v>0</v>
      </c>
      <c r="R103" s="22" t="n">
        <f aca="false">IF(DAY(B103)=1,Assumptions!B41*G103,0)</f>
        <v>0</v>
      </c>
      <c r="S103" s="22" t="n">
        <f aca="false">IF(AND(DAY(B103)=1,D103&gt;=13),Assumptions!B42*G103,0)</f>
        <v>0</v>
      </c>
      <c r="T103" s="22" t="n">
        <f aca="false">IF(DAY(B103)=1,Assumptions!B43*G103,0)</f>
        <v>0</v>
      </c>
      <c r="U103" s="22" t="n">
        <f aca="false">SUM(O103:T103)</f>
        <v>0</v>
      </c>
      <c r="V103" s="22" t="n">
        <f aca="false">N103-U103</f>
        <v>9000</v>
      </c>
      <c r="W103" s="22" t="n">
        <f aca="false">W102+V103</f>
        <v>-4769500</v>
      </c>
      <c r="X103" s="23" t="str">
        <f aca="false">IF(W103&gt;=0,"YES","No")</f>
        <v>No</v>
      </c>
    </row>
    <row r="104" customFormat="false" ht="15" hidden="false" customHeight="false" outlineLevel="0" collapsed="false">
      <c r="A104" s="16" t="n">
        <v>103</v>
      </c>
      <c r="B104" s="17" t="n">
        <f aca="false">B103+1</f>
        <v>46125</v>
      </c>
      <c r="C104" s="18" t="n">
        <f aca="false">MIN(ROUNDUP(A104/365,0),5)</f>
        <v>1</v>
      </c>
      <c r="D104" s="18" t="n">
        <f aca="false">DATEDIF(Assumptions!B5,B104,"m")+1</f>
        <v>4</v>
      </c>
      <c r="E104" s="18" t="str">
        <f aca="false">TEXT(B104,"ddd")</f>
        <v>Mon</v>
      </c>
      <c r="F104" s="19" t="n">
        <f aca="false">IF(WEEKDAY(B104,2)&gt;=6,Assumptions!B34,Assumptions!B35)</f>
        <v>1</v>
      </c>
      <c r="G104" s="20" t="n">
        <f aca="false">IF(D104&gt;=13,(1+Assumptions!B46)^(D104-12),1)</f>
        <v>1</v>
      </c>
      <c r="H104" s="21" t="n">
        <f aca="false">H103*(1+IF(C104=1,Assumptions!B22,Assumptions!B23))</f>
        <v>17.5526736155089</v>
      </c>
      <c r="I104" s="16" t="n">
        <f aca="false">ROUND(H104*F104,0)</f>
        <v>18</v>
      </c>
      <c r="J104" s="22" t="n">
        <f aca="false">I104*Assumptions!B24</f>
        <v>10800</v>
      </c>
      <c r="K104" s="21" t="n">
        <f aca="false">K103*(1+Assumptions!B30)</f>
        <v>13.586125951934</v>
      </c>
      <c r="L104" s="16" t="n">
        <f aca="false">ROUND(K104*F104,0)</f>
        <v>14</v>
      </c>
      <c r="M104" s="22" t="n">
        <f aca="false">L104*Assumptions!B31</f>
        <v>4200</v>
      </c>
      <c r="N104" s="22" t="n">
        <f aca="false">J104+M104</f>
        <v>15000</v>
      </c>
      <c r="O104" s="22" t="n">
        <f aca="false">IF(DAY(B104)=1,Assumptions!B38*G104,0)</f>
        <v>0</v>
      </c>
      <c r="P104" s="22" t="n">
        <f aca="false">IF(DAY(B104)=1,Assumptions!B39*G104,0)</f>
        <v>0</v>
      </c>
      <c r="Q104" s="22" t="n">
        <f aca="false">IF(DAY(B104)=1,Assumptions!B40*G104,0)</f>
        <v>0</v>
      </c>
      <c r="R104" s="22" t="n">
        <f aca="false">IF(DAY(B104)=1,Assumptions!B41*G104,0)</f>
        <v>0</v>
      </c>
      <c r="S104" s="22" t="n">
        <f aca="false">IF(AND(DAY(B104)=1,D104&gt;=13),Assumptions!B42*G104,0)</f>
        <v>0</v>
      </c>
      <c r="T104" s="22" t="n">
        <f aca="false">IF(DAY(B104)=1,Assumptions!B43*G104,0)</f>
        <v>0</v>
      </c>
      <c r="U104" s="22" t="n">
        <f aca="false">SUM(O104:T104)</f>
        <v>0</v>
      </c>
      <c r="V104" s="22" t="n">
        <f aca="false">N104-U104</f>
        <v>15000</v>
      </c>
      <c r="W104" s="22" t="n">
        <f aca="false">W103+V104</f>
        <v>-4754500</v>
      </c>
      <c r="X104" s="23" t="str">
        <f aca="false">IF(W104&gt;=0,"YES","No")</f>
        <v>No</v>
      </c>
    </row>
    <row r="105" customFormat="false" ht="15" hidden="false" customHeight="false" outlineLevel="0" collapsed="false">
      <c r="A105" s="16" t="n">
        <v>104</v>
      </c>
      <c r="B105" s="17" t="n">
        <f aca="false">B104+1</f>
        <v>46126</v>
      </c>
      <c r="C105" s="18" t="n">
        <f aca="false">MIN(ROUNDUP(A105/365,0),5)</f>
        <v>1</v>
      </c>
      <c r="D105" s="18" t="n">
        <f aca="false">DATEDIF(Assumptions!B5,B105,"m")+1</f>
        <v>4</v>
      </c>
      <c r="E105" s="18" t="str">
        <f aca="false">TEXT(B105,"ddd")</f>
        <v>Tue</v>
      </c>
      <c r="F105" s="19" t="n">
        <f aca="false">IF(WEEKDAY(B105,2)&gt;=6,Assumptions!B34,Assumptions!B35)</f>
        <v>1</v>
      </c>
      <c r="G105" s="20" t="n">
        <f aca="false">IF(D105&gt;=13,(1+Assumptions!B46)^(D105-12),1)</f>
        <v>1</v>
      </c>
      <c r="H105" s="21" t="n">
        <f aca="false">H104*(1+IF(C105=1,Assumptions!B22,Assumptions!B23))</f>
        <v>17.5640961562302</v>
      </c>
      <c r="I105" s="16" t="n">
        <f aca="false">ROUND(H105*F105,0)</f>
        <v>18</v>
      </c>
      <c r="J105" s="22" t="n">
        <f aca="false">I105*Assumptions!B24</f>
        <v>10800</v>
      </c>
      <c r="K105" s="21" t="n">
        <f aca="false">K104*(1+Assumptions!B30)</f>
        <v>13.5905677569847</v>
      </c>
      <c r="L105" s="16" t="n">
        <f aca="false">ROUND(K105*F105,0)</f>
        <v>14</v>
      </c>
      <c r="M105" s="22" t="n">
        <f aca="false">L105*Assumptions!B31</f>
        <v>4200</v>
      </c>
      <c r="N105" s="22" t="n">
        <f aca="false">J105+M105</f>
        <v>15000</v>
      </c>
      <c r="O105" s="22" t="n">
        <f aca="false">IF(DAY(B105)=1,Assumptions!B38*G105,0)</f>
        <v>0</v>
      </c>
      <c r="P105" s="22" t="n">
        <f aca="false">IF(DAY(B105)=1,Assumptions!B39*G105,0)</f>
        <v>0</v>
      </c>
      <c r="Q105" s="22" t="n">
        <f aca="false">IF(DAY(B105)=1,Assumptions!B40*G105,0)</f>
        <v>0</v>
      </c>
      <c r="R105" s="22" t="n">
        <f aca="false">IF(DAY(B105)=1,Assumptions!B41*G105,0)</f>
        <v>0</v>
      </c>
      <c r="S105" s="22" t="n">
        <f aca="false">IF(AND(DAY(B105)=1,D105&gt;=13),Assumptions!B42*G105,0)</f>
        <v>0</v>
      </c>
      <c r="T105" s="22" t="n">
        <f aca="false">IF(DAY(B105)=1,Assumptions!B43*G105,0)</f>
        <v>0</v>
      </c>
      <c r="U105" s="22" t="n">
        <f aca="false">SUM(O105:T105)</f>
        <v>0</v>
      </c>
      <c r="V105" s="22" t="n">
        <f aca="false">N105-U105</f>
        <v>15000</v>
      </c>
      <c r="W105" s="22" t="n">
        <f aca="false">W104+V105</f>
        <v>-4739500</v>
      </c>
      <c r="X105" s="23" t="str">
        <f aca="false">IF(W105&gt;=0,"YES","No")</f>
        <v>No</v>
      </c>
    </row>
    <row r="106" customFormat="false" ht="15" hidden="false" customHeight="false" outlineLevel="0" collapsed="false">
      <c r="A106" s="16" t="n">
        <v>105</v>
      </c>
      <c r="B106" s="17" t="n">
        <f aca="false">B105+1</f>
        <v>46127</v>
      </c>
      <c r="C106" s="18" t="n">
        <f aca="false">MIN(ROUNDUP(A106/365,0),5)</f>
        <v>1</v>
      </c>
      <c r="D106" s="18" t="n">
        <f aca="false">DATEDIF(Assumptions!B5,B106,"m")+1</f>
        <v>4</v>
      </c>
      <c r="E106" s="18" t="str">
        <f aca="false">TEXT(B106,"ddd")</f>
        <v>Wed</v>
      </c>
      <c r="F106" s="19" t="n">
        <f aca="false">IF(WEEKDAY(B106,2)&gt;=6,Assumptions!B34,Assumptions!B35)</f>
        <v>1</v>
      </c>
      <c r="G106" s="20" t="n">
        <f aca="false">IF(D106&gt;=13,(1+Assumptions!B46)^(D106-12),1)</f>
        <v>1</v>
      </c>
      <c r="H106" s="21" t="n">
        <f aca="false">H105*(1+IF(C106=1,Assumptions!B22,Assumptions!B23))</f>
        <v>17.5755261302599</v>
      </c>
      <c r="I106" s="16" t="n">
        <f aca="false">ROUND(H106*F106,0)</f>
        <v>18</v>
      </c>
      <c r="J106" s="22" t="n">
        <f aca="false">I106*Assumptions!B24</f>
        <v>10800</v>
      </c>
      <c r="K106" s="21" t="n">
        <f aca="false">K105*(1+Assumptions!B30)</f>
        <v>13.5950110142252</v>
      </c>
      <c r="L106" s="16" t="n">
        <f aca="false">ROUND(K106*F106,0)</f>
        <v>14</v>
      </c>
      <c r="M106" s="22" t="n">
        <f aca="false">L106*Assumptions!B31</f>
        <v>4200</v>
      </c>
      <c r="N106" s="22" t="n">
        <f aca="false">J106+M106</f>
        <v>15000</v>
      </c>
      <c r="O106" s="22" t="n">
        <f aca="false">IF(DAY(B106)=1,Assumptions!B38*G106,0)</f>
        <v>0</v>
      </c>
      <c r="P106" s="22" t="n">
        <f aca="false">IF(DAY(B106)=1,Assumptions!B39*G106,0)</f>
        <v>0</v>
      </c>
      <c r="Q106" s="22" t="n">
        <f aca="false">IF(DAY(B106)=1,Assumptions!B40*G106,0)</f>
        <v>0</v>
      </c>
      <c r="R106" s="22" t="n">
        <f aca="false">IF(DAY(B106)=1,Assumptions!B41*G106,0)</f>
        <v>0</v>
      </c>
      <c r="S106" s="22" t="n">
        <f aca="false">IF(AND(DAY(B106)=1,D106&gt;=13),Assumptions!B42*G106,0)</f>
        <v>0</v>
      </c>
      <c r="T106" s="22" t="n">
        <f aca="false">IF(DAY(B106)=1,Assumptions!B43*G106,0)</f>
        <v>0</v>
      </c>
      <c r="U106" s="22" t="n">
        <f aca="false">SUM(O106:T106)</f>
        <v>0</v>
      </c>
      <c r="V106" s="22" t="n">
        <f aca="false">N106-U106</f>
        <v>15000</v>
      </c>
      <c r="W106" s="22" t="n">
        <f aca="false">W105+V106</f>
        <v>-4724500</v>
      </c>
      <c r="X106" s="23" t="str">
        <f aca="false">IF(W106&gt;=0,"YES","No")</f>
        <v>No</v>
      </c>
    </row>
    <row r="107" customFormat="false" ht="15" hidden="false" customHeight="false" outlineLevel="0" collapsed="false">
      <c r="A107" s="16" t="n">
        <v>106</v>
      </c>
      <c r="B107" s="17" t="n">
        <f aca="false">B106+1</f>
        <v>46128</v>
      </c>
      <c r="C107" s="18" t="n">
        <f aca="false">MIN(ROUNDUP(A107/365,0),5)</f>
        <v>1</v>
      </c>
      <c r="D107" s="18" t="n">
        <f aca="false">DATEDIF(Assumptions!B5,B107,"m")+1</f>
        <v>4</v>
      </c>
      <c r="E107" s="18" t="str">
        <f aca="false">TEXT(B107,"ddd")</f>
        <v>Thu</v>
      </c>
      <c r="F107" s="19" t="n">
        <f aca="false">IF(WEEKDAY(B107,2)&gt;=6,Assumptions!B34,Assumptions!B35)</f>
        <v>1</v>
      </c>
      <c r="G107" s="20" t="n">
        <f aca="false">IF(D107&gt;=13,(1+Assumptions!B46)^(D107-12),1)</f>
        <v>1</v>
      </c>
      <c r="H107" s="21" t="n">
        <f aca="false">H106*(1+IF(C107=1,Assumptions!B22,Assumptions!B23))</f>
        <v>17.5869635424353</v>
      </c>
      <c r="I107" s="16" t="n">
        <f aca="false">ROUND(H107*F107,0)</f>
        <v>18</v>
      </c>
      <c r="J107" s="22" t="n">
        <f aca="false">I107*Assumptions!B24</f>
        <v>10800</v>
      </c>
      <c r="K107" s="21" t="n">
        <f aca="false">K106*(1+Assumptions!B30)</f>
        <v>13.5994557241302</v>
      </c>
      <c r="L107" s="16" t="n">
        <f aca="false">ROUND(K107*F107,0)</f>
        <v>14</v>
      </c>
      <c r="M107" s="22" t="n">
        <f aca="false">L107*Assumptions!B31</f>
        <v>4200</v>
      </c>
      <c r="N107" s="22" t="n">
        <f aca="false">J107+M107</f>
        <v>15000</v>
      </c>
      <c r="O107" s="22" t="n">
        <f aca="false">IF(DAY(B107)=1,Assumptions!B38*G107,0)</f>
        <v>0</v>
      </c>
      <c r="P107" s="22" t="n">
        <f aca="false">IF(DAY(B107)=1,Assumptions!B39*G107,0)</f>
        <v>0</v>
      </c>
      <c r="Q107" s="22" t="n">
        <f aca="false">IF(DAY(B107)=1,Assumptions!B40*G107,0)</f>
        <v>0</v>
      </c>
      <c r="R107" s="22" t="n">
        <f aca="false">IF(DAY(B107)=1,Assumptions!B41*G107,0)</f>
        <v>0</v>
      </c>
      <c r="S107" s="22" t="n">
        <f aca="false">IF(AND(DAY(B107)=1,D107&gt;=13),Assumptions!B42*G107,0)</f>
        <v>0</v>
      </c>
      <c r="T107" s="22" t="n">
        <f aca="false">IF(DAY(B107)=1,Assumptions!B43*G107,0)</f>
        <v>0</v>
      </c>
      <c r="U107" s="22" t="n">
        <f aca="false">SUM(O107:T107)</f>
        <v>0</v>
      </c>
      <c r="V107" s="22" t="n">
        <f aca="false">N107-U107</f>
        <v>15000</v>
      </c>
      <c r="W107" s="22" t="n">
        <f aca="false">W106+V107</f>
        <v>-4709500</v>
      </c>
      <c r="X107" s="23" t="str">
        <f aca="false">IF(W107&gt;=0,"YES","No")</f>
        <v>No</v>
      </c>
    </row>
    <row r="108" customFormat="false" ht="15" hidden="false" customHeight="false" outlineLevel="0" collapsed="false">
      <c r="A108" s="16" t="n">
        <v>107</v>
      </c>
      <c r="B108" s="17" t="n">
        <f aca="false">B107+1</f>
        <v>46129</v>
      </c>
      <c r="C108" s="18" t="n">
        <f aca="false">MIN(ROUNDUP(A108/365,0),5)</f>
        <v>1</v>
      </c>
      <c r="D108" s="18" t="n">
        <f aca="false">DATEDIF(Assumptions!B5,B108,"m")+1</f>
        <v>4</v>
      </c>
      <c r="E108" s="18" t="str">
        <f aca="false">TEXT(B108,"ddd")</f>
        <v>Fri</v>
      </c>
      <c r="F108" s="19" t="n">
        <f aca="false">IF(WEEKDAY(B108,2)&gt;=6,Assumptions!B34,Assumptions!B35)</f>
        <v>1</v>
      </c>
      <c r="G108" s="20" t="n">
        <f aca="false">IF(D108&gt;=13,(1+Assumptions!B46)^(D108-12),1)</f>
        <v>1</v>
      </c>
      <c r="H108" s="21" t="n">
        <f aca="false">H107*(1+IF(C108=1,Assumptions!B22,Assumptions!B23))</f>
        <v>17.5984083975968</v>
      </c>
      <c r="I108" s="16" t="n">
        <f aca="false">ROUND(H108*F108,0)</f>
        <v>18</v>
      </c>
      <c r="J108" s="22" t="n">
        <f aca="false">I108*Assumptions!B24</f>
        <v>10800</v>
      </c>
      <c r="K108" s="21" t="n">
        <f aca="false">K107*(1+Assumptions!B30)</f>
        <v>13.6039018871745</v>
      </c>
      <c r="L108" s="16" t="n">
        <f aca="false">ROUND(K108*F108,0)</f>
        <v>14</v>
      </c>
      <c r="M108" s="22" t="n">
        <f aca="false">L108*Assumptions!B31</f>
        <v>4200</v>
      </c>
      <c r="N108" s="22" t="n">
        <f aca="false">J108+M108</f>
        <v>15000</v>
      </c>
      <c r="O108" s="22" t="n">
        <f aca="false">IF(DAY(B108)=1,Assumptions!B38*G108,0)</f>
        <v>0</v>
      </c>
      <c r="P108" s="22" t="n">
        <f aca="false">IF(DAY(B108)=1,Assumptions!B39*G108,0)</f>
        <v>0</v>
      </c>
      <c r="Q108" s="22" t="n">
        <f aca="false">IF(DAY(B108)=1,Assumptions!B40*G108,0)</f>
        <v>0</v>
      </c>
      <c r="R108" s="22" t="n">
        <f aca="false">IF(DAY(B108)=1,Assumptions!B41*G108,0)</f>
        <v>0</v>
      </c>
      <c r="S108" s="22" t="n">
        <f aca="false">IF(AND(DAY(B108)=1,D108&gt;=13),Assumptions!B42*G108,0)</f>
        <v>0</v>
      </c>
      <c r="T108" s="22" t="n">
        <f aca="false">IF(DAY(B108)=1,Assumptions!B43*G108,0)</f>
        <v>0</v>
      </c>
      <c r="U108" s="22" t="n">
        <f aca="false">SUM(O108:T108)</f>
        <v>0</v>
      </c>
      <c r="V108" s="22" t="n">
        <f aca="false">N108-U108</f>
        <v>15000</v>
      </c>
      <c r="W108" s="22" t="n">
        <f aca="false">W107+V108</f>
        <v>-4694500</v>
      </c>
      <c r="X108" s="23" t="str">
        <f aca="false">IF(W108&gt;=0,"YES","No")</f>
        <v>No</v>
      </c>
    </row>
    <row r="109" customFormat="false" ht="15" hidden="false" customHeight="false" outlineLevel="0" collapsed="false">
      <c r="A109" s="16" t="n">
        <v>108</v>
      </c>
      <c r="B109" s="17" t="n">
        <f aca="false">B108+1</f>
        <v>46130</v>
      </c>
      <c r="C109" s="18" t="n">
        <f aca="false">MIN(ROUNDUP(A109/365,0),5)</f>
        <v>1</v>
      </c>
      <c r="D109" s="18" t="n">
        <f aca="false">DATEDIF(Assumptions!B5,B109,"m")+1</f>
        <v>4</v>
      </c>
      <c r="E109" s="18" t="str">
        <f aca="false">TEXT(B109,"ddd")</f>
        <v>Sat</v>
      </c>
      <c r="F109" s="19" t="n">
        <f aca="false">IF(WEEKDAY(B109,2)&gt;=6,Assumptions!B34,Assumptions!B35)</f>
        <v>0.6</v>
      </c>
      <c r="G109" s="20" t="n">
        <f aca="false">IF(D109&gt;=13,(1+Assumptions!B46)^(D109-12),1)</f>
        <v>1</v>
      </c>
      <c r="H109" s="21" t="n">
        <f aca="false">H108*(1+IF(C109=1,Assumptions!B22,Assumptions!B23))</f>
        <v>17.609860700588</v>
      </c>
      <c r="I109" s="16" t="n">
        <f aca="false">ROUND(H109*F109,0)</f>
        <v>11</v>
      </c>
      <c r="J109" s="22" t="n">
        <f aca="false">I109*Assumptions!B24</f>
        <v>6600</v>
      </c>
      <c r="K109" s="21" t="n">
        <f aca="false">K108*(1+Assumptions!B30)</f>
        <v>13.6083495038333</v>
      </c>
      <c r="L109" s="16" t="n">
        <f aca="false">ROUND(K109*F109,0)</f>
        <v>8</v>
      </c>
      <c r="M109" s="22" t="n">
        <f aca="false">L109*Assumptions!B31</f>
        <v>2400</v>
      </c>
      <c r="N109" s="22" t="n">
        <f aca="false">J109+M109</f>
        <v>9000</v>
      </c>
      <c r="O109" s="22" t="n">
        <f aca="false">IF(DAY(B109)=1,Assumptions!B38*G109,0)</f>
        <v>0</v>
      </c>
      <c r="P109" s="22" t="n">
        <f aca="false">IF(DAY(B109)=1,Assumptions!B39*G109,0)</f>
        <v>0</v>
      </c>
      <c r="Q109" s="22" t="n">
        <f aca="false">IF(DAY(B109)=1,Assumptions!B40*G109,0)</f>
        <v>0</v>
      </c>
      <c r="R109" s="22" t="n">
        <f aca="false">IF(DAY(B109)=1,Assumptions!B41*G109,0)</f>
        <v>0</v>
      </c>
      <c r="S109" s="22" t="n">
        <f aca="false">IF(AND(DAY(B109)=1,D109&gt;=13),Assumptions!B42*G109,0)</f>
        <v>0</v>
      </c>
      <c r="T109" s="22" t="n">
        <f aca="false">IF(DAY(B109)=1,Assumptions!B43*G109,0)</f>
        <v>0</v>
      </c>
      <c r="U109" s="22" t="n">
        <f aca="false">SUM(O109:T109)</f>
        <v>0</v>
      </c>
      <c r="V109" s="22" t="n">
        <f aca="false">N109-U109</f>
        <v>9000</v>
      </c>
      <c r="W109" s="22" t="n">
        <f aca="false">W108+V109</f>
        <v>-4685500</v>
      </c>
      <c r="X109" s="23" t="str">
        <f aca="false">IF(W109&gt;=0,"YES","No")</f>
        <v>No</v>
      </c>
    </row>
    <row r="110" customFormat="false" ht="15" hidden="false" customHeight="false" outlineLevel="0" collapsed="false">
      <c r="A110" s="16" t="n">
        <v>109</v>
      </c>
      <c r="B110" s="17" t="n">
        <f aca="false">B109+1</f>
        <v>46131</v>
      </c>
      <c r="C110" s="18" t="n">
        <f aca="false">MIN(ROUNDUP(A110/365,0),5)</f>
        <v>1</v>
      </c>
      <c r="D110" s="18" t="n">
        <f aca="false">DATEDIF(Assumptions!B5,B110,"m")+1</f>
        <v>4</v>
      </c>
      <c r="E110" s="18" t="str">
        <f aca="false">TEXT(B110,"ddd")</f>
        <v>Sun</v>
      </c>
      <c r="F110" s="19" t="n">
        <f aca="false">IF(WEEKDAY(B110,2)&gt;=6,Assumptions!B34,Assumptions!B35)</f>
        <v>0.6</v>
      </c>
      <c r="G110" s="20" t="n">
        <f aca="false">IF(D110&gt;=13,(1+Assumptions!B46)^(D110-12),1)</f>
        <v>1</v>
      </c>
      <c r="H110" s="21" t="n">
        <f aca="false">H109*(1+IF(C110=1,Assumptions!B22,Assumptions!B23))</f>
        <v>17.6213204562557</v>
      </c>
      <c r="I110" s="16" t="n">
        <f aca="false">ROUND(H110*F110,0)</f>
        <v>11</v>
      </c>
      <c r="J110" s="22" t="n">
        <f aca="false">I110*Assumptions!B24</f>
        <v>6600</v>
      </c>
      <c r="K110" s="21" t="n">
        <f aca="false">K109*(1+Assumptions!B30)</f>
        <v>13.6127985745819</v>
      </c>
      <c r="L110" s="16" t="n">
        <f aca="false">ROUND(K110*F110,0)</f>
        <v>8</v>
      </c>
      <c r="M110" s="22" t="n">
        <f aca="false">L110*Assumptions!B31</f>
        <v>2400</v>
      </c>
      <c r="N110" s="22" t="n">
        <f aca="false">J110+M110</f>
        <v>9000</v>
      </c>
      <c r="O110" s="22" t="n">
        <f aca="false">IF(DAY(B110)=1,Assumptions!B38*G110,0)</f>
        <v>0</v>
      </c>
      <c r="P110" s="22" t="n">
        <f aca="false">IF(DAY(B110)=1,Assumptions!B39*G110,0)</f>
        <v>0</v>
      </c>
      <c r="Q110" s="22" t="n">
        <f aca="false">IF(DAY(B110)=1,Assumptions!B40*G110,0)</f>
        <v>0</v>
      </c>
      <c r="R110" s="22" t="n">
        <f aca="false">IF(DAY(B110)=1,Assumptions!B41*G110,0)</f>
        <v>0</v>
      </c>
      <c r="S110" s="22" t="n">
        <f aca="false">IF(AND(DAY(B110)=1,D110&gt;=13),Assumptions!B42*G110,0)</f>
        <v>0</v>
      </c>
      <c r="T110" s="22" t="n">
        <f aca="false">IF(DAY(B110)=1,Assumptions!B43*G110,0)</f>
        <v>0</v>
      </c>
      <c r="U110" s="22" t="n">
        <f aca="false">SUM(O110:T110)</f>
        <v>0</v>
      </c>
      <c r="V110" s="22" t="n">
        <f aca="false">N110-U110</f>
        <v>9000</v>
      </c>
      <c r="W110" s="22" t="n">
        <f aca="false">W109+V110</f>
        <v>-4676500</v>
      </c>
      <c r="X110" s="23" t="str">
        <f aca="false">IF(W110&gt;=0,"YES","No")</f>
        <v>No</v>
      </c>
    </row>
    <row r="111" customFormat="false" ht="15" hidden="false" customHeight="false" outlineLevel="0" collapsed="false">
      <c r="A111" s="16" t="n">
        <v>110</v>
      </c>
      <c r="B111" s="17" t="n">
        <f aca="false">B110+1</f>
        <v>46132</v>
      </c>
      <c r="C111" s="18" t="n">
        <f aca="false">MIN(ROUNDUP(A111/365,0),5)</f>
        <v>1</v>
      </c>
      <c r="D111" s="18" t="n">
        <f aca="false">DATEDIF(Assumptions!B5,B111,"m")+1</f>
        <v>4</v>
      </c>
      <c r="E111" s="18" t="str">
        <f aca="false">TEXT(B111,"ddd")</f>
        <v>Mon</v>
      </c>
      <c r="F111" s="19" t="n">
        <f aca="false">IF(WEEKDAY(B111,2)&gt;=6,Assumptions!B34,Assumptions!B35)</f>
        <v>1</v>
      </c>
      <c r="G111" s="20" t="n">
        <f aca="false">IF(D111&gt;=13,(1+Assumptions!B46)^(D111-12),1)</f>
        <v>1</v>
      </c>
      <c r="H111" s="21" t="n">
        <f aca="false">H110*(1+IF(C111=1,Assumptions!B22,Assumptions!B23))</f>
        <v>17.6327876694497</v>
      </c>
      <c r="I111" s="16" t="n">
        <f aca="false">ROUND(H111*F111,0)</f>
        <v>18</v>
      </c>
      <c r="J111" s="22" t="n">
        <f aca="false">I111*Assumptions!B24</f>
        <v>10800</v>
      </c>
      <c r="K111" s="21" t="n">
        <f aca="false">K110*(1+Assumptions!B30)</f>
        <v>13.6172490998955</v>
      </c>
      <c r="L111" s="16" t="n">
        <f aca="false">ROUND(K111*F111,0)</f>
        <v>14</v>
      </c>
      <c r="M111" s="22" t="n">
        <f aca="false">L111*Assumptions!B31</f>
        <v>4200</v>
      </c>
      <c r="N111" s="22" t="n">
        <f aca="false">J111+M111</f>
        <v>15000</v>
      </c>
      <c r="O111" s="22" t="n">
        <f aca="false">IF(DAY(B111)=1,Assumptions!B38*G111,0)</f>
        <v>0</v>
      </c>
      <c r="P111" s="22" t="n">
        <f aca="false">IF(DAY(B111)=1,Assumptions!B39*G111,0)</f>
        <v>0</v>
      </c>
      <c r="Q111" s="22" t="n">
        <f aca="false">IF(DAY(B111)=1,Assumptions!B40*G111,0)</f>
        <v>0</v>
      </c>
      <c r="R111" s="22" t="n">
        <f aca="false">IF(DAY(B111)=1,Assumptions!B41*G111,0)</f>
        <v>0</v>
      </c>
      <c r="S111" s="22" t="n">
        <f aca="false">IF(AND(DAY(B111)=1,D111&gt;=13),Assumptions!B42*G111,0)</f>
        <v>0</v>
      </c>
      <c r="T111" s="22" t="n">
        <f aca="false">IF(DAY(B111)=1,Assumptions!B43*G111,0)</f>
        <v>0</v>
      </c>
      <c r="U111" s="22" t="n">
        <f aca="false">SUM(O111:T111)</f>
        <v>0</v>
      </c>
      <c r="V111" s="22" t="n">
        <f aca="false">N111-U111</f>
        <v>15000</v>
      </c>
      <c r="W111" s="22" t="n">
        <f aca="false">W110+V111</f>
        <v>-4661500</v>
      </c>
      <c r="X111" s="23" t="str">
        <f aca="false">IF(W111&gt;=0,"YES","No")</f>
        <v>No</v>
      </c>
    </row>
    <row r="112" customFormat="false" ht="15" hidden="false" customHeight="false" outlineLevel="0" collapsed="false">
      <c r="A112" s="16" t="n">
        <v>111</v>
      </c>
      <c r="B112" s="17" t="n">
        <f aca="false">B111+1</f>
        <v>46133</v>
      </c>
      <c r="C112" s="18" t="n">
        <f aca="false">MIN(ROUNDUP(A112/365,0),5)</f>
        <v>1</v>
      </c>
      <c r="D112" s="18" t="n">
        <f aca="false">DATEDIF(Assumptions!B5,B112,"m")+1</f>
        <v>4</v>
      </c>
      <c r="E112" s="18" t="str">
        <f aca="false">TEXT(B112,"ddd")</f>
        <v>Tue</v>
      </c>
      <c r="F112" s="19" t="n">
        <f aca="false">IF(WEEKDAY(B112,2)&gt;=6,Assumptions!B34,Assumptions!B35)</f>
        <v>1</v>
      </c>
      <c r="G112" s="20" t="n">
        <f aca="false">IF(D112&gt;=13,(1+Assumptions!B46)^(D112-12),1)</f>
        <v>1</v>
      </c>
      <c r="H112" s="21" t="n">
        <f aca="false">H111*(1+IF(C112=1,Assumptions!B22,Assumptions!B23))</f>
        <v>17.6442623450231</v>
      </c>
      <c r="I112" s="16" t="n">
        <f aca="false">ROUND(H112*F112,0)</f>
        <v>18</v>
      </c>
      <c r="J112" s="22" t="n">
        <f aca="false">I112*Assumptions!B24</f>
        <v>10800</v>
      </c>
      <c r="K112" s="21" t="n">
        <f aca="false">K111*(1+Assumptions!B30)</f>
        <v>13.6217010802499</v>
      </c>
      <c r="L112" s="16" t="n">
        <f aca="false">ROUND(K112*F112,0)</f>
        <v>14</v>
      </c>
      <c r="M112" s="22" t="n">
        <f aca="false">L112*Assumptions!B31</f>
        <v>4200</v>
      </c>
      <c r="N112" s="22" t="n">
        <f aca="false">J112+M112</f>
        <v>15000</v>
      </c>
      <c r="O112" s="22" t="n">
        <f aca="false">IF(DAY(B112)=1,Assumptions!B38*G112,0)</f>
        <v>0</v>
      </c>
      <c r="P112" s="22" t="n">
        <f aca="false">IF(DAY(B112)=1,Assumptions!B39*G112,0)</f>
        <v>0</v>
      </c>
      <c r="Q112" s="22" t="n">
        <f aca="false">IF(DAY(B112)=1,Assumptions!B40*G112,0)</f>
        <v>0</v>
      </c>
      <c r="R112" s="22" t="n">
        <f aca="false">IF(DAY(B112)=1,Assumptions!B41*G112,0)</f>
        <v>0</v>
      </c>
      <c r="S112" s="22" t="n">
        <f aca="false">IF(AND(DAY(B112)=1,D112&gt;=13),Assumptions!B42*G112,0)</f>
        <v>0</v>
      </c>
      <c r="T112" s="22" t="n">
        <f aca="false">IF(DAY(B112)=1,Assumptions!B43*G112,0)</f>
        <v>0</v>
      </c>
      <c r="U112" s="22" t="n">
        <f aca="false">SUM(O112:T112)</f>
        <v>0</v>
      </c>
      <c r="V112" s="22" t="n">
        <f aca="false">N112-U112</f>
        <v>15000</v>
      </c>
      <c r="W112" s="22" t="n">
        <f aca="false">W111+V112</f>
        <v>-4646500</v>
      </c>
      <c r="X112" s="23" t="str">
        <f aca="false">IF(W112&gt;=0,"YES","No")</f>
        <v>No</v>
      </c>
    </row>
    <row r="113" customFormat="false" ht="15" hidden="false" customHeight="false" outlineLevel="0" collapsed="false">
      <c r="A113" s="16" t="n">
        <v>112</v>
      </c>
      <c r="B113" s="17" t="n">
        <f aca="false">B112+1</f>
        <v>46134</v>
      </c>
      <c r="C113" s="18" t="n">
        <f aca="false">MIN(ROUNDUP(A113/365,0),5)</f>
        <v>1</v>
      </c>
      <c r="D113" s="18" t="n">
        <f aca="false">DATEDIF(Assumptions!B5,B113,"m")+1</f>
        <v>4</v>
      </c>
      <c r="E113" s="18" t="str">
        <f aca="false">TEXT(B113,"ddd")</f>
        <v>Wed</v>
      </c>
      <c r="F113" s="19" t="n">
        <f aca="false">IF(WEEKDAY(B113,2)&gt;=6,Assumptions!B34,Assumptions!B35)</f>
        <v>1</v>
      </c>
      <c r="G113" s="20" t="n">
        <f aca="false">IF(D113&gt;=13,(1+Assumptions!B46)^(D113-12),1)</f>
        <v>1</v>
      </c>
      <c r="H113" s="21" t="n">
        <f aca="false">H112*(1+IF(C113=1,Assumptions!B22,Assumptions!B23))</f>
        <v>17.655744487832</v>
      </c>
      <c r="I113" s="16" t="n">
        <f aca="false">ROUND(H113*F113,0)</f>
        <v>18</v>
      </c>
      <c r="J113" s="22" t="n">
        <f aca="false">I113*Assumptions!B24</f>
        <v>10800</v>
      </c>
      <c r="K113" s="21" t="n">
        <f aca="false">K112*(1+Assumptions!B30)</f>
        <v>13.6261545161206</v>
      </c>
      <c r="L113" s="16" t="n">
        <f aca="false">ROUND(K113*F113,0)</f>
        <v>14</v>
      </c>
      <c r="M113" s="22" t="n">
        <f aca="false">L113*Assumptions!B31</f>
        <v>4200</v>
      </c>
      <c r="N113" s="22" t="n">
        <f aca="false">J113+M113</f>
        <v>15000</v>
      </c>
      <c r="O113" s="22" t="n">
        <f aca="false">IF(DAY(B113)=1,Assumptions!B38*G113,0)</f>
        <v>0</v>
      </c>
      <c r="P113" s="22" t="n">
        <f aca="false">IF(DAY(B113)=1,Assumptions!B39*G113,0)</f>
        <v>0</v>
      </c>
      <c r="Q113" s="22" t="n">
        <f aca="false">IF(DAY(B113)=1,Assumptions!B40*G113,0)</f>
        <v>0</v>
      </c>
      <c r="R113" s="22" t="n">
        <f aca="false">IF(DAY(B113)=1,Assumptions!B41*G113,0)</f>
        <v>0</v>
      </c>
      <c r="S113" s="22" t="n">
        <f aca="false">IF(AND(DAY(B113)=1,D113&gt;=13),Assumptions!B42*G113,0)</f>
        <v>0</v>
      </c>
      <c r="T113" s="22" t="n">
        <f aca="false">IF(DAY(B113)=1,Assumptions!B43*G113,0)</f>
        <v>0</v>
      </c>
      <c r="U113" s="22" t="n">
        <f aca="false">SUM(O113:T113)</f>
        <v>0</v>
      </c>
      <c r="V113" s="22" t="n">
        <f aca="false">N113-U113</f>
        <v>15000</v>
      </c>
      <c r="W113" s="22" t="n">
        <f aca="false">W112+V113</f>
        <v>-4631500</v>
      </c>
      <c r="X113" s="23" t="str">
        <f aca="false">IF(W113&gt;=0,"YES","No")</f>
        <v>No</v>
      </c>
    </row>
    <row r="114" customFormat="false" ht="15" hidden="false" customHeight="false" outlineLevel="0" collapsed="false">
      <c r="A114" s="16" t="n">
        <v>113</v>
      </c>
      <c r="B114" s="17" t="n">
        <f aca="false">B113+1</f>
        <v>46135</v>
      </c>
      <c r="C114" s="18" t="n">
        <f aca="false">MIN(ROUNDUP(A114/365,0),5)</f>
        <v>1</v>
      </c>
      <c r="D114" s="18" t="n">
        <f aca="false">DATEDIF(Assumptions!B5,B114,"m")+1</f>
        <v>4</v>
      </c>
      <c r="E114" s="18" t="str">
        <f aca="false">TEXT(B114,"ddd")</f>
        <v>Thu</v>
      </c>
      <c r="F114" s="19" t="n">
        <f aca="false">IF(WEEKDAY(B114,2)&gt;=6,Assumptions!B34,Assumptions!B35)</f>
        <v>1</v>
      </c>
      <c r="G114" s="20" t="n">
        <f aca="false">IF(D114&gt;=13,(1+Assumptions!B46)^(D114-12),1)</f>
        <v>1</v>
      </c>
      <c r="H114" s="21" t="n">
        <f aca="false">H113*(1+IF(C114=1,Assumptions!B22,Assumptions!B23))</f>
        <v>17.667234102736</v>
      </c>
      <c r="I114" s="16" t="n">
        <f aca="false">ROUND(H114*F114,0)</f>
        <v>18</v>
      </c>
      <c r="J114" s="22" t="n">
        <f aca="false">I114*Assumptions!B24</f>
        <v>10800</v>
      </c>
      <c r="K114" s="21" t="n">
        <f aca="false">K113*(1+Assumptions!B30)</f>
        <v>13.6306094079835</v>
      </c>
      <c r="L114" s="16" t="n">
        <f aca="false">ROUND(K114*F114,0)</f>
        <v>14</v>
      </c>
      <c r="M114" s="22" t="n">
        <f aca="false">L114*Assumptions!B31</f>
        <v>4200</v>
      </c>
      <c r="N114" s="22" t="n">
        <f aca="false">J114+M114</f>
        <v>15000</v>
      </c>
      <c r="O114" s="22" t="n">
        <f aca="false">IF(DAY(B114)=1,Assumptions!B38*G114,0)</f>
        <v>0</v>
      </c>
      <c r="P114" s="22" t="n">
        <f aca="false">IF(DAY(B114)=1,Assumptions!B39*G114,0)</f>
        <v>0</v>
      </c>
      <c r="Q114" s="22" t="n">
        <f aca="false">IF(DAY(B114)=1,Assumptions!B40*G114,0)</f>
        <v>0</v>
      </c>
      <c r="R114" s="22" t="n">
        <f aca="false">IF(DAY(B114)=1,Assumptions!B41*G114,0)</f>
        <v>0</v>
      </c>
      <c r="S114" s="22" t="n">
        <f aca="false">IF(AND(DAY(B114)=1,D114&gt;=13),Assumptions!B42*G114,0)</f>
        <v>0</v>
      </c>
      <c r="T114" s="22" t="n">
        <f aca="false">IF(DAY(B114)=1,Assumptions!B43*G114,0)</f>
        <v>0</v>
      </c>
      <c r="U114" s="22" t="n">
        <f aca="false">SUM(O114:T114)</f>
        <v>0</v>
      </c>
      <c r="V114" s="22" t="n">
        <f aca="false">N114-U114</f>
        <v>15000</v>
      </c>
      <c r="W114" s="22" t="n">
        <f aca="false">W113+V114</f>
        <v>-4616500</v>
      </c>
      <c r="X114" s="23" t="str">
        <f aca="false">IF(W114&gt;=0,"YES","No")</f>
        <v>No</v>
      </c>
    </row>
    <row r="115" customFormat="false" ht="15" hidden="false" customHeight="false" outlineLevel="0" collapsed="false">
      <c r="A115" s="16" t="n">
        <v>114</v>
      </c>
      <c r="B115" s="17" t="n">
        <f aca="false">B114+1</f>
        <v>46136</v>
      </c>
      <c r="C115" s="18" t="n">
        <f aca="false">MIN(ROUNDUP(A115/365,0),5)</f>
        <v>1</v>
      </c>
      <c r="D115" s="18" t="n">
        <f aca="false">DATEDIF(Assumptions!B5,B115,"m")+1</f>
        <v>4</v>
      </c>
      <c r="E115" s="18" t="str">
        <f aca="false">TEXT(B115,"ddd")</f>
        <v>Fri</v>
      </c>
      <c r="F115" s="19" t="n">
        <f aca="false">IF(WEEKDAY(B115,2)&gt;=6,Assumptions!B34,Assumptions!B35)</f>
        <v>1</v>
      </c>
      <c r="G115" s="20" t="n">
        <f aca="false">IF(D115&gt;=13,(1+Assumptions!B46)^(D115-12),1)</f>
        <v>1</v>
      </c>
      <c r="H115" s="21" t="n">
        <f aca="false">H114*(1+IF(C115=1,Assumptions!B22,Assumptions!B23))</f>
        <v>17.6787311945974</v>
      </c>
      <c r="I115" s="16" t="n">
        <f aca="false">ROUND(H115*F115,0)</f>
        <v>18</v>
      </c>
      <c r="J115" s="22" t="n">
        <f aca="false">I115*Assumptions!B24</f>
        <v>10800</v>
      </c>
      <c r="K115" s="21" t="n">
        <f aca="false">K114*(1+Assumptions!B30)</f>
        <v>13.6350657563147</v>
      </c>
      <c r="L115" s="16" t="n">
        <f aca="false">ROUND(K115*F115,0)</f>
        <v>14</v>
      </c>
      <c r="M115" s="22" t="n">
        <f aca="false">L115*Assumptions!B31</f>
        <v>4200</v>
      </c>
      <c r="N115" s="22" t="n">
        <f aca="false">J115+M115</f>
        <v>15000</v>
      </c>
      <c r="O115" s="22" t="n">
        <f aca="false">IF(DAY(B115)=1,Assumptions!B38*G115,0)</f>
        <v>0</v>
      </c>
      <c r="P115" s="22" t="n">
        <f aca="false">IF(DAY(B115)=1,Assumptions!B39*G115,0)</f>
        <v>0</v>
      </c>
      <c r="Q115" s="22" t="n">
        <f aca="false">IF(DAY(B115)=1,Assumptions!B40*G115,0)</f>
        <v>0</v>
      </c>
      <c r="R115" s="22" t="n">
        <f aca="false">IF(DAY(B115)=1,Assumptions!B41*G115,0)</f>
        <v>0</v>
      </c>
      <c r="S115" s="22" t="n">
        <f aca="false">IF(AND(DAY(B115)=1,D115&gt;=13),Assumptions!B42*G115,0)</f>
        <v>0</v>
      </c>
      <c r="T115" s="22" t="n">
        <f aca="false">IF(DAY(B115)=1,Assumptions!B43*G115,0)</f>
        <v>0</v>
      </c>
      <c r="U115" s="22" t="n">
        <f aca="false">SUM(O115:T115)</f>
        <v>0</v>
      </c>
      <c r="V115" s="22" t="n">
        <f aca="false">N115-U115</f>
        <v>15000</v>
      </c>
      <c r="W115" s="22" t="n">
        <f aca="false">W114+V115</f>
        <v>-4601500</v>
      </c>
      <c r="X115" s="23" t="str">
        <f aca="false">IF(W115&gt;=0,"YES","No")</f>
        <v>No</v>
      </c>
    </row>
    <row r="116" customFormat="false" ht="15" hidden="false" customHeight="false" outlineLevel="0" collapsed="false">
      <c r="A116" s="16" t="n">
        <v>115</v>
      </c>
      <c r="B116" s="17" t="n">
        <f aca="false">B115+1</f>
        <v>46137</v>
      </c>
      <c r="C116" s="18" t="n">
        <f aca="false">MIN(ROUNDUP(A116/365,0),5)</f>
        <v>1</v>
      </c>
      <c r="D116" s="18" t="n">
        <f aca="false">DATEDIF(Assumptions!B5,B116,"m")+1</f>
        <v>4</v>
      </c>
      <c r="E116" s="18" t="str">
        <f aca="false">TEXT(B116,"ddd")</f>
        <v>Sat</v>
      </c>
      <c r="F116" s="19" t="n">
        <f aca="false">IF(WEEKDAY(B116,2)&gt;=6,Assumptions!B34,Assumptions!B35)</f>
        <v>0.6</v>
      </c>
      <c r="G116" s="20" t="n">
        <f aca="false">IF(D116&gt;=13,(1+Assumptions!B46)^(D116-12),1)</f>
        <v>1</v>
      </c>
      <c r="H116" s="21" t="n">
        <f aca="false">H115*(1+IF(C116=1,Assumptions!B22,Assumptions!B23))</f>
        <v>17.6902357682819</v>
      </c>
      <c r="I116" s="16" t="n">
        <f aca="false">ROUND(H116*F116,0)</f>
        <v>11</v>
      </c>
      <c r="J116" s="22" t="n">
        <f aca="false">I116*Assumptions!B24</f>
        <v>6600</v>
      </c>
      <c r="K116" s="21" t="n">
        <f aca="false">K115*(1+Assumptions!B30)</f>
        <v>13.6395235615904</v>
      </c>
      <c r="L116" s="16" t="n">
        <f aca="false">ROUND(K116*F116,0)</f>
        <v>8</v>
      </c>
      <c r="M116" s="22" t="n">
        <f aca="false">L116*Assumptions!B31</f>
        <v>2400</v>
      </c>
      <c r="N116" s="22" t="n">
        <f aca="false">J116+M116</f>
        <v>9000</v>
      </c>
      <c r="O116" s="22" t="n">
        <f aca="false">IF(DAY(B116)=1,Assumptions!B38*G116,0)</f>
        <v>0</v>
      </c>
      <c r="P116" s="22" t="n">
        <f aca="false">IF(DAY(B116)=1,Assumptions!B39*G116,0)</f>
        <v>0</v>
      </c>
      <c r="Q116" s="22" t="n">
        <f aca="false">IF(DAY(B116)=1,Assumptions!B40*G116,0)</f>
        <v>0</v>
      </c>
      <c r="R116" s="22" t="n">
        <f aca="false">IF(DAY(B116)=1,Assumptions!B41*G116,0)</f>
        <v>0</v>
      </c>
      <c r="S116" s="22" t="n">
        <f aca="false">IF(AND(DAY(B116)=1,D116&gt;=13),Assumptions!B42*G116,0)</f>
        <v>0</v>
      </c>
      <c r="T116" s="22" t="n">
        <f aca="false">IF(DAY(B116)=1,Assumptions!B43*G116,0)</f>
        <v>0</v>
      </c>
      <c r="U116" s="22" t="n">
        <f aca="false">SUM(O116:T116)</f>
        <v>0</v>
      </c>
      <c r="V116" s="22" t="n">
        <f aca="false">N116-U116</f>
        <v>9000</v>
      </c>
      <c r="W116" s="22" t="n">
        <f aca="false">W115+V116</f>
        <v>-4592500</v>
      </c>
      <c r="X116" s="23" t="str">
        <f aca="false">IF(W116&gt;=0,"YES","No")</f>
        <v>No</v>
      </c>
    </row>
    <row r="117" customFormat="false" ht="15" hidden="false" customHeight="false" outlineLevel="0" collapsed="false">
      <c r="A117" s="16" t="n">
        <v>116</v>
      </c>
      <c r="B117" s="17" t="n">
        <f aca="false">B116+1</f>
        <v>46138</v>
      </c>
      <c r="C117" s="18" t="n">
        <f aca="false">MIN(ROUNDUP(A117/365,0),5)</f>
        <v>1</v>
      </c>
      <c r="D117" s="18" t="n">
        <f aca="false">DATEDIF(Assumptions!B5,B117,"m")+1</f>
        <v>4</v>
      </c>
      <c r="E117" s="18" t="str">
        <f aca="false">TEXT(B117,"ddd")</f>
        <v>Sun</v>
      </c>
      <c r="F117" s="19" t="n">
        <f aca="false">IF(WEEKDAY(B117,2)&gt;=6,Assumptions!B34,Assumptions!B35)</f>
        <v>0.6</v>
      </c>
      <c r="G117" s="20" t="n">
        <f aca="false">IF(D117&gt;=13,(1+Assumptions!B46)^(D117-12),1)</f>
        <v>1</v>
      </c>
      <c r="H117" s="21" t="n">
        <f aca="false">H116*(1+IF(C117=1,Assumptions!B22,Assumptions!B23))</f>
        <v>17.7017478286585</v>
      </c>
      <c r="I117" s="16" t="n">
        <f aca="false">ROUND(H117*F117,0)</f>
        <v>11</v>
      </c>
      <c r="J117" s="22" t="n">
        <f aca="false">I117*Assumptions!B24</f>
        <v>6600</v>
      </c>
      <c r="K117" s="21" t="n">
        <f aca="false">K116*(1+Assumptions!B30)</f>
        <v>13.6439828242868</v>
      </c>
      <c r="L117" s="16" t="n">
        <f aca="false">ROUND(K117*F117,0)</f>
        <v>8</v>
      </c>
      <c r="M117" s="22" t="n">
        <f aca="false">L117*Assumptions!B31</f>
        <v>2400</v>
      </c>
      <c r="N117" s="22" t="n">
        <f aca="false">J117+M117</f>
        <v>9000</v>
      </c>
      <c r="O117" s="22" t="n">
        <f aca="false">IF(DAY(B117)=1,Assumptions!B38*G117,0)</f>
        <v>0</v>
      </c>
      <c r="P117" s="22" t="n">
        <f aca="false">IF(DAY(B117)=1,Assumptions!B39*G117,0)</f>
        <v>0</v>
      </c>
      <c r="Q117" s="22" t="n">
        <f aca="false">IF(DAY(B117)=1,Assumptions!B40*G117,0)</f>
        <v>0</v>
      </c>
      <c r="R117" s="22" t="n">
        <f aca="false">IF(DAY(B117)=1,Assumptions!B41*G117,0)</f>
        <v>0</v>
      </c>
      <c r="S117" s="22" t="n">
        <f aca="false">IF(AND(DAY(B117)=1,D117&gt;=13),Assumptions!B42*G117,0)</f>
        <v>0</v>
      </c>
      <c r="T117" s="22" t="n">
        <f aca="false">IF(DAY(B117)=1,Assumptions!B43*G117,0)</f>
        <v>0</v>
      </c>
      <c r="U117" s="22" t="n">
        <f aca="false">SUM(O117:T117)</f>
        <v>0</v>
      </c>
      <c r="V117" s="22" t="n">
        <f aca="false">N117-U117</f>
        <v>9000</v>
      </c>
      <c r="W117" s="22" t="n">
        <f aca="false">W116+V117</f>
        <v>-4583500</v>
      </c>
      <c r="X117" s="23" t="str">
        <f aca="false">IF(W117&gt;=0,"YES","No")</f>
        <v>No</v>
      </c>
    </row>
    <row r="118" customFormat="false" ht="15" hidden="false" customHeight="false" outlineLevel="0" collapsed="false">
      <c r="A118" s="16" t="n">
        <v>117</v>
      </c>
      <c r="B118" s="17" t="n">
        <f aca="false">B117+1</f>
        <v>46139</v>
      </c>
      <c r="C118" s="18" t="n">
        <f aca="false">MIN(ROUNDUP(A118/365,0),5)</f>
        <v>1</v>
      </c>
      <c r="D118" s="18" t="n">
        <f aca="false">DATEDIF(Assumptions!B5,B118,"m")+1</f>
        <v>4</v>
      </c>
      <c r="E118" s="18" t="str">
        <f aca="false">TEXT(B118,"ddd")</f>
        <v>Mon</v>
      </c>
      <c r="F118" s="19" t="n">
        <f aca="false">IF(WEEKDAY(B118,2)&gt;=6,Assumptions!B34,Assumptions!B35)</f>
        <v>1</v>
      </c>
      <c r="G118" s="20" t="n">
        <f aca="false">IF(D118&gt;=13,(1+Assumptions!B46)^(D118-12),1)</f>
        <v>1</v>
      </c>
      <c r="H118" s="21" t="n">
        <f aca="false">H117*(1+IF(C118=1,Assumptions!B22,Assumptions!B23))</f>
        <v>17.7132673805991</v>
      </c>
      <c r="I118" s="16" t="n">
        <f aca="false">ROUND(H118*F118,0)</f>
        <v>18</v>
      </c>
      <c r="J118" s="22" t="n">
        <f aca="false">I118*Assumptions!B24</f>
        <v>10800</v>
      </c>
      <c r="K118" s="21" t="n">
        <f aca="false">K117*(1+Assumptions!B30)</f>
        <v>13.6484435448804</v>
      </c>
      <c r="L118" s="16" t="n">
        <f aca="false">ROUND(K118*F118,0)</f>
        <v>14</v>
      </c>
      <c r="M118" s="22" t="n">
        <f aca="false">L118*Assumptions!B31</f>
        <v>4200</v>
      </c>
      <c r="N118" s="22" t="n">
        <f aca="false">J118+M118</f>
        <v>15000</v>
      </c>
      <c r="O118" s="22" t="n">
        <f aca="false">IF(DAY(B118)=1,Assumptions!B38*G118,0)</f>
        <v>0</v>
      </c>
      <c r="P118" s="22" t="n">
        <f aca="false">IF(DAY(B118)=1,Assumptions!B39*G118,0)</f>
        <v>0</v>
      </c>
      <c r="Q118" s="22" t="n">
        <f aca="false">IF(DAY(B118)=1,Assumptions!B40*G118,0)</f>
        <v>0</v>
      </c>
      <c r="R118" s="22" t="n">
        <f aca="false">IF(DAY(B118)=1,Assumptions!B41*G118,0)</f>
        <v>0</v>
      </c>
      <c r="S118" s="22" t="n">
        <f aca="false">IF(AND(DAY(B118)=1,D118&gt;=13),Assumptions!B42*G118,0)</f>
        <v>0</v>
      </c>
      <c r="T118" s="22" t="n">
        <f aca="false">IF(DAY(B118)=1,Assumptions!B43*G118,0)</f>
        <v>0</v>
      </c>
      <c r="U118" s="22" t="n">
        <f aca="false">SUM(O118:T118)</f>
        <v>0</v>
      </c>
      <c r="V118" s="22" t="n">
        <f aca="false">N118-U118</f>
        <v>15000</v>
      </c>
      <c r="W118" s="22" t="n">
        <f aca="false">W117+V118</f>
        <v>-4568500</v>
      </c>
      <c r="X118" s="23" t="str">
        <f aca="false">IF(W118&gt;=0,"YES","No")</f>
        <v>No</v>
      </c>
    </row>
    <row r="119" customFormat="false" ht="15" hidden="false" customHeight="false" outlineLevel="0" collapsed="false">
      <c r="A119" s="16" t="n">
        <v>118</v>
      </c>
      <c r="B119" s="17" t="n">
        <f aca="false">B118+1</f>
        <v>46140</v>
      </c>
      <c r="C119" s="18" t="n">
        <f aca="false">MIN(ROUNDUP(A119/365,0),5)</f>
        <v>1</v>
      </c>
      <c r="D119" s="18" t="n">
        <f aca="false">DATEDIF(Assumptions!B5,B119,"m")+1</f>
        <v>4</v>
      </c>
      <c r="E119" s="18" t="str">
        <f aca="false">TEXT(B119,"ddd")</f>
        <v>Tue</v>
      </c>
      <c r="F119" s="19" t="n">
        <f aca="false">IF(WEEKDAY(B119,2)&gt;=6,Assumptions!B34,Assumptions!B35)</f>
        <v>1</v>
      </c>
      <c r="G119" s="20" t="n">
        <f aca="false">IF(D119&gt;=13,(1+Assumptions!B46)^(D119-12),1)</f>
        <v>1</v>
      </c>
      <c r="H119" s="21" t="n">
        <f aca="false">H118*(1+IF(C119=1,Assumptions!B22,Assumptions!B23))</f>
        <v>17.7247944289789</v>
      </c>
      <c r="I119" s="16" t="n">
        <f aca="false">ROUND(H119*F119,0)</f>
        <v>18</v>
      </c>
      <c r="J119" s="22" t="n">
        <f aca="false">I119*Assumptions!B24</f>
        <v>10800</v>
      </c>
      <c r="K119" s="21" t="n">
        <f aca="false">K118*(1+Assumptions!B30)</f>
        <v>13.6529057238479</v>
      </c>
      <c r="L119" s="16" t="n">
        <f aca="false">ROUND(K119*F119,0)</f>
        <v>14</v>
      </c>
      <c r="M119" s="22" t="n">
        <f aca="false">L119*Assumptions!B31</f>
        <v>4200</v>
      </c>
      <c r="N119" s="22" t="n">
        <f aca="false">J119+M119</f>
        <v>15000</v>
      </c>
      <c r="O119" s="22" t="n">
        <f aca="false">IF(DAY(B119)=1,Assumptions!B38*G119,0)</f>
        <v>0</v>
      </c>
      <c r="P119" s="22" t="n">
        <f aca="false">IF(DAY(B119)=1,Assumptions!B39*G119,0)</f>
        <v>0</v>
      </c>
      <c r="Q119" s="22" t="n">
        <f aca="false">IF(DAY(B119)=1,Assumptions!B40*G119,0)</f>
        <v>0</v>
      </c>
      <c r="R119" s="22" t="n">
        <f aca="false">IF(DAY(B119)=1,Assumptions!B41*G119,0)</f>
        <v>0</v>
      </c>
      <c r="S119" s="22" t="n">
        <f aca="false">IF(AND(DAY(B119)=1,D119&gt;=13),Assumptions!B42*G119,0)</f>
        <v>0</v>
      </c>
      <c r="T119" s="22" t="n">
        <f aca="false">IF(DAY(B119)=1,Assumptions!B43*G119,0)</f>
        <v>0</v>
      </c>
      <c r="U119" s="22" t="n">
        <f aca="false">SUM(O119:T119)</f>
        <v>0</v>
      </c>
      <c r="V119" s="22" t="n">
        <f aca="false">N119-U119</f>
        <v>15000</v>
      </c>
      <c r="W119" s="22" t="n">
        <f aca="false">W118+V119</f>
        <v>-4553500</v>
      </c>
      <c r="X119" s="23" t="str">
        <f aca="false">IF(W119&gt;=0,"YES","No")</f>
        <v>No</v>
      </c>
    </row>
    <row r="120" customFormat="false" ht="15" hidden="false" customHeight="false" outlineLevel="0" collapsed="false">
      <c r="A120" s="16" t="n">
        <v>119</v>
      </c>
      <c r="B120" s="17" t="n">
        <f aca="false">B119+1</f>
        <v>46141</v>
      </c>
      <c r="C120" s="18" t="n">
        <f aca="false">MIN(ROUNDUP(A120/365,0),5)</f>
        <v>1</v>
      </c>
      <c r="D120" s="18" t="n">
        <f aca="false">DATEDIF(Assumptions!B5,B120,"m")+1</f>
        <v>4</v>
      </c>
      <c r="E120" s="18" t="str">
        <f aca="false">TEXT(B120,"ddd")</f>
        <v>Wed</v>
      </c>
      <c r="F120" s="19" t="n">
        <f aca="false">IF(WEEKDAY(B120,2)&gt;=6,Assumptions!B34,Assumptions!B35)</f>
        <v>1</v>
      </c>
      <c r="G120" s="20" t="n">
        <f aca="false">IF(D120&gt;=13,(1+Assumptions!B46)^(D120-12),1)</f>
        <v>1</v>
      </c>
      <c r="H120" s="21" t="n">
        <f aca="false">H119*(1+IF(C120=1,Assumptions!B22,Assumptions!B23))</f>
        <v>17.7363289786764</v>
      </c>
      <c r="I120" s="16" t="n">
        <f aca="false">ROUND(H120*F120,0)</f>
        <v>18</v>
      </c>
      <c r="J120" s="22" t="n">
        <f aca="false">I120*Assumptions!B24</f>
        <v>10800</v>
      </c>
      <c r="K120" s="21" t="n">
        <f aca="false">K119*(1+Assumptions!B30)</f>
        <v>13.6573693616661</v>
      </c>
      <c r="L120" s="16" t="n">
        <f aca="false">ROUND(K120*F120,0)</f>
        <v>14</v>
      </c>
      <c r="M120" s="22" t="n">
        <f aca="false">L120*Assumptions!B31</f>
        <v>4200</v>
      </c>
      <c r="N120" s="22" t="n">
        <f aca="false">J120+M120</f>
        <v>15000</v>
      </c>
      <c r="O120" s="22" t="n">
        <f aca="false">IF(DAY(B120)=1,Assumptions!B38*G120,0)</f>
        <v>0</v>
      </c>
      <c r="P120" s="22" t="n">
        <f aca="false">IF(DAY(B120)=1,Assumptions!B39*G120,0)</f>
        <v>0</v>
      </c>
      <c r="Q120" s="22" t="n">
        <f aca="false">IF(DAY(B120)=1,Assumptions!B40*G120,0)</f>
        <v>0</v>
      </c>
      <c r="R120" s="22" t="n">
        <f aca="false">IF(DAY(B120)=1,Assumptions!B41*G120,0)</f>
        <v>0</v>
      </c>
      <c r="S120" s="22" t="n">
        <f aca="false">IF(AND(DAY(B120)=1,D120&gt;=13),Assumptions!B42*G120,0)</f>
        <v>0</v>
      </c>
      <c r="T120" s="22" t="n">
        <f aca="false">IF(DAY(B120)=1,Assumptions!B43*G120,0)</f>
        <v>0</v>
      </c>
      <c r="U120" s="22" t="n">
        <f aca="false">SUM(O120:T120)</f>
        <v>0</v>
      </c>
      <c r="V120" s="22" t="n">
        <f aca="false">N120-U120</f>
        <v>15000</v>
      </c>
      <c r="W120" s="22" t="n">
        <f aca="false">W119+V120</f>
        <v>-4538500</v>
      </c>
      <c r="X120" s="23" t="str">
        <f aca="false">IF(W120&gt;=0,"YES","No")</f>
        <v>No</v>
      </c>
    </row>
    <row r="121" customFormat="false" ht="15" hidden="false" customHeight="false" outlineLevel="0" collapsed="false">
      <c r="A121" s="16" t="n">
        <v>120</v>
      </c>
      <c r="B121" s="17" t="n">
        <f aca="false">B120+1</f>
        <v>46142</v>
      </c>
      <c r="C121" s="18" t="n">
        <f aca="false">MIN(ROUNDUP(A121/365,0),5)</f>
        <v>1</v>
      </c>
      <c r="D121" s="18" t="n">
        <f aca="false">DATEDIF(Assumptions!B5,B121,"m")+1</f>
        <v>4</v>
      </c>
      <c r="E121" s="18" t="str">
        <f aca="false">TEXT(B121,"ddd")</f>
        <v>Thu</v>
      </c>
      <c r="F121" s="19" t="n">
        <f aca="false">IF(WEEKDAY(B121,2)&gt;=6,Assumptions!B34,Assumptions!B35)</f>
        <v>1</v>
      </c>
      <c r="G121" s="20" t="n">
        <f aca="false">IF(D121&gt;=13,(1+Assumptions!B46)^(D121-12),1)</f>
        <v>1</v>
      </c>
      <c r="H121" s="21" t="n">
        <f aca="false">H120*(1+IF(C121=1,Assumptions!B22,Assumptions!B23))</f>
        <v>17.7478710345729</v>
      </c>
      <c r="I121" s="16" t="n">
        <f aca="false">ROUND(H121*F121,0)</f>
        <v>18</v>
      </c>
      <c r="J121" s="22" t="n">
        <f aca="false">I121*Assumptions!B24</f>
        <v>10800</v>
      </c>
      <c r="K121" s="21" t="n">
        <f aca="false">K120*(1+Assumptions!B30)</f>
        <v>13.661834458812</v>
      </c>
      <c r="L121" s="16" t="n">
        <f aca="false">ROUND(K121*F121,0)</f>
        <v>14</v>
      </c>
      <c r="M121" s="22" t="n">
        <f aca="false">L121*Assumptions!B31</f>
        <v>4200</v>
      </c>
      <c r="N121" s="22" t="n">
        <f aca="false">J121+M121</f>
        <v>15000</v>
      </c>
      <c r="O121" s="22" t="n">
        <f aca="false">IF(DAY(B121)=1,Assumptions!B38*G121,0)</f>
        <v>0</v>
      </c>
      <c r="P121" s="22" t="n">
        <f aca="false">IF(DAY(B121)=1,Assumptions!B39*G121,0)</f>
        <v>0</v>
      </c>
      <c r="Q121" s="22" t="n">
        <f aca="false">IF(DAY(B121)=1,Assumptions!B40*G121,0)</f>
        <v>0</v>
      </c>
      <c r="R121" s="22" t="n">
        <f aca="false">IF(DAY(B121)=1,Assumptions!B41*G121,0)</f>
        <v>0</v>
      </c>
      <c r="S121" s="22" t="n">
        <f aca="false">IF(AND(DAY(B121)=1,D121&gt;=13),Assumptions!B42*G121,0)</f>
        <v>0</v>
      </c>
      <c r="T121" s="22" t="n">
        <f aca="false">IF(DAY(B121)=1,Assumptions!B43*G121,0)</f>
        <v>0</v>
      </c>
      <c r="U121" s="22" t="n">
        <f aca="false">SUM(O121:T121)</f>
        <v>0</v>
      </c>
      <c r="V121" s="22" t="n">
        <f aca="false">N121-U121</f>
        <v>15000</v>
      </c>
      <c r="W121" s="22" t="n">
        <f aca="false">W120+V121</f>
        <v>-4523500</v>
      </c>
      <c r="X121" s="23" t="str">
        <f aca="false">IF(W121&gt;=0,"YES","No")</f>
        <v>No</v>
      </c>
    </row>
    <row r="122" customFormat="false" ht="15" hidden="false" customHeight="false" outlineLevel="0" collapsed="false">
      <c r="A122" s="16" t="n">
        <v>121</v>
      </c>
      <c r="B122" s="17" t="n">
        <f aca="false">B121+1</f>
        <v>46143</v>
      </c>
      <c r="C122" s="18" t="n">
        <f aca="false">MIN(ROUNDUP(A122/365,0),5)</f>
        <v>1</v>
      </c>
      <c r="D122" s="18" t="n">
        <f aca="false">DATEDIF(Assumptions!B5,B122,"m")+1</f>
        <v>5</v>
      </c>
      <c r="E122" s="18" t="str">
        <f aca="false">TEXT(B122,"ddd")</f>
        <v>Fri</v>
      </c>
      <c r="F122" s="19" t="n">
        <f aca="false">IF(WEEKDAY(B122,2)&gt;=6,Assumptions!B34,Assumptions!B35)</f>
        <v>1</v>
      </c>
      <c r="G122" s="20" t="n">
        <f aca="false">IF(D122&gt;=13,(1+Assumptions!B46)^(D122-12),1)</f>
        <v>1</v>
      </c>
      <c r="H122" s="21" t="n">
        <f aca="false">H121*(1+IF(C122=1,Assumptions!B22,Assumptions!B23))</f>
        <v>17.7594206015534</v>
      </c>
      <c r="I122" s="16" t="n">
        <f aca="false">ROUND(H122*F122,0)</f>
        <v>18</v>
      </c>
      <c r="J122" s="22" t="n">
        <f aca="false">I122*Assumptions!B24</f>
        <v>10800</v>
      </c>
      <c r="K122" s="21" t="n">
        <f aca="false">K121*(1+Assumptions!B30)</f>
        <v>13.6663010157625</v>
      </c>
      <c r="L122" s="16" t="n">
        <f aca="false">ROUND(K122*F122,0)</f>
        <v>14</v>
      </c>
      <c r="M122" s="22" t="n">
        <f aca="false">L122*Assumptions!B31</f>
        <v>4200</v>
      </c>
      <c r="N122" s="22" t="n">
        <f aca="false">J122+M122</f>
        <v>15000</v>
      </c>
      <c r="O122" s="22" t="n">
        <f aca="false">IF(DAY(B122)=1,Assumptions!B38*G122,0)</f>
        <v>150000</v>
      </c>
      <c r="P122" s="22" t="n">
        <f aca="false">IF(DAY(B122)=1,Assumptions!B39*G122,0)</f>
        <v>40000</v>
      </c>
      <c r="Q122" s="22" t="n">
        <f aca="false">IF(DAY(B122)=1,Assumptions!B40*G122,0)</f>
        <v>30000</v>
      </c>
      <c r="R122" s="22" t="n">
        <f aca="false">IF(DAY(B122)=1,Assumptions!B41*G122,0)</f>
        <v>20000</v>
      </c>
      <c r="S122" s="22" t="n">
        <f aca="false">IF(AND(DAY(B122)=1,D122&gt;=13),Assumptions!B42*G122,0)</f>
        <v>0</v>
      </c>
      <c r="T122" s="22" t="n">
        <f aca="false">IF(DAY(B122)=1,Assumptions!B43*G122,0)</f>
        <v>20000</v>
      </c>
      <c r="U122" s="22" t="n">
        <f aca="false">SUM(O122:T122)</f>
        <v>260000</v>
      </c>
      <c r="V122" s="22" t="n">
        <f aca="false">N122-U122</f>
        <v>-245000</v>
      </c>
      <c r="W122" s="22" t="n">
        <f aca="false">W121+V122</f>
        <v>-4768500</v>
      </c>
      <c r="X122" s="23" t="str">
        <f aca="false">IF(W122&gt;=0,"YES","No")</f>
        <v>No</v>
      </c>
    </row>
    <row r="123" customFormat="false" ht="15" hidden="false" customHeight="false" outlineLevel="0" collapsed="false">
      <c r="A123" s="16" t="n">
        <v>122</v>
      </c>
      <c r="B123" s="17" t="n">
        <f aca="false">B122+1</f>
        <v>46144</v>
      </c>
      <c r="C123" s="18" t="n">
        <f aca="false">MIN(ROUNDUP(A123/365,0),5)</f>
        <v>1</v>
      </c>
      <c r="D123" s="18" t="n">
        <f aca="false">DATEDIF(Assumptions!B5,B123,"m")+1</f>
        <v>5</v>
      </c>
      <c r="E123" s="18" t="str">
        <f aca="false">TEXT(B123,"ddd")</f>
        <v>Sat</v>
      </c>
      <c r="F123" s="19" t="n">
        <f aca="false">IF(WEEKDAY(B123,2)&gt;=6,Assumptions!B34,Assumptions!B35)</f>
        <v>0.6</v>
      </c>
      <c r="G123" s="20" t="n">
        <f aca="false">IF(D123&gt;=13,(1+Assumptions!B46)^(D123-12),1)</f>
        <v>1</v>
      </c>
      <c r="H123" s="21" t="n">
        <f aca="false">H122*(1+IF(C123=1,Assumptions!B22,Assumptions!B23))</f>
        <v>17.7709776845056</v>
      </c>
      <c r="I123" s="16" t="n">
        <f aca="false">ROUND(H123*F123,0)</f>
        <v>11</v>
      </c>
      <c r="J123" s="22" t="n">
        <f aca="false">I123*Assumptions!B24</f>
        <v>6600</v>
      </c>
      <c r="K123" s="21" t="n">
        <f aca="false">K122*(1+Assumptions!B30)</f>
        <v>13.6707690329951</v>
      </c>
      <c r="L123" s="16" t="n">
        <f aca="false">ROUND(K123*F123,0)</f>
        <v>8</v>
      </c>
      <c r="M123" s="22" t="n">
        <f aca="false">L123*Assumptions!B31</f>
        <v>2400</v>
      </c>
      <c r="N123" s="22" t="n">
        <f aca="false">J123+M123</f>
        <v>9000</v>
      </c>
      <c r="O123" s="22" t="n">
        <f aca="false">IF(DAY(B123)=1,Assumptions!B38*G123,0)</f>
        <v>0</v>
      </c>
      <c r="P123" s="22" t="n">
        <f aca="false">IF(DAY(B123)=1,Assumptions!B39*G123,0)</f>
        <v>0</v>
      </c>
      <c r="Q123" s="22" t="n">
        <f aca="false">IF(DAY(B123)=1,Assumptions!B40*G123,0)</f>
        <v>0</v>
      </c>
      <c r="R123" s="22" t="n">
        <f aca="false">IF(DAY(B123)=1,Assumptions!B41*G123,0)</f>
        <v>0</v>
      </c>
      <c r="S123" s="22" t="n">
        <f aca="false">IF(AND(DAY(B123)=1,D123&gt;=13),Assumptions!B42*G123,0)</f>
        <v>0</v>
      </c>
      <c r="T123" s="22" t="n">
        <f aca="false">IF(DAY(B123)=1,Assumptions!B43*G123,0)</f>
        <v>0</v>
      </c>
      <c r="U123" s="22" t="n">
        <f aca="false">SUM(O123:T123)</f>
        <v>0</v>
      </c>
      <c r="V123" s="22" t="n">
        <f aca="false">N123-U123</f>
        <v>9000</v>
      </c>
      <c r="W123" s="22" t="n">
        <f aca="false">W122+V123</f>
        <v>-4759500</v>
      </c>
      <c r="X123" s="23" t="str">
        <f aca="false">IF(W123&gt;=0,"YES","No")</f>
        <v>No</v>
      </c>
    </row>
    <row r="124" customFormat="false" ht="15" hidden="false" customHeight="false" outlineLevel="0" collapsed="false">
      <c r="A124" s="16" t="n">
        <v>123</v>
      </c>
      <c r="B124" s="17" t="n">
        <f aca="false">B123+1</f>
        <v>46145</v>
      </c>
      <c r="C124" s="18" t="n">
        <f aca="false">MIN(ROUNDUP(A124/365,0),5)</f>
        <v>1</v>
      </c>
      <c r="D124" s="18" t="n">
        <f aca="false">DATEDIF(Assumptions!B5,B124,"m")+1</f>
        <v>5</v>
      </c>
      <c r="E124" s="18" t="str">
        <f aca="false">TEXT(B124,"ddd")</f>
        <v>Sun</v>
      </c>
      <c r="F124" s="19" t="n">
        <f aca="false">IF(WEEKDAY(B124,2)&gt;=6,Assumptions!B34,Assumptions!B35)</f>
        <v>0.6</v>
      </c>
      <c r="G124" s="20" t="n">
        <f aca="false">IF(D124&gt;=13,(1+Assumptions!B46)^(D124-12),1)</f>
        <v>1</v>
      </c>
      <c r="H124" s="21" t="n">
        <f aca="false">H123*(1+IF(C124=1,Assumptions!B22,Assumptions!B23))</f>
        <v>17.7825422883206</v>
      </c>
      <c r="I124" s="16" t="n">
        <f aca="false">ROUND(H124*F124,0)</f>
        <v>11</v>
      </c>
      <c r="J124" s="22" t="n">
        <f aca="false">I124*Assumptions!B24</f>
        <v>6600</v>
      </c>
      <c r="K124" s="21" t="n">
        <f aca="false">K123*(1+Assumptions!B30)</f>
        <v>13.6752385109871</v>
      </c>
      <c r="L124" s="16" t="n">
        <f aca="false">ROUND(K124*F124,0)</f>
        <v>8</v>
      </c>
      <c r="M124" s="22" t="n">
        <f aca="false">L124*Assumptions!B31</f>
        <v>2400</v>
      </c>
      <c r="N124" s="22" t="n">
        <f aca="false">J124+M124</f>
        <v>9000</v>
      </c>
      <c r="O124" s="22" t="n">
        <f aca="false">IF(DAY(B124)=1,Assumptions!B38*G124,0)</f>
        <v>0</v>
      </c>
      <c r="P124" s="22" t="n">
        <f aca="false">IF(DAY(B124)=1,Assumptions!B39*G124,0)</f>
        <v>0</v>
      </c>
      <c r="Q124" s="22" t="n">
        <f aca="false">IF(DAY(B124)=1,Assumptions!B40*G124,0)</f>
        <v>0</v>
      </c>
      <c r="R124" s="22" t="n">
        <f aca="false">IF(DAY(B124)=1,Assumptions!B41*G124,0)</f>
        <v>0</v>
      </c>
      <c r="S124" s="22" t="n">
        <f aca="false">IF(AND(DAY(B124)=1,D124&gt;=13),Assumptions!B42*G124,0)</f>
        <v>0</v>
      </c>
      <c r="T124" s="22" t="n">
        <f aca="false">IF(DAY(B124)=1,Assumptions!B43*G124,0)</f>
        <v>0</v>
      </c>
      <c r="U124" s="22" t="n">
        <f aca="false">SUM(O124:T124)</f>
        <v>0</v>
      </c>
      <c r="V124" s="22" t="n">
        <f aca="false">N124-U124</f>
        <v>9000</v>
      </c>
      <c r="W124" s="22" t="n">
        <f aca="false">W123+V124</f>
        <v>-4750500</v>
      </c>
      <c r="X124" s="23" t="str">
        <f aca="false">IF(W124&gt;=0,"YES","No")</f>
        <v>No</v>
      </c>
    </row>
    <row r="125" customFormat="false" ht="15" hidden="false" customHeight="false" outlineLevel="0" collapsed="false">
      <c r="A125" s="16" t="n">
        <v>124</v>
      </c>
      <c r="B125" s="17" t="n">
        <f aca="false">B124+1</f>
        <v>46146</v>
      </c>
      <c r="C125" s="18" t="n">
        <f aca="false">MIN(ROUNDUP(A125/365,0),5)</f>
        <v>1</v>
      </c>
      <c r="D125" s="18" t="n">
        <f aca="false">DATEDIF(Assumptions!B5,B125,"m")+1</f>
        <v>5</v>
      </c>
      <c r="E125" s="18" t="str">
        <f aca="false">TEXT(B125,"ddd")</f>
        <v>Mon</v>
      </c>
      <c r="F125" s="19" t="n">
        <f aca="false">IF(WEEKDAY(B125,2)&gt;=6,Assumptions!B34,Assumptions!B35)</f>
        <v>1</v>
      </c>
      <c r="G125" s="20" t="n">
        <f aca="false">IF(D125&gt;=13,(1+Assumptions!B46)^(D125-12),1)</f>
        <v>1</v>
      </c>
      <c r="H125" s="21" t="n">
        <f aca="false">H124*(1+IF(C125=1,Assumptions!B22,Assumptions!B23))</f>
        <v>17.7941144178927</v>
      </c>
      <c r="I125" s="16" t="n">
        <f aca="false">ROUND(H125*F125,0)</f>
        <v>18</v>
      </c>
      <c r="J125" s="22" t="n">
        <f aca="false">I125*Assumptions!B24</f>
        <v>10800</v>
      </c>
      <c r="K125" s="21" t="n">
        <f aca="false">K124*(1+Assumptions!B30)</f>
        <v>13.6797094502161</v>
      </c>
      <c r="L125" s="16" t="n">
        <f aca="false">ROUND(K125*F125,0)</f>
        <v>14</v>
      </c>
      <c r="M125" s="22" t="n">
        <f aca="false">L125*Assumptions!B31</f>
        <v>4200</v>
      </c>
      <c r="N125" s="22" t="n">
        <f aca="false">J125+M125</f>
        <v>15000</v>
      </c>
      <c r="O125" s="22" t="n">
        <f aca="false">IF(DAY(B125)=1,Assumptions!B38*G125,0)</f>
        <v>0</v>
      </c>
      <c r="P125" s="22" t="n">
        <f aca="false">IF(DAY(B125)=1,Assumptions!B39*G125,0)</f>
        <v>0</v>
      </c>
      <c r="Q125" s="22" t="n">
        <f aca="false">IF(DAY(B125)=1,Assumptions!B40*G125,0)</f>
        <v>0</v>
      </c>
      <c r="R125" s="22" t="n">
        <f aca="false">IF(DAY(B125)=1,Assumptions!B41*G125,0)</f>
        <v>0</v>
      </c>
      <c r="S125" s="22" t="n">
        <f aca="false">IF(AND(DAY(B125)=1,D125&gt;=13),Assumptions!B42*G125,0)</f>
        <v>0</v>
      </c>
      <c r="T125" s="22" t="n">
        <f aca="false">IF(DAY(B125)=1,Assumptions!B43*G125,0)</f>
        <v>0</v>
      </c>
      <c r="U125" s="22" t="n">
        <f aca="false">SUM(O125:T125)</f>
        <v>0</v>
      </c>
      <c r="V125" s="22" t="n">
        <f aca="false">N125-U125</f>
        <v>15000</v>
      </c>
      <c r="W125" s="22" t="n">
        <f aca="false">W124+V125</f>
        <v>-4735500</v>
      </c>
      <c r="X125" s="23" t="str">
        <f aca="false">IF(W125&gt;=0,"YES","No")</f>
        <v>No</v>
      </c>
    </row>
    <row r="126" customFormat="false" ht="15" hidden="false" customHeight="false" outlineLevel="0" collapsed="false">
      <c r="A126" s="16" t="n">
        <v>125</v>
      </c>
      <c r="B126" s="17" t="n">
        <f aca="false">B125+1</f>
        <v>46147</v>
      </c>
      <c r="C126" s="18" t="n">
        <f aca="false">MIN(ROUNDUP(A126/365,0),5)</f>
        <v>1</v>
      </c>
      <c r="D126" s="18" t="n">
        <f aca="false">DATEDIF(Assumptions!B5,B126,"m")+1</f>
        <v>5</v>
      </c>
      <c r="E126" s="18" t="str">
        <f aca="false">TEXT(B126,"ddd")</f>
        <v>Tue</v>
      </c>
      <c r="F126" s="19" t="n">
        <f aca="false">IF(WEEKDAY(B126,2)&gt;=6,Assumptions!B34,Assumptions!B35)</f>
        <v>1</v>
      </c>
      <c r="G126" s="20" t="n">
        <f aca="false">IF(D126&gt;=13,(1+Assumptions!B46)^(D126-12),1)</f>
        <v>1</v>
      </c>
      <c r="H126" s="21" t="n">
        <f aca="false">H125*(1+IF(C126=1,Assumptions!B22,Assumptions!B23))</f>
        <v>17.8056940781194</v>
      </c>
      <c r="I126" s="16" t="n">
        <f aca="false">ROUND(H126*F126,0)</f>
        <v>18</v>
      </c>
      <c r="J126" s="22" t="n">
        <f aca="false">I126*Assumptions!B24</f>
        <v>10800</v>
      </c>
      <c r="K126" s="21" t="n">
        <f aca="false">K125*(1+Assumptions!B30)</f>
        <v>13.6841818511598</v>
      </c>
      <c r="L126" s="16" t="n">
        <f aca="false">ROUND(K126*F126,0)</f>
        <v>14</v>
      </c>
      <c r="M126" s="22" t="n">
        <f aca="false">L126*Assumptions!B31</f>
        <v>4200</v>
      </c>
      <c r="N126" s="22" t="n">
        <f aca="false">J126+M126</f>
        <v>15000</v>
      </c>
      <c r="O126" s="22" t="n">
        <f aca="false">IF(DAY(B126)=1,Assumptions!B38*G126,0)</f>
        <v>0</v>
      </c>
      <c r="P126" s="22" t="n">
        <f aca="false">IF(DAY(B126)=1,Assumptions!B39*G126,0)</f>
        <v>0</v>
      </c>
      <c r="Q126" s="22" t="n">
        <f aca="false">IF(DAY(B126)=1,Assumptions!B40*G126,0)</f>
        <v>0</v>
      </c>
      <c r="R126" s="22" t="n">
        <f aca="false">IF(DAY(B126)=1,Assumptions!B41*G126,0)</f>
        <v>0</v>
      </c>
      <c r="S126" s="22" t="n">
        <f aca="false">IF(AND(DAY(B126)=1,D126&gt;=13),Assumptions!B42*G126,0)</f>
        <v>0</v>
      </c>
      <c r="T126" s="22" t="n">
        <f aca="false">IF(DAY(B126)=1,Assumptions!B43*G126,0)</f>
        <v>0</v>
      </c>
      <c r="U126" s="22" t="n">
        <f aca="false">SUM(O126:T126)</f>
        <v>0</v>
      </c>
      <c r="V126" s="22" t="n">
        <f aca="false">N126-U126</f>
        <v>15000</v>
      </c>
      <c r="W126" s="22" t="n">
        <f aca="false">W125+V126</f>
        <v>-4720500</v>
      </c>
      <c r="X126" s="23" t="str">
        <f aca="false">IF(W126&gt;=0,"YES","No")</f>
        <v>No</v>
      </c>
    </row>
    <row r="127" customFormat="false" ht="15" hidden="false" customHeight="false" outlineLevel="0" collapsed="false">
      <c r="A127" s="16" t="n">
        <v>126</v>
      </c>
      <c r="B127" s="17" t="n">
        <f aca="false">B126+1</f>
        <v>46148</v>
      </c>
      <c r="C127" s="18" t="n">
        <f aca="false">MIN(ROUNDUP(A127/365,0),5)</f>
        <v>1</v>
      </c>
      <c r="D127" s="18" t="n">
        <f aca="false">DATEDIF(Assumptions!B5,B127,"m")+1</f>
        <v>5</v>
      </c>
      <c r="E127" s="18" t="str">
        <f aca="false">TEXT(B127,"ddd")</f>
        <v>Wed</v>
      </c>
      <c r="F127" s="19" t="n">
        <f aca="false">IF(WEEKDAY(B127,2)&gt;=6,Assumptions!B34,Assumptions!B35)</f>
        <v>1</v>
      </c>
      <c r="G127" s="20" t="n">
        <f aca="false">IF(D127&gt;=13,(1+Assumptions!B46)^(D127-12),1)</f>
        <v>1</v>
      </c>
      <c r="H127" s="21" t="n">
        <f aca="false">H126*(1+IF(C127=1,Assumptions!B22,Assumptions!B23))</f>
        <v>17.8172812739012</v>
      </c>
      <c r="I127" s="16" t="n">
        <f aca="false">ROUND(H127*F127,0)</f>
        <v>18</v>
      </c>
      <c r="J127" s="22" t="n">
        <f aca="false">I127*Assumptions!B24</f>
        <v>10800</v>
      </c>
      <c r="K127" s="21" t="n">
        <f aca="false">K126*(1+Assumptions!B30)</f>
        <v>13.6886557142962</v>
      </c>
      <c r="L127" s="16" t="n">
        <f aca="false">ROUND(K127*F127,0)</f>
        <v>14</v>
      </c>
      <c r="M127" s="22" t="n">
        <f aca="false">L127*Assumptions!B31</f>
        <v>4200</v>
      </c>
      <c r="N127" s="22" t="n">
        <f aca="false">J127+M127</f>
        <v>15000</v>
      </c>
      <c r="O127" s="22" t="n">
        <f aca="false">IF(DAY(B127)=1,Assumptions!B38*G127,0)</f>
        <v>0</v>
      </c>
      <c r="P127" s="22" t="n">
        <f aca="false">IF(DAY(B127)=1,Assumptions!B39*G127,0)</f>
        <v>0</v>
      </c>
      <c r="Q127" s="22" t="n">
        <f aca="false">IF(DAY(B127)=1,Assumptions!B40*G127,0)</f>
        <v>0</v>
      </c>
      <c r="R127" s="22" t="n">
        <f aca="false">IF(DAY(B127)=1,Assumptions!B41*G127,0)</f>
        <v>0</v>
      </c>
      <c r="S127" s="22" t="n">
        <f aca="false">IF(AND(DAY(B127)=1,D127&gt;=13),Assumptions!B42*G127,0)</f>
        <v>0</v>
      </c>
      <c r="T127" s="22" t="n">
        <f aca="false">IF(DAY(B127)=1,Assumptions!B43*G127,0)</f>
        <v>0</v>
      </c>
      <c r="U127" s="22" t="n">
        <f aca="false">SUM(O127:T127)</f>
        <v>0</v>
      </c>
      <c r="V127" s="22" t="n">
        <f aca="false">N127-U127</f>
        <v>15000</v>
      </c>
      <c r="W127" s="22" t="n">
        <f aca="false">W126+V127</f>
        <v>-4705500</v>
      </c>
      <c r="X127" s="23" t="str">
        <f aca="false">IF(W127&gt;=0,"YES","No")</f>
        <v>No</v>
      </c>
    </row>
    <row r="128" customFormat="false" ht="15" hidden="false" customHeight="false" outlineLevel="0" collapsed="false">
      <c r="A128" s="16" t="n">
        <v>127</v>
      </c>
      <c r="B128" s="17" t="n">
        <f aca="false">B127+1</f>
        <v>46149</v>
      </c>
      <c r="C128" s="18" t="n">
        <f aca="false">MIN(ROUNDUP(A128/365,0),5)</f>
        <v>1</v>
      </c>
      <c r="D128" s="18" t="n">
        <f aca="false">DATEDIF(Assumptions!B5,B128,"m")+1</f>
        <v>5</v>
      </c>
      <c r="E128" s="18" t="str">
        <f aca="false">TEXT(B128,"ddd")</f>
        <v>Thu</v>
      </c>
      <c r="F128" s="19" t="n">
        <f aca="false">IF(WEEKDAY(B128,2)&gt;=6,Assumptions!B34,Assumptions!B35)</f>
        <v>1</v>
      </c>
      <c r="G128" s="20" t="n">
        <f aca="false">IF(D128&gt;=13,(1+Assumptions!B46)^(D128-12),1)</f>
        <v>1</v>
      </c>
      <c r="H128" s="21" t="n">
        <f aca="false">H127*(1+IF(C128=1,Assumptions!B22,Assumptions!B23))</f>
        <v>17.8288760101421</v>
      </c>
      <c r="I128" s="16" t="n">
        <f aca="false">ROUND(H128*F128,0)</f>
        <v>18</v>
      </c>
      <c r="J128" s="22" t="n">
        <f aca="false">I128*Assumptions!B24</f>
        <v>10800</v>
      </c>
      <c r="K128" s="21" t="n">
        <f aca="false">K127*(1+Assumptions!B30)</f>
        <v>13.6931310401032</v>
      </c>
      <c r="L128" s="16" t="n">
        <f aca="false">ROUND(K128*F128,0)</f>
        <v>14</v>
      </c>
      <c r="M128" s="22" t="n">
        <f aca="false">L128*Assumptions!B31</f>
        <v>4200</v>
      </c>
      <c r="N128" s="22" t="n">
        <f aca="false">J128+M128</f>
        <v>15000</v>
      </c>
      <c r="O128" s="22" t="n">
        <f aca="false">IF(DAY(B128)=1,Assumptions!B38*G128,0)</f>
        <v>0</v>
      </c>
      <c r="P128" s="22" t="n">
        <f aca="false">IF(DAY(B128)=1,Assumptions!B39*G128,0)</f>
        <v>0</v>
      </c>
      <c r="Q128" s="22" t="n">
        <f aca="false">IF(DAY(B128)=1,Assumptions!B40*G128,0)</f>
        <v>0</v>
      </c>
      <c r="R128" s="22" t="n">
        <f aca="false">IF(DAY(B128)=1,Assumptions!B41*G128,0)</f>
        <v>0</v>
      </c>
      <c r="S128" s="22" t="n">
        <f aca="false">IF(AND(DAY(B128)=1,D128&gt;=13),Assumptions!B42*G128,0)</f>
        <v>0</v>
      </c>
      <c r="T128" s="22" t="n">
        <f aca="false">IF(DAY(B128)=1,Assumptions!B43*G128,0)</f>
        <v>0</v>
      </c>
      <c r="U128" s="22" t="n">
        <f aca="false">SUM(O128:T128)</f>
        <v>0</v>
      </c>
      <c r="V128" s="22" t="n">
        <f aca="false">N128-U128</f>
        <v>15000</v>
      </c>
      <c r="W128" s="22" t="n">
        <f aca="false">W127+V128</f>
        <v>-4690500</v>
      </c>
      <c r="X128" s="23" t="str">
        <f aca="false">IF(W128&gt;=0,"YES","No")</f>
        <v>No</v>
      </c>
    </row>
    <row r="129" customFormat="false" ht="15" hidden="false" customHeight="false" outlineLevel="0" collapsed="false">
      <c r="A129" s="16" t="n">
        <v>128</v>
      </c>
      <c r="B129" s="17" t="n">
        <f aca="false">B128+1</f>
        <v>46150</v>
      </c>
      <c r="C129" s="18" t="n">
        <f aca="false">MIN(ROUNDUP(A129/365,0),5)</f>
        <v>1</v>
      </c>
      <c r="D129" s="18" t="n">
        <f aca="false">DATEDIF(Assumptions!B5,B129,"m")+1</f>
        <v>5</v>
      </c>
      <c r="E129" s="18" t="str">
        <f aca="false">TEXT(B129,"ddd")</f>
        <v>Fri</v>
      </c>
      <c r="F129" s="19" t="n">
        <f aca="false">IF(WEEKDAY(B129,2)&gt;=6,Assumptions!B34,Assumptions!B35)</f>
        <v>1</v>
      </c>
      <c r="G129" s="20" t="n">
        <f aca="false">IF(D129&gt;=13,(1+Assumptions!B46)^(D129-12),1)</f>
        <v>1</v>
      </c>
      <c r="H129" s="21" t="n">
        <f aca="false">H128*(1+IF(C129=1,Assumptions!B22,Assumptions!B23))</f>
        <v>17.8404782917489</v>
      </c>
      <c r="I129" s="16" t="n">
        <f aca="false">ROUND(H129*F129,0)</f>
        <v>18</v>
      </c>
      <c r="J129" s="22" t="n">
        <f aca="false">I129*Assumptions!B24</f>
        <v>10800</v>
      </c>
      <c r="K129" s="21" t="n">
        <f aca="false">K128*(1+Assumptions!B30)</f>
        <v>13.6976078290591</v>
      </c>
      <c r="L129" s="16" t="n">
        <f aca="false">ROUND(K129*F129,0)</f>
        <v>14</v>
      </c>
      <c r="M129" s="22" t="n">
        <f aca="false">L129*Assumptions!B31</f>
        <v>4200</v>
      </c>
      <c r="N129" s="22" t="n">
        <f aca="false">J129+M129</f>
        <v>15000</v>
      </c>
      <c r="O129" s="22" t="n">
        <f aca="false">IF(DAY(B129)=1,Assumptions!B38*G129,0)</f>
        <v>0</v>
      </c>
      <c r="P129" s="22" t="n">
        <f aca="false">IF(DAY(B129)=1,Assumptions!B39*G129,0)</f>
        <v>0</v>
      </c>
      <c r="Q129" s="22" t="n">
        <f aca="false">IF(DAY(B129)=1,Assumptions!B40*G129,0)</f>
        <v>0</v>
      </c>
      <c r="R129" s="22" t="n">
        <f aca="false">IF(DAY(B129)=1,Assumptions!B41*G129,0)</f>
        <v>0</v>
      </c>
      <c r="S129" s="22" t="n">
        <f aca="false">IF(AND(DAY(B129)=1,D129&gt;=13),Assumptions!B42*G129,0)</f>
        <v>0</v>
      </c>
      <c r="T129" s="22" t="n">
        <f aca="false">IF(DAY(B129)=1,Assumptions!B43*G129,0)</f>
        <v>0</v>
      </c>
      <c r="U129" s="22" t="n">
        <f aca="false">SUM(O129:T129)</f>
        <v>0</v>
      </c>
      <c r="V129" s="22" t="n">
        <f aca="false">N129-U129</f>
        <v>15000</v>
      </c>
      <c r="W129" s="22" t="n">
        <f aca="false">W128+V129</f>
        <v>-4675500</v>
      </c>
      <c r="X129" s="23" t="str">
        <f aca="false">IF(W129&gt;=0,"YES","No")</f>
        <v>No</v>
      </c>
    </row>
    <row r="130" customFormat="false" ht="15" hidden="false" customHeight="false" outlineLevel="0" collapsed="false">
      <c r="A130" s="16" t="n">
        <v>129</v>
      </c>
      <c r="B130" s="17" t="n">
        <f aca="false">B129+1</f>
        <v>46151</v>
      </c>
      <c r="C130" s="18" t="n">
        <f aca="false">MIN(ROUNDUP(A130/365,0),5)</f>
        <v>1</v>
      </c>
      <c r="D130" s="18" t="n">
        <f aca="false">DATEDIF(Assumptions!B5,B130,"m")+1</f>
        <v>5</v>
      </c>
      <c r="E130" s="18" t="str">
        <f aca="false">TEXT(B130,"ddd")</f>
        <v>Sat</v>
      </c>
      <c r="F130" s="19" t="n">
        <f aca="false">IF(WEEKDAY(B130,2)&gt;=6,Assumptions!B34,Assumptions!B35)</f>
        <v>0.6</v>
      </c>
      <c r="G130" s="20" t="n">
        <f aca="false">IF(D130&gt;=13,(1+Assumptions!B46)^(D130-12),1)</f>
        <v>1</v>
      </c>
      <c r="H130" s="21" t="n">
        <f aca="false">H129*(1+IF(C130=1,Assumptions!B22,Assumptions!B23))</f>
        <v>17.852088123632</v>
      </c>
      <c r="I130" s="16" t="n">
        <f aca="false">ROUND(H130*F130,0)</f>
        <v>11</v>
      </c>
      <c r="J130" s="22" t="n">
        <f aca="false">I130*Assumptions!B24</f>
        <v>6600</v>
      </c>
      <c r="K130" s="21" t="n">
        <f aca="false">K129*(1+Assumptions!B30)</f>
        <v>13.7020860816422</v>
      </c>
      <c r="L130" s="16" t="n">
        <f aca="false">ROUND(K130*F130,0)</f>
        <v>8</v>
      </c>
      <c r="M130" s="22" t="n">
        <f aca="false">L130*Assumptions!B31</f>
        <v>2400</v>
      </c>
      <c r="N130" s="22" t="n">
        <f aca="false">J130+M130</f>
        <v>9000</v>
      </c>
      <c r="O130" s="22" t="n">
        <f aca="false">IF(DAY(B130)=1,Assumptions!B38*G130,0)</f>
        <v>0</v>
      </c>
      <c r="P130" s="22" t="n">
        <f aca="false">IF(DAY(B130)=1,Assumptions!B39*G130,0)</f>
        <v>0</v>
      </c>
      <c r="Q130" s="22" t="n">
        <f aca="false">IF(DAY(B130)=1,Assumptions!B40*G130,0)</f>
        <v>0</v>
      </c>
      <c r="R130" s="22" t="n">
        <f aca="false">IF(DAY(B130)=1,Assumptions!B41*G130,0)</f>
        <v>0</v>
      </c>
      <c r="S130" s="22" t="n">
        <f aca="false">IF(AND(DAY(B130)=1,D130&gt;=13),Assumptions!B42*G130,0)</f>
        <v>0</v>
      </c>
      <c r="T130" s="22" t="n">
        <f aca="false">IF(DAY(B130)=1,Assumptions!B43*G130,0)</f>
        <v>0</v>
      </c>
      <c r="U130" s="22" t="n">
        <f aca="false">SUM(O130:T130)</f>
        <v>0</v>
      </c>
      <c r="V130" s="22" t="n">
        <f aca="false">N130-U130</f>
        <v>9000</v>
      </c>
      <c r="W130" s="22" t="n">
        <f aca="false">W129+V130</f>
        <v>-4666500</v>
      </c>
      <c r="X130" s="23" t="str">
        <f aca="false">IF(W130&gt;=0,"YES","No")</f>
        <v>No</v>
      </c>
    </row>
    <row r="131" customFormat="false" ht="15" hidden="false" customHeight="false" outlineLevel="0" collapsed="false">
      <c r="A131" s="16" t="n">
        <v>130</v>
      </c>
      <c r="B131" s="17" t="n">
        <f aca="false">B130+1</f>
        <v>46152</v>
      </c>
      <c r="C131" s="18" t="n">
        <f aca="false">MIN(ROUNDUP(A131/365,0),5)</f>
        <v>1</v>
      </c>
      <c r="D131" s="18" t="n">
        <f aca="false">DATEDIF(Assumptions!B5,B131,"m")+1</f>
        <v>5</v>
      </c>
      <c r="E131" s="18" t="str">
        <f aca="false">TEXT(B131,"ddd")</f>
        <v>Sun</v>
      </c>
      <c r="F131" s="19" t="n">
        <f aca="false">IF(WEEKDAY(B131,2)&gt;=6,Assumptions!B34,Assumptions!B35)</f>
        <v>0.6</v>
      </c>
      <c r="G131" s="20" t="n">
        <f aca="false">IF(D131&gt;=13,(1+Assumptions!B46)^(D131-12),1)</f>
        <v>1</v>
      </c>
      <c r="H131" s="21" t="n">
        <f aca="false">H130*(1+IF(C131=1,Assumptions!B22,Assumptions!B23))</f>
        <v>17.8637055107046</v>
      </c>
      <c r="I131" s="16" t="n">
        <f aca="false">ROUND(H131*F131,0)</f>
        <v>11</v>
      </c>
      <c r="J131" s="22" t="n">
        <f aca="false">I131*Assumptions!B24</f>
        <v>6600</v>
      </c>
      <c r="K131" s="21" t="n">
        <f aca="false">K130*(1+Assumptions!B30)</f>
        <v>13.706565798331</v>
      </c>
      <c r="L131" s="16" t="n">
        <f aca="false">ROUND(K131*F131,0)</f>
        <v>8</v>
      </c>
      <c r="M131" s="22" t="n">
        <f aca="false">L131*Assumptions!B31</f>
        <v>2400</v>
      </c>
      <c r="N131" s="22" t="n">
        <f aca="false">J131+M131</f>
        <v>9000</v>
      </c>
      <c r="O131" s="22" t="n">
        <f aca="false">IF(DAY(B131)=1,Assumptions!B38*G131,0)</f>
        <v>0</v>
      </c>
      <c r="P131" s="22" t="n">
        <f aca="false">IF(DAY(B131)=1,Assumptions!B39*G131,0)</f>
        <v>0</v>
      </c>
      <c r="Q131" s="22" t="n">
        <f aca="false">IF(DAY(B131)=1,Assumptions!B40*G131,0)</f>
        <v>0</v>
      </c>
      <c r="R131" s="22" t="n">
        <f aca="false">IF(DAY(B131)=1,Assumptions!B41*G131,0)</f>
        <v>0</v>
      </c>
      <c r="S131" s="22" t="n">
        <f aca="false">IF(AND(DAY(B131)=1,D131&gt;=13),Assumptions!B42*G131,0)</f>
        <v>0</v>
      </c>
      <c r="T131" s="22" t="n">
        <f aca="false">IF(DAY(B131)=1,Assumptions!B43*G131,0)</f>
        <v>0</v>
      </c>
      <c r="U131" s="22" t="n">
        <f aca="false">SUM(O131:T131)</f>
        <v>0</v>
      </c>
      <c r="V131" s="22" t="n">
        <f aca="false">N131-U131</f>
        <v>9000</v>
      </c>
      <c r="W131" s="22" t="n">
        <f aca="false">W130+V131</f>
        <v>-4657500</v>
      </c>
      <c r="X131" s="23" t="str">
        <f aca="false">IF(W131&gt;=0,"YES","No")</f>
        <v>No</v>
      </c>
    </row>
    <row r="132" customFormat="false" ht="15" hidden="false" customHeight="false" outlineLevel="0" collapsed="false">
      <c r="A132" s="16" t="n">
        <v>131</v>
      </c>
      <c r="B132" s="17" t="n">
        <f aca="false">B131+1</f>
        <v>46153</v>
      </c>
      <c r="C132" s="18" t="n">
        <f aca="false">MIN(ROUNDUP(A132/365,0),5)</f>
        <v>1</v>
      </c>
      <c r="D132" s="18" t="n">
        <f aca="false">DATEDIF(Assumptions!B5,B132,"m")+1</f>
        <v>5</v>
      </c>
      <c r="E132" s="18" t="str">
        <f aca="false">TEXT(B132,"ddd")</f>
        <v>Mon</v>
      </c>
      <c r="F132" s="19" t="n">
        <f aca="false">IF(WEEKDAY(B132,2)&gt;=6,Assumptions!B34,Assumptions!B35)</f>
        <v>1</v>
      </c>
      <c r="G132" s="20" t="n">
        <f aca="false">IF(D132&gt;=13,(1+Assumptions!B46)^(D132-12),1)</f>
        <v>1</v>
      </c>
      <c r="H132" s="21" t="n">
        <f aca="false">H131*(1+IF(C132=1,Assumptions!B22,Assumptions!B23))</f>
        <v>17.8753304578835</v>
      </c>
      <c r="I132" s="16" t="n">
        <f aca="false">ROUND(H132*F132,0)</f>
        <v>18</v>
      </c>
      <c r="J132" s="22" t="n">
        <f aca="false">I132*Assumptions!B24</f>
        <v>10800</v>
      </c>
      <c r="K132" s="21" t="n">
        <f aca="false">K131*(1+Assumptions!B30)</f>
        <v>13.7110469796043</v>
      </c>
      <c r="L132" s="16" t="n">
        <f aca="false">ROUND(K132*F132,0)</f>
        <v>14</v>
      </c>
      <c r="M132" s="22" t="n">
        <f aca="false">L132*Assumptions!B31</f>
        <v>4200</v>
      </c>
      <c r="N132" s="22" t="n">
        <f aca="false">J132+M132</f>
        <v>15000</v>
      </c>
      <c r="O132" s="22" t="n">
        <f aca="false">IF(DAY(B132)=1,Assumptions!B38*G132,0)</f>
        <v>0</v>
      </c>
      <c r="P132" s="22" t="n">
        <f aca="false">IF(DAY(B132)=1,Assumptions!B39*G132,0)</f>
        <v>0</v>
      </c>
      <c r="Q132" s="22" t="n">
        <f aca="false">IF(DAY(B132)=1,Assumptions!B40*G132,0)</f>
        <v>0</v>
      </c>
      <c r="R132" s="22" t="n">
        <f aca="false">IF(DAY(B132)=1,Assumptions!B41*G132,0)</f>
        <v>0</v>
      </c>
      <c r="S132" s="22" t="n">
        <f aca="false">IF(AND(DAY(B132)=1,D132&gt;=13),Assumptions!B42*G132,0)</f>
        <v>0</v>
      </c>
      <c r="T132" s="22" t="n">
        <f aca="false">IF(DAY(B132)=1,Assumptions!B43*G132,0)</f>
        <v>0</v>
      </c>
      <c r="U132" s="22" t="n">
        <f aca="false">SUM(O132:T132)</f>
        <v>0</v>
      </c>
      <c r="V132" s="22" t="n">
        <f aca="false">N132-U132</f>
        <v>15000</v>
      </c>
      <c r="W132" s="22" t="n">
        <f aca="false">W131+V132</f>
        <v>-4642500</v>
      </c>
      <c r="X132" s="23" t="str">
        <f aca="false">IF(W132&gt;=0,"YES","No")</f>
        <v>No</v>
      </c>
    </row>
    <row r="133" customFormat="false" ht="15" hidden="false" customHeight="false" outlineLevel="0" collapsed="false">
      <c r="A133" s="16" t="n">
        <v>132</v>
      </c>
      <c r="B133" s="17" t="n">
        <f aca="false">B132+1</f>
        <v>46154</v>
      </c>
      <c r="C133" s="18" t="n">
        <f aca="false">MIN(ROUNDUP(A133/365,0),5)</f>
        <v>1</v>
      </c>
      <c r="D133" s="18" t="n">
        <f aca="false">DATEDIF(Assumptions!B5,B133,"m")+1</f>
        <v>5</v>
      </c>
      <c r="E133" s="18" t="str">
        <f aca="false">TEXT(B133,"ddd")</f>
        <v>Tue</v>
      </c>
      <c r="F133" s="19" t="n">
        <f aca="false">IF(WEEKDAY(B133,2)&gt;=6,Assumptions!B34,Assumptions!B35)</f>
        <v>1</v>
      </c>
      <c r="G133" s="20" t="n">
        <f aca="false">IF(D133&gt;=13,(1+Assumptions!B46)^(D133-12),1)</f>
        <v>1</v>
      </c>
      <c r="H133" s="21" t="n">
        <f aca="false">H132*(1+IF(C133=1,Assumptions!B22,Assumptions!B23))</f>
        <v>17.8869629700884</v>
      </c>
      <c r="I133" s="16" t="n">
        <f aca="false">ROUND(H133*F133,0)</f>
        <v>18</v>
      </c>
      <c r="J133" s="22" t="n">
        <f aca="false">I133*Assumptions!B24</f>
        <v>10800</v>
      </c>
      <c r="K133" s="21" t="n">
        <f aca="false">K132*(1+Assumptions!B30)</f>
        <v>13.7155296259407</v>
      </c>
      <c r="L133" s="16" t="n">
        <f aca="false">ROUND(K133*F133,0)</f>
        <v>14</v>
      </c>
      <c r="M133" s="22" t="n">
        <f aca="false">L133*Assumptions!B31</f>
        <v>4200</v>
      </c>
      <c r="N133" s="22" t="n">
        <f aca="false">J133+M133</f>
        <v>15000</v>
      </c>
      <c r="O133" s="22" t="n">
        <f aca="false">IF(DAY(B133)=1,Assumptions!B38*G133,0)</f>
        <v>0</v>
      </c>
      <c r="P133" s="22" t="n">
        <f aca="false">IF(DAY(B133)=1,Assumptions!B39*G133,0)</f>
        <v>0</v>
      </c>
      <c r="Q133" s="22" t="n">
        <f aca="false">IF(DAY(B133)=1,Assumptions!B40*G133,0)</f>
        <v>0</v>
      </c>
      <c r="R133" s="22" t="n">
        <f aca="false">IF(DAY(B133)=1,Assumptions!B41*G133,0)</f>
        <v>0</v>
      </c>
      <c r="S133" s="22" t="n">
        <f aca="false">IF(AND(DAY(B133)=1,D133&gt;=13),Assumptions!B42*G133,0)</f>
        <v>0</v>
      </c>
      <c r="T133" s="22" t="n">
        <f aca="false">IF(DAY(B133)=1,Assumptions!B43*G133,0)</f>
        <v>0</v>
      </c>
      <c r="U133" s="22" t="n">
        <f aca="false">SUM(O133:T133)</f>
        <v>0</v>
      </c>
      <c r="V133" s="22" t="n">
        <f aca="false">N133-U133</f>
        <v>15000</v>
      </c>
      <c r="W133" s="22" t="n">
        <f aca="false">W132+V133</f>
        <v>-4627500</v>
      </c>
      <c r="X133" s="23" t="str">
        <f aca="false">IF(W133&gt;=0,"YES","No")</f>
        <v>No</v>
      </c>
    </row>
    <row r="134" customFormat="false" ht="15" hidden="false" customHeight="false" outlineLevel="0" collapsed="false">
      <c r="A134" s="16" t="n">
        <v>133</v>
      </c>
      <c r="B134" s="17" t="n">
        <f aca="false">B133+1</f>
        <v>46155</v>
      </c>
      <c r="C134" s="18" t="n">
        <f aca="false">MIN(ROUNDUP(A134/365,0),5)</f>
        <v>1</v>
      </c>
      <c r="D134" s="18" t="n">
        <f aca="false">DATEDIF(Assumptions!B5,B134,"m")+1</f>
        <v>5</v>
      </c>
      <c r="E134" s="18" t="str">
        <f aca="false">TEXT(B134,"ddd")</f>
        <v>Wed</v>
      </c>
      <c r="F134" s="19" t="n">
        <f aca="false">IF(WEEKDAY(B134,2)&gt;=6,Assumptions!B34,Assumptions!B35)</f>
        <v>1</v>
      </c>
      <c r="G134" s="20" t="n">
        <f aca="false">IF(D134&gt;=13,(1+Assumptions!B46)^(D134-12),1)</f>
        <v>1</v>
      </c>
      <c r="H134" s="21" t="n">
        <f aca="false">H133*(1+IF(C134=1,Assumptions!B22,Assumptions!B23))</f>
        <v>17.8986030522424</v>
      </c>
      <c r="I134" s="16" t="n">
        <f aca="false">ROUND(H134*F134,0)</f>
        <v>18</v>
      </c>
      <c r="J134" s="22" t="n">
        <f aca="false">I134*Assumptions!B24</f>
        <v>10800</v>
      </c>
      <c r="K134" s="21" t="n">
        <f aca="false">K133*(1+Assumptions!B30)</f>
        <v>13.7200137378194</v>
      </c>
      <c r="L134" s="16" t="n">
        <f aca="false">ROUND(K134*F134,0)</f>
        <v>14</v>
      </c>
      <c r="M134" s="22" t="n">
        <f aca="false">L134*Assumptions!B31</f>
        <v>4200</v>
      </c>
      <c r="N134" s="22" t="n">
        <f aca="false">J134+M134</f>
        <v>15000</v>
      </c>
      <c r="O134" s="22" t="n">
        <f aca="false">IF(DAY(B134)=1,Assumptions!B38*G134,0)</f>
        <v>0</v>
      </c>
      <c r="P134" s="22" t="n">
        <f aca="false">IF(DAY(B134)=1,Assumptions!B39*G134,0)</f>
        <v>0</v>
      </c>
      <c r="Q134" s="22" t="n">
        <f aca="false">IF(DAY(B134)=1,Assumptions!B40*G134,0)</f>
        <v>0</v>
      </c>
      <c r="R134" s="22" t="n">
        <f aca="false">IF(DAY(B134)=1,Assumptions!B41*G134,0)</f>
        <v>0</v>
      </c>
      <c r="S134" s="22" t="n">
        <f aca="false">IF(AND(DAY(B134)=1,D134&gt;=13),Assumptions!B42*G134,0)</f>
        <v>0</v>
      </c>
      <c r="T134" s="22" t="n">
        <f aca="false">IF(DAY(B134)=1,Assumptions!B43*G134,0)</f>
        <v>0</v>
      </c>
      <c r="U134" s="22" t="n">
        <f aca="false">SUM(O134:T134)</f>
        <v>0</v>
      </c>
      <c r="V134" s="22" t="n">
        <f aca="false">N134-U134</f>
        <v>15000</v>
      </c>
      <c r="W134" s="22" t="n">
        <f aca="false">W133+V134</f>
        <v>-4612500</v>
      </c>
      <c r="X134" s="23" t="str">
        <f aca="false">IF(W134&gt;=0,"YES","No")</f>
        <v>No</v>
      </c>
    </row>
    <row r="135" customFormat="false" ht="15" hidden="false" customHeight="false" outlineLevel="0" collapsed="false">
      <c r="A135" s="16" t="n">
        <v>134</v>
      </c>
      <c r="B135" s="17" t="n">
        <f aca="false">B134+1</f>
        <v>46156</v>
      </c>
      <c r="C135" s="18" t="n">
        <f aca="false">MIN(ROUNDUP(A135/365,0),5)</f>
        <v>1</v>
      </c>
      <c r="D135" s="18" t="n">
        <f aca="false">DATEDIF(Assumptions!B5,B135,"m")+1</f>
        <v>5</v>
      </c>
      <c r="E135" s="18" t="str">
        <f aca="false">TEXT(B135,"ddd")</f>
        <v>Thu</v>
      </c>
      <c r="F135" s="19" t="n">
        <f aca="false">IF(WEEKDAY(B135,2)&gt;=6,Assumptions!B34,Assumptions!B35)</f>
        <v>1</v>
      </c>
      <c r="G135" s="20" t="n">
        <f aca="false">IF(D135&gt;=13,(1+Assumptions!B46)^(D135-12),1)</f>
        <v>1</v>
      </c>
      <c r="H135" s="21" t="n">
        <f aca="false">H134*(1+IF(C135=1,Assumptions!B22,Assumptions!B23))</f>
        <v>17.9102507092715</v>
      </c>
      <c r="I135" s="16" t="n">
        <f aca="false">ROUND(H135*F135,0)</f>
        <v>18</v>
      </c>
      <c r="J135" s="22" t="n">
        <f aca="false">I135*Assumptions!B24</f>
        <v>10800</v>
      </c>
      <c r="K135" s="21" t="n">
        <f aca="false">K134*(1+Assumptions!B30)</f>
        <v>13.7244993157195</v>
      </c>
      <c r="L135" s="16" t="n">
        <f aca="false">ROUND(K135*F135,0)</f>
        <v>14</v>
      </c>
      <c r="M135" s="22" t="n">
        <f aca="false">L135*Assumptions!B31</f>
        <v>4200</v>
      </c>
      <c r="N135" s="22" t="n">
        <f aca="false">J135+M135</f>
        <v>15000</v>
      </c>
      <c r="O135" s="22" t="n">
        <f aca="false">IF(DAY(B135)=1,Assumptions!B38*G135,0)</f>
        <v>0</v>
      </c>
      <c r="P135" s="22" t="n">
        <f aca="false">IF(DAY(B135)=1,Assumptions!B39*G135,0)</f>
        <v>0</v>
      </c>
      <c r="Q135" s="22" t="n">
        <f aca="false">IF(DAY(B135)=1,Assumptions!B40*G135,0)</f>
        <v>0</v>
      </c>
      <c r="R135" s="22" t="n">
        <f aca="false">IF(DAY(B135)=1,Assumptions!B41*G135,0)</f>
        <v>0</v>
      </c>
      <c r="S135" s="22" t="n">
        <f aca="false">IF(AND(DAY(B135)=1,D135&gt;=13),Assumptions!B42*G135,0)</f>
        <v>0</v>
      </c>
      <c r="T135" s="22" t="n">
        <f aca="false">IF(DAY(B135)=1,Assumptions!B43*G135,0)</f>
        <v>0</v>
      </c>
      <c r="U135" s="22" t="n">
        <f aca="false">SUM(O135:T135)</f>
        <v>0</v>
      </c>
      <c r="V135" s="22" t="n">
        <f aca="false">N135-U135</f>
        <v>15000</v>
      </c>
      <c r="W135" s="22" t="n">
        <f aca="false">W134+V135</f>
        <v>-4597500</v>
      </c>
      <c r="X135" s="23" t="str">
        <f aca="false">IF(W135&gt;=0,"YES","No")</f>
        <v>No</v>
      </c>
    </row>
    <row r="136" customFormat="false" ht="15" hidden="false" customHeight="false" outlineLevel="0" collapsed="false">
      <c r="A136" s="16" t="n">
        <v>135</v>
      </c>
      <c r="B136" s="17" t="n">
        <f aca="false">B135+1</f>
        <v>46157</v>
      </c>
      <c r="C136" s="18" t="n">
        <f aca="false">MIN(ROUNDUP(A136/365,0),5)</f>
        <v>1</v>
      </c>
      <c r="D136" s="18" t="n">
        <f aca="false">DATEDIF(Assumptions!B5,B136,"m")+1</f>
        <v>5</v>
      </c>
      <c r="E136" s="18" t="str">
        <f aca="false">TEXT(B136,"ddd")</f>
        <v>Fri</v>
      </c>
      <c r="F136" s="19" t="n">
        <f aca="false">IF(WEEKDAY(B136,2)&gt;=6,Assumptions!B34,Assumptions!B35)</f>
        <v>1</v>
      </c>
      <c r="G136" s="20" t="n">
        <f aca="false">IF(D136&gt;=13,(1+Assumptions!B46)^(D136-12),1)</f>
        <v>1</v>
      </c>
      <c r="H136" s="21" t="n">
        <f aca="false">H135*(1+IF(C136=1,Assumptions!B22,Assumptions!B23))</f>
        <v>17.9219059461053</v>
      </c>
      <c r="I136" s="16" t="n">
        <f aca="false">ROUND(H136*F136,0)</f>
        <v>18</v>
      </c>
      <c r="J136" s="22" t="n">
        <f aca="false">I136*Assumptions!B24</f>
        <v>10800</v>
      </c>
      <c r="K136" s="21" t="n">
        <f aca="false">K135*(1+Assumptions!B30)</f>
        <v>13.7289863601202</v>
      </c>
      <c r="L136" s="16" t="n">
        <f aca="false">ROUND(K136*F136,0)</f>
        <v>14</v>
      </c>
      <c r="M136" s="22" t="n">
        <f aca="false">L136*Assumptions!B31</f>
        <v>4200</v>
      </c>
      <c r="N136" s="22" t="n">
        <f aca="false">J136+M136</f>
        <v>15000</v>
      </c>
      <c r="O136" s="22" t="n">
        <f aca="false">IF(DAY(B136)=1,Assumptions!B38*G136,0)</f>
        <v>0</v>
      </c>
      <c r="P136" s="22" t="n">
        <f aca="false">IF(DAY(B136)=1,Assumptions!B39*G136,0)</f>
        <v>0</v>
      </c>
      <c r="Q136" s="22" t="n">
        <f aca="false">IF(DAY(B136)=1,Assumptions!B40*G136,0)</f>
        <v>0</v>
      </c>
      <c r="R136" s="22" t="n">
        <f aca="false">IF(DAY(B136)=1,Assumptions!B41*G136,0)</f>
        <v>0</v>
      </c>
      <c r="S136" s="22" t="n">
        <f aca="false">IF(AND(DAY(B136)=1,D136&gt;=13),Assumptions!B42*G136,0)</f>
        <v>0</v>
      </c>
      <c r="T136" s="22" t="n">
        <f aca="false">IF(DAY(B136)=1,Assumptions!B43*G136,0)</f>
        <v>0</v>
      </c>
      <c r="U136" s="22" t="n">
        <f aca="false">SUM(O136:T136)</f>
        <v>0</v>
      </c>
      <c r="V136" s="22" t="n">
        <f aca="false">N136-U136</f>
        <v>15000</v>
      </c>
      <c r="W136" s="22" t="n">
        <f aca="false">W135+V136</f>
        <v>-4582500</v>
      </c>
      <c r="X136" s="23" t="str">
        <f aca="false">IF(W136&gt;=0,"YES","No")</f>
        <v>No</v>
      </c>
    </row>
    <row r="137" customFormat="false" ht="15" hidden="false" customHeight="false" outlineLevel="0" collapsed="false">
      <c r="A137" s="16" t="n">
        <v>136</v>
      </c>
      <c r="B137" s="17" t="n">
        <f aca="false">B136+1</f>
        <v>46158</v>
      </c>
      <c r="C137" s="18" t="n">
        <f aca="false">MIN(ROUNDUP(A137/365,0),5)</f>
        <v>1</v>
      </c>
      <c r="D137" s="18" t="n">
        <f aca="false">DATEDIF(Assumptions!B5,B137,"m")+1</f>
        <v>5</v>
      </c>
      <c r="E137" s="18" t="str">
        <f aca="false">TEXT(B137,"ddd")</f>
        <v>Sat</v>
      </c>
      <c r="F137" s="19" t="n">
        <f aca="false">IF(WEEKDAY(B137,2)&gt;=6,Assumptions!B34,Assumptions!B35)</f>
        <v>0.6</v>
      </c>
      <c r="G137" s="20" t="n">
        <f aca="false">IF(D137&gt;=13,(1+Assumptions!B46)^(D137-12),1)</f>
        <v>1</v>
      </c>
      <c r="H137" s="21" t="n">
        <f aca="false">H136*(1+IF(C137=1,Assumptions!B22,Assumptions!B23))</f>
        <v>17.9335687676763</v>
      </c>
      <c r="I137" s="16" t="n">
        <f aca="false">ROUND(H137*F137,0)</f>
        <v>11</v>
      </c>
      <c r="J137" s="22" t="n">
        <f aca="false">I137*Assumptions!B24</f>
        <v>6600</v>
      </c>
      <c r="K137" s="21" t="n">
        <f aca="false">K136*(1+Assumptions!B30)</f>
        <v>13.733474871501</v>
      </c>
      <c r="L137" s="16" t="n">
        <f aca="false">ROUND(K137*F137,0)</f>
        <v>8</v>
      </c>
      <c r="M137" s="22" t="n">
        <f aca="false">L137*Assumptions!B31</f>
        <v>2400</v>
      </c>
      <c r="N137" s="22" t="n">
        <f aca="false">J137+M137</f>
        <v>9000</v>
      </c>
      <c r="O137" s="22" t="n">
        <f aca="false">IF(DAY(B137)=1,Assumptions!B38*G137,0)</f>
        <v>0</v>
      </c>
      <c r="P137" s="22" t="n">
        <f aca="false">IF(DAY(B137)=1,Assumptions!B39*G137,0)</f>
        <v>0</v>
      </c>
      <c r="Q137" s="22" t="n">
        <f aca="false">IF(DAY(B137)=1,Assumptions!B40*G137,0)</f>
        <v>0</v>
      </c>
      <c r="R137" s="22" t="n">
        <f aca="false">IF(DAY(B137)=1,Assumptions!B41*G137,0)</f>
        <v>0</v>
      </c>
      <c r="S137" s="22" t="n">
        <f aca="false">IF(AND(DAY(B137)=1,D137&gt;=13),Assumptions!B42*G137,0)</f>
        <v>0</v>
      </c>
      <c r="T137" s="22" t="n">
        <f aca="false">IF(DAY(B137)=1,Assumptions!B43*G137,0)</f>
        <v>0</v>
      </c>
      <c r="U137" s="22" t="n">
        <f aca="false">SUM(O137:T137)</f>
        <v>0</v>
      </c>
      <c r="V137" s="22" t="n">
        <f aca="false">N137-U137</f>
        <v>9000</v>
      </c>
      <c r="W137" s="22" t="n">
        <f aca="false">W136+V137</f>
        <v>-4573500</v>
      </c>
      <c r="X137" s="23" t="str">
        <f aca="false">IF(W137&gt;=0,"YES","No")</f>
        <v>No</v>
      </c>
    </row>
    <row r="138" customFormat="false" ht="15" hidden="false" customHeight="false" outlineLevel="0" collapsed="false">
      <c r="A138" s="16" t="n">
        <v>137</v>
      </c>
      <c r="B138" s="17" t="n">
        <f aca="false">B137+1</f>
        <v>46159</v>
      </c>
      <c r="C138" s="18" t="n">
        <f aca="false">MIN(ROUNDUP(A138/365,0),5)</f>
        <v>1</v>
      </c>
      <c r="D138" s="18" t="n">
        <f aca="false">DATEDIF(Assumptions!B5,B138,"m")+1</f>
        <v>5</v>
      </c>
      <c r="E138" s="18" t="str">
        <f aca="false">TEXT(B138,"ddd")</f>
        <v>Sun</v>
      </c>
      <c r="F138" s="19" t="n">
        <f aca="false">IF(WEEKDAY(B138,2)&gt;=6,Assumptions!B34,Assumptions!B35)</f>
        <v>0.6</v>
      </c>
      <c r="G138" s="20" t="n">
        <f aca="false">IF(D138&gt;=13,(1+Assumptions!B46)^(D138-12),1)</f>
        <v>1</v>
      </c>
      <c r="H138" s="21" t="n">
        <f aca="false">H137*(1+IF(C138=1,Assumptions!B22,Assumptions!B23))</f>
        <v>17.9452391789204</v>
      </c>
      <c r="I138" s="16" t="n">
        <f aca="false">ROUND(H138*F138,0)</f>
        <v>11</v>
      </c>
      <c r="J138" s="22" t="n">
        <f aca="false">I138*Assumptions!B24</f>
        <v>6600</v>
      </c>
      <c r="K138" s="21" t="n">
        <f aca="false">K137*(1+Assumptions!B30)</f>
        <v>13.7379648503415</v>
      </c>
      <c r="L138" s="16" t="n">
        <f aca="false">ROUND(K138*F138,0)</f>
        <v>8</v>
      </c>
      <c r="M138" s="22" t="n">
        <f aca="false">L138*Assumptions!B31</f>
        <v>2400</v>
      </c>
      <c r="N138" s="22" t="n">
        <f aca="false">J138+M138</f>
        <v>9000</v>
      </c>
      <c r="O138" s="22" t="n">
        <f aca="false">IF(DAY(B138)=1,Assumptions!B38*G138,0)</f>
        <v>0</v>
      </c>
      <c r="P138" s="22" t="n">
        <f aca="false">IF(DAY(B138)=1,Assumptions!B39*G138,0)</f>
        <v>0</v>
      </c>
      <c r="Q138" s="22" t="n">
        <f aca="false">IF(DAY(B138)=1,Assumptions!B40*G138,0)</f>
        <v>0</v>
      </c>
      <c r="R138" s="22" t="n">
        <f aca="false">IF(DAY(B138)=1,Assumptions!B41*G138,0)</f>
        <v>0</v>
      </c>
      <c r="S138" s="22" t="n">
        <f aca="false">IF(AND(DAY(B138)=1,D138&gt;=13),Assumptions!B42*G138,0)</f>
        <v>0</v>
      </c>
      <c r="T138" s="22" t="n">
        <f aca="false">IF(DAY(B138)=1,Assumptions!B43*G138,0)</f>
        <v>0</v>
      </c>
      <c r="U138" s="22" t="n">
        <f aca="false">SUM(O138:T138)</f>
        <v>0</v>
      </c>
      <c r="V138" s="22" t="n">
        <f aca="false">N138-U138</f>
        <v>9000</v>
      </c>
      <c r="W138" s="22" t="n">
        <f aca="false">W137+V138</f>
        <v>-4564500</v>
      </c>
      <c r="X138" s="23" t="str">
        <f aca="false">IF(W138&gt;=0,"YES","No")</f>
        <v>No</v>
      </c>
    </row>
    <row r="139" customFormat="false" ht="15" hidden="false" customHeight="false" outlineLevel="0" collapsed="false">
      <c r="A139" s="16" t="n">
        <v>138</v>
      </c>
      <c r="B139" s="17" t="n">
        <f aca="false">B138+1</f>
        <v>46160</v>
      </c>
      <c r="C139" s="18" t="n">
        <f aca="false">MIN(ROUNDUP(A139/365,0),5)</f>
        <v>1</v>
      </c>
      <c r="D139" s="18" t="n">
        <f aca="false">DATEDIF(Assumptions!B5,B139,"m")+1</f>
        <v>5</v>
      </c>
      <c r="E139" s="18" t="str">
        <f aca="false">TEXT(B139,"ddd")</f>
        <v>Mon</v>
      </c>
      <c r="F139" s="19" t="n">
        <f aca="false">IF(WEEKDAY(B139,2)&gt;=6,Assumptions!B34,Assumptions!B35)</f>
        <v>1</v>
      </c>
      <c r="G139" s="20" t="n">
        <f aca="false">IF(D139&gt;=13,(1+Assumptions!B46)^(D139-12),1)</f>
        <v>1</v>
      </c>
      <c r="H139" s="21" t="n">
        <f aca="false">H138*(1+IF(C139=1,Assumptions!B22,Assumptions!B23))</f>
        <v>17.9569171847766</v>
      </c>
      <c r="I139" s="16" t="n">
        <f aca="false">ROUND(H139*F139,0)</f>
        <v>18</v>
      </c>
      <c r="J139" s="22" t="n">
        <f aca="false">I139*Assumptions!B24</f>
        <v>10800</v>
      </c>
      <c r="K139" s="21" t="n">
        <f aca="false">K138*(1+Assumptions!B30)</f>
        <v>13.7424562971215</v>
      </c>
      <c r="L139" s="16" t="n">
        <f aca="false">ROUND(K139*F139,0)</f>
        <v>14</v>
      </c>
      <c r="M139" s="22" t="n">
        <f aca="false">L139*Assumptions!B31</f>
        <v>4200</v>
      </c>
      <c r="N139" s="22" t="n">
        <f aca="false">J139+M139</f>
        <v>15000</v>
      </c>
      <c r="O139" s="22" t="n">
        <f aca="false">IF(DAY(B139)=1,Assumptions!B38*G139,0)</f>
        <v>0</v>
      </c>
      <c r="P139" s="22" t="n">
        <f aca="false">IF(DAY(B139)=1,Assumptions!B39*G139,0)</f>
        <v>0</v>
      </c>
      <c r="Q139" s="22" t="n">
        <f aca="false">IF(DAY(B139)=1,Assumptions!B40*G139,0)</f>
        <v>0</v>
      </c>
      <c r="R139" s="22" t="n">
        <f aca="false">IF(DAY(B139)=1,Assumptions!B41*G139,0)</f>
        <v>0</v>
      </c>
      <c r="S139" s="22" t="n">
        <f aca="false">IF(AND(DAY(B139)=1,D139&gt;=13),Assumptions!B42*G139,0)</f>
        <v>0</v>
      </c>
      <c r="T139" s="22" t="n">
        <f aca="false">IF(DAY(B139)=1,Assumptions!B43*G139,0)</f>
        <v>0</v>
      </c>
      <c r="U139" s="22" t="n">
        <f aca="false">SUM(O139:T139)</f>
        <v>0</v>
      </c>
      <c r="V139" s="22" t="n">
        <f aca="false">N139-U139</f>
        <v>15000</v>
      </c>
      <c r="W139" s="22" t="n">
        <f aca="false">W138+V139</f>
        <v>-4549500</v>
      </c>
      <c r="X139" s="23" t="str">
        <f aca="false">IF(W139&gt;=0,"YES","No")</f>
        <v>No</v>
      </c>
    </row>
    <row r="140" customFormat="false" ht="15" hidden="false" customHeight="false" outlineLevel="0" collapsed="false">
      <c r="A140" s="16" t="n">
        <v>139</v>
      </c>
      <c r="B140" s="17" t="n">
        <f aca="false">B139+1</f>
        <v>46161</v>
      </c>
      <c r="C140" s="18" t="n">
        <f aca="false">MIN(ROUNDUP(A140/365,0),5)</f>
        <v>1</v>
      </c>
      <c r="D140" s="18" t="n">
        <f aca="false">DATEDIF(Assumptions!B5,B140,"m")+1</f>
        <v>5</v>
      </c>
      <c r="E140" s="18" t="str">
        <f aca="false">TEXT(B140,"ddd")</f>
        <v>Tue</v>
      </c>
      <c r="F140" s="19" t="n">
        <f aca="false">IF(WEEKDAY(B140,2)&gt;=6,Assumptions!B34,Assumptions!B35)</f>
        <v>1</v>
      </c>
      <c r="G140" s="20" t="n">
        <f aca="false">IF(D140&gt;=13,(1+Assumptions!B46)^(D140-12),1)</f>
        <v>1</v>
      </c>
      <c r="H140" s="21" t="n">
        <f aca="false">H139*(1+IF(C140=1,Assumptions!B22,Assumptions!B23))</f>
        <v>17.9686027901872</v>
      </c>
      <c r="I140" s="16" t="n">
        <f aca="false">ROUND(H140*F140,0)</f>
        <v>18</v>
      </c>
      <c r="J140" s="22" t="n">
        <f aca="false">I140*Assumptions!B24</f>
        <v>10800</v>
      </c>
      <c r="K140" s="21" t="n">
        <f aca="false">K139*(1+Assumptions!B30)</f>
        <v>13.7469492123209</v>
      </c>
      <c r="L140" s="16" t="n">
        <f aca="false">ROUND(K140*F140,0)</f>
        <v>14</v>
      </c>
      <c r="M140" s="22" t="n">
        <f aca="false">L140*Assumptions!B31</f>
        <v>4200</v>
      </c>
      <c r="N140" s="22" t="n">
        <f aca="false">J140+M140</f>
        <v>15000</v>
      </c>
      <c r="O140" s="22" t="n">
        <f aca="false">IF(DAY(B140)=1,Assumptions!B38*G140,0)</f>
        <v>0</v>
      </c>
      <c r="P140" s="22" t="n">
        <f aca="false">IF(DAY(B140)=1,Assumptions!B39*G140,0)</f>
        <v>0</v>
      </c>
      <c r="Q140" s="22" t="n">
        <f aca="false">IF(DAY(B140)=1,Assumptions!B40*G140,0)</f>
        <v>0</v>
      </c>
      <c r="R140" s="22" t="n">
        <f aca="false">IF(DAY(B140)=1,Assumptions!B41*G140,0)</f>
        <v>0</v>
      </c>
      <c r="S140" s="22" t="n">
        <f aca="false">IF(AND(DAY(B140)=1,D140&gt;=13),Assumptions!B42*G140,0)</f>
        <v>0</v>
      </c>
      <c r="T140" s="22" t="n">
        <f aca="false">IF(DAY(B140)=1,Assumptions!B43*G140,0)</f>
        <v>0</v>
      </c>
      <c r="U140" s="22" t="n">
        <f aca="false">SUM(O140:T140)</f>
        <v>0</v>
      </c>
      <c r="V140" s="22" t="n">
        <f aca="false">N140-U140</f>
        <v>15000</v>
      </c>
      <c r="W140" s="22" t="n">
        <f aca="false">W139+V140</f>
        <v>-4534500</v>
      </c>
      <c r="X140" s="23" t="str">
        <f aca="false">IF(W140&gt;=0,"YES","No")</f>
        <v>No</v>
      </c>
    </row>
    <row r="141" customFormat="false" ht="15" hidden="false" customHeight="false" outlineLevel="0" collapsed="false">
      <c r="A141" s="16" t="n">
        <v>140</v>
      </c>
      <c r="B141" s="17" t="n">
        <f aca="false">B140+1</f>
        <v>46162</v>
      </c>
      <c r="C141" s="18" t="n">
        <f aca="false">MIN(ROUNDUP(A141/365,0),5)</f>
        <v>1</v>
      </c>
      <c r="D141" s="18" t="n">
        <f aca="false">DATEDIF(Assumptions!B5,B141,"m")+1</f>
        <v>5</v>
      </c>
      <c r="E141" s="18" t="str">
        <f aca="false">TEXT(B141,"ddd")</f>
        <v>Wed</v>
      </c>
      <c r="F141" s="19" t="n">
        <f aca="false">IF(WEEKDAY(B141,2)&gt;=6,Assumptions!B34,Assumptions!B35)</f>
        <v>1</v>
      </c>
      <c r="G141" s="20" t="n">
        <f aca="false">IF(D141&gt;=13,(1+Assumptions!B46)^(D141-12),1)</f>
        <v>1</v>
      </c>
      <c r="H141" s="21" t="n">
        <f aca="false">H140*(1+IF(C141=1,Assumptions!B22,Assumptions!B23))</f>
        <v>17.9802960000976</v>
      </c>
      <c r="I141" s="16" t="n">
        <f aca="false">ROUND(H141*F141,0)</f>
        <v>18</v>
      </c>
      <c r="J141" s="22" t="n">
        <f aca="false">I141*Assumptions!B24</f>
        <v>10800</v>
      </c>
      <c r="K141" s="21" t="n">
        <f aca="false">K140*(1+Assumptions!B30)</f>
        <v>13.7514435964198</v>
      </c>
      <c r="L141" s="16" t="n">
        <f aca="false">ROUND(K141*F141,0)</f>
        <v>14</v>
      </c>
      <c r="M141" s="22" t="n">
        <f aca="false">L141*Assumptions!B31</f>
        <v>4200</v>
      </c>
      <c r="N141" s="22" t="n">
        <f aca="false">J141+M141</f>
        <v>15000</v>
      </c>
      <c r="O141" s="22" t="n">
        <f aca="false">IF(DAY(B141)=1,Assumptions!B38*G141,0)</f>
        <v>0</v>
      </c>
      <c r="P141" s="22" t="n">
        <f aca="false">IF(DAY(B141)=1,Assumptions!B39*G141,0)</f>
        <v>0</v>
      </c>
      <c r="Q141" s="22" t="n">
        <f aca="false">IF(DAY(B141)=1,Assumptions!B40*G141,0)</f>
        <v>0</v>
      </c>
      <c r="R141" s="22" t="n">
        <f aca="false">IF(DAY(B141)=1,Assumptions!B41*G141,0)</f>
        <v>0</v>
      </c>
      <c r="S141" s="22" t="n">
        <f aca="false">IF(AND(DAY(B141)=1,D141&gt;=13),Assumptions!B42*G141,0)</f>
        <v>0</v>
      </c>
      <c r="T141" s="22" t="n">
        <f aca="false">IF(DAY(B141)=1,Assumptions!B43*G141,0)</f>
        <v>0</v>
      </c>
      <c r="U141" s="22" t="n">
        <f aca="false">SUM(O141:T141)</f>
        <v>0</v>
      </c>
      <c r="V141" s="22" t="n">
        <f aca="false">N141-U141</f>
        <v>15000</v>
      </c>
      <c r="W141" s="22" t="n">
        <f aca="false">W140+V141</f>
        <v>-4519500</v>
      </c>
      <c r="X141" s="23" t="str">
        <f aca="false">IF(W141&gt;=0,"YES","No")</f>
        <v>No</v>
      </c>
    </row>
    <row r="142" customFormat="false" ht="15" hidden="false" customHeight="false" outlineLevel="0" collapsed="false">
      <c r="A142" s="16" t="n">
        <v>141</v>
      </c>
      <c r="B142" s="17" t="n">
        <f aca="false">B141+1</f>
        <v>46163</v>
      </c>
      <c r="C142" s="18" t="n">
        <f aca="false">MIN(ROUNDUP(A142/365,0),5)</f>
        <v>1</v>
      </c>
      <c r="D142" s="18" t="n">
        <f aca="false">DATEDIF(Assumptions!B5,B142,"m")+1</f>
        <v>5</v>
      </c>
      <c r="E142" s="18" t="str">
        <f aca="false">TEXT(B142,"ddd")</f>
        <v>Thu</v>
      </c>
      <c r="F142" s="19" t="n">
        <f aca="false">IF(WEEKDAY(B142,2)&gt;=6,Assumptions!B34,Assumptions!B35)</f>
        <v>1</v>
      </c>
      <c r="G142" s="20" t="n">
        <f aca="false">IF(D142&gt;=13,(1+Assumptions!B46)^(D142-12),1)</f>
        <v>1</v>
      </c>
      <c r="H142" s="21" t="n">
        <f aca="false">H141*(1+IF(C142=1,Assumptions!B22,Assumptions!B23))</f>
        <v>17.9919968194565</v>
      </c>
      <c r="I142" s="16" t="n">
        <f aca="false">ROUND(H142*F142,0)</f>
        <v>18</v>
      </c>
      <c r="J142" s="22" t="n">
        <f aca="false">I142*Assumptions!B24</f>
        <v>10800</v>
      </c>
      <c r="K142" s="21" t="n">
        <f aca="false">K141*(1+Assumptions!B30)</f>
        <v>13.7559394498985</v>
      </c>
      <c r="L142" s="16" t="n">
        <f aca="false">ROUND(K142*F142,0)</f>
        <v>14</v>
      </c>
      <c r="M142" s="22" t="n">
        <f aca="false">L142*Assumptions!B31</f>
        <v>4200</v>
      </c>
      <c r="N142" s="22" t="n">
        <f aca="false">J142+M142</f>
        <v>15000</v>
      </c>
      <c r="O142" s="22" t="n">
        <f aca="false">IF(DAY(B142)=1,Assumptions!B38*G142,0)</f>
        <v>0</v>
      </c>
      <c r="P142" s="22" t="n">
        <f aca="false">IF(DAY(B142)=1,Assumptions!B39*G142,0)</f>
        <v>0</v>
      </c>
      <c r="Q142" s="22" t="n">
        <f aca="false">IF(DAY(B142)=1,Assumptions!B40*G142,0)</f>
        <v>0</v>
      </c>
      <c r="R142" s="22" t="n">
        <f aca="false">IF(DAY(B142)=1,Assumptions!B41*G142,0)</f>
        <v>0</v>
      </c>
      <c r="S142" s="22" t="n">
        <f aca="false">IF(AND(DAY(B142)=1,D142&gt;=13),Assumptions!B42*G142,0)</f>
        <v>0</v>
      </c>
      <c r="T142" s="22" t="n">
        <f aca="false">IF(DAY(B142)=1,Assumptions!B43*G142,0)</f>
        <v>0</v>
      </c>
      <c r="U142" s="22" t="n">
        <f aca="false">SUM(O142:T142)</f>
        <v>0</v>
      </c>
      <c r="V142" s="22" t="n">
        <f aca="false">N142-U142</f>
        <v>15000</v>
      </c>
      <c r="W142" s="22" t="n">
        <f aca="false">W141+V142</f>
        <v>-4504500</v>
      </c>
      <c r="X142" s="23" t="str">
        <f aca="false">IF(W142&gt;=0,"YES","No")</f>
        <v>No</v>
      </c>
    </row>
    <row r="143" customFormat="false" ht="15" hidden="false" customHeight="false" outlineLevel="0" collapsed="false">
      <c r="A143" s="16" t="n">
        <v>142</v>
      </c>
      <c r="B143" s="17" t="n">
        <f aca="false">B142+1</f>
        <v>46164</v>
      </c>
      <c r="C143" s="18" t="n">
        <f aca="false">MIN(ROUNDUP(A143/365,0),5)</f>
        <v>1</v>
      </c>
      <c r="D143" s="18" t="n">
        <f aca="false">DATEDIF(Assumptions!B5,B143,"m")+1</f>
        <v>5</v>
      </c>
      <c r="E143" s="18" t="str">
        <f aca="false">TEXT(B143,"ddd")</f>
        <v>Fri</v>
      </c>
      <c r="F143" s="19" t="n">
        <f aca="false">IF(WEEKDAY(B143,2)&gt;=6,Assumptions!B34,Assumptions!B35)</f>
        <v>1</v>
      </c>
      <c r="G143" s="20" t="n">
        <f aca="false">IF(D143&gt;=13,(1+Assumptions!B46)^(D143-12),1)</f>
        <v>1</v>
      </c>
      <c r="H143" s="21" t="n">
        <f aca="false">H142*(1+IF(C143=1,Assumptions!B22,Assumptions!B23))</f>
        <v>18.0037052532159</v>
      </c>
      <c r="I143" s="16" t="n">
        <f aca="false">ROUND(H143*F143,0)</f>
        <v>18</v>
      </c>
      <c r="J143" s="22" t="n">
        <f aca="false">I143*Assumptions!B24</f>
        <v>10800</v>
      </c>
      <c r="K143" s="21" t="n">
        <f aca="false">K142*(1+Assumptions!B30)</f>
        <v>13.7604367732372</v>
      </c>
      <c r="L143" s="16" t="n">
        <f aca="false">ROUND(K143*F143,0)</f>
        <v>14</v>
      </c>
      <c r="M143" s="22" t="n">
        <f aca="false">L143*Assumptions!B31</f>
        <v>4200</v>
      </c>
      <c r="N143" s="22" t="n">
        <f aca="false">J143+M143</f>
        <v>15000</v>
      </c>
      <c r="O143" s="22" t="n">
        <f aca="false">IF(DAY(B143)=1,Assumptions!B38*G143,0)</f>
        <v>0</v>
      </c>
      <c r="P143" s="22" t="n">
        <f aca="false">IF(DAY(B143)=1,Assumptions!B39*G143,0)</f>
        <v>0</v>
      </c>
      <c r="Q143" s="22" t="n">
        <f aca="false">IF(DAY(B143)=1,Assumptions!B40*G143,0)</f>
        <v>0</v>
      </c>
      <c r="R143" s="22" t="n">
        <f aca="false">IF(DAY(B143)=1,Assumptions!B41*G143,0)</f>
        <v>0</v>
      </c>
      <c r="S143" s="22" t="n">
        <f aca="false">IF(AND(DAY(B143)=1,D143&gt;=13),Assumptions!B42*G143,0)</f>
        <v>0</v>
      </c>
      <c r="T143" s="22" t="n">
        <f aca="false">IF(DAY(B143)=1,Assumptions!B43*G143,0)</f>
        <v>0</v>
      </c>
      <c r="U143" s="22" t="n">
        <f aca="false">SUM(O143:T143)</f>
        <v>0</v>
      </c>
      <c r="V143" s="22" t="n">
        <f aca="false">N143-U143</f>
        <v>15000</v>
      </c>
      <c r="W143" s="22" t="n">
        <f aca="false">W142+V143</f>
        <v>-4489500</v>
      </c>
      <c r="X143" s="23" t="str">
        <f aca="false">IF(W143&gt;=0,"YES","No")</f>
        <v>No</v>
      </c>
    </row>
    <row r="144" customFormat="false" ht="15" hidden="false" customHeight="false" outlineLevel="0" collapsed="false">
      <c r="A144" s="16" t="n">
        <v>143</v>
      </c>
      <c r="B144" s="17" t="n">
        <f aca="false">B143+1</f>
        <v>46165</v>
      </c>
      <c r="C144" s="18" t="n">
        <f aca="false">MIN(ROUNDUP(A144/365,0),5)</f>
        <v>1</v>
      </c>
      <c r="D144" s="18" t="n">
        <f aca="false">DATEDIF(Assumptions!B5,B144,"m")+1</f>
        <v>5</v>
      </c>
      <c r="E144" s="18" t="str">
        <f aca="false">TEXT(B144,"ddd")</f>
        <v>Sat</v>
      </c>
      <c r="F144" s="19" t="n">
        <f aca="false">IF(WEEKDAY(B144,2)&gt;=6,Assumptions!B34,Assumptions!B35)</f>
        <v>0.6</v>
      </c>
      <c r="G144" s="20" t="n">
        <f aca="false">IF(D144&gt;=13,(1+Assumptions!B46)^(D144-12),1)</f>
        <v>1</v>
      </c>
      <c r="H144" s="21" t="n">
        <f aca="false">H143*(1+IF(C144=1,Assumptions!B22,Assumptions!B23))</f>
        <v>18.0154213063308</v>
      </c>
      <c r="I144" s="16" t="n">
        <f aca="false">ROUND(H144*F144,0)</f>
        <v>11</v>
      </c>
      <c r="J144" s="22" t="n">
        <f aca="false">I144*Assumptions!B24</f>
        <v>6600</v>
      </c>
      <c r="K144" s="21" t="n">
        <f aca="false">K143*(1+Assumptions!B30)</f>
        <v>13.7649355669166</v>
      </c>
      <c r="L144" s="16" t="n">
        <f aca="false">ROUND(K144*F144,0)</f>
        <v>8</v>
      </c>
      <c r="M144" s="22" t="n">
        <f aca="false">L144*Assumptions!B31</f>
        <v>2400</v>
      </c>
      <c r="N144" s="22" t="n">
        <f aca="false">J144+M144</f>
        <v>9000</v>
      </c>
      <c r="O144" s="22" t="n">
        <f aca="false">IF(DAY(B144)=1,Assumptions!B38*G144,0)</f>
        <v>0</v>
      </c>
      <c r="P144" s="22" t="n">
        <f aca="false">IF(DAY(B144)=1,Assumptions!B39*G144,0)</f>
        <v>0</v>
      </c>
      <c r="Q144" s="22" t="n">
        <f aca="false">IF(DAY(B144)=1,Assumptions!B40*G144,0)</f>
        <v>0</v>
      </c>
      <c r="R144" s="22" t="n">
        <f aca="false">IF(DAY(B144)=1,Assumptions!B41*G144,0)</f>
        <v>0</v>
      </c>
      <c r="S144" s="22" t="n">
        <f aca="false">IF(AND(DAY(B144)=1,D144&gt;=13),Assumptions!B42*G144,0)</f>
        <v>0</v>
      </c>
      <c r="T144" s="22" t="n">
        <f aca="false">IF(DAY(B144)=1,Assumptions!B43*G144,0)</f>
        <v>0</v>
      </c>
      <c r="U144" s="22" t="n">
        <f aca="false">SUM(O144:T144)</f>
        <v>0</v>
      </c>
      <c r="V144" s="22" t="n">
        <f aca="false">N144-U144</f>
        <v>9000</v>
      </c>
      <c r="W144" s="22" t="n">
        <f aca="false">W143+V144</f>
        <v>-4480500</v>
      </c>
      <c r="X144" s="23" t="str">
        <f aca="false">IF(W144&gt;=0,"YES","No")</f>
        <v>No</v>
      </c>
    </row>
    <row r="145" customFormat="false" ht="15" hidden="false" customHeight="false" outlineLevel="0" collapsed="false">
      <c r="A145" s="16" t="n">
        <v>144</v>
      </c>
      <c r="B145" s="17" t="n">
        <f aca="false">B144+1</f>
        <v>46166</v>
      </c>
      <c r="C145" s="18" t="n">
        <f aca="false">MIN(ROUNDUP(A145/365,0),5)</f>
        <v>1</v>
      </c>
      <c r="D145" s="18" t="n">
        <f aca="false">DATEDIF(Assumptions!B5,B145,"m")+1</f>
        <v>5</v>
      </c>
      <c r="E145" s="18" t="str">
        <f aca="false">TEXT(B145,"ddd")</f>
        <v>Sun</v>
      </c>
      <c r="F145" s="19" t="n">
        <f aca="false">IF(WEEKDAY(B145,2)&gt;=6,Assumptions!B34,Assumptions!B35)</f>
        <v>0.6</v>
      </c>
      <c r="G145" s="20" t="n">
        <f aca="false">IF(D145&gt;=13,(1+Assumptions!B46)^(D145-12),1)</f>
        <v>1</v>
      </c>
      <c r="H145" s="21" t="n">
        <f aca="false">H144*(1+IF(C145=1,Assumptions!B22,Assumptions!B23))</f>
        <v>18.0271449837597</v>
      </c>
      <c r="I145" s="16" t="n">
        <f aca="false">ROUND(H145*F145,0)</f>
        <v>11</v>
      </c>
      <c r="J145" s="22" t="n">
        <f aca="false">I145*Assumptions!B24</f>
        <v>6600</v>
      </c>
      <c r="K145" s="21" t="n">
        <f aca="false">K144*(1+Assumptions!B30)</f>
        <v>13.7694358314174</v>
      </c>
      <c r="L145" s="16" t="n">
        <f aca="false">ROUND(K145*F145,0)</f>
        <v>8</v>
      </c>
      <c r="M145" s="22" t="n">
        <f aca="false">L145*Assumptions!B31</f>
        <v>2400</v>
      </c>
      <c r="N145" s="22" t="n">
        <f aca="false">J145+M145</f>
        <v>9000</v>
      </c>
      <c r="O145" s="22" t="n">
        <f aca="false">IF(DAY(B145)=1,Assumptions!B38*G145,0)</f>
        <v>0</v>
      </c>
      <c r="P145" s="22" t="n">
        <f aca="false">IF(DAY(B145)=1,Assumptions!B39*G145,0)</f>
        <v>0</v>
      </c>
      <c r="Q145" s="22" t="n">
        <f aca="false">IF(DAY(B145)=1,Assumptions!B40*G145,0)</f>
        <v>0</v>
      </c>
      <c r="R145" s="22" t="n">
        <f aca="false">IF(DAY(B145)=1,Assumptions!B41*G145,0)</f>
        <v>0</v>
      </c>
      <c r="S145" s="22" t="n">
        <f aca="false">IF(AND(DAY(B145)=1,D145&gt;=13),Assumptions!B42*G145,0)</f>
        <v>0</v>
      </c>
      <c r="T145" s="22" t="n">
        <f aca="false">IF(DAY(B145)=1,Assumptions!B43*G145,0)</f>
        <v>0</v>
      </c>
      <c r="U145" s="22" t="n">
        <f aca="false">SUM(O145:T145)</f>
        <v>0</v>
      </c>
      <c r="V145" s="22" t="n">
        <f aca="false">N145-U145</f>
        <v>9000</v>
      </c>
      <c r="W145" s="22" t="n">
        <f aca="false">W144+V145</f>
        <v>-4471500</v>
      </c>
      <c r="X145" s="23" t="str">
        <f aca="false">IF(W145&gt;=0,"YES","No")</f>
        <v>No</v>
      </c>
    </row>
    <row r="146" customFormat="false" ht="15" hidden="false" customHeight="false" outlineLevel="0" collapsed="false">
      <c r="A146" s="16" t="n">
        <v>145</v>
      </c>
      <c r="B146" s="17" t="n">
        <f aca="false">B145+1</f>
        <v>46167</v>
      </c>
      <c r="C146" s="18" t="n">
        <f aca="false">MIN(ROUNDUP(A146/365,0),5)</f>
        <v>1</v>
      </c>
      <c r="D146" s="18" t="n">
        <f aca="false">DATEDIF(Assumptions!B5,B146,"m")+1</f>
        <v>5</v>
      </c>
      <c r="E146" s="18" t="str">
        <f aca="false">TEXT(B146,"ddd")</f>
        <v>Mon</v>
      </c>
      <c r="F146" s="19" t="n">
        <f aca="false">IF(WEEKDAY(B146,2)&gt;=6,Assumptions!B34,Assumptions!B35)</f>
        <v>1</v>
      </c>
      <c r="G146" s="20" t="n">
        <f aca="false">IF(D146&gt;=13,(1+Assumptions!B46)^(D146-12),1)</f>
        <v>1</v>
      </c>
      <c r="H146" s="21" t="n">
        <f aca="false">H145*(1+IF(C146=1,Assumptions!B22,Assumptions!B23))</f>
        <v>18.038876290464</v>
      </c>
      <c r="I146" s="16" t="n">
        <f aca="false">ROUND(H146*F146,0)</f>
        <v>18</v>
      </c>
      <c r="J146" s="22" t="n">
        <f aca="false">I146*Assumptions!B24</f>
        <v>10800</v>
      </c>
      <c r="K146" s="21" t="n">
        <f aca="false">K145*(1+Assumptions!B30)</f>
        <v>13.7739375672204</v>
      </c>
      <c r="L146" s="16" t="n">
        <f aca="false">ROUND(K146*F146,0)</f>
        <v>14</v>
      </c>
      <c r="M146" s="22" t="n">
        <f aca="false">L146*Assumptions!B31</f>
        <v>4200</v>
      </c>
      <c r="N146" s="22" t="n">
        <f aca="false">J146+M146</f>
        <v>15000</v>
      </c>
      <c r="O146" s="22" t="n">
        <f aca="false">IF(DAY(B146)=1,Assumptions!B38*G146,0)</f>
        <v>0</v>
      </c>
      <c r="P146" s="22" t="n">
        <f aca="false">IF(DAY(B146)=1,Assumptions!B39*G146,0)</f>
        <v>0</v>
      </c>
      <c r="Q146" s="22" t="n">
        <f aca="false">IF(DAY(B146)=1,Assumptions!B40*G146,0)</f>
        <v>0</v>
      </c>
      <c r="R146" s="22" t="n">
        <f aca="false">IF(DAY(B146)=1,Assumptions!B41*G146,0)</f>
        <v>0</v>
      </c>
      <c r="S146" s="22" t="n">
        <f aca="false">IF(AND(DAY(B146)=1,D146&gt;=13),Assumptions!B42*G146,0)</f>
        <v>0</v>
      </c>
      <c r="T146" s="22" t="n">
        <f aca="false">IF(DAY(B146)=1,Assumptions!B43*G146,0)</f>
        <v>0</v>
      </c>
      <c r="U146" s="22" t="n">
        <f aca="false">SUM(O146:T146)</f>
        <v>0</v>
      </c>
      <c r="V146" s="22" t="n">
        <f aca="false">N146-U146</f>
        <v>15000</v>
      </c>
      <c r="W146" s="22" t="n">
        <f aca="false">W145+V146</f>
        <v>-4456500</v>
      </c>
      <c r="X146" s="23" t="str">
        <f aca="false">IF(W146&gt;=0,"YES","No")</f>
        <v>No</v>
      </c>
    </row>
    <row r="147" customFormat="false" ht="15" hidden="false" customHeight="false" outlineLevel="0" collapsed="false">
      <c r="A147" s="16" t="n">
        <v>146</v>
      </c>
      <c r="B147" s="17" t="n">
        <f aca="false">B146+1</f>
        <v>46168</v>
      </c>
      <c r="C147" s="18" t="n">
        <f aca="false">MIN(ROUNDUP(A147/365,0),5)</f>
        <v>1</v>
      </c>
      <c r="D147" s="18" t="n">
        <f aca="false">DATEDIF(Assumptions!B5,B147,"m")+1</f>
        <v>5</v>
      </c>
      <c r="E147" s="18" t="str">
        <f aca="false">TEXT(B147,"ddd")</f>
        <v>Tue</v>
      </c>
      <c r="F147" s="19" t="n">
        <f aca="false">IF(WEEKDAY(B147,2)&gt;=6,Assumptions!B34,Assumptions!B35)</f>
        <v>1</v>
      </c>
      <c r="G147" s="20" t="n">
        <f aca="false">IF(D147&gt;=13,(1+Assumptions!B46)^(D147-12),1)</f>
        <v>1</v>
      </c>
      <c r="H147" s="21" t="n">
        <f aca="false">H146*(1+IF(C147=1,Assumptions!B22,Assumptions!B23))</f>
        <v>18.0506152314087</v>
      </c>
      <c r="I147" s="16" t="n">
        <f aca="false">ROUND(H147*F147,0)</f>
        <v>18</v>
      </c>
      <c r="J147" s="22" t="n">
        <f aca="false">I147*Assumptions!B24</f>
        <v>10800</v>
      </c>
      <c r="K147" s="21" t="n">
        <f aca="false">K146*(1+Assumptions!B30)</f>
        <v>13.7784407748067</v>
      </c>
      <c r="L147" s="16" t="n">
        <f aca="false">ROUND(K147*F147,0)</f>
        <v>14</v>
      </c>
      <c r="M147" s="22" t="n">
        <f aca="false">L147*Assumptions!B31</f>
        <v>4200</v>
      </c>
      <c r="N147" s="22" t="n">
        <f aca="false">J147+M147</f>
        <v>15000</v>
      </c>
      <c r="O147" s="22" t="n">
        <f aca="false">IF(DAY(B147)=1,Assumptions!B38*G147,0)</f>
        <v>0</v>
      </c>
      <c r="P147" s="22" t="n">
        <f aca="false">IF(DAY(B147)=1,Assumptions!B39*G147,0)</f>
        <v>0</v>
      </c>
      <c r="Q147" s="22" t="n">
        <f aca="false">IF(DAY(B147)=1,Assumptions!B40*G147,0)</f>
        <v>0</v>
      </c>
      <c r="R147" s="22" t="n">
        <f aca="false">IF(DAY(B147)=1,Assumptions!B41*G147,0)</f>
        <v>0</v>
      </c>
      <c r="S147" s="22" t="n">
        <f aca="false">IF(AND(DAY(B147)=1,D147&gt;=13),Assumptions!B42*G147,0)</f>
        <v>0</v>
      </c>
      <c r="T147" s="22" t="n">
        <f aca="false">IF(DAY(B147)=1,Assumptions!B43*G147,0)</f>
        <v>0</v>
      </c>
      <c r="U147" s="22" t="n">
        <f aca="false">SUM(O147:T147)</f>
        <v>0</v>
      </c>
      <c r="V147" s="22" t="n">
        <f aca="false">N147-U147</f>
        <v>15000</v>
      </c>
      <c r="W147" s="22" t="n">
        <f aca="false">W146+V147</f>
        <v>-4441500</v>
      </c>
      <c r="X147" s="23" t="str">
        <f aca="false">IF(W147&gt;=0,"YES","No")</f>
        <v>No</v>
      </c>
    </row>
    <row r="148" customFormat="false" ht="15" hidden="false" customHeight="false" outlineLevel="0" collapsed="false">
      <c r="A148" s="16" t="n">
        <v>147</v>
      </c>
      <c r="B148" s="17" t="n">
        <f aca="false">B147+1</f>
        <v>46169</v>
      </c>
      <c r="C148" s="18" t="n">
        <f aca="false">MIN(ROUNDUP(A148/365,0),5)</f>
        <v>1</v>
      </c>
      <c r="D148" s="18" t="n">
        <f aca="false">DATEDIF(Assumptions!B5,B148,"m")+1</f>
        <v>5</v>
      </c>
      <c r="E148" s="18" t="str">
        <f aca="false">TEXT(B148,"ddd")</f>
        <v>Wed</v>
      </c>
      <c r="F148" s="19" t="n">
        <f aca="false">IF(WEEKDAY(B148,2)&gt;=6,Assumptions!B34,Assumptions!B35)</f>
        <v>1</v>
      </c>
      <c r="G148" s="20" t="n">
        <f aca="false">IF(D148&gt;=13,(1+Assumptions!B46)^(D148-12),1)</f>
        <v>1</v>
      </c>
      <c r="H148" s="21" t="n">
        <f aca="false">H147*(1+IF(C148=1,Assumptions!B22,Assumptions!B23))</f>
        <v>18.0623618115617</v>
      </c>
      <c r="I148" s="16" t="n">
        <f aca="false">ROUND(H148*F148,0)</f>
        <v>18</v>
      </c>
      <c r="J148" s="22" t="n">
        <f aca="false">I148*Assumptions!B24</f>
        <v>10800</v>
      </c>
      <c r="K148" s="21" t="n">
        <f aca="false">K147*(1+Assumptions!B30)</f>
        <v>13.7829454546574</v>
      </c>
      <c r="L148" s="16" t="n">
        <f aca="false">ROUND(K148*F148,0)</f>
        <v>14</v>
      </c>
      <c r="M148" s="22" t="n">
        <f aca="false">L148*Assumptions!B31</f>
        <v>4200</v>
      </c>
      <c r="N148" s="22" t="n">
        <f aca="false">J148+M148</f>
        <v>15000</v>
      </c>
      <c r="O148" s="22" t="n">
        <f aca="false">IF(DAY(B148)=1,Assumptions!B38*G148,0)</f>
        <v>0</v>
      </c>
      <c r="P148" s="22" t="n">
        <f aca="false">IF(DAY(B148)=1,Assumptions!B39*G148,0)</f>
        <v>0</v>
      </c>
      <c r="Q148" s="22" t="n">
        <f aca="false">IF(DAY(B148)=1,Assumptions!B40*G148,0)</f>
        <v>0</v>
      </c>
      <c r="R148" s="22" t="n">
        <f aca="false">IF(DAY(B148)=1,Assumptions!B41*G148,0)</f>
        <v>0</v>
      </c>
      <c r="S148" s="22" t="n">
        <f aca="false">IF(AND(DAY(B148)=1,D148&gt;=13),Assumptions!B42*G148,0)</f>
        <v>0</v>
      </c>
      <c r="T148" s="22" t="n">
        <f aca="false">IF(DAY(B148)=1,Assumptions!B43*G148,0)</f>
        <v>0</v>
      </c>
      <c r="U148" s="22" t="n">
        <f aca="false">SUM(O148:T148)</f>
        <v>0</v>
      </c>
      <c r="V148" s="22" t="n">
        <f aca="false">N148-U148</f>
        <v>15000</v>
      </c>
      <c r="W148" s="22" t="n">
        <f aca="false">W147+V148</f>
        <v>-4426500</v>
      </c>
      <c r="X148" s="23" t="str">
        <f aca="false">IF(W148&gt;=0,"YES","No")</f>
        <v>No</v>
      </c>
    </row>
    <row r="149" customFormat="false" ht="15" hidden="false" customHeight="false" outlineLevel="0" collapsed="false">
      <c r="A149" s="16" t="n">
        <v>148</v>
      </c>
      <c r="B149" s="17" t="n">
        <f aca="false">B148+1</f>
        <v>46170</v>
      </c>
      <c r="C149" s="18" t="n">
        <f aca="false">MIN(ROUNDUP(A149/365,0),5)</f>
        <v>1</v>
      </c>
      <c r="D149" s="18" t="n">
        <f aca="false">DATEDIF(Assumptions!B5,B149,"m")+1</f>
        <v>5</v>
      </c>
      <c r="E149" s="18" t="str">
        <f aca="false">TEXT(B149,"ddd")</f>
        <v>Thu</v>
      </c>
      <c r="F149" s="19" t="n">
        <f aca="false">IF(WEEKDAY(B149,2)&gt;=6,Assumptions!B34,Assumptions!B35)</f>
        <v>1</v>
      </c>
      <c r="G149" s="20" t="n">
        <f aca="false">IF(D149&gt;=13,(1+Assumptions!B46)^(D149-12),1)</f>
        <v>1</v>
      </c>
      <c r="H149" s="21" t="n">
        <f aca="false">H148*(1+IF(C149=1,Assumptions!B22,Assumptions!B23))</f>
        <v>18.0741160358944</v>
      </c>
      <c r="I149" s="16" t="n">
        <f aca="false">ROUND(H149*F149,0)</f>
        <v>18</v>
      </c>
      <c r="J149" s="22" t="n">
        <f aca="false">I149*Assumptions!B24</f>
        <v>10800</v>
      </c>
      <c r="K149" s="21" t="n">
        <f aca="false">K148*(1+Assumptions!B30)</f>
        <v>13.787451607254</v>
      </c>
      <c r="L149" s="16" t="n">
        <f aca="false">ROUND(K149*F149,0)</f>
        <v>14</v>
      </c>
      <c r="M149" s="22" t="n">
        <f aca="false">L149*Assumptions!B31</f>
        <v>4200</v>
      </c>
      <c r="N149" s="22" t="n">
        <f aca="false">J149+M149</f>
        <v>15000</v>
      </c>
      <c r="O149" s="22" t="n">
        <f aca="false">IF(DAY(B149)=1,Assumptions!B38*G149,0)</f>
        <v>0</v>
      </c>
      <c r="P149" s="22" t="n">
        <f aca="false">IF(DAY(B149)=1,Assumptions!B39*G149,0)</f>
        <v>0</v>
      </c>
      <c r="Q149" s="22" t="n">
        <f aca="false">IF(DAY(B149)=1,Assumptions!B40*G149,0)</f>
        <v>0</v>
      </c>
      <c r="R149" s="22" t="n">
        <f aca="false">IF(DAY(B149)=1,Assumptions!B41*G149,0)</f>
        <v>0</v>
      </c>
      <c r="S149" s="22" t="n">
        <f aca="false">IF(AND(DAY(B149)=1,D149&gt;=13),Assumptions!B42*G149,0)</f>
        <v>0</v>
      </c>
      <c r="T149" s="22" t="n">
        <f aca="false">IF(DAY(B149)=1,Assumptions!B43*G149,0)</f>
        <v>0</v>
      </c>
      <c r="U149" s="22" t="n">
        <f aca="false">SUM(O149:T149)</f>
        <v>0</v>
      </c>
      <c r="V149" s="22" t="n">
        <f aca="false">N149-U149</f>
        <v>15000</v>
      </c>
      <c r="W149" s="22" t="n">
        <f aca="false">W148+V149</f>
        <v>-4411500</v>
      </c>
      <c r="X149" s="23" t="str">
        <f aca="false">IF(W149&gt;=0,"YES","No")</f>
        <v>No</v>
      </c>
    </row>
    <row r="150" customFormat="false" ht="15" hidden="false" customHeight="false" outlineLevel="0" collapsed="false">
      <c r="A150" s="16" t="n">
        <v>149</v>
      </c>
      <c r="B150" s="17" t="n">
        <f aca="false">B149+1</f>
        <v>46171</v>
      </c>
      <c r="C150" s="18" t="n">
        <f aca="false">MIN(ROUNDUP(A150/365,0),5)</f>
        <v>1</v>
      </c>
      <c r="D150" s="18" t="n">
        <f aca="false">DATEDIF(Assumptions!B5,B150,"m")+1</f>
        <v>5</v>
      </c>
      <c r="E150" s="18" t="str">
        <f aca="false">TEXT(B150,"ddd")</f>
        <v>Fri</v>
      </c>
      <c r="F150" s="19" t="n">
        <f aca="false">IF(WEEKDAY(B150,2)&gt;=6,Assumptions!B34,Assumptions!B35)</f>
        <v>1</v>
      </c>
      <c r="G150" s="20" t="n">
        <f aca="false">IF(D150&gt;=13,(1+Assumptions!B46)^(D150-12),1)</f>
        <v>1</v>
      </c>
      <c r="H150" s="21" t="n">
        <f aca="false">H149*(1+IF(C150=1,Assumptions!B22,Assumptions!B23))</f>
        <v>18.0858779093812</v>
      </c>
      <c r="I150" s="16" t="n">
        <f aca="false">ROUND(H150*F150,0)</f>
        <v>18</v>
      </c>
      <c r="J150" s="22" t="n">
        <f aca="false">I150*Assumptions!B24</f>
        <v>10800</v>
      </c>
      <c r="K150" s="21" t="n">
        <f aca="false">K149*(1+Assumptions!B30)</f>
        <v>13.7919592330778</v>
      </c>
      <c r="L150" s="16" t="n">
        <f aca="false">ROUND(K150*F150,0)</f>
        <v>14</v>
      </c>
      <c r="M150" s="22" t="n">
        <f aca="false">L150*Assumptions!B31</f>
        <v>4200</v>
      </c>
      <c r="N150" s="22" t="n">
        <f aca="false">J150+M150</f>
        <v>15000</v>
      </c>
      <c r="O150" s="22" t="n">
        <f aca="false">IF(DAY(B150)=1,Assumptions!B38*G150,0)</f>
        <v>0</v>
      </c>
      <c r="P150" s="22" t="n">
        <f aca="false">IF(DAY(B150)=1,Assumptions!B39*G150,0)</f>
        <v>0</v>
      </c>
      <c r="Q150" s="22" t="n">
        <f aca="false">IF(DAY(B150)=1,Assumptions!B40*G150,0)</f>
        <v>0</v>
      </c>
      <c r="R150" s="22" t="n">
        <f aca="false">IF(DAY(B150)=1,Assumptions!B41*G150,0)</f>
        <v>0</v>
      </c>
      <c r="S150" s="22" t="n">
        <f aca="false">IF(AND(DAY(B150)=1,D150&gt;=13),Assumptions!B42*G150,0)</f>
        <v>0</v>
      </c>
      <c r="T150" s="22" t="n">
        <f aca="false">IF(DAY(B150)=1,Assumptions!B43*G150,0)</f>
        <v>0</v>
      </c>
      <c r="U150" s="22" t="n">
        <f aca="false">SUM(O150:T150)</f>
        <v>0</v>
      </c>
      <c r="V150" s="22" t="n">
        <f aca="false">N150-U150</f>
        <v>15000</v>
      </c>
      <c r="W150" s="22" t="n">
        <f aca="false">W149+V150</f>
        <v>-4396500</v>
      </c>
      <c r="X150" s="23" t="str">
        <f aca="false">IF(W150&gt;=0,"YES","No")</f>
        <v>No</v>
      </c>
    </row>
    <row r="151" customFormat="false" ht="15" hidden="false" customHeight="false" outlineLevel="0" collapsed="false">
      <c r="A151" s="16" t="n">
        <v>150</v>
      </c>
      <c r="B151" s="17" t="n">
        <f aca="false">B150+1</f>
        <v>46172</v>
      </c>
      <c r="C151" s="18" t="n">
        <f aca="false">MIN(ROUNDUP(A151/365,0),5)</f>
        <v>1</v>
      </c>
      <c r="D151" s="18" t="n">
        <f aca="false">DATEDIF(Assumptions!B5,B151,"m")+1</f>
        <v>5</v>
      </c>
      <c r="E151" s="18" t="str">
        <f aca="false">TEXT(B151,"ddd")</f>
        <v>Sat</v>
      </c>
      <c r="F151" s="19" t="n">
        <f aca="false">IF(WEEKDAY(B151,2)&gt;=6,Assumptions!B34,Assumptions!B35)</f>
        <v>0.6</v>
      </c>
      <c r="G151" s="20" t="n">
        <f aca="false">IF(D151&gt;=13,(1+Assumptions!B46)^(D151-12),1)</f>
        <v>1</v>
      </c>
      <c r="H151" s="21" t="n">
        <f aca="false">H150*(1+IF(C151=1,Assumptions!B22,Assumptions!B23))</f>
        <v>18.0976474369999</v>
      </c>
      <c r="I151" s="16" t="n">
        <f aca="false">ROUND(H151*F151,0)</f>
        <v>11</v>
      </c>
      <c r="J151" s="22" t="n">
        <f aca="false">I151*Assumptions!B24</f>
        <v>6600</v>
      </c>
      <c r="K151" s="21" t="n">
        <f aca="false">K150*(1+Assumptions!B30)</f>
        <v>13.7964683326105</v>
      </c>
      <c r="L151" s="16" t="n">
        <f aca="false">ROUND(K151*F151,0)</f>
        <v>8</v>
      </c>
      <c r="M151" s="22" t="n">
        <f aca="false">L151*Assumptions!B31</f>
        <v>2400</v>
      </c>
      <c r="N151" s="22" t="n">
        <f aca="false">J151+M151</f>
        <v>9000</v>
      </c>
      <c r="O151" s="22" t="n">
        <f aca="false">IF(DAY(B151)=1,Assumptions!B38*G151,0)</f>
        <v>0</v>
      </c>
      <c r="P151" s="22" t="n">
        <f aca="false">IF(DAY(B151)=1,Assumptions!B39*G151,0)</f>
        <v>0</v>
      </c>
      <c r="Q151" s="22" t="n">
        <f aca="false">IF(DAY(B151)=1,Assumptions!B40*G151,0)</f>
        <v>0</v>
      </c>
      <c r="R151" s="22" t="n">
        <f aca="false">IF(DAY(B151)=1,Assumptions!B41*G151,0)</f>
        <v>0</v>
      </c>
      <c r="S151" s="22" t="n">
        <f aca="false">IF(AND(DAY(B151)=1,D151&gt;=13),Assumptions!B42*G151,0)</f>
        <v>0</v>
      </c>
      <c r="T151" s="22" t="n">
        <f aca="false">IF(DAY(B151)=1,Assumptions!B43*G151,0)</f>
        <v>0</v>
      </c>
      <c r="U151" s="22" t="n">
        <f aca="false">SUM(O151:T151)</f>
        <v>0</v>
      </c>
      <c r="V151" s="22" t="n">
        <f aca="false">N151-U151</f>
        <v>9000</v>
      </c>
      <c r="W151" s="22" t="n">
        <f aca="false">W150+V151</f>
        <v>-4387500</v>
      </c>
      <c r="X151" s="23" t="str">
        <f aca="false">IF(W151&gt;=0,"YES","No")</f>
        <v>No</v>
      </c>
    </row>
    <row r="152" customFormat="false" ht="15" hidden="false" customHeight="false" outlineLevel="0" collapsed="false">
      <c r="A152" s="16" t="n">
        <v>151</v>
      </c>
      <c r="B152" s="17" t="n">
        <f aca="false">B151+1</f>
        <v>46173</v>
      </c>
      <c r="C152" s="18" t="n">
        <f aca="false">MIN(ROUNDUP(A152/365,0),5)</f>
        <v>1</v>
      </c>
      <c r="D152" s="18" t="n">
        <f aca="false">DATEDIF(Assumptions!B5,B152,"m")+1</f>
        <v>5</v>
      </c>
      <c r="E152" s="18" t="str">
        <f aca="false">TEXT(B152,"ddd")</f>
        <v>Sun</v>
      </c>
      <c r="F152" s="19" t="n">
        <f aca="false">IF(WEEKDAY(B152,2)&gt;=6,Assumptions!B34,Assumptions!B35)</f>
        <v>0.6</v>
      </c>
      <c r="G152" s="20" t="n">
        <f aca="false">IF(D152&gt;=13,(1+Assumptions!B46)^(D152-12),1)</f>
        <v>1</v>
      </c>
      <c r="H152" s="21" t="n">
        <f aca="false">H151*(1+IF(C152=1,Assumptions!B22,Assumptions!B23))</f>
        <v>18.1094246237314</v>
      </c>
      <c r="I152" s="16" t="n">
        <f aca="false">ROUND(H152*F152,0)</f>
        <v>11</v>
      </c>
      <c r="J152" s="22" t="n">
        <f aca="false">I152*Assumptions!B24</f>
        <v>6600</v>
      </c>
      <c r="K152" s="21" t="n">
        <f aca="false">K151*(1+Assumptions!B30)</f>
        <v>13.800978906334</v>
      </c>
      <c r="L152" s="16" t="n">
        <f aca="false">ROUND(K152*F152,0)</f>
        <v>8</v>
      </c>
      <c r="M152" s="22" t="n">
        <f aca="false">L152*Assumptions!B31</f>
        <v>2400</v>
      </c>
      <c r="N152" s="22" t="n">
        <f aca="false">J152+M152</f>
        <v>9000</v>
      </c>
      <c r="O152" s="22" t="n">
        <f aca="false">IF(DAY(B152)=1,Assumptions!B38*G152,0)</f>
        <v>0</v>
      </c>
      <c r="P152" s="22" t="n">
        <f aca="false">IF(DAY(B152)=1,Assumptions!B39*G152,0)</f>
        <v>0</v>
      </c>
      <c r="Q152" s="22" t="n">
        <f aca="false">IF(DAY(B152)=1,Assumptions!B40*G152,0)</f>
        <v>0</v>
      </c>
      <c r="R152" s="22" t="n">
        <f aca="false">IF(DAY(B152)=1,Assumptions!B41*G152,0)</f>
        <v>0</v>
      </c>
      <c r="S152" s="22" t="n">
        <f aca="false">IF(AND(DAY(B152)=1,D152&gt;=13),Assumptions!B42*G152,0)</f>
        <v>0</v>
      </c>
      <c r="T152" s="22" t="n">
        <f aca="false">IF(DAY(B152)=1,Assumptions!B43*G152,0)</f>
        <v>0</v>
      </c>
      <c r="U152" s="22" t="n">
        <f aca="false">SUM(O152:T152)</f>
        <v>0</v>
      </c>
      <c r="V152" s="22" t="n">
        <f aca="false">N152-U152</f>
        <v>9000</v>
      </c>
      <c r="W152" s="22" t="n">
        <f aca="false">W151+V152</f>
        <v>-4378500</v>
      </c>
      <c r="X152" s="23" t="str">
        <f aca="false">IF(W152&gt;=0,"YES","No")</f>
        <v>No</v>
      </c>
    </row>
    <row r="153" customFormat="false" ht="15" hidden="false" customHeight="false" outlineLevel="0" collapsed="false">
      <c r="A153" s="16" t="n">
        <v>152</v>
      </c>
      <c r="B153" s="17" t="n">
        <f aca="false">B152+1</f>
        <v>46174</v>
      </c>
      <c r="C153" s="18" t="n">
        <f aca="false">MIN(ROUNDUP(A153/365,0),5)</f>
        <v>1</v>
      </c>
      <c r="D153" s="18" t="n">
        <f aca="false">DATEDIF(Assumptions!B5,B153,"m")+1</f>
        <v>6</v>
      </c>
      <c r="E153" s="18" t="str">
        <f aca="false">TEXT(B153,"ddd")</f>
        <v>Mon</v>
      </c>
      <c r="F153" s="19" t="n">
        <f aca="false">IF(WEEKDAY(B153,2)&gt;=6,Assumptions!B34,Assumptions!B35)</f>
        <v>1</v>
      </c>
      <c r="G153" s="20" t="n">
        <f aca="false">IF(D153&gt;=13,(1+Assumptions!B46)^(D153-12),1)</f>
        <v>1</v>
      </c>
      <c r="H153" s="21" t="n">
        <f aca="false">H152*(1+IF(C153=1,Assumptions!B22,Assumptions!B23))</f>
        <v>18.1212094745601</v>
      </c>
      <c r="I153" s="16" t="n">
        <f aca="false">ROUND(H153*F153,0)</f>
        <v>18</v>
      </c>
      <c r="J153" s="22" t="n">
        <f aca="false">I153*Assumptions!B24</f>
        <v>10800</v>
      </c>
      <c r="K153" s="21" t="n">
        <f aca="false">K152*(1+Assumptions!B30)</f>
        <v>13.8054909547302</v>
      </c>
      <c r="L153" s="16" t="n">
        <f aca="false">ROUND(K153*F153,0)</f>
        <v>14</v>
      </c>
      <c r="M153" s="22" t="n">
        <f aca="false">L153*Assumptions!B31</f>
        <v>4200</v>
      </c>
      <c r="N153" s="22" t="n">
        <f aca="false">J153+M153</f>
        <v>15000</v>
      </c>
      <c r="O153" s="22" t="n">
        <f aca="false">IF(DAY(B153)=1,Assumptions!B38*G153,0)</f>
        <v>150000</v>
      </c>
      <c r="P153" s="22" t="n">
        <f aca="false">IF(DAY(B153)=1,Assumptions!B39*G153,0)</f>
        <v>40000</v>
      </c>
      <c r="Q153" s="22" t="n">
        <f aca="false">IF(DAY(B153)=1,Assumptions!B40*G153,0)</f>
        <v>30000</v>
      </c>
      <c r="R153" s="22" t="n">
        <f aca="false">IF(DAY(B153)=1,Assumptions!B41*G153,0)</f>
        <v>20000</v>
      </c>
      <c r="S153" s="22" t="n">
        <f aca="false">IF(AND(DAY(B153)=1,D153&gt;=13),Assumptions!B42*G153,0)</f>
        <v>0</v>
      </c>
      <c r="T153" s="22" t="n">
        <f aca="false">IF(DAY(B153)=1,Assumptions!B43*G153,0)</f>
        <v>20000</v>
      </c>
      <c r="U153" s="22" t="n">
        <f aca="false">SUM(O153:T153)</f>
        <v>260000</v>
      </c>
      <c r="V153" s="22" t="n">
        <f aca="false">N153-U153</f>
        <v>-245000</v>
      </c>
      <c r="W153" s="22" t="n">
        <f aca="false">W152+V153</f>
        <v>-4623500</v>
      </c>
      <c r="X153" s="23" t="str">
        <f aca="false">IF(W153&gt;=0,"YES","No")</f>
        <v>No</v>
      </c>
    </row>
    <row r="154" customFormat="false" ht="15" hidden="false" customHeight="false" outlineLevel="0" collapsed="false">
      <c r="A154" s="16" t="n">
        <v>153</v>
      </c>
      <c r="B154" s="17" t="n">
        <f aca="false">B153+1</f>
        <v>46175</v>
      </c>
      <c r="C154" s="18" t="n">
        <f aca="false">MIN(ROUNDUP(A154/365,0),5)</f>
        <v>1</v>
      </c>
      <c r="D154" s="18" t="n">
        <f aca="false">DATEDIF(Assumptions!B5,B154,"m")+1</f>
        <v>6</v>
      </c>
      <c r="E154" s="18" t="str">
        <f aca="false">TEXT(B154,"ddd")</f>
        <v>Tue</v>
      </c>
      <c r="F154" s="19" t="n">
        <f aca="false">IF(WEEKDAY(B154,2)&gt;=6,Assumptions!B34,Assumptions!B35)</f>
        <v>1</v>
      </c>
      <c r="G154" s="20" t="n">
        <f aca="false">IF(D154&gt;=13,(1+Assumptions!B46)^(D154-12),1)</f>
        <v>1</v>
      </c>
      <c r="H154" s="21" t="n">
        <f aca="false">H153*(1+IF(C154=1,Assumptions!B22,Assumptions!B23))</f>
        <v>18.1330019944734</v>
      </c>
      <c r="I154" s="16" t="n">
        <f aca="false">ROUND(H154*F154,0)</f>
        <v>18</v>
      </c>
      <c r="J154" s="22" t="n">
        <f aca="false">I154*Assumptions!B24</f>
        <v>10800</v>
      </c>
      <c r="K154" s="21" t="n">
        <f aca="false">K153*(1+Assumptions!B30)</f>
        <v>13.8100044782812</v>
      </c>
      <c r="L154" s="16" t="n">
        <f aca="false">ROUND(K154*F154,0)</f>
        <v>14</v>
      </c>
      <c r="M154" s="22" t="n">
        <f aca="false">L154*Assumptions!B31</f>
        <v>4200</v>
      </c>
      <c r="N154" s="22" t="n">
        <f aca="false">J154+M154</f>
        <v>15000</v>
      </c>
      <c r="O154" s="22" t="n">
        <f aca="false">IF(DAY(B154)=1,Assumptions!B38*G154,0)</f>
        <v>0</v>
      </c>
      <c r="P154" s="22" t="n">
        <f aca="false">IF(DAY(B154)=1,Assumptions!B39*G154,0)</f>
        <v>0</v>
      </c>
      <c r="Q154" s="22" t="n">
        <f aca="false">IF(DAY(B154)=1,Assumptions!B40*G154,0)</f>
        <v>0</v>
      </c>
      <c r="R154" s="22" t="n">
        <f aca="false">IF(DAY(B154)=1,Assumptions!B41*G154,0)</f>
        <v>0</v>
      </c>
      <c r="S154" s="22" t="n">
        <f aca="false">IF(AND(DAY(B154)=1,D154&gt;=13),Assumptions!B42*G154,0)</f>
        <v>0</v>
      </c>
      <c r="T154" s="22" t="n">
        <f aca="false">IF(DAY(B154)=1,Assumptions!B43*G154,0)</f>
        <v>0</v>
      </c>
      <c r="U154" s="22" t="n">
        <f aca="false">SUM(O154:T154)</f>
        <v>0</v>
      </c>
      <c r="V154" s="22" t="n">
        <f aca="false">N154-U154</f>
        <v>15000</v>
      </c>
      <c r="W154" s="22" t="n">
        <f aca="false">W153+V154</f>
        <v>-4608500</v>
      </c>
      <c r="X154" s="23" t="str">
        <f aca="false">IF(W154&gt;=0,"YES","No")</f>
        <v>No</v>
      </c>
    </row>
    <row r="155" customFormat="false" ht="15" hidden="false" customHeight="false" outlineLevel="0" collapsed="false">
      <c r="A155" s="16" t="n">
        <v>154</v>
      </c>
      <c r="B155" s="17" t="n">
        <f aca="false">B154+1</f>
        <v>46176</v>
      </c>
      <c r="C155" s="18" t="n">
        <f aca="false">MIN(ROUNDUP(A155/365,0),5)</f>
        <v>1</v>
      </c>
      <c r="D155" s="18" t="n">
        <f aca="false">DATEDIF(Assumptions!B5,B155,"m")+1</f>
        <v>6</v>
      </c>
      <c r="E155" s="18" t="str">
        <f aca="false">TEXT(B155,"ddd")</f>
        <v>Wed</v>
      </c>
      <c r="F155" s="19" t="n">
        <f aca="false">IF(WEEKDAY(B155,2)&gt;=6,Assumptions!B34,Assumptions!B35)</f>
        <v>1</v>
      </c>
      <c r="G155" s="20" t="n">
        <f aca="false">IF(D155&gt;=13,(1+Assumptions!B46)^(D155-12),1)</f>
        <v>1</v>
      </c>
      <c r="H155" s="21" t="n">
        <f aca="false">H154*(1+IF(C155=1,Assumptions!B22,Assumptions!B23))</f>
        <v>18.1448021884619</v>
      </c>
      <c r="I155" s="16" t="n">
        <f aca="false">ROUND(H155*F155,0)</f>
        <v>18</v>
      </c>
      <c r="J155" s="22" t="n">
        <f aca="false">I155*Assumptions!B24</f>
        <v>10800</v>
      </c>
      <c r="K155" s="21" t="n">
        <f aca="false">K154*(1+Assumptions!B30)</f>
        <v>13.8145194774693</v>
      </c>
      <c r="L155" s="16" t="n">
        <f aca="false">ROUND(K155*F155,0)</f>
        <v>14</v>
      </c>
      <c r="M155" s="22" t="n">
        <f aca="false">L155*Assumptions!B31</f>
        <v>4200</v>
      </c>
      <c r="N155" s="22" t="n">
        <f aca="false">J155+M155</f>
        <v>15000</v>
      </c>
      <c r="O155" s="22" t="n">
        <f aca="false">IF(DAY(B155)=1,Assumptions!B38*G155,0)</f>
        <v>0</v>
      </c>
      <c r="P155" s="22" t="n">
        <f aca="false">IF(DAY(B155)=1,Assumptions!B39*G155,0)</f>
        <v>0</v>
      </c>
      <c r="Q155" s="22" t="n">
        <f aca="false">IF(DAY(B155)=1,Assumptions!B40*G155,0)</f>
        <v>0</v>
      </c>
      <c r="R155" s="22" t="n">
        <f aca="false">IF(DAY(B155)=1,Assumptions!B41*G155,0)</f>
        <v>0</v>
      </c>
      <c r="S155" s="22" t="n">
        <f aca="false">IF(AND(DAY(B155)=1,D155&gt;=13),Assumptions!B42*G155,0)</f>
        <v>0</v>
      </c>
      <c r="T155" s="22" t="n">
        <f aca="false">IF(DAY(B155)=1,Assumptions!B43*G155,0)</f>
        <v>0</v>
      </c>
      <c r="U155" s="22" t="n">
        <f aca="false">SUM(O155:T155)</f>
        <v>0</v>
      </c>
      <c r="V155" s="22" t="n">
        <f aca="false">N155-U155</f>
        <v>15000</v>
      </c>
      <c r="W155" s="22" t="n">
        <f aca="false">W154+V155</f>
        <v>-4593500</v>
      </c>
      <c r="X155" s="23" t="str">
        <f aca="false">IF(W155&gt;=0,"YES","No")</f>
        <v>No</v>
      </c>
    </row>
    <row r="156" customFormat="false" ht="15" hidden="false" customHeight="false" outlineLevel="0" collapsed="false">
      <c r="A156" s="16" t="n">
        <v>155</v>
      </c>
      <c r="B156" s="17" t="n">
        <f aca="false">B155+1</f>
        <v>46177</v>
      </c>
      <c r="C156" s="18" t="n">
        <f aca="false">MIN(ROUNDUP(A156/365,0),5)</f>
        <v>1</v>
      </c>
      <c r="D156" s="18" t="n">
        <f aca="false">DATEDIF(Assumptions!B5,B156,"m")+1</f>
        <v>6</v>
      </c>
      <c r="E156" s="18" t="str">
        <f aca="false">TEXT(B156,"ddd")</f>
        <v>Thu</v>
      </c>
      <c r="F156" s="19" t="n">
        <f aca="false">IF(WEEKDAY(B156,2)&gt;=6,Assumptions!B34,Assumptions!B35)</f>
        <v>1</v>
      </c>
      <c r="G156" s="20" t="n">
        <f aca="false">IF(D156&gt;=13,(1+Assumptions!B46)^(D156-12),1)</f>
        <v>1</v>
      </c>
      <c r="H156" s="21" t="n">
        <f aca="false">H155*(1+IF(C156=1,Assumptions!B22,Assumptions!B23))</f>
        <v>18.1566100615197</v>
      </c>
      <c r="I156" s="16" t="n">
        <f aca="false">ROUND(H156*F156,0)</f>
        <v>18</v>
      </c>
      <c r="J156" s="22" t="n">
        <f aca="false">I156*Assumptions!B24</f>
        <v>10800</v>
      </c>
      <c r="K156" s="21" t="n">
        <f aca="false">K155*(1+Assumptions!B30)</f>
        <v>13.819035952777</v>
      </c>
      <c r="L156" s="16" t="n">
        <f aca="false">ROUND(K156*F156,0)</f>
        <v>14</v>
      </c>
      <c r="M156" s="22" t="n">
        <f aca="false">L156*Assumptions!B31</f>
        <v>4200</v>
      </c>
      <c r="N156" s="22" t="n">
        <f aca="false">J156+M156</f>
        <v>15000</v>
      </c>
      <c r="O156" s="22" t="n">
        <f aca="false">IF(DAY(B156)=1,Assumptions!B38*G156,0)</f>
        <v>0</v>
      </c>
      <c r="P156" s="22" t="n">
        <f aca="false">IF(DAY(B156)=1,Assumptions!B39*G156,0)</f>
        <v>0</v>
      </c>
      <c r="Q156" s="22" t="n">
        <f aca="false">IF(DAY(B156)=1,Assumptions!B40*G156,0)</f>
        <v>0</v>
      </c>
      <c r="R156" s="22" t="n">
        <f aca="false">IF(DAY(B156)=1,Assumptions!B41*G156,0)</f>
        <v>0</v>
      </c>
      <c r="S156" s="22" t="n">
        <f aca="false">IF(AND(DAY(B156)=1,D156&gt;=13),Assumptions!B42*G156,0)</f>
        <v>0</v>
      </c>
      <c r="T156" s="22" t="n">
        <f aca="false">IF(DAY(B156)=1,Assumptions!B43*G156,0)</f>
        <v>0</v>
      </c>
      <c r="U156" s="22" t="n">
        <f aca="false">SUM(O156:T156)</f>
        <v>0</v>
      </c>
      <c r="V156" s="22" t="n">
        <f aca="false">N156-U156</f>
        <v>15000</v>
      </c>
      <c r="W156" s="22" t="n">
        <f aca="false">W155+V156</f>
        <v>-4578500</v>
      </c>
      <c r="X156" s="23" t="str">
        <f aca="false">IF(W156&gt;=0,"YES","No")</f>
        <v>No</v>
      </c>
    </row>
    <row r="157" customFormat="false" ht="15" hidden="false" customHeight="false" outlineLevel="0" collapsed="false">
      <c r="A157" s="16" t="n">
        <v>156</v>
      </c>
      <c r="B157" s="17" t="n">
        <f aca="false">B156+1</f>
        <v>46178</v>
      </c>
      <c r="C157" s="18" t="n">
        <f aca="false">MIN(ROUNDUP(A157/365,0),5)</f>
        <v>1</v>
      </c>
      <c r="D157" s="18" t="n">
        <f aca="false">DATEDIF(Assumptions!B5,B157,"m")+1</f>
        <v>6</v>
      </c>
      <c r="E157" s="18" t="str">
        <f aca="false">TEXT(B157,"ddd")</f>
        <v>Fri</v>
      </c>
      <c r="F157" s="19" t="n">
        <f aca="false">IF(WEEKDAY(B157,2)&gt;=6,Assumptions!B34,Assumptions!B35)</f>
        <v>1</v>
      </c>
      <c r="G157" s="20" t="n">
        <f aca="false">IF(D157&gt;=13,(1+Assumptions!B46)^(D157-12),1)</f>
        <v>1</v>
      </c>
      <c r="H157" s="21" t="n">
        <f aca="false">H156*(1+IF(C157=1,Assumptions!B22,Assumptions!B23))</f>
        <v>18.168425618644</v>
      </c>
      <c r="I157" s="16" t="n">
        <f aca="false">ROUND(H157*F157,0)</f>
        <v>18</v>
      </c>
      <c r="J157" s="22" t="n">
        <f aca="false">I157*Assumptions!B24</f>
        <v>10800</v>
      </c>
      <c r="K157" s="21" t="n">
        <f aca="false">K156*(1+Assumptions!B30)</f>
        <v>13.8235539046868</v>
      </c>
      <c r="L157" s="16" t="n">
        <f aca="false">ROUND(K157*F157,0)</f>
        <v>14</v>
      </c>
      <c r="M157" s="22" t="n">
        <f aca="false">L157*Assumptions!B31</f>
        <v>4200</v>
      </c>
      <c r="N157" s="22" t="n">
        <f aca="false">J157+M157</f>
        <v>15000</v>
      </c>
      <c r="O157" s="22" t="n">
        <f aca="false">IF(DAY(B157)=1,Assumptions!B38*G157,0)</f>
        <v>0</v>
      </c>
      <c r="P157" s="22" t="n">
        <f aca="false">IF(DAY(B157)=1,Assumptions!B39*G157,0)</f>
        <v>0</v>
      </c>
      <c r="Q157" s="22" t="n">
        <f aca="false">IF(DAY(B157)=1,Assumptions!B40*G157,0)</f>
        <v>0</v>
      </c>
      <c r="R157" s="22" t="n">
        <f aca="false">IF(DAY(B157)=1,Assumptions!B41*G157,0)</f>
        <v>0</v>
      </c>
      <c r="S157" s="22" t="n">
        <f aca="false">IF(AND(DAY(B157)=1,D157&gt;=13),Assumptions!B42*G157,0)</f>
        <v>0</v>
      </c>
      <c r="T157" s="22" t="n">
        <f aca="false">IF(DAY(B157)=1,Assumptions!B43*G157,0)</f>
        <v>0</v>
      </c>
      <c r="U157" s="22" t="n">
        <f aca="false">SUM(O157:T157)</f>
        <v>0</v>
      </c>
      <c r="V157" s="22" t="n">
        <f aca="false">N157-U157</f>
        <v>15000</v>
      </c>
      <c r="W157" s="22" t="n">
        <f aca="false">W156+V157</f>
        <v>-4563500</v>
      </c>
      <c r="X157" s="23" t="str">
        <f aca="false">IF(W157&gt;=0,"YES","No")</f>
        <v>No</v>
      </c>
    </row>
    <row r="158" customFormat="false" ht="15" hidden="false" customHeight="false" outlineLevel="0" collapsed="false">
      <c r="A158" s="16" t="n">
        <v>157</v>
      </c>
      <c r="B158" s="17" t="n">
        <f aca="false">B157+1</f>
        <v>46179</v>
      </c>
      <c r="C158" s="18" t="n">
        <f aca="false">MIN(ROUNDUP(A158/365,0),5)</f>
        <v>1</v>
      </c>
      <c r="D158" s="18" t="n">
        <f aca="false">DATEDIF(Assumptions!B5,B158,"m")+1</f>
        <v>6</v>
      </c>
      <c r="E158" s="18" t="str">
        <f aca="false">TEXT(B158,"ddd")</f>
        <v>Sat</v>
      </c>
      <c r="F158" s="19" t="n">
        <f aca="false">IF(WEEKDAY(B158,2)&gt;=6,Assumptions!B34,Assumptions!B35)</f>
        <v>0.6</v>
      </c>
      <c r="G158" s="20" t="n">
        <f aca="false">IF(D158&gt;=13,(1+Assumptions!B46)^(D158-12),1)</f>
        <v>1</v>
      </c>
      <c r="H158" s="21" t="n">
        <f aca="false">H157*(1+IF(C158=1,Assumptions!B22,Assumptions!B23))</f>
        <v>18.1802488648352</v>
      </c>
      <c r="I158" s="16" t="n">
        <f aca="false">ROUND(H158*F158,0)</f>
        <v>11</v>
      </c>
      <c r="J158" s="22" t="n">
        <f aca="false">I158*Assumptions!B24</f>
        <v>6600</v>
      </c>
      <c r="K158" s="21" t="n">
        <f aca="false">K157*(1+Assumptions!B30)</f>
        <v>13.8280733336816</v>
      </c>
      <c r="L158" s="16" t="n">
        <f aca="false">ROUND(K158*F158,0)</f>
        <v>8</v>
      </c>
      <c r="M158" s="22" t="n">
        <f aca="false">L158*Assumptions!B31</f>
        <v>2400</v>
      </c>
      <c r="N158" s="22" t="n">
        <f aca="false">J158+M158</f>
        <v>9000</v>
      </c>
      <c r="O158" s="22" t="n">
        <f aca="false">IF(DAY(B158)=1,Assumptions!B38*G158,0)</f>
        <v>0</v>
      </c>
      <c r="P158" s="22" t="n">
        <f aca="false">IF(DAY(B158)=1,Assumptions!B39*G158,0)</f>
        <v>0</v>
      </c>
      <c r="Q158" s="22" t="n">
        <f aca="false">IF(DAY(B158)=1,Assumptions!B40*G158,0)</f>
        <v>0</v>
      </c>
      <c r="R158" s="22" t="n">
        <f aca="false">IF(DAY(B158)=1,Assumptions!B41*G158,0)</f>
        <v>0</v>
      </c>
      <c r="S158" s="22" t="n">
        <f aca="false">IF(AND(DAY(B158)=1,D158&gt;=13),Assumptions!B42*G158,0)</f>
        <v>0</v>
      </c>
      <c r="T158" s="22" t="n">
        <f aca="false">IF(DAY(B158)=1,Assumptions!B43*G158,0)</f>
        <v>0</v>
      </c>
      <c r="U158" s="22" t="n">
        <f aca="false">SUM(O158:T158)</f>
        <v>0</v>
      </c>
      <c r="V158" s="22" t="n">
        <f aca="false">N158-U158</f>
        <v>9000</v>
      </c>
      <c r="W158" s="22" t="n">
        <f aca="false">W157+V158</f>
        <v>-4554500</v>
      </c>
      <c r="X158" s="23" t="str">
        <f aca="false">IF(W158&gt;=0,"YES","No")</f>
        <v>No</v>
      </c>
    </row>
    <row r="159" customFormat="false" ht="15" hidden="false" customHeight="false" outlineLevel="0" collapsed="false">
      <c r="A159" s="16" t="n">
        <v>158</v>
      </c>
      <c r="B159" s="17" t="n">
        <f aca="false">B158+1</f>
        <v>46180</v>
      </c>
      <c r="C159" s="18" t="n">
        <f aca="false">MIN(ROUNDUP(A159/365,0),5)</f>
        <v>1</v>
      </c>
      <c r="D159" s="18" t="n">
        <f aca="false">DATEDIF(Assumptions!B5,B159,"m")+1</f>
        <v>6</v>
      </c>
      <c r="E159" s="18" t="str">
        <f aca="false">TEXT(B159,"ddd")</f>
        <v>Sun</v>
      </c>
      <c r="F159" s="19" t="n">
        <f aca="false">IF(WEEKDAY(B159,2)&gt;=6,Assumptions!B34,Assumptions!B35)</f>
        <v>0.6</v>
      </c>
      <c r="G159" s="20" t="n">
        <f aca="false">IF(D159&gt;=13,(1+Assumptions!B46)^(D159-12),1)</f>
        <v>1</v>
      </c>
      <c r="H159" s="21" t="n">
        <f aca="false">H158*(1+IF(C159=1,Assumptions!B22,Assumptions!B23))</f>
        <v>18.1920798050971</v>
      </c>
      <c r="I159" s="16" t="n">
        <f aca="false">ROUND(H159*F159,0)</f>
        <v>11</v>
      </c>
      <c r="J159" s="22" t="n">
        <f aca="false">I159*Assumptions!B24</f>
        <v>6600</v>
      </c>
      <c r="K159" s="21" t="n">
        <f aca="false">K158*(1+Assumptions!B30)</f>
        <v>13.8325942402441</v>
      </c>
      <c r="L159" s="16" t="n">
        <f aca="false">ROUND(K159*F159,0)</f>
        <v>8</v>
      </c>
      <c r="M159" s="22" t="n">
        <f aca="false">L159*Assumptions!B31</f>
        <v>2400</v>
      </c>
      <c r="N159" s="22" t="n">
        <f aca="false">J159+M159</f>
        <v>9000</v>
      </c>
      <c r="O159" s="22" t="n">
        <f aca="false">IF(DAY(B159)=1,Assumptions!B38*G159,0)</f>
        <v>0</v>
      </c>
      <c r="P159" s="22" t="n">
        <f aca="false">IF(DAY(B159)=1,Assumptions!B39*G159,0)</f>
        <v>0</v>
      </c>
      <c r="Q159" s="22" t="n">
        <f aca="false">IF(DAY(B159)=1,Assumptions!B40*G159,0)</f>
        <v>0</v>
      </c>
      <c r="R159" s="22" t="n">
        <f aca="false">IF(DAY(B159)=1,Assumptions!B41*G159,0)</f>
        <v>0</v>
      </c>
      <c r="S159" s="22" t="n">
        <f aca="false">IF(AND(DAY(B159)=1,D159&gt;=13),Assumptions!B42*G159,0)</f>
        <v>0</v>
      </c>
      <c r="T159" s="22" t="n">
        <f aca="false">IF(DAY(B159)=1,Assumptions!B43*G159,0)</f>
        <v>0</v>
      </c>
      <c r="U159" s="22" t="n">
        <f aca="false">SUM(O159:T159)</f>
        <v>0</v>
      </c>
      <c r="V159" s="22" t="n">
        <f aca="false">N159-U159</f>
        <v>9000</v>
      </c>
      <c r="W159" s="22" t="n">
        <f aca="false">W158+V159</f>
        <v>-4545500</v>
      </c>
      <c r="X159" s="23" t="str">
        <f aca="false">IF(W159&gt;=0,"YES","No")</f>
        <v>No</v>
      </c>
    </row>
    <row r="160" customFormat="false" ht="15" hidden="false" customHeight="false" outlineLevel="0" collapsed="false">
      <c r="A160" s="16" t="n">
        <v>159</v>
      </c>
      <c r="B160" s="17" t="n">
        <f aca="false">B159+1</f>
        <v>46181</v>
      </c>
      <c r="C160" s="18" t="n">
        <f aca="false">MIN(ROUNDUP(A160/365,0),5)</f>
        <v>1</v>
      </c>
      <c r="D160" s="18" t="n">
        <f aca="false">DATEDIF(Assumptions!B5,B160,"m")+1</f>
        <v>6</v>
      </c>
      <c r="E160" s="18" t="str">
        <f aca="false">TEXT(B160,"ddd")</f>
        <v>Mon</v>
      </c>
      <c r="F160" s="19" t="n">
        <f aca="false">IF(WEEKDAY(B160,2)&gt;=6,Assumptions!B34,Assumptions!B35)</f>
        <v>1</v>
      </c>
      <c r="G160" s="20" t="n">
        <f aca="false">IF(D160&gt;=13,(1+Assumptions!B46)^(D160-12),1)</f>
        <v>1</v>
      </c>
      <c r="H160" s="21" t="n">
        <f aca="false">H159*(1+IF(C160=1,Assumptions!B22,Assumptions!B23))</f>
        <v>18.2039184444366</v>
      </c>
      <c r="I160" s="16" t="n">
        <f aca="false">ROUND(H160*F160,0)</f>
        <v>18</v>
      </c>
      <c r="J160" s="22" t="n">
        <f aca="false">I160*Assumptions!B24</f>
        <v>10800</v>
      </c>
      <c r="K160" s="21" t="n">
        <f aca="false">K159*(1+Assumptions!B30)</f>
        <v>13.8371166248576</v>
      </c>
      <c r="L160" s="16" t="n">
        <f aca="false">ROUND(K160*F160,0)</f>
        <v>14</v>
      </c>
      <c r="M160" s="22" t="n">
        <f aca="false">L160*Assumptions!B31</f>
        <v>4200</v>
      </c>
      <c r="N160" s="22" t="n">
        <f aca="false">J160+M160</f>
        <v>15000</v>
      </c>
      <c r="O160" s="22" t="n">
        <f aca="false">IF(DAY(B160)=1,Assumptions!B38*G160,0)</f>
        <v>0</v>
      </c>
      <c r="P160" s="22" t="n">
        <f aca="false">IF(DAY(B160)=1,Assumptions!B39*G160,0)</f>
        <v>0</v>
      </c>
      <c r="Q160" s="22" t="n">
        <f aca="false">IF(DAY(B160)=1,Assumptions!B40*G160,0)</f>
        <v>0</v>
      </c>
      <c r="R160" s="22" t="n">
        <f aca="false">IF(DAY(B160)=1,Assumptions!B41*G160,0)</f>
        <v>0</v>
      </c>
      <c r="S160" s="22" t="n">
        <f aca="false">IF(AND(DAY(B160)=1,D160&gt;=13),Assumptions!B42*G160,0)</f>
        <v>0</v>
      </c>
      <c r="T160" s="22" t="n">
        <f aca="false">IF(DAY(B160)=1,Assumptions!B43*G160,0)</f>
        <v>0</v>
      </c>
      <c r="U160" s="22" t="n">
        <f aca="false">SUM(O160:T160)</f>
        <v>0</v>
      </c>
      <c r="V160" s="22" t="n">
        <f aca="false">N160-U160</f>
        <v>15000</v>
      </c>
      <c r="W160" s="22" t="n">
        <f aca="false">W159+V160</f>
        <v>-4530500</v>
      </c>
      <c r="X160" s="23" t="str">
        <f aca="false">IF(W160&gt;=0,"YES","No")</f>
        <v>No</v>
      </c>
    </row>
    <row r="161" customFormat="false" ht="15" hidden="false" customHeight="false" outlineLevel="0" collapsed="false">
      <c r="A161" s="16" t="n">
        <v>160</v>
      </c>
      <c r="B161" s="17" t="n">
        <f aca="false">B160+1</f>
        <v>46182</v>
      </c>
      <c r="C161" s="18" t="n">
        <f aca="false">MIN(ROUNDUP(A161/365,0),5)</f>
        <v>1</v>
      </c>
      <c r="D161" s="18" t="n">
        <f aca="false">DATEDIF(Assumptions!B5,B161,"m")+1</f>
        <v>6</v>
      </c>
      <c r="E161" s="18" t="str">
        <f aca="false">TEXT(B161,"ddd")</f>
        <v>Tue</v>
      </c>
      <c r="F161" s="19" t="n">
        <f aca="false">IF(WEEKDAY(B161,2)&gt;=6,Assumptions!B34,Assumptions!B35)</f>
        <v>1</v>
      </c>
      <c r="G161" s="20" t="n">
        <f aca="false">IF(D161&gt;=13,(1+Assumptions!B46)^(D161-12),1)</f>
        <v>1</v>
      </c>
      <c r="H161" s="21" t="n">
        <f aca="false">H160*(1+IF(C161=1,Assumptions!B22,Assumptions!B23))</f>
        <v>18.215764787864</v>
      </c>
      <c r="I161" s="16" t="n">
        <f aca="false">ROUND(H161*F161,0)</f>
        <v>18</v>
      </c>
      <c r="J161" s="22" t="n">
        <f aca="false">I161*Assumptions!B24</f>
        <v>10800</v>
      </c>
      <c r="K161" s="21" t="n">
        <f aca="false">K160*(1+Assumptions!B30)</f>
        <v>13.8416404880052</v>
      </c>
      <c r="L161" s="16" t="n">
        <f aca="false">ROUND(K161*F161,0)</f>
        <v>14</v>
      </c>
      <c r="M161" s="22" t="n">
        <f aca="false">L161*Assumptions!B31</f>
        <v>4200</v>
      </c>
      <c r="N161" s="22" t="n">
        <f aca="false">J161+M161</f>
        <v>15000</v>
      </c>
      <c r="O161" s="22" t="n">
        <f aca="false">IF(DAY(B161)=1,Assumptions!B38*G161,0)</f>
        <v>0</v>
      </c>
      <c r="P161" s="22" t="n">
        <f aca="false">IF(DAY(B161)=1,Assumptions!B39*G161,0)</f>
        <v>0</v>
      </c>
      <c r="Q161" s="22" t="n">
        <f aca="false">IF(DAY(B161)=1,Assumptions!B40*G161,0)</f>
        <v>0</v>
      </c>
      <c r="R161" s="22" t="n">
        <f aca="false">IF(DAY(B161)=1,Assumptions!B41*G161,0)</f>
        <v>0</v>
      </c>
      <c r="S161" s="22" t="n">
        <f aca="false">IF(AND(DAY(B161)=1,D161&gt;=13),Assumptions!B42*G161,0)</f>
        <v>0</v>
      </c>
      <c r="T161" s="22" t="n">
        <f aca="false">IF(DAY(B161)=1,Assumptions!B43*G161,0)</f>
        <v>0</v>
      </c>
      <c r="U161" s="22" t="n">
        <f aca="false">SUM(O161:T161)</f>
        <v>0</v>
      </c>
      <c r="V161" s="22" t="n">
        <f aca="false">N161-U161</f>
        <v>15000</v>
      </c>
      <c r="W161" s="22" t="n">
        <f aca="false">W160+V161</f>
        <v>-4515500</v>
      </c>
      <c r="X161" s="23" t="str">
        <f aca="false">IF(W161&gt;=0,"YES","No")</f>
        <v>No</v>
      </c>
    </row>
    <row r="162" customFormat="false" ht="15" hidden="false" customHeight="false" outlineLevel="0" collapsed="false">
      <c r="A162" s="16" t="n">
        <v>161</v>
      </c>
      <c r="B162" s="17" t="n">
        <f aca="false">B161+1</f>
        <v>46183</v>
      </c>
      <c r="C162" s="18" t="n">
        <f aca="false">MIN(ROUNDUP(A162/365,0),5)</f>
        <v>1</v>
      </c>
      <c r="D162" s="18" t="n">
        <f aca="false">DATEDIF(Assumptions!B5,B162,"m")+1</f>
        <v>6</v>
      </c>
      <c r="E162" s="18" t="str">
        <f aca="false">TEXT(B162,"ddd")</f>
        <v>Wed</v>
      </c>
      <c r="F162" s="19" t="n">
        <f aca="false">IF(WEEKDAY(B162,2)&gt;=6,Assumptions!B34,Assumptions!B35)</f>
        <v>1</v>
      </c>
      <c r="G162" s="20" t="n">
        <f aca="false">IF(D162&gt;=13,(1+Assumptions!B46)^(D162-12),1)</f>
        <v>1</v>
      </c>
      <c r="H162" s="21" t="n">
        <f aca="false">H161*(1+IF(C162=1,Assumptions!B22,Assumptions!B23))</f>
        <v>18.2276188403927</v>
      </c>
      <c r="I162" s="16" t="n">
        <f aca="false">ROUND(H162*F162,0)</f>
        <v>18</v>
      </c>
      <c r="J162" s="22" t="n">
        <f aca="false">I162*Assumptions!B24</f>
        <v>10800</v>
      </c>
      <c r="K162" s="21" t="n">
        <f aca="false">K161*(1+Assumptions!B30)</f>
        <v>13.8461658301703</v>
      </c>
      <c r="L162" s="16" t="n">
        <f aca="false">ROUND(K162*F162,0)</f>
        <v>14</v>
      </c>
      <c r="M162" s="22" t="n">
        <f aca="false">L162*Assumptions!B31</f>
        <v>4200</v>
      </c>
      <c r="N162" s="22" t="n">
        <f aca="false">J162+M162</f>
        <v>15000</v>
      </c>
      <c r="O162" s="22" t="n">
        <f aca="false">IF(DAY(B162)=1,Assumptions!B38*G162,0)</f>
        <v>0</v>
      </c>
      <c r="P162" s="22" t="n">
        <f aca="false">IF(DAY(B162)=1,Assumptions!B39*G162,0)</f>
        <v>0</v>
      </c>
      <c r="Q162" s="22" t="n">
        <f aca="false">IF(DAY(B162)=1,Assumptions!B40*G162,0)</f>
        <v>0</v>
      </c>
      <c r="R162" s="22" t="n">
        <f aca="false">IF(DAY(B162)=1,Assumptions!B41*G162,0)</f>
        <v>0</v>
      </c>
      <c r="S162" s="22" t="n">
        <f aca="false">IF(AND(DAY(B162)=1,D162&gt;=13),Assumptions!B42*G162,0)</f>
        <v>0</v>
      </c>
      <c r="T162" s="22" t="n">
        <f aca="false">IF(DAY(B162)=1,Assumptions!B43*G162,0)</f>
        <v>0</v>
      </c>
      <c r="U162" s="22" t="n">
        <f aca="false">SUM(O162:T162)</f>
        <v>0</v>
      </c>
      <c r="V162" s="22" t="n">
        <f aca="false">N162-U162</f>
        <v>15000</v>
      </c>
      <c r="W162" s="22" t="n">
        <f aca="false">W161+V162</f>
        <v>-4500500</v>
      </c>
      <c r="X162" s="23" t="str">
        <f aca="false">IF(W162&gt;=0,"YES","No")</f>
        <v>No</v>
      </c>
    </row>
    <row r="163" customFormat="false" ht="15" hidden="false" customHeight="false" outlineLevel="0" collapsed="false">
      <c r="A163" s="16" t="n">
        <v>162</v>
      </c>
      <c r="B163" s="17" t="n">
        <f aca="false">B162+1</f>
        <v>46184</v>
      </c>
      <c r="C163" s="18" t="n">
        <f aca="false">MIN(ROUNDUP(A163/365,0),5)</f>
        <v>1</v>
      </c>
      <c r="D163" s="18" t="n">
        <f aca="false">DATEDIF(Assumptions!B5,B163,"m")+1</f>
        <v>6</v>
      </c>
      <c r="E163" s="18" t="str">
        <f aca="false">TEXT(B163,"ddd")</f>
        <v>Thu</v>
      </c>
      <c r="F163" s="19" t="n">
        <f aca="false">IF(WEEKDAY(B163,2)&gt;=6,Assumptions!B34,Assumptions!B35)</f>
        <v>1</v>
      </c>
      <c r="G163" s="20" t="n">
        <f aca="false">IF(D163&gt;=13,(1+Assumptions!B46)^(D163-12),1)</f>
        <v>1</v>
      </c>
      <c r="H163" s="21" t="n">
        <f aca="false">H162*(1+IF(C163=1,Assumptions!B22,Assumptions!B23))</f>
        <v>18.2394806070396</v>
      </c>
      <c r="I163" s="16" t="n">
        <f aca="false">ROUND(H163*F163,0)</f>
        <v>18</v>
      </c>
      <c r="J163" s="22" t="n">
        <f aca="false">I163*Assumptions!B24</f>
        <v>10800</v>
      </c>
      <c r="K163" s="21" t="n">
        <f aca="false">K162*(1+Assumptions!B30)</f>
        <v>13.8506926518364</v>
      </c>
      <c r="L163" s="16" t="n">
        <f aca="false">ROUND(K163*F163,0)</f>
        <v>14</v>
      </c>
      <c r="M163" s="22" t="n">
        <f aca="false">L163*Assumptions!B31</f>
        <v>4200</v>
      </c>
      <c r="N163" s="22" t="n">
        <f aca="false">J163+M163</f>
        <v>15000</v>
      </c>
      <c r="O163" s="22" t="n">
        <f aca="false">IF(DAY(B163)=1,Assumptions!B38*G163,0)</f>
        <v>0</v>
      </c>
      <c r="P163" s="22" t="n">
        <f aca="false">IF(DAY(B163)=1,Assumptions!B39*G163,0)</f>
        <v>0</v>
      </c>
      <c r="Q163" s="22" t="n">
        <f aca="false">IF(DAY(B163)=1,Assumptions!B40*G163,0)</f>
        <v>0</v>
      </c>
      <c r="R163" s="22" t="n">
        <f aca="false">IF(DAY(B163)=1,Assumptions!B41*G163,0)</f>
        <v>0</v>
      </c>
      <c r="S163" s="22" t="n">
        <f aca="false">IF(AND(DAY(B163)=1,D163&gt;=13),Assumptions!B42*G163,0)</f>
        <v>0</v>
      </c>
      <c r="T163" s="22" t="n">
        <f aca="false">IF(DAY(B163)=1,Assumptions!B43*G163,0)</f>
        <v>0</v>
      </c>
      <c r="U163" s="22" t="n">
        <f aca="false">SUM(O163:T163)</f>
        <v>0</v>
      </c>
      <c r="V163" s="22" t="n">
        <f aca="false">N163-U163</f>
        <v>15000</v>
      </c>
      <c r="W163" s="22" t="n">
        <f aca="false">W162+V163</f>
        <v>-4485500</v>
      </c>
      <c r="X163" s="23" t="str">
        <f aca="false">IF(W163&gt;=0,"YES","No")</f>
        <v>No</v>
      </c>
    </row>
    <row r="164" customFormat="false" ht="15" hidden="false" customHeight="false" outlineLevel="0" collapsed="false">
      <c r="A164" s="16" t="n">
        <v>163</v>
      </c>
      <c r="B164" s="17" t="n">
        <f aca="false">B163+1</f>
        <v>46185</v>
      </c>
      <c r="C164" s="18" t="n">
        <f aca="false">MIN(ROUNDUP(A164/365,0),5)</f>
        <v>1</v>
      </c>
      <c r="D164" s="18" t="n">
        <f aca="false">DATEDIF(Assumptions!B5,B164,"m")+1</f>
        <v>6</v>
      </c>
      <c r="E164" s="18" t="str">
        <f aca="false">TEXT(B164,"ddd")</f>
        <v>Fri</v>
      </c>
      <c r="F164" s="19" t="n">
        <f aca="false">IF(WEEKDAY(B164,2)&gt;=6,Assumptions!B34,Assumptions!B35)</f>
        <v>1</v>
      </c>
      <c r="G164" s="20" t="n">
        <f aca="false">IF(D164&gt;=13,(1+Assumptions!B46)^(D164-12),1)</f>
        <v>1</v>
      </c>
      <c r="H164" s="21" t="n">
        <f aca="false">H163*(1+IF(C164=1,Assumptions!B22,Assumptions!B23))</f>
        <v>18.2513500928246</v>
      </c>
      <c r="I164" s="16" t="n">
        <f aca="false">ROUND(H164*F164,0)</f>
        <v>18</v>
      </c>
      <c r="J164" s="22" t="n">
        <f aca="false">I164*Assumptions!B24</f>
        <v>10800</v>
      </c>
      <c r="K164" s="21" t="n">
        <f aca="false">K163*(1+Assumptions!B30)</f>
        <v>13.8552209534873</v>
      </c>
      <c r="L164" s="16" t="n">
        <f aca="false">ROUND(K164*F164,0)</f>
        <v>14</v>
      </c>
      <c r="M164" s="22" t="n">
        <f aca="false">L164*Assumptions!B31</f>
        <v>4200</v>
      </c>
      <c r="N164" s="22" t="n">
        <f aca="false">J164+M164</f>
        <v>15000</v>
      </c>
      <c r="O164" s="22" t="n">
        <f aca="false">IF(DAY(B164)=1,Assumptions!B38*G164,0)</f>
        <v>0</v>
      </c>
      <c r="P164" s="22" t="n">
        <f aca="false">IF(DAY(B164)=1,Assumptions!B39*G164,0)</f>
        <v>0</v>
      </c>
      <c r="Q164" s="22" t="n">
        <f aca="false">IF(DAY(B164)=1,Assumptions!B40*G164,0)</f>
        <v>0</v>
      </c>
      <c r="R164" s="22" t="n">
        <f aca="false">IF(DAY(B164)=1,Assumptions!B41*G164,0)</f>
        <v>0</v>
      </c>
      <c r="S164" s="22" t="n">
        <f aca="false">IF(AND(DAY(B164)=1,D164&gt;=13),Assumptions!B42*G164,0)</f>
        <v>0</v>
      </c>
      <c r="T164" s="22" t="n">
        <f aca="false">IF(DAY(B164)=1,Assumptions!B43*G164,0)</f>
        <v>0</v>
      </c>
      <c r="U164" s="22" t="n">
        <f aca="false">SUM(O164:T164)</f>
        <v>0</v>
      </c>
      <c r="V164" s="22" t="n">
        <f aca="false">N164-U164</f>
        <v>15000</v>
      </c>
      <c r="W164" s="22" t="n">
        <f aca="false">W163+V164</f>
        <v>-4470500</v>
      </c>
      <c r="X164" s="23" t="str">
        <f aca="false">IF(W164&gt;=0,"YES","No")</f>
        <v>No</v>
      </c>
    </row>
    <row r="165" customFormat="false" ht="15" hidden="false" customHeight="false" outlineLevel="0" collapsed="false">
      <c r="A165" s="16" t="n">
        <v>164</v>
      </c>
      <c r="B165" s="17" t="n">
        <f aca="false">B164+1</f>
        <v>46186</v>
      </c>
      <c r="C165" s="18" t="n">
        <f aca="false">MIN(ROUNDUP(A165/365,0),5)</f>
        <v>1</v>
      </c>
      <c r="D165" s="18" t="n">
        <f aca="false">DATEDIF(Assumptions!B5,B165,"m")+1</f>
        <v>6</v>
      </c>
      <c r="E165" s="18" t="str">
        <f aca="false">TEXT(B165,"ddd")</f>
        <v>Sat</v>
      </c>
      <c r="F165" s="19" t="n">
        <f aca="false">IF(WEEKDAY(B165,2)&gt;=6,Assumptions!B34,Assumptions!B35)</f>
        <v>0.6</v>
      </c>
      <c r="G165" s="20" t="n">
        <f aca="false">IF(D165&gt;=13,(1+Assumptions!B46)^(D165-12),1)</f>
        <v>1</v>
      </c>
      <c r="H165" s="21" t="n">
        <f aca="false">H164*(1+IF(C165=1,Assumptions!B22,Assumptions!B23))</f>
        <v>18.2632273027711</v>
      </c>
      <c r="I165" s="16" t="n">
        <f aca="false">ROUND(H165*F165,0)</f>
        <v>11</v>
      </c>
      <c r="J165" s="22" t="n">
        <f aca="false">I165*Assumptions!B24</f>
        <v>6600</v>
      </c>
      <c r="K165" s="21" t="n">
        <f aca="false">K164*(1+Assumptions!B30)</f>
        <v>13.8597507356069</v>
      </c>
      <c r="L165" s="16" t="n">
        <f aca="false">ROUND(K165*F165,0)</f>
        <v>8</v>
      </c>
      <c r="M165" s="22" t="n">
        <f aca="false">L165*Assumptions!B31</f>
        <v>2400</v>
      </c>
      <c r="N165" s="22" t="n">
        <f aca="false">J165+M165</f>
        <v>9000</v>
      </c>
      <c r="O165" s="22" t="n">
        <f aca="false">IF(DAY(B165)=1,Assumptions!B38*G165,0)</f>
        <v>0</v>
      </c>
      <c r="P165" s="22" t="n">
        <f aca="false">IF(DAY(B165)=1,Assumptions!B39*G165,0)</f>
        <v>0</v>
      </c>
      <c r="Q165" s="22" t="n">
        <f aca="false">IF(DAY(B165)=1,Assumptions!B40*G165,0)</f>
        <v>0</v>
      </c>
      <c r="R165" s="22" t="n">
        <f aca="false">IF(DAY(B165)=1,Assumptions!B41*G165,0)</f>
        <v>0</v>
      </c>
      <c r="S165" s="22" t="n">
        <f aca="false">IF(AND(DAY(B165)=1,D165&gt;=13),Assumptions!B42*G165,0)</f>
        <v>0</v>
      </c>
      <c r="T165" s="22" t="n">
        <f aca="false">IF(DAY(B165)=1,Assumptions!B43*G165,0)</f>
        <v>0</v>
      </c>
      <c r="U165" s="22" t="n">
        <f aca="false">SUM(O165:T165)</f>
        <v>0</v>
      </c>
      <c r="V165" s="22" t="n">
        <f aca="false">N165-U165</f>
        <v>9000</v>
      </c>
      <c r="W165" s="22" t="n">
        <f aca="false">W164+V165</f>
        <v>-4461500</v>
      </c>
      <c r="X165" s="23" t="str">
        <f aca="false">IF(W165&gt;=0,"YES","No")</f>
        <v>No</v>
      </c>
    </row>
    <row r="166" customFormat="false" ht="15" hidden="false" customHeight="false" outlineLevel="0" collapsed="false">
      <c r="A166" s="16" t="n">
        <v>165</v>
      </c>
      <c r="B166" s="17" t="n">
        <f aca="false">B165+1</f>
        <v>46187</v>
      </c>
      <c r="C166" s="18" t="n">
        <f aca="false">MIN(ROUNDUP(A166/365,0),5)</f>
        <v>1</v>
      </c>
      <c r="D166" s="18" t="n">
        <f aca="false">DATEDIF(Assumptions!B5,B166,"m")+1</f>
        <v>6</v>
      </c>
      <c r="E166" s="18" t="str">
        <f aca="false">TEXT(B166,"ddd")</f>
        <v>Sun</v>
      </c>
      <c r="F166" s="19" t="n">
        <f aca="false">IF(WEEKDAY(B166,2)&gt;=6,Assumptions!B34,Assumptions!B35)</f>
        <v>0.6</v>
      </c>
      <c r="G166" s="20" t="n">
        <f aca="false">IF(D166&gt;=13,(1+Assumptions!B46)^(D166-12),1)</f>
        <v>1</v>
      </c>
      <c r="H166" s="21" t="n">
        <f aca="false">H165*(1+IF(C166=1,Assumptions!B22,Assumptions!B23))</f>
        <v>18.2751122419056</v>
      </c>
      <c r="I166" s="16" t="n">
        <f aca="false">ROUND(H166*F166,0)</f>
        <v>11</v>
      </c>
      <c r="J166" s="22" t="n">
        <f aca="false">I166*Assumptions!B24</f>
        <v>6600</v>
      </c>
      <c r="K166" s="21" t="n">
        <f aca="false">K165*(1+Assumptions!B30)</f>
        <v>13.864281998679</v>
      </c>
      <c r="L166" s="16" t="n">
        <f aca="false">ROUND(K166*F166,0)</f>
        <v>8</v>
      </c>
      <c r="M166" s="22" t="n">
        <f aca="false">L166*Assumptions!B31</f>
        <v>2400</v>
      </c>
      <c r="N166" s="22" t="n">
        <f aca="false">J166+M166</f>
        <v>9000</v>
      </c>
      <c r="O166" s="22" t="n">
        <f aca="false">IF(DAY(B166)=1,Assumptions!B38*G166,0)</f>
        <v>0</v>
      </c>
      <c r="P166" s="22" t="n">
        <f aca="false">IF(DAY(B166)=1,Assumptions!B39*G166,0)</f>
        <v>0</v>
      </c>
      <c r="Q166" s="22" t="n">
        <f aca="false">IF(DAY(B166)=1,Assumptions!B40*G166,0)</f>
        <v>0</v>
      </c>
      <c r="R166" s="22" t="n">
        <f aca="false">IF(DAY(B166)=1,Assumptions!B41*G166,0)</f>
        <v>0</v>
      </c>
      <c r="S166" s="22" t="n">
        <f aca="false">IF(AND(DAY(B166)=1,D166&gt;=13),Assumptions!B42*G166,0)</f>
        <v>0</v>
      </c>
      <c r="T166" s="22" t="n">
        <f aca="false">IF(DAY(B166)=1,Assumptions!B43*G166,0)</f>
        <v>0</v>
      </c>
      <c r="U166" s="22" t="n">
        <f aca="false">SUM(O166:T166)</f>
        <v>0</v>
      </c>
      <c r="V166" s="22" t="n">
        <f aca="false">N166-U166</f>
        <v>9000</v>
      </c>
      <c r="W166" s="22" t="n">
        <f aca="false">W165+V166</f>
        <v>-4452500</v>
      </c>
      <c r="X166" s="23" t="str">
        <f aca="false">IF(W166&gt;=0,"YES","No")</f>
        <v>No</v>
      </c>
    </row>
    <row r="167" customFormat="false" ht="15" hidden="false" customHeight="false" outlineLevel="0" collapsed="false">
      <c r="A167" s="16" t="n">
        <v>166</v>
      </c>
      <c r="B167" s="17" t="n">
        <f aca="false">B166+1</f>
        <v>46188</v>
      </c>
      <c r="C167" s="18" t="n">
        <f aca="false">MIN(ROUNDUP(A167/365,0),5)</f>
        <v>1</v>
      </c>
      <c r="D167" s="18" t="n">
        <f aca="false">DATEDIF(Assumptions!B5,B167,"m")+1</f>
        <v>6</v>
      </c>
      <c r="E167" s="18" t="str">
        <f aca="false">TEXT(B167,"ddd")</f>
        <v>Mon</v>
      </c>
      <c r="F167" s="19" t="n">
        <f aca="false">IF(WEEKDAY(B167,2)&gt;=6,Assumptions!B34,Assumptions!B35)</f>
        <v>1</v>
      </c>
      <c r="G167" s="20" t="n">
        <f aca="false">IF(D167&gt;=13,(1+Assumptions!B46)^(D167-12),1)</f>
        <v>1</v>
      </c>
      <c r="H167" s="21" t="n">
        <f aca="false">H166*(1+IF(C167=1,Assumptions!B22,Assumptions!B23))</f>
        <v>18.2870049152579</v>
      </c>
      <c r="I167" s="16" t="n">
        <f aca="false">ROUND(H167*F167,0)</f>
        <v>18</v>
      </c>
      <c r="J167" s="22" t="n">
        <f aca="false">I167*Assumptions!B24</f>
        <v>10800</v>
      </c>
      <c r="K167" s="21" t="n">
        <f aca="false">K166*(1+Assumptions!B30)</f>
        <v>13.868814743188</v>
      </c>
      <c r="L167" s="16" t="n">
        <f aca="false">ROUND(K167*F167,0)</f>
        <v>14</v>
      </c>
      <c r="M167" s="22" t="n">
        <f aca="false">L167*Assumptions!B31</f>
        <v>4200</v>
      </c>
      <c r="N167" s="22" t="n">
        <f aca="false">J167+M167</f>
        <v>15000</v>
      </c>
      <c r="O167" s="22" t="n">
        <f aca="false">IF(DAY(B167)=1,Assumptions!B38*G167,0)</f>
        <v>0</v>
      </c>
      <c r="P167" s="22" t="n">
        <f aca="false">IF(DAY(B167)=1,Assumptions!B39*G167,0)</f>
        <v>0</v>
      </c>
      <c r="Q167" s="22" t="n">
        <f aca="false">IF(DAY(B167)=1,Assumptions!B40*G167,0)</f>
        <v>0</v>
      </c>
      <c r="R167" s="22" t="n">
        <f aca="false">IF(DAY(B167)=1,Assumptions!B41*G167,0)</f>
        <v>0</v>
      </c>
      <c r="S167" s="22" t="n">
        <f aca="false">IF(AND(DAY(B167)=1,D167&gt;=13),Assumptions!B42*G167,0)</f>
        <v>0</v>
      </c>
      <c r="T167" s="22" t="n">
        <f aca="false">IF(DAY(B167)=1,Assumptions!B43*G167,0)</f>
        <v>0</v>
      </c>
      <c r="U167" s="22" t="n">
        <f aca="false">SUM(O167:T167)</f>
        <v>0</v>
      </c>
      <c r="V167" s="22" t="n">
        <f aca="false">N167-U167</f>
        <v>15000</v>
      </c>
      <c r="W167" s="22" t="n">
        <f aca="false">W166+V167</f>
        <v>-4437500</v>
      </c>
      <c r="X167" s="23" t="str">
        <f aca="false">IF(W167&gt;=0,"YES","No")</f>
        <v>No</v>
      </c>
    </row>
    <row r="168" customFormat="false" ht="15" hidden="false" customHeight="false" outlineLevel="0" collapsed="false">
      <c r="A168" s="16" t="n">
        <v>167</v>
      </c>
      <c r="B168" s="17" t="n">
        <f aca="false">B167+1</f>
        <v>46189</v>
      </c>
      <c r="C168" s="18" t="n">
        <f aca="false">MIN(ROUNDUP(A168/365,0),5)</f>
        <v>1</v>
      </c>
      <c r="D168" s="18" t="n">
        <f aca="false">DATEDIF(Assumptions!B5,B168,"m")+1</f>
        <v>6</v>
      </c>
      <c r="E168" s="18" t="str">
        <f aca="false">TEXT(B168,"ddd")</f>
        <v>Tue</v>
      </c>
      <c r="F168" s="19" t="n">
        <f aca="false">IF(WEEKDAY(B168,2)&gt;=6,Assumptions!B34,Assumptions!B35)</f>
        <v>1</v>
      </c>
      <c r="G168" s="20" t="n">
        <f aca="false">IF(D168&gt;=13,(1+Assumptions!B46)^(D168-12),1)</f>
        <v>1</v>
      </c>
      <c r="H168" s="21" t="n">
        <f aca="false">H167*(1+IF(C168=1,Assumptions!B22,Assumptions!B23))</f>
        <v>18.2989053278611</v>
      </c>
      <c r="I168" s="16" t="n">
        <f aca="false">ROUND(H168*F168,0)</f>
        <v>18</v>
      </c>
      <c r="J168" s="22" t="n">
        <f aca="false">I168*Assumptions!B24</f>
        <v>10800</v>
      </c>
      <c r="K168" s="21" t="n">
        <f aca="false">K167*(1+Assumptions!B30)</f>
        <v>13.8733489696182</v>
      </c>
      <c r="L168" s="16" t="n">
        <f aca="false">ROUND(K168*F168,0)</f>
        <v>14</v>
      </c>
      <c r="M168" s="22" t="n">
        <f aca="false">L168*Assumptions!B31</f>
        <v>4200</v>
      </c>
      <c r="N168" s="22" t="n">
        <f aca="false">J168+M168</f>
        <v>15000</v>
      </c>
      <c r="O168" s="22" t="n">
        <f aca="false">IF(DAY(B168)=1,Assumptions!B38*G168,0)</f>
        <v>0</v>
      </c>
      <c r="P168" s="22" t="n">
        <f aca="false">IF(DAY(B168)=1,Assumptions!B39*G168,0)</f>
        <v>0</v>
      </c>
      <c r="Q168" s="22" t="n">
        <f aca="false">IF(DAY(B168)=1,Assumptions!B40*G168,0)</f>
        <v>0</v>
      </c>
      <c r="R168" s="22" t="n">
        <f aca="false">IF(DAY(B168)=1,Assumptions!B41*G168,0)</f>
        <v>0</v>
      </c>
      <c r="S168" s="22" t="n">
        <f aca="false">IF(AND(DAY(B168)=1,D168&gt;=13),Assumptions!B42*G168,0)</f>
        <v>0</v>
      </c>
      <c r="T168" s="22" t="n">
        <f aca="false">IF(DAY(B168)=1,Assumptions!B43*G168,0)</f>
        <v>0</v>
      </c>
      <c r="U168" s="22" t="n">
        <f aca="false">SUM(O168:T168)</f>
        <v>0</v>
      </c>
      <c r="V168" s="22" t="n">
        <f aca="false">N168-U168</f>
        <v>15000</v>
      </c>
      <c r="W168" s="22" t="n">
        <f aca="false">W167+V168</f>
        <v>-4422500</v>
      </c>
      <c r="X168" s="23" t="str">
        <f aca="false">IF(W168&gt;=0,"YES","No")</f>
        <v>No</v>
      </c>
    </row>
    <row r="169" customFormat="false" ht="15" hidden="false" customHeight="false" outlineLevel="0" collapsed="false">
      <c r="A169" s="16" t="n">
        <v>168</v>
      </c>
      <c r="B169" s="17" t="n">
        <f aca="false">B168+1</f>
        <v>46190</v>
      </c>
      <c r="C169" s="18" t="n">
        <f aca="false">MIN(ROUNDUP(A169/365,0),5)</f>
        <v>1</v>
      </c>
      <c r="D169" s="18" t="n">
        <f aca="false">DATEDIF(Assumptions!B5,B169,"m")+1</f>
        <v>6</v>
      </c>
      <c r="E169" s="18" t="str">
        <f aca="false">TEXT(B169,"ddd")</f>
        <v>Wed</v>
      </c>
      <c r="F169" s="19" t="n">
        <f aca="false">IF(WEEKDAY(B169,2)&gt;=6,Assumptions!B34,Assumptions!B35)</f>
        <v>1</v>
      </c>
      <c r="G169" s="20" t="n">
        <f aca="false">IF(D169&gt;=13,(1+Assumptions!B46)^(D169-12),1)</f>
        <v>1</v>
      </c>
      <c r="H169" s="21" t="n">
        <f aca="false">H168*(1+IF(C169=1,Assumptions!B22,Assumptions!B23))</f>
        <v>18.3108134847516</v>
      </c>
      <c r="I169" s="16" t="n">
        <f aca="false">ROUND(H169*F169,0)</f>
        <v>18</v>
      </c>
      <c r="J169" s="22" t="n">
        <f aca="false">I169*Assumptions!B24</f>
        <v>10800</v>
      </c>
      <c r="K169" s="21" t="n">
        <f aca="false">K168*(1+Assumptions!B30)</f>
        <v>13.877884678454</v>
      </c>
      <c r="L169" s="16" t="n">
        <f aca="false">ROUND(K169*F169,0)</f>
        <v>14</v>
      </c>
      <c r="M169" s="22" t="n">
        <f aca="false">L169*Assumptions!B31</f>
        <v>4200</v>
      </c>
      <c r="N169" s="22" t="n">
        <f aca="false">J169+M169</f>
        <v>15000</v>
      </c>
      <c r="O169" s="22" t="n">
        <f aca="false">IF(DAY(B169)=1,Assumptions!B38*G169,0)</f>
        <v>0</v>
      </c>
      <c r="P169" s="22" t="n">
        <f aca="false">IF(DAY(B169)=1,Assumptions!B39*G169,0)</f>
        <v>0</v>
      </c>
      <c r="Q169" s="22" t="n">
        <f aca="false">IF(DAY(B169)=1,Assumptions!B40*G169,0)</f>
        <v>0</v>
      </c>
      <c r="R169" s="22" t="n">
        <f aca="false">IF(DAY(B169)=1,Assumptions!B41*G169,0)</f>
        <v>0</v>
      </c>
      <c r="S169" s="22" t="n">
        <f aca="false">IF(AND(DAY(B169)=1,D169&gt;=13),Assumptions!B42*G169,0)</f>
        <v>0</v>
      </c>
      <c r="T169" s="22" t="n">
        <f aca="false">IF(DAY(B169)=1,Assumptions!B43*G169,0)</f>
        <v>0</v>
      </c>
      <c r="U169" s="22" t="n">
        <f aca="false">SUM(O169:T169)</f>
        <v>0</v>
      </c>
      <c r="V169" s="22" t="n">
        <f aca="false">N169-U169</f>
        <v>15000</v>
      </c>
      <c r="W169" s="22" t="n">
        <f aca="false">W168+V169</f>
        <v>-4407500</v>
      </c>
      <c r="X169" s="23" t="str">
        <f aca="false">IF(W169&gt;=0,"YES","No")</f>
        <v>No</v>
      </c>
    </row>
    <row r="170" customFormat="false" ht="15" hidden="false" customHeight="false" outlineLevel="0" collapsed="false">
      <c r="A170" s="16" t="n">
        <v>169</v>
      </c>
      <c r="B170" s="17" t="n">
        <f aca="false">B169+1</f>
        <v>46191</v>
      </c>
      <c r="C170" s="18" t="n">
        <f aca="false">MIN(ROUNDUP(A170/365,0),5)</f>
        <v>1</v>
      </c>
      <c r="D170" s="18" t="n">
        <f aca="false">DATEDIF(Assumptions!B5,B170,"m")+1</f>
        <v>6</v>
      </c>
      <c r="E170" s="18" t="str">
        <f aca="false">TEXT(B170,"ddd")</f>
        <v>Thu</v>
      </c>
      <c r="F170" s="19" t="n">
        <f aca="false">IF(WEEKDAY(B170,2)&gt;=6,Assumptions!B34,Assumptions!B35)</f>
        <v>1</v>
      </c>
      <c r="G170" s="20" t="n">
        <f aca="false">IF(D170&gt;=13,(1+Assumptions!B46)^(D170-12),1)</f>
        <v>1</v>
      </c>
      <c r="H170" s="21" t="n">
        <f aca="false">H169*(1+IF(C170=1,Assumptions!B22,Assumptions!B23))</f>
        <v>18.3227293909691</v>
      </c>
      <c r="I170" s="16" t="n">
        <f aca="false">ROUND(H170*F170,0)</f>
        <v>18</v>
      </c>
      <c r="J170" s="22" t="n">
        <f aca="false">I170*Assumptions!B24</f>
        <v>10800</v>
      </c>
      <c r="K170" s="21" t="n">
        <f aca="false">K169*(1+Assumptions!B30)</f>
        <v>13.8824218701801</v>
      </c>
      <c r="L170" s="16" t="n">
        <f aca="false">ROUND(K170*F170,0)</f>
        <v>14</v>
      </c>
      <c r="M170" s="22" t="n">
        <f aca="false">L170*Assumptions!B31</f>
        <v>4200</v>
      </c>
      <c r="N170" s="22" t="n">
        <f aca="false">J170+M170</f>
        <v>15000</v>
      </c>
      <c r="O170" s="22" t="n">
        <f aca="false">IF(DAY(B170)=1,Assumptions!B38*G170,0)</f>
        <v>0</v>
      </c>
      <c r="P170" s="22" t="n">
        <f aca="false">IF(DAY(B170)=1,Assumptions!B39*G170,0)</f>
        <v>0</v>
      </c>
      <c r="Q170" s="22" t="n">
        <f aca="false">IF(DAY(B170)=1,Assumptions!B40*G170,0)</f>
        <v>0</v>
      </c>
      <c r="R170" s="22" t="n">
        <f aca="false">IF(DAY(B170)=1,Assumptions!B41*G170,0)</f>
        <v>0</v>
      </c>
      <c r="S170" s="22" t="n">
        <f aca="false">IF(AND(DAY(B170)=1,D170&gt;=13),Assumptions!B42*G170,0)</f>
        <v>0</v>
      </c>
      <c r="T170" s="22" t="n">
        <f aca="false">IF(DAY(B170)=1,Assumptions!B43*G170,0)</f>
        <v>0</v>
      </c>
      <c r="U170" s="22" t="n">
        <f aca="false">SUM(O170:T170)</f>
        <v>0</v>
      </c>
      <c r="V170" s="22" t="n">
        <f aca="false">N170-U170</f>
        <v>15000</v>
      </c>
      <c r="W170" s="22" t="n">
        <f aca="false">W169+V170</f>
        <v>-4392500</v>
      </c>
      <c r="X170" s="23" t="str">
        <f aca="false">IF(W170&gt;=0,"YES","No")</f>
        <v>No</v>
      </c>
    </row>
    <row r="171" customFormat="false" ht="15" hidden="false" customHeight="false" outlineLevel="0" collapsed="false">
      <c r="A171" s="16" t="n">
        <v>170</v>
      </c>
      <c r="B171" s="17" t="n">
        <f aca="false">B170+1</f>
        <v>46192</v>
      </c>
      <c r="C171" s="18" t="n">
        <f aca="false">MIN(ROUNDUP(A171/365,0),5)</f>
        <v>1</v>
      </c>
      <c r="D171" s="18" t="n">
        <f aca="false">DATEDIF(Assumptions!B5,B171,"m")+1</f>
        <v>6</v>
      </c>
      <c r="E171" s="18" t="str">
        <f aca="false">TEXT(B171,"ddd")</f>
        <v>Fri</v>
      </c>
      <c r="F171" s="19" t="n">
        <f aca="false">IF(WEEKDAY(B171,2)&gt;=6,Assumptions!B34,Assumptions!B35)</f>
        <v>1</v>
      </c>
      <c r="G171" s="20" t="n">
        <f aca="false">IF(D171&gt;=13,(1+Assumptions!B46)^(D171-12),1)</f>
        <v>1</v>
      </c>
      <c r="H171" s="21" t="n">
        <f aca="false">H170*(1+IF(C171=1,Assumptions!B22,Assumptions!B23))</f>
        <v>18.3346530515566</v>
      </c>
      <c r="I171" s="16" t="n">
        <f aca="false">ROUND(H171*F171,0)</f>
        <v>18</v>
      </c>
      <c r="J171" s="22" t="n">
        <f aca="false">I171*Assumptions!B24</f>
        <v>10800</v>
      </c>
      <c r="K171" s="21" t="n">
        <f aca="false">K170*(1+Assumptions!B30)</f>
        <v>13.8869605452813</v>
      </c>
      <c r="L171" s="16" t="n">
        <f aca="false">ROUND(K171*F171,0)</f>
        <v>14</v>
      </c>
      <c r="M171" s="22" t="n">
        <f aca="false">L171*Assumptions!B31</f>
        <v>4200</v>
      </c>
      <c r="N171" s="22" t="n">
        <f aca="false">J171+M171</f>
        <v>15000</v>
      </c>
      <c r="O171" s="22" t="n">
        <f aca="false">IF(DAY(B171)=1,Assumptions!B38*G171,0)</f>
        <v>0</v>
      </c>
      <c r="P171" s="22" t="n">
        <f aca="false">IF(DAY(B171)=1,Assumptions!B39*G171,0)</f>
        <v>0</v>
      </c>
      <c r="Q171" s="22" t="n">
        <f aca="false">IF(DAY(B171)=1,Assumptions!B40*G171,0)</f>
        <v>0</v>
      </c>
      <c r="R171" s="22" t="n">
        <f aca="false">IF(DAY(B171)=1,Assumptions!B41*G171,0)</f>
        <v>0</v>
      </c>
      <c r="S171" s="22" t="n">
        <f aca="false">IF(AND(DAY(B171)=1,D171&gt;=13),Assumptions!B42*G171,0)</f>
        <v>0</v>
      </c>
      <c r="T171" s="22" t="n">
        <f aca="false">IF(DAY(B171)=1,Assumptions!B43*G171,0)</f>
        <v>0</v>
      </c>
      <c r="U171" s="22" t="n">
        <f aca="false">SUM(O171:T171)</f>
        <v>0</v>
      </c>
      <c r="V171" s="22" t="n">
        <f aca="false">N171-U171</f>
        <v>15000</v>
      </c>
      <c r="W171" s="22" t="n">
        <f aca="false">W170+V171</f>
        <v>-4377500</v>
      </c>
      <c r="X171" s="23" t="str">
        <f aca="false">IF(W171&gt;=0,"YES","No")</f>
        <v>No</v>
      </c>
    </row>
    <row r="172" customFormat="false" ht="15" hidden="false" customHeight="false" outlineLevel="0" collapsed="false">
      <c r="A172" s="16" t="n">
        <v>171</v>
      </c>
      <c r="B172" s="17" t="n">
        <f aca="false">B171+1</f>
        <v>46193</v>
      </c>
      <c r="C172" s="18" t="n">
        <f aca="false">MIN(ROUNDUP(A172/365,0),5)</f>
        <v>1</v>
      </c>
      <c r="D172" s="18" t="n">
        <f aca="false">DATEDIF(Assumptions!B5,B172,"m")+1</f>
        <v>6</v>
      </c>
      <c r="E172" s="18" t="str">
        <f aca="false">TEXT(B172,"ddd")</f>
        <v>Sat</v>
      </c>
      <c r="F172" s="19" t="n">
        <f aca="false">IF(WEEKDAY(B172,2)&gt;=6,Assumptions!B34,Assumptions!B35)</f>
        <v>0.6</v>
      </c>
      <c r="G172" s="20" t="n">
        <f aca="false">IF(D172&gt;=13,(1+Assumptions!B46)^(D172-12),1)</f>
        <v>1</v>
      </c>
      <c r="H172" s="21" t="n">
        <f aca="false">H171*(1+IF(C172=1,Assumptions!B22,Assumptions!B23))</f>
        <v>18.3465844715601</v>
      </c>
      <c r="I172" s="16" t="n">
        <f aca="false">ROUND(H172*F172,0)</f>
        <v>11</v>
      </c>
      <c r="J172" s="22" t="n">
        <f aca="false">I172*Assumptions!B24</f>
        <v>6600</v>
      </c>
      <c r="K172" s="21" t="n">
        <f aca="false">K171*(1+Assumptions!B30)</f>
        <v>13.8915007042426</v>
      </c>
      <c r="L172" s="16" t="n">
        <f aca="false">ROUND(K172*F172,0)</f>
        <v>8</v>
      </c>
      <c r="M172" s="22" t="n">
        <f aca="false">L172*Assumptions!B31</f>
        <v>2400</v>
      </c>
      <c r="N172" s="22" t="n">
        <f aca="false">J172+M172</f>
        <v>9000</v>
      </c>
      <c r="O172" s="22" t="n">
        <f aca="false">IF(DAY(B172)=1,Assumptions!B38*G172,0)</f>
        <v>0</v>
      </c>
      <c r="P172" s="22" t="n">
        <f aca="false">IF(DAY(B172)=1,Assumptions!B39*G172,0)</f>
        <v>0</v>
      </c>
      <c r="Q172" s="22" t="n">
        <f aca="false">IF(DAY(B172)=1,Assumptions!B40*G172,0)</f>
        <v>0</v>
      </c>
      <c r="R172" s="22" t="n">
        <f aca="false">IF(DAY(B172)=1,Assumptions!B41*G172,0)</f>
        <v>0</v>
      </c>
      <c r="S172" s="22" t="n">
        <f aca="false">IF(AND(DAY(B172)=1,D172&gt;=13),Assumptions!B42*G172,0)</f>
        <v>0</v>
      </c>
      <c r="T172" s="22" t="n">
        <f aca="false">IF(DAY(B172)=1,Assumptions!B43*G172,0)</f>
        <v>0</v>
      </c>
      <c r="U172" s="22" t="n">
        <f aca="false">SUM(O172:T172)</f>
        <v>0</v>
      </c>
      <c r="V172" s="22" t="n">
        <f aca="false">N172-U172</f>
        <v>9000</v>
      </c>
      <c r="W172" s="22" t="n">
        <f aca="false">W171+V172</f>
        <v>-4368500</v>
      </c>
      <c r="X172" s="23" t="str">
        <f aca="false">IF(W172&gt;=0,"YES","No")</f>
        <v>No</v>
      </c>
    </row>
    <row r="173" customFormat="false" ht="15" hidden="false" customHeight="false" outlineLevel="0" collapsed="false">
      <c r="A173" s="16" t="n">
        <v>172</v>
      </c>
      <c r="B173" s="17" t="n">
        <f aca="false">B172+1</f>
        <v>46194</v>
      </c>
      <c r="C173" s="18" t="n">
        <f aca="false">MIN(ROUNDUP(A173/365,0),5)</f>
        <v>1</v>
      </c>
      <c r="D173" s="18" t="n">
        <f aca="false">DATEDIF(Assumptions!B5,B173,"m")+1</f>
        <v>6</v>
      </c>
      <c r="E173" s="18" t="str">
        <f aca="false">TEXT(B173,"ddd")</f>
        <v>Sun</v>
      </c>
      <c r="F173" s="19" t="n">
        <f aca="false">IF(WEEKDAY(B173,2)&gt;=6,Assumptions!B34,Assumptions!B35)</f>
        <v>0.6</v>
      </c>
      <c r="G173" s="20" t="n">
        <f aca="false">IF(D173&gt;=13,(1+Assumptions!B46)^(D173-12),1)</f>
        <v>1</v>
      </c>
      <c r="H173" s="21" t="n">
        <f aca="false">H172*(1+IF(C173=1,Assumptions!B22,Assumptions!B23))</f>
        <v>18.3585236560292</v>
      </c>
      <c r="I173" s="16" t="n">
        <f aca="false">ROUND(H173*F173,0)</f>
        <v>11</v>
      </c>
      <c r="J173" s="22" t="n">
        <f aca="false">I173*Assumptions!B24</f>
        <v>6600</v>
      </c>
      <c r="K173" s="21" t="n">
        <f aca="false">K172*(1+Assumptions!B30)</f>
        <v>13.8960423475491</v>
      </c>
      <c r="L173" s="16" t="n">
        <f aca="false">ROUND(K173*F173,0)</f>
        <v>8</v>
      </c>
      <c r="M173" s="22" t="n">
        <f aca="false">L173*Assumptions!B31</f>
        <v>2400</v>
      </c>
      <c r="N173" s="22" t="n">
        <f aca="false">J173+M173</f>
        <v>9000</v>
      </c>
      <c r="O173" s="22" t="n">
        <f aca="false">IF(DAY(B173)=1,Assumptions!B38*G173,0)</f>
        <v>0</v>
      </c>
      <c r="P173" s="22" t="n">
        <f aca="false">IF(DAY(B173)=1,Assumptions!B39*G173,0)</f>
        <v>0</v>
      </c>
      <c r="Q173" s="22" t="n">
        <f aca="false">IF(DAY(B173)=1,Assumptions!B40*G173,0)</f>
        <v>0</v>
      </c>
      <c r="R173" s="22" t="n">
        <f aca="false">IF(DAY(B173)=1,Assumptions!B41*G173,0)</f>
        <v>0</v>
      </c>
      <c r="S173" s="22" t="n">
        <f aca="false">IF(AND(DAY(B173)=1,D173&gt;=13),Assumptions!B42*G173,0)</f>
        <v>0</v>
      </c>
      <c r="T173" s="22" t="n">
        <f aca="false">IF(DAY(B173)=1,Assumptions!B43*G173,0)</f>
        <v>0</v>
      </c>
      <c r="U173" s="22" t="n">
        <f aca="false">SUM(O173:T173)</f>
        <v>0</v>
      </c>
      <c r="V173" s="22" t="n">
        <f aca="false">N173-U173</f>
        <v>9000</v>
      </c>
      <c r="W173" s="22" t="n">
        <f aca="false">W172+V173</f>
        <v>-4359500</v>
      </c>
      <c r="X173" s="23" t="str">
        <f aca="false">IF(W173&gt;=0,"YES","No")</f>
        <v>No</v>
      </c>
    </row>
    <row r="174" customFormat="false" ht="15" hidden="false" customHeight="false" outlineLevel="0" collapsed="false">
      <c r="A174" s="16" t="n">
        <v>173</v>
      </c>
      <c r="B174" s="17" t="n">
        <f aca="false">B173+1</f>
        <v>46195</v>
      </c>
      <c r="C174" s="18" t="n">
        <f aca="false">MIN(ROUNDUP(A174/365,0),5)</f>
        <v>1</v>
      </c>
      <c r="D174" s="18" t="n">
        <f aca="false">DATEDIF(Assumptions!B5,B174,"m")+1</f>
        <v>6</v>
      </c>
      <c r="E174" s="18" t="str">
        <f aca="false">TEXT(B174,"ddd")</f>
        <v>Mon</v>
      </c>
      <c r="F174" s="19" t="n">
        <f aca="false">IF(WEEKDAY(B174,2)&gt;=6,Assumptions!B34,Assumptions!B35)</f>
        <v>1</v>
      </c>
      <c r="G174" s="20" t="n">
        <f aca="false">IF(D174&gt;=13,(1+Assumptions!B46)^(D174-12),1)</f>
        <v>1</v>
      </c>
      <c r="H174" s="21" t="n">
        <f aca="false">H173*(1+IF(C174=1,Assumptions!B22,Assumptions!B23))</f>
        <v>18.3704706100168</v>
      </c>
      <c r="I174" s="16" t="n">
        <f aca="false">ROUND(H174*F174,0)</f>
        <v>18</v>
      </c>
      <c r="J174" s="22" t="n">
        <f aca="false">I174*Assumptions!B24</f>
        <v>10800</v>
      </c>
      <c r="K174" s="21" t="n">
        <f aca="false">K173*(1+Assumptions!B30)</f>
        <v>13.9005854756861</v>
      </c>
      <c r="L174" s="16" t="n">
        <f aca="false">ROUND(K174*F174,0)</f>
        <v>14</v>
      </c>
      <c r="M174" s="22" t="n">
        <f aca="false">L174*Assumptions!B31</f>
        <v>4200</v>
      </c>
      <c r="N174" s="22" t="n">
        <f aca="false">J174+M174</f>
        <v>15000</v>
      </c>
      <c r="O174" s="22" t="n">
        <f aca="false">IF(DAY(B174)=1,Assumptions!B38*G174,0)</f>
        <v>0</v>
      </c>
      <c r="P174" s="22" t="n">
        <f aca="false">IF(DAY(B174)=1,Assumptions!B39*G174,0)</f>
        <v>0</v>
      </c>
      <c r="Q174" s="22" t="n">
        <f aca="false">IF(DAY(B174)=1,Assumptions!B40*G174,0)</f>
        <v>0</v>
      </c>
      <c r="R174" s="22" t="n">
        <f aca="false">IF(DAY(B174)=1,Assumptions!B41*G174,0)</f>
        <v>0</v>
      </c>
      <c r="S174" s="22" t="n">
        <f aca="false">IF(AND(DAY(B174)=1,D174&gt;=13),Assumptions!B42*G174,0)</f>
        <v>0</v>
      </c>
      <c r="T174" s="22" t="n">
        <f aca="false">IF(DAY(B174)=1,Assumptions!B43*G174,0)</f>
        <v>0</v>
      </c>
      <c r="U174" s="22" t="n">
        <f aca="false">SUM(O174:T174)</f>
        <v>0</v>
      </c>
      <c r="V174" s="22" t="n">
        <f aca="false">N174-U174</f>
        <v>15000</v>
      </c>
      <c r="W174" s="22" t="n">
        <f aca="false">W173+V174</f>
        <v>-4344500</v>
      </c>
      <c r="X174" s="23" t="str">
        <f aca="false">IF(W174&gt;=0,"YES","No")</f>
        <v>No</v>
      </c>
    </row>
    <row r="175" customFormat="false" ht="15" hidden="false" customHeight="false" outlineLevel="0" collapsed="false">
      <c r="A175" s="16" t="n">
        <v>174</v>
      </c>
      <c r="B175" s="17" t="n">
        <f aca="false">B174+1</f>
        <v>46196</v>
      </c>
      <c r="C175" s="18" t="n">
        <f aca="false">MIN(ROUNDUP(A175/365,0),5)</f>
        <v>1</v>
      </c>
      <c r="D175" s="18" t="n">
        <f aca="false">DATEDIF(Assumptions!B5,B175,"m")+1</f>
        <v>6</v>
      </c>
      <c r="E175" s="18" t="str">
        <f aca="false">TEXT(B175,"ddd")</f>
        <v>Tue</v>
      </c>
      <c r="F175" s="19" t="n">
        <f aca="false">IF(WEEKDAY(B175,2)&gt;=6,Assumptions!B34,Assumptions!B35)</f>
        <v>1</v>
      </c>
      <c r="G175" s="20" t="n">
        <f aca="false">IF(D175&gt;=13,(1+Assumptions!B46)^(D175-12),1)</f>
        <v>1</v>
      </c>
      <c r="H175" s="21" t="n">
        <f aca="false">H174*(1+IF(C175=1,Assumptions!B22,Assumptions!B23))</f>
        <v>18.3824253385789</v>
      </c>
      <c r="I175" s="16" t="n">
        <f aca="false">ROUND(H175*F175,0)</f>
        <v>18</v>
      </c>
      <c r="J175" s="22" t="n">
        <f aca="false">I175*Assumptions!B24</f>
        <v>10800</v>
      </c>
      <c r="K175" s="21" t="n">
        <f aca="false">K174*(1+Assumptions!B30)</f>
        <v>13.905130089139</v>
      </c>
      <c r="L175" s="16" t="n">
        <f aca="false">ROUND(K175*F175,0)</f>
        <v>14</v>
      </c>
      <c r="M175" s="22" t="n">
        <f aca="false">L175*Assumptions!B31</f>
        <v>4200</v>
      </c>
      <c r="N175" s="22" t="n">
        <f aca="false">J175+M175</f>
        <v>15000</v>
      </c>
      <c r="O175" s="22" t="n">
        <f aca="false">IF(DAY(B175)=1,Assumptions!B38*G175,0)</f>
        <v>0</v>
      </c>
      <c r="P175" s="22" t="n">
        <f aca="false">IF(DAY(B175)=1,Assumptions!B39*G175,0)</f>
        <v>0</v>
      </c>
      <c r="Q175" s="22" t="n">
        <f aca="false">IF(DAY(B175)=1,Assumptions!B40*G175,0)</f>
        <v>0</v>
      </c>
      <c r="R175" s="22" t="n">
        <f aca="false">IF(DAY(B175)=1,Assumptions!B41*G175,0)</f>
        <v>0</v>
      </c>
      <c r="S175" s="22" t="n">
        <f aca="false">IF(AND(DAY(B175)=1,D175&gt;=13),Assumptions!B42*G175,0)</f>
        <v>0</v>
      </c>
      <c r="T175" s="22" t="n">
        <f aca="false">IF(DAY(B175)=1,Assumptions!B43*G175,0)</f>
        <v>0</v>
      </c>
      <c r="U175" s="22" t="n">
        <f aca="false">SUM(O175:T175)</f>
        <v>0</v>
      </c>
      <c r="V175" s="22" t="n">
        <f aca="false">N175-U175</f>
        <v>15000</v>
      </c>
      <c r="W175" s="22" t="n">
        <f aca="false">W174+V175</f>
        <v>-4329500</v>
      </c>
      <c r="X175" s="23" t="str">
        <f aca="false">IF(W175&gt;=0,"YES","No")</f>
        <v>No</v>
      </c>
    </row>
    <row r="176" customFormat="false" ht="15" hidden="false" customHeight="false" outlineLevel="0" collapsed="false">
      <c r="A176" s="16" t="n">
        <v>175</v>
      </c>
      <c r="B176" s="17" t="n">
        <f aca="false">B175+1</f>
        <v>46197</v>
      </c>
      <c r="C176" s="18" t="n">
        <f aca="false">MIN(ROUNDUP(A176/365,0),5)</f>
        <v>1</v>
      </c>
      <c r="D176" s="18" t="n">
        <f aca="false">DATEDIF(Assumptions!B5,B176,"m")+1</f>
        <v>6</v>
      </c>
      <c r="E176" s="18" t="str">
        <f aca="false">TEXT(B176,"ddd")</f>
        <v>Wed</v>
      </c>
      <c r="F176" s="19" t="n">
        <f aca="false">IF(WEEKDAY(B176,2)&gt;=6,Assumptions!B34,Assumptions!B35)</f>
        <v>1</v>
      </c>
      <c r="G176" s="20" t="n">
        <f aca="false">IF(D176&gt;=13,(1+Assumptions!B46)^(D176-12),1)</f>
        <v>1</v>
      </c>
      <c r="H176" s="21" t="n">
        <f aca="false">H175*(1+IF(C176=1,Assumptions!B22,Assumptions!B23))</f>
        <v>18.3943878467748</v>
      </c>
      <c r="I176" s="16" t="n">
        <f aca="false">ROUND(H176*F176,0)</f>
        <v>18</v>
      </c>
      <c r="J176" s="22" t="n">
        <f aca="false">I176*Assumptions!B24</f>
        <v>10800</v>
      </c>
      <c r="K176" s="21" t="n">
        <f aca="false">K175*(1+Assumptions!B30)</f>
        <v>13.9096761883935</v>
      </c>
      <c r="L176" s="16" t="n">
        <f aca="false">ROUND(K176*F176,0)</f>
        <v>14</v>
      </c>
      <c r="M176" s="22" t="n">
        <f aca="false">L176*Assumptions!B31</f>
        <v>4200</v>
      </c>
      <c r="N176" s="22" t="n">
        <f aca="false">J176+M176</f>
        <v>15000</v>
      </c>
      <c r="O176" s="22" t="n">
        <f aca="false">IF(DAY(B176)=1,Assumptions!B38*G176,0)</f>
        <v>0</v>
      </c>
      <c r="P176" s="22" t="n">
        <f aca="false">IF(DAY(B176)=1,Assumptions!B39*G176,0)</f>
        <v>0</v>
      </c>
      <c r="Q176" s="22" t="n">
        <f aca="false">IF(DAY(B176)=1,Assumptions!B40*G176,0)</f>
        <v>0</v>
      </c>
      <c r="R176" s="22" t="n">
        <f aca="false">IF(DAY(B176)=1,Assumptions!B41*G176,0)</f>
        <v>0</v>
      </c>
      <c r="S176" s="22" t="n">
        <f aca="false">IF(AND(DAY(B176)=1,D176&gt;=13),Assumptions!B42*G176,0)</f>
        <v>0</v>
      </c>
      <c r="T176" s="22" t="n">
        <f aca="false">IF(DAY(B176)=1,Assumptions!B43*G176,0)</f>
        <v>0</v>
      </c>
      <c r="U176" s="22" t="n">
        <f aca="false">SUM(O176:T176)</f>
        <v>0</v>
      </c>
      <c r="V176" s="22" t="n">
        <f aca="false">N176-U176</f>
        <v>15000</v>
      </c>
      <c r="W176" s="22" t="n">
        <f aca="false">W175+V176</f>
        <v>-4314500</v>
      </c>
      <c r="X176" s="23" t="str">
        <f aca="false">IF(W176&gt;=0,"YES","No")</f>
        <v>No</v>
      </c>
    </row>
    <row r="177" customFormat="false" ht="15" hidden="false" customHeight="false" outlineLevel="0" collapsed="false">
      <c r="A177" s="16" t="n">
        <v>176</v>
      </c>
      <c r="B177" s="17" t="n">
        <f aca="false">B176+1</f>
        <v>46198</v>
      </c>
      <c r="C177" s="18" t="n">
        <f aca="false">MIN(ROUNDUP(A177/365,0),5)</f>
        <v>1</v>
      </c>
      <c r="D177" s="18" t="n">
        <f aca="false">DATEDIF(Assumptions!B5,B177,"m")+1</f>
        <v>6</v>
      </c>
      <c r="E177" s="18" t="str">
        <f aca="false">TEXT(B177,"ddd")</f>
        <v>Thu</v>
      </c>
      <c r="F177" s="19" t="n">
        <f aca="false">IF(WEEKDAY(B177,2)&gt;=6,Assumptions!B34,Assumptions!B35)</f>
        <v>1</v>
      </c>
      <c r="G177" s="20" t="n">
        <f aca="false">IF(D177&gt;=13,(1+Assumptions!B46)^(D177-12),1)</f>
        <v>1</v>
      </c>
      <c r="H177" s="21" t="n">
        <f aca="false">H176*(1+IF(C177=1,Assumptions!B22,Assumptions!B23))</f>
        <v>18.4063581396672</v>
      </c>
      <c r="I177" s="16" t="n">
        <f aca="false">ROUND(H177*F177,0)</f>
        <v>18</v>
      </c>
      <c r="J177" s="22" t="n">
        <f aca="false">I177*Assumptions!B24</f>
        <v>10800</v>
      </c>
      <c r="K177" s="21" t="n">
        <f aca="false">K176*(1+Assumptions!B30)</f>
        <v>13.9142237739353</v>
      </c>
      <c r="L177" s="16" t="n">
        <f aca="false">ROUND(K177*F177,0)</f>
        <v>14</v>
      </c>
      <c r="M177" s="22" t="n">
        <f aca="false">L177*Assumptions!B31</f>
        <v>4200</v>
      </c>
      <c r="N177" s="22" t="n">
        <f aca="false">J177+M177</f>
        <v>15000</v>
      </c>
      <c r="O177" s="22" t="n">
        <f aca="false">IF(DAY(B177)=1,Assumptions!B38*G177,0)</f>
        <v>0</v>
      </c>
      <c r="P177" s="22" t="n">
        <f aca="false">IF(DAY(B177)=1,Assumptions!B39*G177,0)</f>
        <v>0</v>
      </c>
      <c r="Q177" s="22" t="n">
        <f aca="false">IF(DAY(B177)=1,Assumptions!B40*G177,0)</f>
        <v>0</v>
      </c>
      <c r="R177" s="22" t="n">
        <f aca="false">IF(DAY(B177)=1,Assumptions!B41*G177,0)</f>
        <v>0</v>
      </c>
      <c r="S177" s="22" t="n">
        <f aca="false">IF(AND(DAY(B177)=1,D177&gt;=13),Assumptions!B42*G177,0)</f>
        <v>0</v>
      </c>
      <c r="T177" s="22" t="n">
        <f aca="false">IF(DAY(B177)=1,Assumptions!B43*G177,0)</f>
        <v>0</v>
      </c>
      <c r="U177" s="22" t="n">
        <f aca="false">SUM(O177:T177)</f>
        <v>0</v>
      </c>
      <c r="V177" s="22" t="n">
        <f aca="false">N177-U177</f>
        <v>15000</v>
      </c>
      <c r="W177" s="22" t="n">
        <f aca="false">W176+V177</f>
        <v>-4299500</v>
      </c>
      <c r="X177" s="23" t="str">
        <f aca="false">IF(W177&gt;=0,"YES","No")</f>
        <v>No</v>
      </c>
    </row>
    <row r="178" customFormat="false" ht="15" hidden="false" customHeight="false" outlineLevel="0" collapsed="false">
      <c r="A178" s="16" t="n">
        <v>177</v>
      </c>
      <c r="B178" s="17" t="n">
        <f aca="false">B177+1</f>
        <v>46199</v>
      </c>
      <c r="C178" s="18" t="n">
        <f aca="false">MIN(ROUNDUP(A178/365,0),5)</f>
        <v>1</v>
      </c>
      <c r="D178" s="18" t="n">
        <f aca="false">DATEDIF(Assumptions!B5,B178,"m")+1</f>
        <v>6</v>
      </c>
      <c r="E178" s="18" t="str">
        <f aca="false">TEXT(B178,"ddd")</f>
        <v>Fri</v>
      </c>
      <c r="F178" s="19" t="n">
        <f aca="false">IF(WEEKDAY(B178,2)&gt;=6,Assumptions!B34,Assumptions!B35)</f>
        <v>1</v>
      </c>
      <c r="G178" s="20" t="n">
        <f aca="false">IF(D178&gt;=13,(1+Assumptions!B46)^(D178-12),1)</f>
        <v>1</v>
      </c>
      <c r="H178" s="21" t="n">
        <f aca="false">H177*(1+IF(C178=1,Assumptions!B22,Assumptions!B23))</f>
        <v>18.418336222322</v>
      </c>
      <c r="I178" s="16" t="n">
        <f aca="false">ROUND(H178*F178,0)</f>
        <v>18</v>
      </c>
      <c r="J178" s="22" t="n">
        <f aca="false">I178*Assumptions!B24</f>
        <v>10800</v>
      </c>
      <c r="K178" s="21" t="n">
        <f aca="false">K177*(1+Assumptions!B30)</f>
        <v>13.9187728462504</v>
      </c>
      <c r="L178" s="16" t="n">
        <f aca="false">ROUND(K178*F178,0)</f>
        <v>14</v>
      </c>
      <c r="M178" s="22" t="n">
        <f aca="false">L178*Assumptions!B31</f>
        <v>4200</v>
      </c>
      <c r="N178" s="22" t="n">
        <f aca="false">J178+M178</f>
        <v>15000</v>
      </c>
      <c r="O178" s="22" t="n">
        <f aca="false">IF(DAY(B178)=1,Assumptions!B38*G178,0)</f>
        <v>0</v>
      </c>
      <c r="P178" s="22" t="n">
        <f aca="false">IF(DAY(B178)=1,Assumptions!B39*G178,0)</f>
        <v>0</v>
      </c>
      <c r="Q178" s="22" t="n">
        <f aca="false">IF(DAY(B178)=1,Assumptions!B40*G178,0)</f>
        <v>0</v>
      </c>
      <c r="R178" s="22" t="n">
        <f aca="false">IF(DAY(B178)=1,Assumptions!B41*G178,0)</f>
        <v>0</v>
      </c>
      <c r="S178" s="22" t="n">
        <f aca="false">IF(AND(DAY(B178)=1,D178&gt;=13),Assumptions!B42*G178,0)</f>
        <v>0</v>
      </c>
      <c r="T178" s="22" t="n">
        <f aca="false">IF(DAY(B178)=1,Assumptions!B43*G178,0)</f>
        <v>0</v>
      </c>
      <c r="U178" s="22" t="n">
        <f aca="false">SUM(O178:T178)</f>
        <v>0</v>
      </c>
      <c r="V178" s="22" t="n">
        <f aca="false">N178-U178</f>
        <v>15000</v>
      </c>
      <c r="W178" s="22" t="n">
        <f aca="false">W177+V178</f>
        <v>-4284500</v>
      </c>
      <c r="X178" s="23" t="str">
        <f aca="false">IF(W178&gt;=0,"YES","No")</f>
        <v>No</v>
      </c>
    </row>
    <row r="179" customFormat="false" ht="15" hidden="false" customHeight="false" outlineLevel="0" collapsed="false">
      <c r="A179" s="16" t="n">
        <v>178</v>
      </c>
      <c r="B179" s="17" t="n">
        <f aca="false">B178+1</f>
        <v>46200</v>
      </c>
      <c r="C179" s="18" t="n">
        <f aca="false">MIN(ROUNDUP(A179/365,0),5)</f>
        <v>1</v>
      </c>
      <c r="D179" s="18" t="n">
        <f aca="false">DATEDIF(Assumptions!B5,B179,"m")+1</f>
        <v>6</v>
      </c>
      <c r="E179" s="18" t="str">
        <f aca="false">TEXT(B179,"ddd")</f>
        <v>Sat</v>
      </c>
      <c r="F179" s="19" t="n">
        <f aca="false">IF(WEEKDAY(B179,2)&gt;=6,Assumptions!B34,Assumptions!B35)</f>
        <v>0.6</v>
      </c>
      <c r="G179" s="20" t="n">
        <f aca="false">IF(D179&gt;=13,(1+Assumptions!B46)^(D179-12),1)</f>
        <v>1</v>
      </c>
      <c r="H179" s="21" t="n">
        <f aca="false">H178*(1+IF(C179=1,Assumptions!B22,Assumptions!B23))</f>
        <v>18.4303220998086</v>
      </c>
      <c r="I179" s="16" t="n">
        <f aca="false">ROUND(H179*F179,0)</f>
        <v>11</v>
      </c>
      <c r="J179" s="22" t="n">
        <f aca="false">I179*Assumptions!B24</f>
        <v>6600</v>
      </c>
      <c r="K179" s="21" t="n">
        <f aca="false">K178*(1+Assumptions!B30)</f>
        <v>13.9233234058247</v>
      </c>
      <c r="L179" s="16" t="n">
        <f aca="false">ROUND(K179*F179,0)</f>
        <v>8</v>
      </c>
      <c r="M179" s="22" t="n">
        <f aca="false">L179*Assumptions!B31</f>
        <v>2400</v>
      </c>
      <c r="N179" s="22" t="n">
        <f aca="false">J179+M179</f>
        <v>9000</v>
      </c>
      <c r="O179" s="22" t="n">
        <f aca="false">IF(DAY(B179)=1,Assumptions!B38*G179,0)</f>
        <v>0</v>
      </c>
      <c r="P179" s="22" t="n">
        <f aca="false">IF(DAY(B179)=1,Assumptions!B39*G179,0)</f>
        <v>0</v>
      </c>
      <c r="Q179" s="22" t="n">
        <f aca="false">IF(DAY(B179)=1,Assumptions!B40*G179,0)</f>
        <v>0</v>
      </c>
      <c r="R179" s="22" t="n">
        <f aca="false">IF(DAY(B179)=1,Assumptions!B41*G179,0)</f>
        <v>0</v>
      </c>
      <c r="S179" s="22" t="n">
        <f aca="false">IF(AND(DAY(B179)=1,D179&gt;=13),Assumptions!B42*G179,0)</f>
        <v>0</v>
      </c>
      <c r="T179" s="22" t="n">
        <f aca="false">IF(DAY(B179)=1,Assumptions!B43*G179,0)</f>
        <v>0</v>
      </c>
      <c r="U179" s="22" t="n">
        <f aca="false">SUM(O179:T179)</f>
        <v>0</v>
      </c>
      <c r="V179" s="22" t="n">
        <f aca="false">N179-U179</f>
        <v>9000</v>
      </c>
      <c r="W179" s="22" t="n">
        <f aca="false">W178+V179</f>
        <v>-4275500</v>
      </c>
      <c r="X179" s="23" t="str">
        <f aca="false">IF(W179&gt;=0,"YES","No")</f>
        <v>No</v>
      </c>
    </row>
    <row r="180" customFormat="false" ht="15" hidden="false" customHeight="false" outlineLevel="0" collapsed="false">
      <c r="A180" s="16" t="n">
        <v>179</v>
      </c>
      <c r="B180" s="17" t="n">
        <f aca="false">B179+1</f>
        <v>46201</v>
      </c>
      <c r="C180" s="18" t="n">
        <f aca="false">MIN(ROUNDUP(A180/365,0),5)</f>
        <v>1</v>
      </c>
      <c r="D180" s="18" t="n">
        <f aca="false">DATEDIF(Assumptions!B5,B180,"m")+1</f>
        <v>6</v>
      </c>
      <c r="E180" s="18" t="str">
        <f aca="false">TEXT(B180,"ddd")</f>
        <v>Sun</v>
      </c>
      <c r="F180" s="19" t="n">
        <f aca="false">IF(WEEKDAY(B180,2)&gt;=6,Assumptions!B34,Assumptions!B35)</f>
        <v>0.6</v>
      </c>
      <c r="G180" s="20" t="n">
        <f aca="false">IF(D180&gt;=13,(1+Assumptions!B46)^(D180-12),1)</f>
        <v>1</v>
      </c>
      <c r="H180" s="21" t="n">
        <f aca="false">H179*(1+IF(C180=1,Assumptions!B22,Assumptions!B23))</f>
        <v>18.4423157771994</v>
      </c>
      <c r="I180" s="16" t="n">
        <f aca="false">ROUND(H180*F180,0)</f>
        <v>11</v>
      </c>
      <c r="J180" s="22" t="n">
        <f aca="false">I180*Assumptions!B24</f>
        <v>6600</v>
      </c>
      <c r="K180" s="21" t="n">
        <f aca="false">K179*(1+Assumptions!B30)</f>
        <v>13.9278754531446</v>
      </c>
      <c r="L180" s="16" t="n">
        <f aca="false">ROUND(K180*F180,0)</f>
        <v>8</v>
      </c>
      <c r="M180" s="22" t="n">
        <f aca="false">L180*Assumptions!B31</f>
        <v>2400</v>
      </c>
      <c r="N180" s="22" t="n">
        <f aca="false">J180+M180</f>
        <v>9000</v>
      </c>
      <c r="O180" s="22" t="n">
        <f aca="false">IF(DAY(B180)=1,Assumptions!B38*G180,0)</f>
        <v>0</v>
      </c>
      <c r="P180" s="22" t="n">
        <f aca="false">IF(DAY(B180)=1,Assumptions!B39*G180,0)</f>
        <v>0</v>
      </c>
      <c r="Q180" s="22" t="n">
        <f aca="false">IF(DAY(B180)=1,Assumptions!B40*G180,0)</f>
        <v>0</v>
      </c>
      <c r="R180" s="22" t="n">
        <f aca="false">IF(DAY(B180)=1,Assumptions!B41*G180,0)</f>
        <v>0</v>
      </c>
      <c r="S180" s="22" t="n">
        <f aca="false">IF(AND(DAY(B180)=1,D180&gt;=13),Assumptions!B42*G180,0)</f>
        <v>0</v>
      </c>
      <c r="T180" s="22" t="n">
        <f aca="false">IF(DAY(B180)=1,Assumptions!B43*G180,0)</f>
        <v>0</v>
      </c>
      <c r="U180" s="22" t="n">
        <f aca="false">SUM(O180:T180)</f>
        <v>0</v>
      </c>
      <c r="V180" s="22" t="n">
        <f aca="false">N180-U180</f>
        <v>9000</v>
      </c>
      <c r="W180" s="22" t="n">
        <f aca="false">W179+V180</f>
        <v>-4266500</v>
      </c>
      <c r="X180" s="23" t="str">
        <f aca="false">IF(W180&gt;=0,"YES","No")</f>
        <v>No</v>
      </c>
    </row>
    <row r="181" customFormat="false" ht="15" hidden="false" customHeight="false" outlineLevel="0" collapsed="false">
      <c r="A181" s="16" t="n">
        <v>180</v>
      </c>
      <c r="B181" s="17" t="n">
        <f aca="false">B180+1</f>
        <v>46202</v>
      </c>
      <c r="C181" s="18" t="n">
        <f aca="false">MIN(ROUNDUP(A181/365,0),5)</f>
        <v>1</v>
      </c>
      <c r="D181" s="18" t="n">
        <f aca="false">DATEDIF(Assumptions!B5,B181,"m")+1</f>
        <v>6</v>
      </c>
      <c r="E181" s="18" t="str">
        <f aca="false">TEXT(B181,"ddd")</f>
        <v>Mon</v>
      </c>
      <c r="F181" s="19" t="n">
        <f aca="false">IF(WEEKDAY(B181,2)&gt;=6,Assumptions!B34,Assumptions!B35)</f>
        <v>1</v>
      </c>
      <c r="G181" s="20" t="n">
        <f aca="false">IF(D181&gt;=13,(1+Assumptions!B46)^(D181-12),1)</f>
        <v>1</v>
      </c>
      <c r="H181" s="21" t="n">
        <f aca="false">H180*(1+IF(C181=1,Assumptions!B22,Assumptions!B23))</f>
        <v>18.4543172595704</v>
      </c>
      <c r="I181" s="16" t="n">
        <f aca="false">ROUND(H181*F181,0)</f>
        <v>18</v>
      </c>
      <c r="J181" s="22" t="n">
        <f aca="false">I181*Assumptions!B24</f>
        <v>10800</v>
      </c>
      <c r="K181" s="21" t="n">
        <f aca="false">K180*(1+Assumptions!B30)</f>
        <v>13.9324289886965</v>
      </c>
      <c r="L181" s="16" t="n">
        <f aca="false">ROUND(K181*F181,0)</f>
        <v>14</v>
      </c>
      <c r="M181" s="22" t="n">
        <f aca="false">L181*Assumptions!B31</f>
        <v>4200</v>
      </c>
      <c r="N181" s="22" t="n">
        <f aca="false">J181+M181</f>
        <v>15000</v>
      </c>
      <c r="O181" s="22" t="n">
        <f aca="false">IF(DAY(B181)=1,Assumptions!B38*G181,0)</f>
        <v>0</v>
      </c>
      <c r="P181" s="22" t="n">
        <f aca="false">IF(DAY(B181)=1,Assumptions!B39*G181,0)</f>
        <v>0</v>
      </c>
      <c r="Q181" s="22" t="n">
        <f aca="false">IF(DAY(B181)=1,Assumptions!B40*G181,0)</f>
        <v>0</v>
      </c>
      <c r="R181" s="22" t="n">
        <f aca="false">IF(DAY(B181)=1,Assumptions!B41*G181,0)</f>
        <v>0</v>
      </c>
      <c r="S181" s="22" t="n">
        <f aca="false">IF(AND(DAY(B181)=1,D181&gt;=13),Assumptions!B42*G181,0)</f>
        <v>0</v>
      </c>
      <c r="T181" s="22" t="n">
        <f aca="false">IF(DAY(B181)=1,Assumptions!B43*G181,0)</f>
        <v>0</v>
      </c>
      <c r="U181" s="22" t="n">
        <f aca="false">SUM(O181:T181)</f>
        <v>0</v>
      </c>
      <c r="V181" s="22" t="n">
        <f aca="false">N181-U181</f>
        <v>15000</v>
      </c>
      <c r="W181" s="22" t="n">
        <f aca="false">W180+V181</f>
        <v>-4251500</v>
      </c>
      <c r="X181" s="23" t="str">
        <f aca="false">IF(W181&gt;=0,"YES","No")</f>
        <v>No</v>
      </c>
    </row>
    <row r="182" customFormat="false" ht="15" hidden="false" customHeight="false" outlineLevel="0" collapsed="false">
      <c r="A182" s="16" t="n">
        <v>181</v>
      </c>
      <c r="B182" s="17" t="n">
        <f aca="false">B181+1</f>
        <v>46203</v>
      </c>
      <c r="C182" s="18" t="n">
        <f aca="false">MIN(ROUNDUP(A182/365,0),5)</f>
        <v>1</v>
      </c>
      <c r="D182" s="18" t="n">
        <f aca="false">DATEDIF(Assumptions!B5,B182,"m")+1</f>
        <v>6</v>
      </c>
      <c r="E182" s="18" t="str">
        <f aca="false">TEXT(B182,"ddd")</f>
        <v>Tue</v>
      </c>
      <c r="F182" s="19" t="n">
        <f aca="false">IF(WEEKDAY(B182,2)&gt;=6,Assumptions!B34,Assumptions!B35)</f>
        <v>1</v>
      </c>
      <c r="G182" s="20" t="n">
        <f aca="false">IF(D182&gt;=13,(1+Assumptions!B46)^(D182-12),1)</f>
        <v>1</v>
      </c>
      <c r="H182" s="21" t="n">
        <f aca="false">H181*(1+IF(C182=1,Assumptions!B22,Assumptions!B23))</f>
        <v>18.4663265520006</v>
      </c>
      <c r="I182" s="16" t="n">
        <f aca="false">ROUND(H182*F182,0)</f>
        <v>18</v>
      </c>
      <c r="J182" s="22" t="n">
        <f aca="false">I182*Assumptions!B24</f>
        <v>10800</v>
      </c>
      <c r="K182" s="21" t="n">
        <f aca="false">K181*(1+Assumptions!B30)</f>
        <v>13.9369840129669</v>
      </c>
      <c r="L182" s="16" t="n">
        <f aca="false">ROUND(K182*F182,0)</f>
        <v>14</v>
      </c>
      <c r="M182" s="22" t="n">
        <f aca="false">L182*Assumptions!B31</f>
        <v>4200</v>
      </c>
      <c r="N182" s="22" t="n">
        <f aca="false">J182+M182</f>
        <v>15000</v>
      </c>
      <c r="O182" s="22" t="n">
        <f aca="false">IF(DAY(B182)=1,Assumptions!B38*G182,0)</f>
        <v>0</v>
      </c>
      <c r="P182" s="22" t="n">
        <f aca="false">IF(DAY(B182)=1,Assumptions!B39*G182,0)</f>
        <v>0</v>
      </c>
      <c r="Q182" s="22" t="n">
        <f aca="false">IF(DAY(B182)=1,Assumptions!B40*G182,0)</f>
        <v>0</v>
      </c>
      <c r="R182" s="22" t="n">
        <f aca="false">IF(DAY(B182)=1,Assumptions!B41*G182,0)</f>
        <v>0</v>
      </c>
      <c r="S182" s="22" t="n">
        <f aca="false">IF(AND(DAY(B182)=1,D182&gt;=13),Assumptions!B42*G182,0)</f>
        <v>0</v>
      </c>
      <c r="T182" s="22" t="n">
        <f aca="false">IF(DAY(B182)=1,Assumptions!B43*G182,0)</f>
        <v>0</v>
      </c>
      <c r="U182" s="22" t="n">
        <f aca="false">SUM(O182:T182)</f>
        <v>0</v>
      </c>
      <c r="V182" s="22" t="n">
        <f aca="false">N182-U182</f>
        <v>15000</v>
      </c>
      <c r="W182" s="22" t="n">
        <f aca="false">W181+V182</f>
        <v>-4236500</v>
      </c>
      <c r="X182" s="23" t="str">
        <f aca="false">IF(W182&gt;=0,"YES","No")</f>
        <v>No</v>
      </c>
    </row>
    <row r="183" customFormat="false" ht="15" hidden="false" customHeight="false" outlineLevel="0" collapsed="false">
      <c r="A183" s="16" t="n">
        <v>182</v>
      </c>
      <c r="B183" s="17" t="n">
        <f aca="false">B182+1</f>
        <v>46204</v>
      </c>
      <c r="C183" s="18" t="n">
        <f aca="false">MIN(ROUNDUP(A183/365,0),5)</f>
        <v>1</v>
      </c>
      <c r="D183" s="18" t="n">
        <f aca="false">DATEDIF(Assumptions!B5,B183,"m")+1</f>
        <v>7</v>
      </c>
      <c r="E183" s="18" t="str">
        <f aca="false">TEXT(B183,"ddd")</f>
        <v>Wed</v>
      </c>
      <c r="F183" s="19" t="n">
        <f aca="false">IF(WEEKDAY(B183,2)&gt;=6,Assumptions!B34,Assumptions!B35)</f>
        <v>1</v>
      </c>
      <c r="G183" s="20" t="n">
        <f aca="false">IF(D183&gt;=13,(1+Assumptions!B46)^(D183-12),1)</f>
        <v>1</v>
      </c>
      <c r="H183" s="21" t="n">
        <f aca="false">H182*(1+IF(C183=1,Assumptions!B22,Assumptions!B23))</f>
        <v>18.4783436595725</v>
      </c>
      <c r="I183" s="16" t="n">
        <f aca="false">ROUND(H183*F183,0)</f>
        <v>18</v>
      </c>
      <c r="J183" s="22" t="n">
        <f aca="false">I183*Assumptions!B24</f>
        <v>10800</v>
      </c>
      <c r="K183" s="21" t="n">
        <f aca="false">K182*(1+Assumptions!B30)</f>
        <v>13.9415405264425</v>
      </c>
      <c r="L183" s="16" t="n">
        <f aca="false">ROUND(K183*F183,0)</f>
        <v>14</v>
      </c>
      <c r="M183" s="22" t="n">
        <f aca="false">L183*Assumptions!B31</f>
        <v>4200</v>
      </c>
      <c r="N183" s="22" t="n">
        <f aca="false">J183+M183</f>
        <v>15000</v>
      </c>
      <c r="O183" s="22" t="n">
        <f aca="false">IF(DAY(B183)=1,Assumptions!B38*G183,0)</f>
        <v>150000</v>
      </c>
      <c r="P183" s="22" t="n">
        <f aca="false">IF(DAY(B183)=1,Assumptions!B39*G183,0)</f>
        <v>40000</v>
      </c>
      <c r="Q183" s="22" t="n">
        <f aca="false">IF(DAY(B183)=1,Assumptions!B40*G183,0)</f>
        <v>30000</v>
      </c>
      <c r="R183" s="22" t="n">
        <f aca="false">IF(DAY(B183)=1,Assumptions!B41*G183,0)</f>
        <v>20000</v>
      </c>
      <c r="S183" s="22" t="n">
        <f aca="false">IF(AND(DAY(B183)=1,D183&gt;=13),Assumptions!B42*G183,0)</f>
        <v>0</v>
      </c>
      <c r="T183" s="22" t="n">
        <f aca="false">IF(DAY(B183)=1,Assumptions!B43*G183,0)</f>
        <v>20000</v>
      </c>
      <c r="U183" s="22" t="n">
        <f aca="false">SUM(O183:T183)</f>
        <v>260000</v>
      </c>
      <c r="V183" s="22" t="n">
        <f aca="false">N183-U183</f>
        <v>-245000</v>
      </c>
      <c r="W183" s="22" t="n">
        <f aca="false">W182+V183</f>
        <v>-4481500</v>
      </c>
      <c r="X183" s="23" t="str">
        <f aca="false">IF(W183&gt;=0,"YES","No")</f>
        <v>No</v>
      </c>
    </row>
    <row r="184" customFormat="false" ht="15" hidden="false" customHeight="false" outlineLevel="0" collapsed="false">
      <c r="A184" s="16" t="n">
        <v>183</v>
      </c>
      <c r="B184" s="17" t="n">
        <f aca="false">B183+1</f>
        <v>46205</v>
      </c>
      <c r="C184" s="18" t="n">
        <f aca="false">MIN(ROUNDUP(A184/365,0),5)</f>
        <v>1</v>
      </c>
      <c r="D184" s="18" t="n">
        <f aca="false">DATEDIF(Assumptions!B5,B184,"m")+1</f>
        <v>7</v>
      </c>
      <c r="E184" s="18" t="str">
        <f aca="false">TEXT(B184,"ddd")</f>
        <v>Thu</v>
      </c>
      <c r="F184" s="19" t="n">
        <f aca="false">IF(WEEKDAY(B184,2)&gt;=6,Assumptions!B34,Assumptions!B35)</f>
        <v>1</v>
      </c>
      <c r="G184" s="20" t="n">
        <f aca="false">IF(D184&gt;=13,(1+Assumptions!B46)^(D184-12),1)</f>
        <v>1</v>
      </c>
      <c r="H184" s="21" t="n">
        <f aca="false">H183*(1+IF(C184=1,Assumptions!B22,Assumptions!B23))</f>
        <v>18.4903685873719</v>
      </c>
      <c r="I184" s="16" t="n">
        <f aca="false">ROUND(H184*F184,0)</f>
        <v>18</v>
      </c>
      <c r="J184" s="22" t="n">
        <f aca="false">I184*Assumptions!B24</f>
        <v>10800</v>
      </c>
      <c r="K184" s="21" t="n">
        <f aca="false">K183*(1+Assumptions!B30)</f>
        <v>13.9460985296102</v>
      </c>
      <c r="L184" s="16" t="n">
        <f aca="false">ROUND(K184*F184,0)</f>
        <v>14</v>
      </c>
      <c r="M184" s="22" t="n">
        <f aca="false">L184*Assumptions!B31</f>
        <v>4200</v>
      </c>
      <c r="N184" s="22" t="n">
        <f aca="false">J184+M184</f>
        <v>15000</v>
      </c>
      <c r="O184" s="22" t="n">
        <f aca="false">IF(DAY(B184)=1,Assumptions!B38*G184,0)</f>
        <v>0</v>
      </c>
      <c r="P184" s="22" t="n">
        <f aca="false">IF(DAY(B184)=1,Assumptions!B39*G184,0)</f>
        <v>0</v>
      </c>
      <c r="Q184" s="22" t="n">
        <f aca="false">IF(DAY(B184)=1,Assumptions!B40*G184,0)</f>
        <v>0</v>
      </c>
      <c r="R184" s="22" t="n">
        <f aca="false">IF(DAY(B184)=1,Assumptions!B41*G184,0)</f>
        <v>0</v>
      </c>
      <c r="S184" s="22" t="n">
        <f aca="false">IF(AND(DAY(B184)=1,D184&gt;=13),Assumptions!B42*G184,0)</f>
        <v>0</v>
      </c>
      <c r="T184" s="22" t="n">
        <f aca="false">IF(DAY(B184)=1,Assumptions!B43*G184,0)</f>
        <v>0</v>
      </c>
      <c r="U184" s="22" t="n">
        <f aca="false">SUM(O184:T184)</f>
        <v>0</v>
      </c>
      <c r="V184" s="22" t="n">
        <f aca="false">N184-U184</f>
        <v>15000</v>
      </c>
      <c r="W184" s="22" t="n">
        <f aca="false">W183+V184</f>
        <v>-4466500</v>
      </c>
      <c r="X184" s="23" t="str">
        <f aca="false">IF(W184&gt;=0,"YES","No")</f>
        <v>No</v>
      </c>
    </row>
    <row r="185" customFormat="false" ht="15" hidden="false" customHeight="false" outlineLevel="0" collapsed="false">
      <c r="A185" s="16" t="n">
        <v>184</v>
      </c>
      <c r="B185" s="17" t="n">
        <f aca="false">B184+1</f>
        <v>46206</v>
      </c>
      <c r="C185" s="18" t="n">
        <f aca="false">MIN(ROUNDUP(A185/365,0),5)</f>
        <v>1</v>
      </c>
      <c r="D185" s="18" t="n">
        <f aca="false">DATEDIF(Assumptions!B5,B185,"m")+1</f>
        <v>7</v>
      </c>
      <c r="E185" s="18" t="str">
        <f aca="false">TEXT(B185,"ddd")</f>
        <v>Fri</v>
      </c>
      <c r="F185" s="19" t="n">
        <f aca="false">IF(WEEKDAY(B185,2)&gt;=6,Assumptions!B34,Assumptions!B35)</f>
        <v>1</v>
      </c>
      <c r="G185" s="20" t="n">
        <f aca="false">IF(D185&gt;=13,(1+Assumptions!B46)^(D185-12),1)</f>
        <v>1</v>
      </c>
      <c r="H185" s="21" t="n">
        <f aca="false">H184*(1+IF(C185=1,Assumptions!B22,Assumptions!B23))</f>
        <v>18.5024013404878</v>
      </c>
      <c r="I185" s="16" t="n">
        <f aca="false">ROUND(H185*F185,0)</f>
        <v>19</v>
      </c>
      <c r="J185" s="22" t="n">
        <f aca="false">I185*Assumptions!B24</f>
        <v>11400</v>
      </c>
      <c r="K185" s="21" t="n">
        <f aca="false">K184*(1+Assumptions!B30)</f>
        <v>13.9506580229571</v>
      </c>
      <c r="L185" s="16" t="n">
        <f aca="false">ROUND(K185*F185,0)</f>
        <v>14</v>
      </c>
      <c r="M185" s="22" t="n">
        <f aca="false">L185*Assumptions!B31</f>
        <v>4200</v>
      </c>
      <c r="N185" s="22" t="n">
        <f aca="false">J185+M185</f>
        <v>15600</v>
      </c>
      <c r="O185" s="22" t="n">
        <f aca="false">IF(DAY(B185)=1,Assumptions!B38*G185,0)</f>
        <v>0</v>
      </c>
      <c r="P185" s="22" t="n">
        <f aca="false">IF(DAY(B185)=1,Assumptions!B39*G185,0)</f>
        <v>0</v>
      </c>
      <c r="Q185" s="22" t="n">
        <f aca="false">IF(DAY(B185)=1,Assumptions!B40*G185,0)</f>
        <v>0</v>
      </c>
      <c r="R185" s="22" t="n">
        <f aca="false">IF(DAY(B185)=1,Assumptions!B41*G185,0)</f>
        <v>0</v>
      </c>
      <c r="S185" s="22" t="n">
        <f aca="false">IF(AND(DAY(B185)=1,D185&gt;=13),Assumptions!B42*G185,0)</f>
        <v>0</v>
      </c>
      <c r="T185" s="22" t="n">
        <f aca="false">IF(DAY(B185)=1,Assumptions!B43*G185,0)</f>
        <v>0</v>
      </c>
      <c r="U185" s="22" t="n">
        <f aca="false">SUM(O185:T185)</f>
        <v>0</v>
      </c>
      <c r="V185" s="22" t="n">
        <f aca="false">N185-U185</f>
        <v>15600</v>
      </c>
      <c r="W185" s="22" t="n">
        <f aca="false">W184+V185</f>
        <v>-4450900</v>
      </c>
      <c r="X185" s="23" t="str">
        <f aca="false">IF(W185&gt;=0,"YES","No")</f>
        <v>No</v>
      </c>
    </row>
    <row r="186" customFormat="false" ht="15" hidden="false" customHeight="false" outlineLevel="0" collapsed="false">
      <c r="A186" s="16" t="n">
        <v>185</v>
      </c>
      <c r="B186" s="17" t="n">
        <f aca="false">B185+1</f>
        <v>46207</v>
      </c>
      <c r="C186" s="18" t="n">
        <f aca="false">MIN(ROUNDUP(A186/365,0),5)</f>
        <v>1</v>
      </c>
      <c r="D186" s="18" t="n">
        <f aca="false">DATEDIF(Assumptions!B5,B186,"m")+1</f>
        <v>7</v>
      </c>
      <c r="E186" s="18" t="str">
        <f aca="false">TEXT(B186,"ddd")</f>
        <v>Sat</v>
      </c>
      <c r="F186" s="19" t="n">
        <f aca="false">IF(WEEKDAY(B186,2)&gt;=6,Assumptions!B34,Assumptions!B35)</f>
        <v>0.6</v>
      </c>
      <c r="G186" s="20" t="n">
        <f aca="false">IF(D186&gt;=13,(1+Assumptions!B46)^(D186-12),1)</f>
        <v>1</v>
      </c>
      <c r="H186" s="21" t="n">
        <f aca="false">H185*(1+IF(C186=1,Assumptions!B22,Assumptions!B23))</f>
        <v>18.5144419240127</v>
      </c>
      <c r="I186" s="16" t="n">
        <f aca="false">ROUND(H186*F186,0)</f>
        <v>11</v>
      </c>
      <c r="J186" s="22" t="n">
        <f aca="false">I186*Assumptions!B24</f>
        <v>6600</v>
      </c>
      <c r="K186" s="21" t="n">
        <f aca="false">K185*(1+Assumptions!B30)</f>
        <v>13.9552190069703</v>
      </c>
      <c r="L186" s="16" t="n">
        <f aca="false">ROUND(K186*F186,0)</f>
        <v>8</v>
      </c>
      <c r="M186" s="22" t="n">
        <f aca="false">L186*Assumptions!B31</f>
        <v>2400</v>
      </c>
      <c r="N186" s="22" t="n">
        <f aca="false">J186+M186</f>
        <v>9000</v>
      </c>
      <c r="O186" s="22" t="n">
        <f aca="false">IF(DAY(B186)=1,Assumptions!B38*G186,0)</f>
        <v>0</v>
      </c>
      <c r="P186" s="22" t="n">
        <f aca="false">IF(DAY(B186)=1,Assumptions!B39*G186,0)</f>
        <v>0</v>
      </c>
      <c r="Q186" s="22" t="n">
        <f aca="false">IF(DAY(B186)=1,Assumptions!B40*G186,0)</f>
        <v>0</v>
      </c>
      <c r="R186" s="22" t="n">
        <f aca="false">IF(DAY(B186)=1,Assumptions!B41*G186,0)</f>
        <v>0</v>
      </c>
      <c r="S186" s="22" t="n">
        <f aca="false">IF(AND(DAY(B186)=1,D186&gt;=13),Assumptions!B42*G186,0)</f>
        <v>0</v>
      </c>
      <c r="T186" s="22" t="n">
        <f aca="false">IF(DAY(B186)=1,Assumptions!B43*G186,0)</f>
        <v>0</v>
      </c>
      <c r="U186" s="22" t="n">
        <f aca="false">SUM(O186:T186)</f>
        <v>0</v>
      </c>
      <c r="V186" s="22" t="n">
        <f aca="false">N186-U186</f>
        <v>9000</v>
      </c>
      <c r="W186" s="22" t="n">
        <f aca="false">W185+V186</f>
        <v>-4441900</v>
      </c>
      <c r="X186" s="23" t="str">
        <f aca="false">IF(W186&gt;=0,"YES","No")</f>
        <v>No</v>
      </c>
    </row>
    <row r="187" customFormat="false" ht="15" hidden="false" customHeight="false" outlineLevel="0" collapsed="false">
      <c r="A187" s="16" t="n">
        <v>186</v>
      </c>
      <c r="B187" s="17" t="n">
        <f aca="false">B186+1</f>
        <v>46208</v>
      </c>
      <c r="C187" s="18" t="n">
        <f aca="false">MIN(ROUNDUP(A187/365,0),5)</f>
        <v>1</v>
      </c>
      <c r="D187" s="18" t="n">
        <f aca="false">DATEDIF(Assumptions!B5,B187,"m")+1</f>
        <v>7</v>
      </c>
      <c r="E187" s="18" t="str">
        <f aca="false">TEXT(B187,"ddd")</f>
        <v>Sun</v>
      </c>
      <c r="F187" s="19" t="n">
        <f aca="false">IF(WEEKDAY(B187,2)&gt;=6,Assumptions!B34,Assumptions!B35)</f>
        <v>0.6</v>
      </c>
      <c r="G187" s="20" t="n">
        <f aca="false">IF(D187&gt;=13,(1+Assumptions!B46)^(D187-12),1)</f>
        <v>1</v>
      </c>
      <c r="H187" s="21" t="n">
        <f aca="false">H186*(1+IF(C187=1,Assumptions!B22,Assumptions!B23))</f>
        <v>18.5264903430423</v>
      </c>
      <c r="I187" s="16" t="n">
        <f aca="false">ROUND(H187*F187,0)</f>
        <v>11</v>
      </c>
      <c r="J187" s="22" t="n">
        <f aca="false">I187*Assumptions!B24</f>
        <v>6600</v>
      </c>
      <c r="K187" s="21" t="n">
        <f aca="false">K186*(1+Assumptions!B30)</f>
        <v>13.9597814821371</v>
      </c>
      <c r="L187" s="16" t="n">
        <f aca="false">ROUND(K187*F187,0)</f>
        <v>8</v>
      </c>
      <c r="M187" s="22" t="n">
        <f aca="false">L187*Assumptions!B31</f>
        <v>2400</v>
      </c>
      <c r="N187" s="22" t="n">
        <f aca="false">J187+M187</f>
        <v>9000</v>
      </c>
      <c r="O187" s="22" t="n">
        <f aca="false">IF(DAY(B187)=1,Assumptions!B38*G187,0)</f>
        <v>0</v>
      </c>
      <c r="P187" s="22" t="n">
        <f aca="false">IF(DAY(B187)=1,Assumptions!B39*G187,0)</f>
        <v>0</v>
      </c>
      <c r="Q187" s="22" t="n">
        <f aca="false">IF(DAY(B187)=1,Assumptions!B40*G187,0)</f>
        <v>0</v>
      </c>
      <c r="R187" s="22" t="n">
        <f aca="false">IF(DAY(B187)=1,Assumptions!B41*G187,0)</f>
        <v>0</v>
      </c>
      <c r="S187" s="22" t="n">
        <f aca="false">IF(AND(DAY(B187)=1,D187&gt;=13),Assumptions!B42*G187,0)</f>
        <v>0</v>
      </c>
      <c r="T187" s="22" t="n">
        <f aca="false">IF(DAY(B187)=1,Assumptions!B43*G187,0)</f>
        <v>0</v>
      </c>
      <c r="U187" s="22" t="n">
        <f aca="false">SUM(O187:T187)</f>
        <v>0</v>
      </c>
      <c r="V187" s="22" t="n">
        <f aca="false">N187-U187</f>
        <v>9000</v>
      </c>
      <c r="W187" s="22" t="n">
        <f aca="false">W186+V187</f>
        <v>-4432900</v>
      </c>
      <c r="X187" s="23" t="str">
        <f aca="false">IF(W187&gt;=0,"YES","No")</f>
        <v>No</v>
      </c>
    </row>
    <row r="188" customFormat="false" ht="15" hidden="false" customHeight="false" outlineLevel="0" collapsed="false">
      <c r="A188" s="16" t="n">
        <v>187</v>
      </c>
      <c r="B188" s="17" t="n">
        <f aca="false">B187+1</f>
        <v>46209</v>
      </c>
      <c r="C188" s="18" t="n">
        <f aca="false">MIN(ROUNDUP(A188/365,0),5)</f>
        <v>1</v>
      </c>
      <c r="D188" s="18" t="n">
        <f aca="false">DATEDIF(Assumptions!B5,B188,"m")+1</f>
        <v>7</v>
      </c>
      <c r="E188" s="18" t="str">
        <f aca="false">TEXT(B188,"ddd")</f>
        <v>Mon</v>
      </c>
      <c r="F188" s="19" t="n">
        <f aca="false">IF(WEEKDAY(B188,2)&gt;=6,Assumptions!B34,Assumptions!B35)</f>
        <v>1</v>
      </c>
      <c r="G188" s="20" t="n">
        <f aca="false">IF(D188&gt;=13,(1+Assumptions!B46)^(D188-12),1)</f>
        <v>1</v>
      </c>
      <c r="H188" s="21" t="n">
        <f aca="false">H187*(1+IF(C188=1,Assumptions!B22,Assumptions!B23))</f>
        <v>18.5385466026755</v>
      </c>
      <c r="I188" s="16" t="n">
        <f aca="false">ROUND(H188*F188,0)</f>
        <v>19</v>
      </c>
      <c r="J188" s="22" t="n">
        <f aca="false">I188*Assumptions!B24</f>
        <v>11400</v>
      </c>
      <c r="K188" s="21" t="n">
        <f aca="false">K187*(1+Assumptions!B30)</f>
        <v>13.9643454489452</v>
      </c>
      <c r="L188" s="16" t="n">
        <f aca="false">ROUND(K188*F188,0)</f>
        <v>14</v>
      </c>
      <c r="M188" s="22" t="n">
        <f aca="false">L188*Assumptions!B31</f>
        <v>4200</v>
      </c>
      <c r="N188" s="22" t="n">
        <f aca="false">J188+M188</f>
        <v>15600</v>
      </c>
      <c r="O188" s="22" t="n">
        <f aca="false">IF(DAY(B188)=1,Assumptions!B38*G188,0)</f>
        <v>0</v>
      </c>
      <c r="P188" s="22" t="n">
        <f aca="false">IF(DAY(B188)=1,Assumptions!B39*G188,0)</f>
        <v>0</v>
      </c>
      <c r="Q188" s="22" t="n">
        <f aca="false">IF(DAY(B188)=1,Assumptions!B40*G188,0)</f>
        <v>0</v>
      </c>
      <c r="R188" s="22" t="n">
        <f aca="false">IF(DAY(B188)=1,Assumptions!B41*G188,0)</f>
        <v>0</v>
      </c>
      <c r="S188" s="22" t="n">
        <f aca="false">IF(AND(DAY(B188)=1,D188&gt;=13),Assumptions!B42*G188,0)</f>
        <v>0</v>
      </c>
      <c r="T188" s="22" t="n">
        <f aca="false">IF(DAY(B188)=1,Assumptions!B43*G188,0)</f>
        <v>0</v>
      </c>
      <c r="U188" s="22" t="n">
        <f aca="false">SUM(O188:T188)</f>
        <v>0</v>
      </c>
      <c r="V188" s="22" t="n">
        <f aca="false">N188-U188</f>
        <v>15600</v>
      </c>
      <c r="W188" s="22" t="n">
        <f aca="false">W187+V188</f>
        <v>-4417300</v>
      </c>
      <c r="X188" s="23" t="str">
        <f aca="false">IF(W188&gt;=0,"YES","No")</f>
        <v>No</v>
      </c>
    </row>
    <row r="189" customFormat="false" ht="15" hidden="false" customHeight="false" outlineLevel="0" collapsed="false">
      <c r="A189" s="16" t="n">
        <v>188</v>
      </c>
      <c r="B189" s="17" t="n">
        <f aca="false">B188+1</f>
        <v>46210</v>
      </c>
      <c r="C189" s="18" t="n">
        <f aca="false">MIN(ROUNDUP(A189/365,0),5)</f>
        <v>1</v>
      </c>
      <c r="D189" s="18" t="n">
        <f aca="false">DATEDIF(Assumptions!B5,B189,"m")+1</f>
        <v>7</v>
      </c>
      <c r="E189" s="18" t="str">
        <f aca="false">TEXT(B189,"ddd")</f>
        <v>Tue</v>
      </c>
      <c r="F189" s="19" t="n">
        <f aca="false">IF(WEEKDAY(B189,2)&gt;=6,Assumptions!B34,Assumptions!B35)</f>
        <v>1</v>
      </c>
      <c r="G189" s="20" t="n">
        <f aca="false">IF(D189&gt;=13,(1+Assumptions!B46)^(D189-12),1)</f>
        <v>1</v>
      </c>
      <c r="H189" s="21" t="n">
        <f aca="false">H188*(1+IF(C189=1,Assumptions!B22,Assumptions!B23))</f>
        <v>18.5506107080147</v>
      </c>
      <c r="I189" s="16" t="n">
        <f aca="false">ROUND(H189*F189,0)</f>
        <v>19</v>
      </c>
      <c r="J189" s="22" t="n">
        <f aca="false">I189*Assumptions!B24</f>
        <v>11400</v>
      </c>
      <c r="K189" s="21" t="n">
        <f aca="false">K188*(1+Assumptions!B30)</f>
        <v>13.9689109078822</v>
      </c>
      <c r="L189" s="16" t="n">
        <f aca="false">ROUND(K189*F189,0)</f>
        <v>14</v>
      </c>
      <c r="M189" s="22" t="n">
        <f aca="false">L189*Assumptions!B31</f>
        <v>4200</v>
      </c>
      <c r="N189" s="22" t="n">
        <f aca="false">J189+M189</f>
        <v>15600</v>
      </c>
      <c r="O189" s="22" t="n">
        <f aca="false">IF(DAY(B189)=1,Assumptions!B38*G189,0)</f>
        <v>0</v>
      </c>
      <c r="P189" s="22" t="n">
        <f aca="false">IF(DAY(B189)=1,Assumptions!B39*G189,0)</f>
        <v>0</v>
      </c>
      <c r="Q189" s="22" t="n">
        <f aca="false">IF(DAY(B189)=1,Assumptions!B40*G189,0)</f>
        <v>0</v>
      </c>
      <c r="R189" s="22" t="n">
        <f aca="false">IF(DAY(B189)=1,Assumptions!B41*G189,0)</f>
        <v>0</v>
      </c>
      <c r="S189" s="22" t="n">
        <f aca="false">IF(AND(DAY(B189)=1,D189&gt;=13),Assumptions!B42*G189,0)</f>
        <v>0</v>
      </c>
      <c r="T189" s="22" t="n">
        <f aca="false">IF(DAY(B189)=1,Assumptions!B43*G189,0)</f>
        <v>0</v>
      </c>
      <c r="U189" s="22" t="n">
        <f aca="false">SUM(O189:T189)</f>
        <v>0</v>
      </c>
      <c r="V189" s="22" t="n">
        <f aca="false">N189-U189</f>
        <v>15600</v>
      </c>
      <c r="W189" s="22" t="n">
        <f aca="false">W188+V189</f>
        <v>-4401700</v>
      </c>
      <c r="X189" s="23" t="str">
        <f aca="false">IF(W189&gt;=0,"YES","No")</f>
        <v>No</v>
      </c>
    </row>
    <row r="190" customFormat="false" ht="15" hidden="false" customHeight="false" outlineLevel="0" collapsed="false">
      <c r="A190" s="16" t="n">
        <v>189</v>
      </c>
      <c r="B190" s="17" t="n">
        <f aca="false">B189+1</f>
        <v>46211</v>
      </c>
      <c r="C190" s="18" t="n">
        <f aca="false">MIN(ROUNDUP(A190/365,0),5)</f>
        <v>1</v>
      </c>
      <c r="D190" s="18" t="n">
        <f aca="false">DATEDIF(Assumptions!B5,B190,"m")+1</f>
        <v>7</v>
      </c>
      <c r="E190" s="18" t="str">
        <f aca="false">TEXT(B190,"ddd")</f>
        <v>Wed</v>
      </c>
      <c r="F190" s="19" t="n">
        <f aca="false">IF(WEEKDAY(B190,2)&gt;=6,Assumptions!B34,Assumptions!B35)</f>
        <v>1</v>
      </c>
      <c r="G190" s="20" t="n">
        <f aca="false">IF(D190&gt;=13,(1+Assumptions!B46)^(D190-12),1)</f>
        <v>1</v>
      </c>
      <c r="H190" s="21" t="n">
        <f aca="false">H189*(1+IF(C190=1,Assumptions!B22,Assumptions!B23))</f>
        <v>18.5626826641655</v>
      </c>
      <c r="I190" s="16" t="n">
        <f aca="false">ROUND(H190*F190,0)</f>
        <v>19</v>
      </c>
      <c r="J190" s="22" t="n">
        <f aca="false">I190*Assumptions!B24</f>
        <v>11400</v>
      </c>
      <c r="K190" s="21" t="n">
        <f aca="false">K189*(1+Assumptions!B30)</f>
        <v>13.9734778594358</v>
      </c>
      <c r="L190" s="16" t="n">
        <f aca="false">ROUND(K190*F190,0)</f>
        <v>14</v>
      </c>
      <c r="M190" s="22" t="n">
        <f aca="false">L190*Assumptions!B31</f>
        <v>4200</v>
      </c>
      <c r="N190" s="22" t="n">
        <f aca="false">J190+M190</f>
        <v>15600</v>
      </c>
      <c r="O190" s="22" t="n">
        <f aca="false">IF(DAY(B190)=1,Assumptions!B38*G190,0)</f>
        <v>0</v>
      </c>
      <c r="P190" s="22" t="n">
        <f aca="false">IF(DAY(B190)=1,Assumptions!B39*G190,0)</f>
        <v>0</v>
      </c>
      <c r="Q190" s="22" t="n">
        <f aca="false">IF(DAY(B190)=1,Assumptions!B40*G190,0)</f>
        <v>0</v>
      </c>
      <c r="R190" s="22" t="n">
        <f aca="false">IF(DAY(B190)=1,Assumptions!B41*G190,0)</f>
        <v>0</v>
      </c>
      <c r="S190" s="22" t="n">
        <f aca="false">IF(AND(DAY(B190)=1,D190&gt;=13),Assumptions!B42*G190,0)</f>
        <v>0</v>
      </c>
      <c r="T190" s="22" t="n">
        <f aca="false">IF(DAY(B190)=1,Assumptions!B43*G190,0)</f>
        <v>0</v>
      </c>
      <c r="U190" s="22" t="n">
        <f aca="false">SUM(O190:T190)</f>
        <v>0</v>
      </c>
      <c r="V190" s="22" t="n">
        <f aca="false">N190-U190</f>
        <v>15600</v>
      </c>
      <c r="W190" s="22" t="n">
        <f aca="false">W189+V190</f>
        <v>-4386100</v>
      </c>
      <c r="X190" s="23" t="str">
        <f aca="false">IF(W190&gt;=0,"YES","No")</f>
        <v>No</v>
      </c>
    </row>
    <row r="191" customFormat="false" ht="15" hidden="false" customHeight="false" outlineLevel="0" collapsed="false">
      <c r="A191" s="16" t="n">
        <v>190</v>
      </c>
      <c r="B191" s="17" t="n">
        <f aca="false">B190+1</f>
        <v>46212</v>
      </c>
      <c r="C191" s="18" t="n">
        <f aca="false">MIN(ROUNDUP(A191/365,0),5)</f>
        <v>1</v>
      </c>
      <c r="D191" s="18" t="n">
        <f aca="false">DATEDIF(Assumptions!B5,B191,"m")+1</f>
        <v>7</v>
      </c>
      <c r="E191" s="18" t="str">
        <f aca="false">TEXT(B191,"ddd")</f>
        <v>Thu</v>
      </c>
      <c r="F191" s="19" t="n">
        <f aca="false">IF(WEEKDAY(B191,2)&gt;=6,Assumptions!B34,Assumptions!B35)</f>
        <v>1</v>
      </c>
      <c r="G191" s="20" t="n">
        <f aca="false">IF(D191&gt;=13,(1+Assumptions!B46)^(D191-12),1)</f>
        <v>1</v>
      </c>
      <c r="H191" s="21" t="n">
        <f aca="false">H190*(1+IF(C191=1,Assumptions!B22,Assumptions!B23))</f>
        <v>18.574762476237</v>
      </c>
      <c r="I191" s="16" t="n">
        <f aca="false">ROUND(H191*F191,0)</f>
        <v>19</v>
      </c>
      <c r="J191" s="22" t="n">
        <f aca="false">I191*Assumptions!B24</f>
        <v>11400</v>
      </c>
      <c r="K191" s="21" t="n">
        <f aca="false">K190*(1+Assumptions!B30)</f>
        <v>13.9780463040942</v>
      </c>
      <c r="L191" s="16" t="n">
        <f aca="false">ROUND(K191*F191,0)</f>
        <v>14</v>
      </c>
      <c r="M191" s="22" t="n">
        <f aca="false">L191*Assumptions!B31</f>
        <v>4200</v>
      </c>
      <c r="N191" s="22" t="n">
        <f aca="false">J191+M191</f>
        <v>15600</v>
      </c>
      <c r="O191" s="22" t="n">
        <f aca="false">IF(DAY(B191)=1,Assumptions!B38*G191,0)</f>
        <v>0</v>
      </c>
      <c r="P191" s="22" t="n">
        <f aca="false">IF(DAY(B191)=1,Assumptions!B39*G191,0)</f>
        <v>0</v>
      </c>
      <c r="Q191" s="22" t="n">
        <f aca="false">IF(DAY(B191)=1,Assumptions!B40*G191,0)</f>
        <v>0</v>
      </c>
      <c r="R191" s="22" t="n">
        <f aca="false">IF(DAY(B191)=1,Assumptions!B41*G191,0)</f>
        <v>0</v>
      </c>
      <c r="S191" s="22" t="n">
        <f aca="false">IF(AND(DAY(B191)=1,D191&gt;=13),Assumptions!B42*G191,0)</f>
        <v>0</v>
      </c>
      <c r="T191" s="22" t="n">
        <f aca="false">IF(DAY(B191)=1,Assumptions!B43*G191,0)</f>
        <v>0</v>
      </c>
      <c r="U191" s="22" t="n">
        <f aca="false">SUM(O191:T191)</f>
        <v>0</v>
      </c>
      <c r="V191" s="22" t="n">
        <f aca="false">N191-U191</f>
        <v>15600</v>
      </c>
      <c r="W191" s="22" t="n">
        <f aca="false">W190+V191</f>
        <v>-4370500</v>
      </c>
      <c r="X191" s="23" t="str">
        <f aca="false">IF(W191&gt;=0,"YES","No")</f>
        <v>No</v>
      </c>
    </row>
    <row r="192" customFormat="false" ht="15" hidden="false" customHeight="false" outlineLevel="0" collapsed="false">
      <c r="A192" s="16" t="n">
        <v>191</v>
      </c>
      <c r="B192" s="17" t="n">
        <f aca="false">B191+1</f>
        <v>46213</v>
      </c>
      <c r="C192" s="18" t="n">
        <f aca="false">MIN(ROUNDUP(A192/365,0),5)</f>
        <v>1</v>
      </c>
      <c r="D192" s="18" t="n">
        <f aca="false">DATEDIF(Assumptions!B5,B192,"m")+1</f>
        <v>7</v>
      </c>
      <c r="E192" s="18" t="str">
        <f aca="false">TEXT(B192,"ddd")</f>
        <v>Fri</v>
      </c>
      <c r="F192" s="19" t="n">
        <f aca="false">IF(WEEKDAY(B192,2)&gt;=6,Assumptions!B34,Assumptions!B35)</f>
        <v>1</v>
      </c>
      <c r="G192" s="20" t="n">
        <f aca="false">IF(D192&gt;=13,(1+Assumptions!B46)^(D192-12),1)</f>
        <v>1</v>
      </c>
      <c r="H192" s="21" t="n">
        <f aca="false">H191*(1+IF(C192=1,Assumptions!B22,Assumptions!B23))</f>
        <v>18.5868501493414</v>
      </c>
      <c r="I192" s="16" t="n">
        <f aca="false">ROUND(H192*F192,0)</f>
        <v>19</v>
      </c>
      <c r="J192" s="22" t="n">
        <f aca="false">I192*Assumptions!B24</f>
        <v>11400</v>
      </c>
      <c r="K192" s="21" t="n">
        <f aca="false">K191*(1+Assumptions!B30)</f>
        <v>13.9826162423454</v>
      </c>
      <c r="L192" s="16" t="n">
        <f aca="false">ROUND(K192*F192,0)</f>
        <v>14</v>
      </c>
      <c r="M192" s="22" t="n">
        <f aca="false">L192*Assumptions!B31</f>
        <v>4200</v>
      </c>
      <c r="N192" s="22" t="n">
        <f aca="false">J192+M192</f>
        <v>15600</v>
      </c>
      <c r="O192" s="22" t="n">
        <f aca="false">IF(DAY(B192)=1,Assumptions!B38*G192,0)</f>
        <v>0</v>
      </c>
      <c r="P192" s="22" t="n">
        <f aca="false">IF(DAY(B192)=1,Assumptions!B39*G192,0)</f>
        <v>0</v>
      </c>
      <c r="Q192" s="22" t="n">
        <f aca="false">IF(DAY(B192)=1,Assumptions!B40*G192,0)</f>
        <v>0</v>
      </c>
      <c r="R192" s="22" t="n">
        <f aca="false">IF(DAY(B192)=1,Assumptions!B41*G192,0)</f>
        <v>0</v>
      </c>
      <c r="S192" s="22" t="n">
        <f aca="false">IF(AND(DAY(B192)=1,D192&gt;=13),Assumptions!B42*G192,0)</f>
        <v>0</v>
      </c>
      <c r="T192" s="22" t="n">
        <f aca="false">IF(DAY(B192)=1,Assumptions!B43*G192,0)</f>
        <v>0</v>
      </c>
      <c r="U192" s="22" t="n">
        <f aca="false">SUM(O192:T192)</f>
        <v>0</v>
      </c>
      <c r="V192" s="22" t="n">
        <f aca="false">N192-U192</f>
        <v>15600</v>
      </c>
      <c r="W192" s="22" t="n">
        <f aca="false">W191+V192</f>
        <v>-4354900</v>
      </c>
      <c r="X192" s="23" t="str">
        <f aca="false">IF(W192&gt;=0,"YES","No")</f>
        <v>No</v>
      </c>
    </row>
    <row r="193" customFormat="false" ht="15" hidden="false" customHeight="false" outlineLevel="0" collapsed="false">
      <c r="A193" s="16" t="n">
        <v>192</v>
      </c>
      <c r="B193" s="17" t="n">
        <f aca="false">B192+1</f>
        <v>46214</v>
      </c>
      <c r="C193" s="18" t="n">
        <f aca="false">MIN(ROUNDUP(A193/365,0),5)</f>
        <v>1</v>
      </c>
      <c r="D193" s="18" t="n">
        <f aca="false">DATEDIF(Assumptions!B5,B193,"m")+1</f>
        <v>7</v>
      </c>
      <c r="E193" s="18" t="str">
        <f aca="false">TEXT(B193,"ddd")</f>
        <v>Sat</v>
      </c>
      <c r="F193" s="19" t="n">
        <f aca="false">IF(WEEKDAY(B193,2)&gt;=6,Assumptions!B34,Assumptions!B35)</f>
        <v>0.6</v>
      </c>
      <c r="G193" s="20" t="n">
        <f aca="false">IF(D193&gt;=13,(1+Assumptions!B46)^(D193-12),1)</f>
        <v>1</v>
      </c>
      <c r="H193" s="21" t="n">
        <f aca="false">H192*(1+IF(C193=1,Assumptions!B22,Assumptions!B23))</f>
        <v>18.5989456885944</v>
      </c>
      <c r="I193" s="16" t="n">
        <f aca="false">ROUND(H193*F193,0)</f>
        <v>11</v>
      </c>
      <c r="J193" s="22" t="n">
        <f aca="false">I193*Assumptions!B24</f>
        <v>6600</v>
      </c>
      <c r="K193" s="21" t="n">
        <f aca="false">K192*(1+Assumptions!B30)</f>
        <v>13.9871876746778</v>
      </c>
      <c r="L193" s="16" t="n">
        <f aca="false">ROUND(K193*F193,0)</f>
        <v>8</v>
      </c>
      <c r="M193" s="22" t="n">
        <f aca="false">L193*Assumptions!B31</f>
        <v>2400</v>
      </c>
      <c r="N193" s="22" t="n">
        <f aca="false">J193+M193</f>
        <v>9000</v>
      </c>
      <c r="O193" s="22" t="n">
        <f aca="false">IF(DAY(B193)=1,Assumptions!B38*G193,0)</f>
        <v>0</v>
      </c>
      <c r="P193" s="22" t="n">
        <f aca="false">IF(DAY(B193)=1,Assumptions!B39*G193,0)</f>
        <v>0</v>
      </c>
      <c r="Q193" s="22" t="n">
        <f aca="false">IF(DAY(B193)=1,Assumptions!B40*G193,0)</f>
        <v>0</v>
      </c>
      <c r="R193" s="22" t="n">
        <f aca="false">IF(DAY(B193)=1,Assumptions!B41*G193,0)</f>
        <v>0</v>
      </c>
      <c r="S193" s="22" t="n">
        <f aca="false">IF(AND(DAY(B193)=1,D193&gt;=13),Assumptions!B42*G193,0)</f>
        <v>0</v>
      </c>
      <c r="T193" s="22" t="n">
        <f aca="false">IF(DAY(B193)=1,Assumptions!B43*G193,0)</f>
        <v>0</v>
      </c>
      <c r="U193" s="22" t="n">
        <f aca="false">SUM(O193:T193)</f>
        <v>0</v>
      </c>
      <c r="V193" s="22" t="n">
        <f aca="false">N193-U193</f>
        <v>9000</v>
      </c>
      <c r="W193" s="22" t="n">
        <f aca="false">W192+V193</f>
        <v>-4345900</v>
      </c>
      <c r="X193" s="23" t="str">
        <f aca="false">IF(W193&gt;=0,"YES","No")</f>
        <v>No</v>
      </c>
    </row>
    <row r="194" customFormat="false" ht="15" hidden="false" customHeight="false" outlineLevel="0" collapsed="false">
      <c r="A194" s="16" t="n">
        <v>193</v>
      </c>
      <c r="B194" s="17" t="n">
        <f aca="false">B193+1</f>
        <v>46215</v>
      </c>
      <c r="C194" s="18" t="n">
        <f aca="false">MIN(ROUNDUP(A194/365,0),5)</f>
        <v>1</v>
      </c>
      <c r="D194" s="18" t="n">
        <f aca="false">DATEDIF(Assumptions!B5,B194,"m")+1</f>
        <v>7</v>
      </c>
      <c r="E194" s="18" t="str">
        <f aca="false">TEXT(B194,"ddd")</f>
        <v>Sun</v>
      </c>
      <c r="F194" s="19" t="n">
        <f aca="false">IF(WEEKDAY(B194,2)&gt;=6,Assumptions!B34,Assumptions!B35)</f>
        <v>0.6</v>
      </c>
      <c r="G194" s="20" t="n">
        <f aca="false">IF(D194&gt;=13,(1+Assumptions!B46)^(D194-12),1)</f>
        <v>1</v>
      </c>
      <c r="H194" s="21" t="n">
        <f aca="false">H193*(1+IF(C194=1,Assumptions!B22,Assumptions!B23))</f>
        <v>18.6110490991148</v>
      </c>
      <c r="I194" s="16" t="n">
        <f aca="false">ROUND(H194*F194,0)</f>
        <v>11</v>
      </c>
      <c r="J194" s="22" t="n">
        <f aca="false">I194*Assumptions!B24</f>
        <v>6600</v>
      </c>
      <c r="K194" s="21" t="n">
        <f aca="false">K193*(1+Assumptions!B30)</f>
        <v>13.9917606015798</v>
      </c>
      <c r="L194" s="16" t="n">
        <f aca="false">ROUND(K194*F194,0)</f>
        <v>8</v>
      </c>
      <c r="M194" s="22" t="n">
        <f aca="false">L194*Assumptions!B31</f>
        <v>2400</v>
      </c>
      <c r="N194" s="22" t="n">
        <f aca="false">J194+M194</f>
        <v>9000</v>
      </c>
      <c r="O194" s="22" t="n">
        <f aca="false">IF(DAY(B194)=1,Assumptions!B38*G194,0)</f>
        <v>0</v>
      </c>
      <c r="P194" s="22" t="n">
        <f aca="false">IF(DAY(B194)=1,Assumptions!B39*G194,0)</f>
        <v>0</v>
      </c>
      <c r="Q194" s="22" t="n">
        <f aca="false">IF(DAY(B194)=1,Assumptions!B40*G194,0)</f>
        <v>0</v>
      </c>
      <c r="R194" s="22" t="n">
        <f aca="false">IF(DAY(B194)=1,Assumptions!B41*G194,0)</f>
        <v>0</v>
      </c>
      <c r="S194" s="22" t="n">
        <f aca="false">IF(AND(DAY(B194)=1,D194&gt;=13),Assumptions!B42*G194,0)</f>
        <v>0</v>
      </c>
      <c r="T194" s="22" t="n">
        <f aca="false">IF(DAY(B194)=1,Assumptions!B43*G194,0)</f>
        <v>0</v>
      </c>
      <c r="U194" s="22" t="n">
        <f aca="false">SUM(O194:T194)</f>
        <v>0</v>
      </c>
      <c r="V194" s="22" t="n">
        <f aca="false">N194-U194</f>
        <v>9000</v>
      </c>
      <c r="W194" s="22" t="n">
        <f aca="false">W193+V194</f>
        <v>-4336900</v>
      </c>
      <c r="X194" s="23" t="str">
        <f aca="false">IF(W194&gt;=0,"YES","No")</f>
        <v>No</v>
      </c>
    </row>
    <row r="195" customFormat="false" ht="15" hidden="false" customHeight="false" outlineLevel="0" collapsed="false">
      <c r="A195" s="16" t="n">
        <v>194</v>
      </c>
      <c r="B195" s="17" t="n">
        <f aca="false">B194+1</f>
        <v>46216</v>
      </c>
      <c r="C195" s="18" t="n">
        <f aca="false">MIN(ROUNDUP(A195/365,0),5)</f>
        <v>1</v>
      </c>
      <c r="D195" s="18" t="n">
        <f aca="false">DATEDIF(Assumptions!B5,B195,"m")+1</f>
        <v>7</v>
      </c>
      <c r="E195" s="18" t="str">
        <f aca="false">TEXT(B195,"ddd")</f>
        <v>Mon</v>
      </c>
      <c r="F195" s="19" t="n">
        <f aca="false">IF(WEEKDAY(B195,2)&gt;=6,Assumptions!B34,Assumptions!B35)</f>
        <v>1</v>
      </c>
      <c r="G195" s="20" t="n">
        <f aca="false">IF(D195&gt;=13,(1+Assumptions!B46)^(D195-12),1)</f>
        <v>1</v>
      </c>
      <c r="H195" s="21" t="n">
        <f aca="false">H194*(1+IF(C195=1,Assumptions!B22,Assumptions!B23))</f>
        <v>18.6231603860251</v>
      </c>
      <c r="I195" s="16" t="n">
        <f aca="false">ROUND(H195*F195,0)</f>
        <v>19</v>
      </c>
      <c r="J195" s="22" t="n">
        <f aca="false">I195*Assumptions!B24</f>
        <v>11400</v>
      </c>
      <c r="K195" s="21" t="n">
        <f aca="false">K194*(1+Assumptions!B30)</f>
        <v>13.99633502354</v>
      </c>
      <c r="L195" s="16" t="n">
        <f aca="false">ROUND(K195*F195,0)</f>
        <v>14</v>
      </c>
      <c r="M195" s="22" t="n">
        <f aca="false">L195*Assumptions!B31</f>
        <v>4200</v>
      </c>
      <c r="N195" s="22" t="n">
        <f aca="false">J195+M195</f>
        <v>15600</v>
      </c>
      <c r="O195" s="22" t="n">
        <f aca="false">IF(DAY(B195)=1,Assumptions!B38*G195,0)</f>
        <v>0</v>
      </c>
      <c r="P195" s="22" t="n">
        <f aca="false">IF(DAY(B195)=1,Assumptions!B39*G195,0)</f>
        <v>0</v>
      </c>
      <c r="Q195" s="22" t="n">
        <f aca="false">IF(DAY(B195)=1,Assumptions!B40*G195,0)</f>
        <v>0</v>
      </c>
      <c r="R195" s="22" t="n">
        <f aca="false">IF(DAY(B195)=1,Assumptions!B41*G195,0)</f>
        <v>0</v>
      </c>
      <c r="S195" s="22" t="n">
        <f aca="false">IF(AND(DAY(B195)=1,D195&gt;=13),Assumptions!B42*G195,0)</f>
        <v>0</v>
      </c>
      <c r="T195" s="22" t="n">
        <f aca="false">IF(DAY(B195)=1,Assumptions!B43*G195,0)</f>
        <v>0</v>
      </c>
      <c r="U195" s="22" t="n">
        <f aca="false">SUM(O195:T195)</f>
        <v>0</v>
      </c>
      <c r="V195" s="22" t="n">
        <f aca="false">N195-U195</f>
        <v>15600</v>
      </c>
      <c r="W195" s="22" t="n">
        <f aca="false">W194+V195</f>
        <v>-4321300</v>
      </c>
      <c r="X195" s="23" t="str">
        <f aca="false">IF(W195&gt;=0,"YES","No")</f>
        <v>No</v>
      </c>
    </row>
    <row r="196" customFormat="false" ht="15" hidden="false" customHeight="false" outlineLevel="0" collapsed="false">
      <c r="A196" s="16" t="n">
        <v>195</v>
      </c>
      <c r="B196" s="17" t="n">
        <f aca="false">B195+1</f>
        <v>46217</v>
      </c>
      <c r="C196" s="18" t="n">
        <f aca="false">MIN(ROUNDUP(A196/365,0),5)</f>
        <v>1</v>
      </c>
      <c r="D196" s="18" t="n">
        <f aca="false">DATEDIF(Assumptions!B5,B196,"m")+1</f>
        <v>7</v>
      </c>
      <c r="E196" s="18" t="str">
        <f aca="false">TEXT(B196,"ddd")</f>
        <v>Tue</v>
      </c>
      <c r="F196" s="19" t="n">
        <f aca="false">IF(WEEKDAY(B196,2)&gt;=6,Assumptions!B34,Assumptions!B35)</f>
        <v>1</v>
      </c>
      <c r="G196" s="20" t="n">
        <f aca="false">IF(D196&gt;=13,(1+Assumptions!B46)^(D196-12),1)</f>
        <v>1</v>
      </c>
      <c r="H196" s="21" t="n">
        <f aca="false">H195*(1+IF(C196=1,Assumptions!B22,Assumptions!B23))</f>
        <v>18.6352795544508</v>
      </c>
      <c r="I196" s="16" t="n">
        <f aca="false">ROUND(H196*F196,0)</f>
        <v>19</v>
      </c>
      <c r="J196" s="22" t="n">
        <f aca="false">I196*Assumptions!B24</f>
        <v>11400</v>
      </c>
      <c r="K196" s="21" t="n">
        <f aca="false">K195*(1+Assumptions!B30)</f>
        <v>14.0009109410473</v>
      </c>
      <c r="L196" s="16" t="n">
        <f aca="false">ROUND(K196*F196,0)</f>
        <v>14</v>
      </c>
      <c r="M196" s="22" t="n">
        <f aca="false">L196*Assumptions!B31</f>
        <v>4200</v>
      </c>
      <c r="N196" s="22" t="n">
        <f aca="false">J196+M196</f>
        <v>15600</v>
      </c>
      <c r="O196" s="22" t="n">
        <f aca="false">IF(DAY(B196)=1,Assumptions!B38*G196,0)</f>
        <v>0</v>
      </c>
      <c r="P196" s="22" t="n">
        <f aca="false">IF(DAY(B196)=1,Assumptions!B39*G196,0)</f>
        <v>0</v>
      </c>
      <c r="Q196" s="22" t="n">
        <f aca="false">IF(DAY(B196)=1,Assumptions!B40*G196,0)</f>
        <v>0</v>
      </c>
      <c r="R196" s="22" t="n">
        <f aca="false">IF(DAY(B196)=1,Assumptions!B41*G196,0)</f>
        <v>0</v>
      </c>
      <c r="S196" s="22" t="n">
        <f aca="false">IF(AND(DAY(B196)=1,D196&gt;=13),Assumptions!B42*G196,0)</f>
        <v>0</v>
      </c>
      <c r="T196" s="22" t="n">
        <f aca="false">IF(DAY(B196)=1,Assumptions!B43*G196,0)</f>
        <v>0</v>
      </c>
      <c r="U196" s="22" t="n">
        <f aca="false">SUM(O196:T196)</f>
        <v>0</v>
      </c>
      <c r="V196" s="22" t="n">
        <f aca="false">N196-U196</f>
        <v>15600</v>
      </c>
      <c r="W196" s="22" t="n">
        <f aca="false">W195+V196</f>
        <v>-4305700</v>
      </c>
      <c r="X196" s="23" t="str">
        <f aca="false">IF(W196&gt;=0,"YES","No")</f>
        <v>No</v>
      </c>
    </row>
    <row r="197" customFormat="false" ht="15" hidden="false" customHeight="false" outlineLevel="0" collapsed="false">
      <c r="A197" s="16" t="n">
        <v>196</v>
      </c>
      <c r="B197" s="17" t="n">
        <f aca="false">B196+1</f>
        <v>46218</v>
      </c>
      <c r="C197" s="18" t="n">
        <f aca="false">MIN(ROUNDUP(A197/365,0),5)</f>
        <v>1</v>
      </c>
      <c r="D197" s="18" t="n">
        <f aca="false">DATEDIF(Assumptions!B5,B197,"m")+1</f>
        <v>7</v>
      </c>
      <c r="E197" s="18" t="str">
        <f aca="false">TEXT(B197,"ddd")</f>
        <v>Wed</v>
      </c>
      <c r="F197" s="19" t="n">
        <f aca="false">IF(WEEKDAY(B197,2)&gt;=6,Assumptions!B34,Assumptions!B35)</f>
        <v>1</v>
      </c>
      <c r="G197" s="20" t="n">
        <f aca="false">IF(D197&gt;=13,(1+Assumptions!B46)^(D197-12),1)</f>
        <v>1</v>
      </c>
      <c r="H197" s="21" t="n">
        <f aca="false">H196*(1+IF(C197=1,Assumptions!B22,Assumptions!B23))</f>
        <v>18.6474066095209</v>
      </c>
      <c r="I197" s="16" t="n">
        <f aca="false">ROUND(H197*F197,0)</f>
        <v>19</v>
      </c>
      <c r="J197" s="22" t="n">
        <f aca="false">I197*Assumptions!B24</f>
        <v>11400</v>
      </c>
      <c r="K197" s="21" t="n">
        <f aca="false">K196*(1+Assumptions!B30)</f>
        <v>14.0054883545906</v>
      </c>
      <c r="L197" s="16" t="n">
        <f aca="false">ROUND(K197*F197,0)</f>
        <v>14</v>
      </c>
      <c r="M197" s="22" t="n">
        <f aca="false">L197*Assumptions!B31</f>
        <v>4200</v>
      </c>
      <c r="N197" s="22" t="n">
        <f aca="false">J197+M197</f>
        <v>15600</v>
      </c>
      <c r="O197" s="22" t="n">
        <f aca="false">IF(DAY(B197)=1,Assumptions!B38*G197,0)</f>
        <v>0</v>
      </c>
      <c r="P197" s="22" t="n">
        <f aca="false">IF(DAY(B197)=1,Assumptions!B39*G197,0)</f>
        <v>0</v>
      </c>
      <c r="Q197" s="22" t="n">
        <f aca="false">IF(DAY(B197)=1,Assumptions!B40*G197,0)</f>
        <v>0</v>
      </c>
      <c r="R197" s="22" t="n">
        <f aca="false">IF(DAY(B197)=1,Assumptions!B41*G197,0)</f>
        <v>0</v>
      </c>
      <c r="S197" s="22" t="n">
        <f aca="false">IF(AND(DAY(B197)=1,D197&gt;=13),Assumptions!B42*G197,0)</f>
        <v>0</v>
      </c>
      <c r="T197" s="22" t="n">
        <f aca="false">IF(DAY(B197)=1,Assumptions!B43*G197,0)</f>
        <v>0</v>
      </c>
      <c r="U197" s="22" t="n">
        <f aca="false">SUM(O197:T197)</f>
        <v>0</v>
      </c>
      <c r="V197" s="22" t="n">
        <f aca="false">N197-U197</f>
        <v>15600</v>
      </c>
      <c r="W197" s="22" t="n">
        <f aca="false">W196+V197</f>
        <v>-4290100</v>
      </c>
      <c r="X197" s="23" t="str">
        <f aca="false">IF(W197&gt;=0,"YES","No")</f>
        <v>No</v>
      </c>
    </row>
    <row r="198" customFormat="false" ht="15" hidden="false" customHeight="false" outlineLevel="0" collapsed="false">
      <c r="A198" s="16" t="n">
        <v>197</v>
      </c>
      <c r="B198" s="17" t="n">
        <f aca="false">B197+1</f>
        <v>46219</v>
      </c>
      <c r="C198" s="18" t="n">
        <f aca="false">MIN(ROUNDUP(A198/365,0),5)</f>
        <v>1</v>
      </c>
      <c r="D198" s="18" t="n">
        <f aca="false">DATEDIF(Assumptions!B5,B198,"m")+1</f>
        <v>7</v>
      </c>
      <c r="E198" s="18" t="str">
        <f aca="false">TEXT(B198,"ddd")</f>
        <v>Thu</v>
      </c>
      <c r="F198" s="19" t="n">
        <f aca="false">IF(WEEKDAY(B198,2)&gt;=6,Assumptions!B34,Assumptions!B35)</f>
        <v>1</v>
      </c>
      <c r="G198" s="20" t="n">
        <f aca="false">IF(D198&gt;=13,(1+Assumptions!B46)^(D198-12),1)</f>
        <v>1</v>
      </c>
      <c r="H198" s="21" t="n">
        <f aca="false">H197*(1+IF(C198=1,Assumptions!B22,Assumptions!B23))</f>
        <v>18.6595415563677</v>
      </c>
      <c r="I198" s="16" t="n">
        <f aca="false">ROUND(H198*F198,0)</f>
        <v>19</v>
      </c>
      <c r="J198" s="22" t="n">
        <f aca="false">I198*Assumptions!B24</f>
        <v>11400</v>
      </c>
      <c r="K198" s="21" t="n">
        <f aca="false">K197*(1+Assumptions!B30)</f>
        <v>14.010067264659</v>
      </c>
      <c r="L198" s="16" t="n">
        <f aca="false">ROUND(K198*F198,0)</f>
        <v>14</v>
      </c>
      <c r="M198" s="22" t="n">
        <f aca="false">L198*Assumptions!B31</f>
        <v>4200</v>
      </c>
      <c r="N198" s="22" t="n">
        <f aca="false">J198+M198</f>
        <v>15600</v>
      </c>
      <c r="O198" s="22" t="n">
        <f aca="false">IF(DAY(B198)=1,Assumptions!B38*G198,0)</f>
        <v>0</v>
      </c>
      <c r="P198" s="22" t="n">
        <f aca="false">IF(DAY(B198)=1,Assumptions!B39*G198,0)</f>
        <v>0</v>
      </c>
      <c r="Q198" s="22" t="n">
        <f aca="false">IF(DAY(B198)=1,Assumptions!B40*G198,0)</f>
        <v>0</v>
      </c>
      <c r="R198" s="22" t="n">
        <f aca="false">IF(DAY(B198)=1,Assumptions!B41*G198,0)</f>
        <v>0</v>
      </c>
      <c r="S198" s="22" t="n">
        <f aca="false">IF(AND(DAY(B198)=1,D198&gt;=13),Assumptions!B42*G198,0)</f>
        <v>0</v>
      </c>
      <c r="T198" s="22" t="n">
        <f aca="false">IF(DAY(B198)=1,Assumptions!B43*G198,0)</f>
        <v>0</v>
      </c>
      <c r="U198" s="22" t="n">
        <f aca="false">SUM(O198:T198)</f>
        <v>0</v>
      </c>
      <c r="V198" s="22" t="n">
        <f aca="false">N198-U198</f>
        <v>15600</v>
      </c>
      <c r="W198" s="22" t="n">
        <f aca="false">W197+V198</f>
        <v>-4274500</v>
      </c>
      <c r="X198" s="23" t="str">
        <f aca="false">IF(W198&gt;=0,"YES","No")</f>
        <v>No</v>
      </c>
    </row>
    <row r="199" customFormat="false" ht="15" hidden="false" customHeight="false" outlineLevel="0" collapsed="false">
      <c r="A199" s="16" t="n">
        <v>198</v>
      </c>
      <c r="B199" s="17" t="n">
        <f aca="false">B198+1</f>
        <v>46220</v>
      </c>
      <c r="C199" s="18" t="n">
        <f aca="false">MIN(ROUNDUP(A199/365,0),5)</f>
        <v>1</v>
      </c>
      <c r="D199" s="18" t="n">
        <f aca="false">DATEDIF(Assumptions!B5,B199,"m")+1</f>
        <v>7</v>
      </c>
      <c r="E199" s="18" t="str">
        <f aca="false">TEXT(B199,"ddd")</f>
        <v>Fri</v>
      </c>
      <c r="F199" s="19" t="n">
        <f aca="false">IF(WEEKDAY(B199,2)&gt;=6,Assumptions!B34,Assumptions!B35)</f>
        <v>1</v>
      </c>
      <c r="G199" s="20" t="n">
        <f aca="false">IF(D199&gt;=13,(1+Assumptions!B46)^(D199-12),1)</f>
        <v>1</v>
      </c>
      <c r="H199" s="21" t="n">
        <f aca="false">H198*(1+IF(C199=1,Assumptions!B22,Assumptions!B23))</f>
        <v>18.6716844001268</v>
      </c>
      <c r="I199" s="16" t="n">
        <f aca="false">ROUND(H199*F199,0)</f>
        <v>19</v>
      </c>
      <c r="J199" s="22" t="n">
        <f aca="false">I199*Assumptions!B24</f>
        <v>11400</v>
      </c>
      <c r="K199" s="21" t="n">
        <f aca="false">K198*(1+Assumptions!B30)</f>
        <v>14.0146476717418</v>
      </c>
      <c r="L199" s="16" t="n">
        <f aca="false">ROUND(K199*F199,0)</f>
        <v>14</v>
      </c>
      <c r="M199" s="22" t="n">
        <f aca="false">L199*Assumptions!B31</f>
        <v>4200</v>
      </c>
      <c r="N199" s="22" t="n">
        <f aca="false">J199+M199</f>
        <v>15600</v>
      </c>
      <c r="O199" s="22" t="n">
        <f aca="false">IF(DAY(B199)=1,Assumptions!B38*G199,0)</f>
        <v>0</v>
      </c>
      <c r="P199" s="22" t="n">
        <f aca="false">IF(DAY(B199)=1,Assumptions!B39*G199,0)</f>
        <v>0</v>
      </c>
      <c r="Q199" s="22" t="n">
        <f aca="false">IF(DAY(B199)=1,Assumptions!B40*G199,0)</f>
        <v>0</v>
      </c>
      <c r="R199" s="22" t="n">
        <f aca="false">IF(DAY(B199)=1,Assumptions!B41*G199,0)</f>
        <v>0</v>
      </c>
      <c r="S199" s="22" t="n">
        <f aca="false">IF(AND(DAY(B199)=1,D199&gt;=13),Assumptions!B42*G199,0)</f>
        <v>0</v>
      </c>
      <c r="T199" s="22" t="n">
        <f aca="false">IF(DAY(B199)=1,Assumptions!B43*G199,0)</f>
        <v>0</v>
      </c>
      <c r="U199" s="22" t="n">
        <f aca="false">SUM(O199:T199)</f>
        <v>0</v>
      </c>
      <c r="V199" s="22" t="n">
        <f aca="false">N199-U199</f>
        <v>15600</v>
      </c>
      <c r="W199" s="22" t="n">
        <f aca="false">W198+V199</f>
        <v>-4258900</v>
      </c>
      <c r="X199" s="23" t="str">
        <f aca="false">IF(W199&gt;=0,"YES","No")</f>
        <v>No</v>
      </c>
    </row>
    <row r="200" customFormat="false" ht="15" hidden="false" customHeight="false" outlineLevel="0" collapsed="false">
      <c r="A200" s="16" t="n">
        <v>199</v>
      </c>
      <c r="B200" s="17" t="n">
        <f aca="false">B199+1</f>
        <v>46221</v>
      </c>
      <c r="C200" s="18" t="n">
        <f aca="false">MIN(ROUNDUP(A200/365,0),5)</f>
        <v>1</v>
      </c>
      <c r="D200" s="18" t="n">
        <f aca="false">DATEDIF(Assumptions!B5,B200,"m")+1</f>
        <v>7</v>
      </c>
      <c r="E200" s="18" t="str">
        <f aca="false">TEXT(B200,"ddd")</f>
        <v>Sat</v>
      </c>
      <c r="F200" s="19" t="n">
        <f aca="false">IF(WEEKDAY(B200,2)&gt;=6,Assumptions!B34,Assumptions!B35)</f>
        <v>0.6</v>
      </c>
      <c r="G200" s="20" t="n">
        <f aca="false">IF(D200&gt;=13,(1+Assumptions!B46)^(D200-12),1)</f>
        <v>1</v>
      </c>
      <c r="H200" s="21" t="n">
        <f aca="false">H199*(1+IF(C200=1,Assumptions!B22,Assumptions!B23))</f>
        <v>18.6838351459372</v>
      </c>
      <c r="I200" s="16" t="n">
        <f aca="false">ROUND(H200*F200,0)</f>
        <v>11</v>
      </c>
      <c r="J200" s="22" t="n">
        <f aca="false">I200*Assumptions!B24</f>
        <v>6600</v>
      </c>
      <c r="K200" s="21" t="n">
        <f aca="false">K199*(1+Assumptions!B30)</f>
        <v>14.0192295763284</v>
      </c>
      <c r="L200" s="16" t="n">
        <f aca="false">ROUND(K200*F200,0)</f>
        <v>8</v>
      </c>
      <c r="M200" s="22" t="n">
        <f aca="false">L200*Assumptions!B31</f>
        <v>2400</v>
      </c>
      <c r="N200" s="22" t="n">
        <f aca="false">J200+M200</f>
        <v>9000</v>
      </c>
      <c r="O200" s="22" t="n">
        <f aca="false">IF(DAY(B200)=1,Assumptions!B38*G200,0)</f>
        <v>0</v>
      </c>
      <c r="P200" s="22" t="n">
        <f aca="false">IF(DAY(B200)=1,Assumptions!B39*G200,0)</f>
        <v>0</v>
      </c>
      <c r="Q200" s="22" t="n">
        <f aca="false">IF(DAY(B200)=1,Assumptions!B40*G200,0)</f>
        <v>0</v>
      </c>
      <c r="R200" s="22" t="n">
        <f aca="false">IF(DAY(B200)=1,Assumptions!B41*G200,0)</f>
        <v>0</v>
      </c>
      <c r="S200" s="22" t="n">
        <f aca="false">IF(AND(DAY(B200)=1,D200&gt;=13),Assumptions!B42*G200,0)</f>
        <v>0</v>
      </c>
      <c r="T200" s="22" t="n">
        <f aca="false">IF(DAY(B200)=1,Assumptions!B43*G200,0)</f>
        <v>0</v>
      </c>
      <c r="U200" s="22" t="n">
        <f aca="false">SUM(O200:T200)</f>
        <v>0</v>
      </c>
      <c r="V200" s="22" t="n">
        <f aca="false">N200-U200</f>
        <v>9000</v>
      </c>
      <c r="W200" s="22" t="n">
        <f aca="false">W199+V200</f>
        <v>-4249900</v>
      </c>
      <c r="X200" s="23" t="str">
        <f aca="false">IF(W200&gt;=0,"YES","No")</f>
        <v>No</v>
      </c>
    </row>
    <row r="201" customFormat="false" ht="15" hidden="false" customHeight="false" outlineLevel="0" collapsed="false">
      <c r="A201" s="16" t="n">
        <v>200</v>
      </c>
      <c r="B201" s="17" t="n">
        <f aca="false">B200+1</f>
        <v>46222</v>
      </c>
      <c r="C201" s="18" t="n">
        <f aca="false">MIN(ROUNDUP(A201/365,0),5)</f>
        <v>1</v>
      </c>
      <c r="D201" s="18" t="n">
        <f aca="false">DATEDIF(Assumptions!B5,B201,"m")+1</f>
        <v>7</v>
      </c>
      <c r="E201" s="18" t="str">
        <f aca="false">TEXT(B201,"ddd")</f>
        <v>Sun</v>
      </c>
      <c r="F201" s="19" t="n">
        <f aca="false">IF(WEEKDAY(B201,2)&gt;=6,Assumptions!B34,Assumptions!B35)</f>
        <v>0.6</v>
      </c>
      <c r="G201" s="20" t="n">
        <f aca="false">IF(D201&gt;=13,(1+Assumptions!B46)^(D201-12),1)</f>
        <v>1</v>
      </c>
      <c r="H201" s="21" t="n">
        <f aca="false">H200*(1+IF(C201=1,Assumptions!B22,Assumptions!B23))</f>
        <v>18.6959937989413</v>
      </c>
      <c r="I201" s="16" t="n">
        <f aca="false">ROUND(H201*F201,0)</f>
        <v>11</v>
      </c>
      <c r="J201" s="22" t="n">
        <f aca="false">I201*Assumptions!B24</f>
        <v>6600</v>
      </c>
      <c r="K201" s="21" t="n">
        <f aca="false">K200*(1+Assumptions!B30)</f>
        <v>14.0238129789084</v>
      </c>
      <c r="L201" s="16" t="n">
        <f aca="false">ROUND(K201*F201,0)</f>
        <v>8</v>
      </c>
      <c r="M201" s="22" t="n">
        <f aca="false">L201*Assumptions!B31</f>
        <v>2400</v>
      </c>
      <c r="N201" s="22" t="n">
        <f aca="false">J201+M201</f>
        <v>9000</v>
      </c>
      <c r="O201" s="22" t="n">
        <f aca="false">IF(DAY(B201)=1,Assumptions!B38*G201,0)</f>
        <v>0</v>
      </c>
      <c r="P201" s="22" t="n">
        <f aca="false">IF(DAY(B201)=1,Assumptions!B39*G201,0)</f>
        <v>0</v>
      </c>
      <c r="Q201" s="22" t="n">
        <f aca="false">IF(DAY(B201)=1,Assumptions!B40*G201,0)</f>
        <v>0</v>
      </c>
      <c r="R201" s="22" t="n">
        <f aca="false">IF(DAY(B201)=1,Assumptions!B41*G201,0)</f>
        <v>0</v>
      </c>
      <c r="S201" s="22" t="n">
        <f aca="false">IF(AND(DAY(B201)=1,D201&gt;=13),Assumptions!B42*G201,0)</f>
        <v>0</v>
      </c>
      <c r="T201" s="22" t="n">
        <f aca="false">IF(DAY(B201)=1,Assumptions!B43*G201,0)</f>
        <v>0</v>
      </c>
      <c r="U201" s="22" t="n">
        <f aca="false">SUM(O201:T201)</f>
        <v>0</v>
      </c>
      <c r="V201" s="22" t="n">
        <f aca="false">N201-U201</f>
        <v>9000</v>
      </c>
      <c r="W201" s="22" t="n">
        <f aca="false">W200+V201</f>
        <v>-4240900</v>
      </c>
      <c r="X201" s="23" t="str">
        <f aca="false">IF(W201&gt;=0,"YES","No")</f>
        <v>No</v>
      </c>
    </row>
    <row r="202" customFormat="false" ht="15" hidden="false" customHeight="false" outlineLevel="0" collapsed="false">
      <c r="A202" s="16" t="n">
        <v>201</v>
      </c>
      <c r="B202" s="17" t="n">
        <f aca="false">B201+1</f>
        <v>46223</v>
      </c>
      <c r="C202" s="18" t="n">
        <f aca="false">MIN(ROUNDUP(A202/365,0),5)</f>
        <v>1</v>
      </c>
      <c r="D202" s="18" t="n">
        <f aca="false">DATEDIF(Assumptions!B5,B202,"m")+1</f>
        <v>7</v>
      </c>
      <c r="E202" s="18" t="str">
        <f aca="false">TEXT(B202,"ddd")</f>
        <v>Mon</v>
      </c>
      <c r="F202" s="19" t="n">
        <f aca="false">IF(WEEKDAY(B202,2)&gt;=6,Assumptions!B34,Assumptions!B35)</f>
        <v>1</v>
      </c>
      <c r="G202" s="20" t="n">
        <f aca="false">IF(D202&gt;=13,(1+Assumptions!B46)^(D202-12),1)</f>
        <v>1</v>
      </c>
      <c r="H202" s="21" t="n">
        <f aca="false">H201*(1+IF(C202=1,Assumptions!B22,Assumptions!B23))</f>
        <v>18.7081603642846</v>
      </c>
      <c r="I202" s="16" t="n">
        <f aca="false">ROUND(H202*F202,0)</f>
        <v>19</v>
      </c>
      <c r="J202" s="22" t="n">
        <f aca="false">I202*Assumptions!B24</f>
        <v>11400</v>
      </c>
      <c r="K202" s="21" t="n">
        <f aca="false">K201*(1+Assumptions!B30)</f>
        <v>14.0283978799715</v>
      </c>
      <c r="L202" s="16" t="n">
        <f aca="false">ROUND(K202*F202,0)</f>
        <v>14</v>
      </c>
      <c r="M202" s="22" t="n">
        <f aca="false">L202*Assumptions!B31</f>
        <v>4200</v>
      </c>
      <c r="N202" s="22" t="n">
        <f aca="false">J202+M202</f>
        <v>15600</v>
      </c>
      <c r="O202" s="22" t="n">
        <f aca="false">IF(DAY(B202)=1,Assumptions!B38*G202,0)</f>
        <v>0</v>
      </c>
      <c r="P202" s="22" t="n">
        <f aca="false">IF(DAY(B202)=1,Assumptions!B39*G202,0)</f>
        <v>0</v>
      </c>
      <c r="Q202" s="22" t="n">
        <f aca="false">IF(DAY(B202)=1,Assumptions!B40*G202,0)</f>
        <v>0</v>
      </c>
      <c r="R202" s="22" t="n">
        <f aca="false">IF(DAY(B202)=1,Assumptions!B41*G202,0)</f>
        <v>0</v>
      </c>
      <c r="S202" s="22" t="n">
        <f aca="false">IF(AND(DAY(B202)=1,D202&gt;=13),Assumptions!B42*G202,0)</f>
        <v>0</v>
      </c>
      <c r="T202" s="22" t="n">
        <f aca="false">IF(DAY(B202)=1,Assumptions!B43*G202,0)</f>
        <v>0</v>
      </c>
      <c r="U202" s="22" t="n">
        <f aca="false">SUM(O202:T202)</f>
        <v>0</v>
      </c>
      <c r="V202" s="22" t="n">
        <f aca="false">N202-U202</f>
        <v>15600</v>
      </c>
      <c r="W202" s="22" t="n">
        <f aca="false">W201+V202</f>
        <v>-4225300</v>
      </c>
      <c r="X202" s="23" t="str">
        <f aca="false">IF(W202&gt;=0,"YES","No")</f>
        <v>No</v>
      </c>
    </row>
    <row r="203" customFormat="false" ht="15" hidden="false" customHeight="false" outlineLevel="0" collapsed="false">
      <c r="A203" s="16" t="n">
        <v>202</v>
      </c>
      <c r="B203" s="17" t="n">
        <f aca="false">B202+1</f>
        <v>46224</v>
      </c>
      <c r="C203" s="18" t="n">
        <f aca="false">MIN(ROUNDUP(A203/365,0),5)</f>
        <v>1</v>
      </c>
      <c r="D203" s="18" t="n">
        <f aca="false">DATEDIF(Assumptions!B5,B203,"m")+1</f>
        <v>7</v>
      </c>
      <c r="E203" s="18" t="str">
        <f aca="false">TEXT(B203,"ddd")</f>
        <v>Tue</v>
      </c>
      <c r="F203" s="19" t="n">
        <f aca="false">IF(WEEKDAY(B203,2)&gt;=6,Assumptions!B34,Assumptions!B35)</f>
        <v>1</v>
      </c>
      <c r="G203" s="20" t="n">
        <f aca="false">IF(D203&gt;=13,(1+Assumptions!B46)^(D203-12),1)</f>
        <v>1</v>
      </c>
      <c r="H203" s="21" t="n">
        <f aca="false">H202*(1+IF(C203=1,Assumptions!B22,Assumptions!B23))</f>
        <v>18.7203348471162</v>
      </c>
      <c r="I203" s="16" t="n">
        <f aca="false">ROUND(H203*F203,0)</f>
        <v>19</v>
      </c>
      <c r="J203" s="22" t="n">
        <f aca="false">I203*Assumptions!B24</f>
        <v>11400</v>
      </c>
      <c r="K203" s="21" t="n">
        <f aca="false">K202*(1+Assumptions!B30)</f>
        <v>14.0329842800077</v>
      </c>
      <c r="L203" s="16" t="n">
        <f aca="false">ROUND(K203*F203,0)</f>
        <v>14</v>
      </c>
      <c r="M203" s="22" t="n">
        <f aca="false">L203*Assumptions!B31</f>
        <v>4200</v>
      </c>
      <c r="N203" s="22" t="n">
        <f aca="false">J203+M203</f>
        <v>15600</v>
      </c>
      <c r="O203" s="22" t="n">
        <f aca="false">IF(DAY(B203)=1,Assumptions!B38*G203,0)</f>
        <v>0</v>
      </c>
      <c r="P203" s="22" t="n">
        <f aca="false">IF(DAY(B203)=1,Assumptions!B39*G203,0)</f>
        <v>0</v>
      </c>
      <c r="Q203" s="22" t="n">
        <f aca="false">IF(DAY(B203)=1,Assumptions!B40*G203,0)</f>
        <v>0</v>
      </c>
      <c r="R203" s="22" t="n">
        <f aca="false">IF(DAY(B203)=1,Assumptions!B41*G203,0)</f>
        <v>0</v>
      </c>
      <c r="S203" s="22" t="n">
        <f aca="false">IF(AND(DAY(B203)=1,D203&gt;=13),Assumptions!B42*G203,0)</f>
        <v>0</v>
      </c>
      <c r="T203" s="22" t="n">
        <f aca="false">IF(DAY(B203)=1,Assumptions!B43*G203,0)</f>
        <v>0</v>
      </c>
      <c r="U203" s="22" t="n">
        <f aca="false">SUM(O203:T203)</f>
        <v>0</v>
      </c>
      <c r="V203" s="22" t="n">
        <f aca="false">N203-U203</f>
        <v>15600</v>
      </c>
      <c r="W203" s="22" t="n">
        <f aca="false">W202+V203</f>
        <v>-4209700</v>
      </c>
      <c r="X203" s="23" t="str">
        <f aca="false">IF(W203&gt;=0,"YES","No")</f>
        <v>No</v>
      </c>
    </row>
    <row r="204" customFormat="false" ht="15" hidden="false" customHeight="false" outlineLevel="0" collapsed="false">
      <c r="A204" s="16" t="n">
        <v>203</v>
      </c>
      <c r="B204" s="17" t="n">
        <f aca="false">B203+1</f>
        <v>46225</v>
      </c>
      <c r="C204" s="18" t="n">
        <f aca="false">MIN(ROUNDUP(A204/365,0),5)</f>
        <v>1</v>
      </c>
      <c r="D204" s="18" t="n">
        <f aca="false">DATEDIF(Assumptions!B5,B204,"m")+1</f>
        <v>7</v>
      </c>
      <c r="E204" s="18" t="str">
        <f aca="false">TEXT(B204,"ddd")</f>
        <v>Wed</v>
      </c>
      <c r="F204" s="19" t="n">
        <f aca="false">IF(WEEKDAY(B204,2)&gt;=6,Assumptions!B34,Assumptions!B35)</f>
        <v>1</v>
      </c>
      <c r="G204" s="20" t="n">
        <f aca="false">IF(D204&gt;=13,(1+Assumptions!B46)^(D204-12),1)</f>
        <v>1</v>
      </c>
      <c r="H204" s="21" t="n">
        <f aca="false">H203*(1+IF(C204=1,Assumptions!B22,Assumptions!B23))</f>
        <v>18.7325172525885</v>
      </c>
      <c r="I204" s="16" t="n">
        <f aca="false">ROUND(H204*F204,0)</f>
        <v>19</v>
      </c>
      <c r="J204" s="22" t="n">
        <f aca="false">I204*Assumptions!B24</f>
        <v>11400</v>
      </c>
      <c r="K204" s="21" t="n">
        <f aca="false">K203*(1+Assumptions!B30)</f>
        <v>14.037572179507</v>
      </c>
      <c r="L204" s="16" t="n">
        <f aca="false">ROUND(K204*F204,0)</f>
        <v>14</v>
      </c>
      <c r="M204" s="22" t="n">
        <f aca="false">L204*Assumptions!B31</f>
        <v>4200</v>
      </c>
      <c r="N204" s="22" t="n">
        <f aca="false">J204+M204</f>
        <v>15600</v>
      </c>
      <c r="O204" s="22" t="n">
        <f aca="false">IF(DAY(B204)=1,Assumptions!B38*G204,0)</f>
        <v>0</v>
      </c>
      <c r="P204" s="22" t="n">
        <f aca="false">IF(DAY(B204)=1,Assumptions!B39*G204,0)</f>
        <v>0</v>
      </c>
      <c r="Q204" s="22" t="n">
        <f aca="false">IF(DAY(B204)=1,Assumptions!B40*G204,0)</f>
        <v>0</v>
      </c>
      <c r="R204" s="22" t="n">
        <f aca="false">IF(DAY(B204)=1,Assumptions!B41*G204,0)</f>
        <v>0</v>
      </c>
      <c r="S204" s="22" t="n">
        <f aca="false">IF(AND(DAY(B204)=1,D204&gt;=13),Assumptions!B42*G204,0)</f>
        <v>0</v>
      </c>
      <c r="T204" s="22" t="n">
        <f aca="false">IF(DAY(B204)=1,Assumptions!B43*G204,0)</f>
        <v>0</v>
      </c>
      <c r="U204" s="22" t="n">
        <f aca="false">SUM(O204:T204)</f>
        <v>0</v>
      </c>
      <c r="V204" s="22" t="n">
        <f aca="false">N204-U204</f>
        <v>15600</v>
      </c>
      <c r="W204" s="22" t="n">
        <f aca="false">W203+V204</f>
        <v>-4194100</v>
      </c>
      <c r="X204" s="23" t="str">
        <f aca="false">IF(W204&gt;=0,"YES","No")</f>
        <v>No</v>
      </c>
    </row>
    <row r="205" customFormat="false" ht="15" hidden="false" customHeight="false" outlineLevel="0" collapsed="false">
      <c r="A205" s="16" t="n">
        <v>204</v>
      </c>
      <c r="B205" s="17" t="n">
        <f aca="false">B204+1</f>
        <v>46226</v>
      </c>
      <c r="C205" s="18" t="n">
        <f aca="false">MIN(ROUNDUP(A205/365,0),5)</f>
        <v>1</v>
      </c>
      <c r="D205" s="18" t="n">
        <f aca="false">DATEDIF(Assumptions!B5,B205,"m")+1</f>
        <v>7</v>
      </c>
      <c r="E205" s="18" t="str">
        <f aca="false">TEXT(B205,"ddd")</f>
        <v>Thu</v>
      </c>
      <c r="F205" s="19" t="n">
        <f aca="false">IF(WEEKDAY(B205,2)&gt;=6,Assumptions!B34,Assumptions!B35)</f>
        <v>1</v>
      </c>
      <c r="G205" s="20" t="n">
        <f aca="false">IF(D205&gt;=13,(1+Assumptions!B46)^(D205-12),1)</f>
        <v>1</v>
      </c>
      <c r="H205" s="21" t="n">
        <f aca="false">H204*(1+IF(C205=1,Assumptions!B22,Assumptions!B23))</f>
        <v>18.7447075858571</v>
      </c>
      <c r="I205" s="16" t="n">
        <f aca="false">ROUND(H205*F205,0)</f>
        <v>19</v>
      </c>
      <c r="J205" s="22" t="n">
        <f aca="false">I205*Assumptions!B24</f>
        <v>11400</v>
      </c>
      <c r="K205" s="21" t="n">
        <f aca="false">K204*(1+Assumptions!B30)</f>
        <v>14.0421615789596</v>
      </c>
      <c r="L205" s="16" t="n">
        <f aca="false">ROUND(K205*F205,0)</f>
        <v>14</v>
      </c>
      <c r="M205" s="22" t="n">
        <f aca="false">L205*Assumptions!B31</f>
        <v>4200</v>
      </c>
      <c r="N205" s="22" t="n">
        <f aca="false">J205+M205</f>
        <v>15600</v>
      </c>
      <c r="O205" s="22" t="n">
        <f aca="false">IF(DAY(B205)=1,Assumptions!B38*G205,0)</f>
        <v>0</v>
      </c>
      <c r="P205" s="22" t="n">
        <f aca="false">IF(DAY(B205)=1,Assumptions!B39*G205,0)</f>
        <v>0</v>
      </c>
      <c r="Q205" s="22" t="n">
        <f aca="false">IF(DAY(B205)=1,Assumptions!B40*G205,0)</f>
        <v>0</v>
      </c>
      <c r="R205" s="22" t="n">
        <f aca="false">IF(DAY(B205)=1,Assumptions!B41*G205,0)</f>
        <v>0</v>
      </c>
      <c r="S205" s="22" t="n">
        <f aca="false">IF(AND(DAY(B205)=1,D205&gt;=13),Assumptions!B42*G205,0)</f>
        <v>0</v>
      </c>
      <c r="T205" s="22" t="n">
        <f aca="false">IF(DAY(B205)=1,Assumptions!B43*G205,0)</f>
        <v>0</v>
      </c>
      <c r="U205" s="22" t="n">
        <f aca="false">SUM(O205:T205)</f>
        <v>0</v>
      </c>
      <c r="V205" s="22" t="n">
        <f aca="false">N205-U205</f>
        <v>15600</v>
      </c>
      <c r="W205" s="22" t="n">
        <f aca="false">W204+V205</f>
        <v>-4178500</v>
      </c>
      <c r="X205" s="23" t="str">
        <f aca="false">IF(W205&gt;=0,"YES","No")</f>
        <v>No</v>
      </c>
    </row>
    <row r="206" customFormat="false" ht="15" hidden="false" customHeight="false" outlineLevel="0" collapsed="false">
      <c r="A206" s="16" t="n">
        <v>205</v>
      </c>
      <c r="B206" s="17" t="n">
        <f aca="false">B205+1</f>
        <v>46227</v>
      </c>
      <c r="C206" s="18" t="n">
        <f aca="false">MIN(ROUNDUP(A206/365,0),5)</f>
        <v>1</v>
      </c>
      <c r="D206" s="18" t="n">
        <f aca="false">DATEDIF(Assumptions!B5,B206,"m")+1</f>
        <v>7</v>
      </c>
      <c r="E206" s="18" t="str">
        <f aca="false">TEXT(B206,"ddd")</f>
        <v>Fri</v>
      </c>
      <c r="F206" s="19" t="n">
        <f aca="false">IF(WEEKDAY(B206,2)&gt;=6,Assumptions!B34,Assumptions!B35)</f>
        <v>1</v>
      </c>
      <c r="G206" s="20" t="n">
        <f aca="false">IF(D206&gt;=13,(1+Assumptions!B46)^(D206-12),1)</f>
        <v>1</v>
      </c>
      <c r="H206" s="21" t="n">
        <f aca="false">H205*(1+IF(C206=1,Assumptions!B22,Assumptions!B23))</f>
        <v>18.7569058520813</v>
      </c>
      <c r="I206" s="16" t="n">
        <f aca="false">ROUND(H206*F206,0)</f>
        <v>19</v>
      </c>
      <c r="J206" s="22" t="n">
        <f aca="false">I206*Assumptions!B24</f>
        <v>11400</v>
      </c>
      <c r="K206" s="21" t="n">
        <f aca="false">K205*(1+Assumptions!B30)</f>
        <v>14.046752478856</v>
      </c>
      <c r="L206" s="16" t="n">
        <f aca="false">ROUND(K206*F206,0)</f>
        <v>14</v>
      </c>
      <c r="M206" s="22" t="n">
        <f aca="false">L206*Assumptions!B31</f>
        <v>4200</v>
      </c>
      <c r="N206" s="22" t="n">
        <f aca="false">J206+M206</f>
        <v>15600</v>
      </c>
      <c r="O206" s="22" t="n">
        <f aca="false">IF(DAY(B206)=1,Assumptions!B38*G206,0)</f>
        <v>0</v>
      </c>
      <c r="P206" s="22" t="n">
        <f aca="false">IF(DAY(B206)=1,Assumptions!B39*G206,0)</f>
        <v>0</v>
      </c>
      <c r="Q206" s="22" t="n">
        <f aca="false">IF(DAY(B206)=1,Assumptions!B40*G206,0)</f>
        <v>0</v>
      </c>
      <c r="R206" s="22" t="n">
        <f aca="false">IF(DAY(B206)=1,Assumptions!B41*G206,0)</f>
        <v>0</v>
      </c>
      <c r="S206" s="22" t="n">
        <f aca="false">IF(AND(DAY(B206)=1,D206&gt;=13),Assumptions!B42*G206,0)</f>
        <v>0</v>
      </c>
      <c r="T206" s="22" t="n">
        <f aca="false">IF(DAY(B206)=1,Assumptions!B43*G206,0)</f>
        <v>0</v>
      </c>
      <c r="U206" s="22" t="n">
        <f aca="false">SUM(O206:T206)</f>
        <v>0</v>
      </c>
      <c r="V206" s="22" t="n">
        <f aca="false">N206-U206</f>
        <v>15600</v>
      </c>
      <c r="W206" s="22" t="n">
        <f aca="false">W205+V206</f>
        <v>-4162900</v>
      </c>
      <c r="X206" s="23" t="str">
        <f aca="false">IF(W206&gt;=0,"YES","No")</f>
        <v>No</v>
      </c>
    </row>
    <row r="207" customFormat="false" ht="15" hidden="false" customHeight="false" outlineLevel="0" collapsed="false">
      <c r="A207" s="16" t="n">
        <v>206</v>
      </c>
      <c r="B207" s="17" t="n">
        <f aca="false">B206+1</f>
        <v>46228</v>
      </c>
      <c r="C207" s="18" t="n">
        <f aca="false">MIN(ROUNDUP(A207/365,0),5)</f>
        <v>1</v>
      </c>
      <c r="D207" s="18" t="n">
        <f aca="false">DATEDIF(Assumptions!B5,B207,"m")+1</f>
        <v>7</v>
      </c>
      <c r="E207" s="18" t="str">
        <f aca="false">TEXT(B207,"ddd")</f>
        <v>Sat</v>
      </c>
      <c r="F207" s="19" t="n">
        <f aca="false">IF(WEEKDAY(B207,2)&gt;=6,Assumptions!B34,Assumptions!B35)</f>
        <v>0.6</v>
      </c>
      <c r="G207" s="20" t="n">
        <f aca="false">IF(D207&gt;=13,(1+Assumptions!B46)^(D207-12),1)</f>
        <v>1</v>
      </c>
      <c r="H207" s="21" t="n">
        <f aca="false">H206*(1+IF(C207=1,Assumptions!B22,Assumptions!B23))</f>
        <v>18.7691120564233</v>
      </c>
      <c r="I207" s="16" t="n">
        <f aca="false">ROUND(H207*F207,0)</f>
        <v>11</v>
      </c>
      <c r="J207" s="22" t="n">
        <f aca="false">I207*Assumptions!B24</f>
        <v>6600</v>
      </c>
      <c r="K207" s="21" t="n">
        <f aca="false">K206*(1+Assumptions!B30)</f>
        <v>14.0513448796867</v>
      </c>
      <c r="L207" s="16" t="n">
        <f aca="false">ROUND(K207*F207,0)</f>
        <v>8</v>
      </c>
      <c r="M207" s="22" t="n">
        <f aca="false">L207*Assumptions!B31</f>
        <v>2400</v>
      </c>
      <c r="N207" s="22" t="n">
        <f aca="false">J207+M207</f>
        <v>9000</v>
      </c>
      <c r="O207" s="22" t="n">
        <f aca="false">IF(DAY(B207)=1,Assumptions!B38*G207,0)</f>
        <v>0</v>
      </c>
      <c r="P207" s="22" t="n">
        <f aca="false">IF(DAY(B207)=1,Assumptions!B39*G207,0)</f>
        <v>0</v>
      </c>
      <c r="Q207" s="22" t="n">
        <f aca="false">IF(DAY(B207)=1,Assumptions!B40*G207,0)</f>
        <v>0</v>
      </c>
      <c r="R207" s="22" t="n">
        <f aca="false">IF(DAY(B207)=1,Assumptions!B41*G207,0)</f>
        <v>0</v>
      </c>
      <c r="S207" s="22" t="n">
        <f aca="false">IF(AND(DAY(B207)=1,D207&gt;=13),Assumptions!B42*G207,0)</f>
        <v>0</v>
      </c>
      <c r="T207" s="22" t="n">
        <f aca="false">IF(DAY(B207)=1,Assumptions!B43*G207,0)</f>
        <v>0</v>
      </c>
      <c r="U207" s="22" t="n">
        <f aca="false">SUM(O207:T207)</f>
        <v>0</v>
      </c>
      <c r="V207" s="22" t="n">
        <f aca="false">N207-U207</f>
        <v>9000</v>
      </c>
      <c r="W207" s="22" t="n">
        <f aca="false">W206+V207</f>
        <v>-4153900</v>
      </c>
      <c r="X207" s="23" t="str">
        <f aca="false">IF(W207&gt;=0,"YES","No")</f>
        <v>No</v>
      </c>
    </row>
    <row r="208" customFormat="false" ht="15" hidden="false" customHeight="false" outlineLevel="0" collapsed="false">
      <c r="A208" s="16" t="n">
        <v>207</v>
      </c>
      <c r="B208" s="17" t="n">
        <f aca="false">B207+1</f>
        <v>46229</v>
      </c>
      <c r="C208" s="18" t="n">
        <f aca="false">MIN(ROUNDUP(A208/365,0),5)</f>
        <v>1</v>
      </c>
      <c r="D208" s="18" t="n">
        <f aca="false">DATEDIF(Assumptions!B5,B208,"m")+1</f>
        <v>7</v>
      </c>
      <c r="E208" s="18" t="str">
        <f aca="false">TEXT(B208,"ddd")</f>
        <v>Sun</v>
      </c>
      <c r="F208" s="19" t="n">
        <f aca="false">IF(WEEKDAY(B208,2)&gt;=6,Assumptions!B34,Assumptions!B35)</f>
        <v>0.6</v>
      </c>
      <c r="G208" s="20" t="n">
        <f aca="false">IF(D208&gt;=13,(1+Assumptions!B46)^(D208-12),1)</f>
        <v>1</v>
      </c>
      <c r="H208" s="21" t="n">
        <f aca="false">H207*(1+IF(C208=1,Assumptions!B22,Assumptions!B23))</f>
        <v>18.7813262040491</v>
      </c>
      <c r="I208" s="16" t="n">
        <f aca="false">ROUND(H208*F208,0)</f>
        <v>11</v>
      </c>
      <c r="J208" s="22" t="n">
        <f aca="false">I208*Assumptions!B24</f>
        <v>6600</v>
      </c>
      <c r="K208" s="21" t="n">
        <f aca="false">K207*(1+Assumptions!B30)</f>
        <v>14.0559387819424</v>
      </c>
      <c r="L208" s="16" t="n">
        <f aca="false">ROUND(K208*F208,0)</f>
        <v>8</v>
      </c>
      <c r="M208" s="22" t="n">
        <f aca="false">L208*Assumptions!B31</f>
        <v>2400</v>
      </c>
      <c r="N208" s="22" t="n">
        <f aca="false">J208+M208</f>
        <v>9000</v>
      </c>
      <c r="O208" s="22" t="n">
        <f aca="false">IF(DAY(B208)=1,Assumptions!B38*G208,0)</f>
        <v>0</v>
      </c>
      <c r="P208" s="22" t="n">
        <f aca="false">IF(DAY(B208)=1,Assumptions!B39*G208,0)</f>
        <v>0</v>
      </c>
      <c r="Q208" s="22" t="n">
        <f aca="false">IF(DAY(B208)=1,Assumptions!B40*G208,0)</f>
        <v>0</v>
      </c>
      <c r="R208" s="22" t="n">
        <f aca="false">IF(DAY(B208)=1,Assumptions!B41*G208,0)</f>
        <v>0</v>
      </c>
      <c r="S208" s="22" t="n">
        <f aca="false">IF(AND(DAY(B208)=1,D208&gt;=13),Assumptions!B42*G208,0)</f>
        <v>0</v>
      </c>
      <c r="T208" s="22" t="n">
        <f aca="false">IF(DAY(B208)=1,Assumptions!B43*G208,0)</f>
        <v>0</v>
      </c>
      <c r="U208" s="22" t="n">
        <f aca="false">SUM(O208:T208)</f>
        <v>0</v>
      </c>
      <c r="V208" s="22" t="n">
        <f aca="false">N208-U208</f>
        <v>9000</v>
      </c>
      <c r="W208" s="22" t="n">
        <f aca="false">W207+V208</f>
        <v>-4144900</v>
      </c>
      <c r="X208" s="23" t="str">
        <f aca="false">IF(W208&gt;=0,"YES","No")</f>
        <v>No</v>
      </c>
    </row>
    <row r="209" customFormat="false" ht="15" hidden="false" customHeight="false" outlineLevel="0" collapsed="false">
      <c r="A209" s="16" t="n">
        <v>208</v>
      </c>
      <c r="B209" s="17" t="n">
        <f aca="false">B208+1</f>
        <v>46230</v>
      </c>
      <c r="C209" s="18" t="n">
        <f aca="false">MIN(ROUNDUP(A209/365,0),5)</f>
        <v>1</v>
      </c>
      <c r="D209" s="18" t="n">
        <f aca="false">DATEDIF(Assumptions!B5,B209,"m")+1</f>
        <v>7</v>
      </c>
      <c r="E209" s="18" t="str">
        <f aca="false">TEXT(B209,"ddd")</f>
        <v>Mon</v>
      </c>
      <c r="F209" s="19" t="n">
        <f aca="false">IF(WEEKDAY(B209,2)&gt;=6,Assumptions!B34,Assumptions!B35)</f>
        <v>1</v>
      </c>
      <c r="G209" s="20" t="n">
        <f aca="false">IF(D209&gt;=13,(1+Assumptions!B46)^(D209-12),1)</f>
        <v>1</v>
      </c>
      <c r="H209" s="21" t="n">
        <f aca="false">H208*(1+IF(C209=1,Assumptions!B22,Assumptions!B23))</f>
        <v>18.7935483001277</v>
      </c>
      <c r="I209" s="16" t="n">
        <f aca="false">ROUND(H209*F209,0)</f>
        <v>19</v>
      </c>
      <c r="J209" s="22" t="n">
        <f aca="false">I209*Assumptions!B24</f>
        <v>11400</v>
      </c>
      <c r="K209" s="21" t="n">
        <f aca="false">K208*(1+Assumptions!B30)</f>
        <v>14.060534186114</v>
      </c>
      <c r="L209" s="16" t="n">
        <f aca="false">ROUND(K209*F209,0)</f>
        <v>14</v>
      </c>
      <c r="M209" s="22" t="n">
        <f aca="false">L209*Assumptions!B31</f>
        <v>4200</v>
      </c>
      <c r="N209" s="22" t="n">
        <f aca="false">J209+M209</f>
        <v>15600</v>
      </c>
      <c r="O209" s="22" t="n">
        <f aca="false">IF(DAY(B209)=1,Assumptions!B38*G209,0)</f>
        <v>0</v>
      </c>
      <c r="P209" s="22" t="n">
        <f aca="false">IF(DAY(B209)=1,Assumptions!B39*G209,0)</f>
        <v>0</v>
      </c>
      <c r="Q209" s="22" t="n">
        <f aca="false">IF(DAY(B209)=1,Assumptions!B40*G209,0)</f>
        <v>0</v>
      </c>
      <c r="R209" s="22" t="n">
        <f aca="false">IF(DAY(B209)=1,Assumptions!B41*G209,0)</f>
        <v>0</v>
      </c>
      <c r="S209" s="22" t="n">
        <f aca="false">IF(AND(DAY(B209)=1,D209&gt;=13),Assumptions!B42*G209,0)</f>
        <v>0</v>
      </c>
      <c r="T209" s="22" t="n">
        <f aca="false">IF(DAY(B209)=1,Assumptions!B43*G209,0)</f>
        <v>0</v>
      </c>
      <c r="U209" s="22" t="n">
        <f aca="false">SUM(O209:T209)</f>
        <v>0</v>
      </c>
      <c r="V209" s="22" t="n">
        <f aca="false">N209-U209</f>
        <v>15600</v>
      </c>
      <c r="W209" s="22" t="n">
        <f aca="false">W208+V209</f>
        <v>-4129300</v>
      </c>
      <c r="X209" s="23" t="str">
        <f aca="false">IF(W209&gt;=0,"YES","No")</f>
        <v>No</v>
      </c>
    </row>
    <row r="210" customFormat="false" ht="15" hidden="false" customHeight="false" outlineLevel="0" collapsed="false">
      <c r="A210" s="16" t="n">
        <v>209</v>
      </c>
      <c r="B210" s="17" t="n">
        <f aca="false">B209+1</f>
        <v>46231</v>
      </c>
      <c r="C210" s="18" t="n">
        <f aca="false">MIN(ROUNDUP(A210/365,0),5)</f>
        <v>1</v>
      </c>
      <c r="D210" s="18" t="n">
        <f aca="false">DATEDIF(Assumptions!B5,B210,"m")+1</f>
        <v>7</v>
      </c>
      <c r="E210" s="18" t="str">
        <f aca="false">TEXT(B210,"ddd")</f>
        <v>Tue</v>
      </c>
      <c r="F210" s="19" t="n">
        <f aca="false">IF(WEEKDAY(B210,2)&gt;=6,Assumptions!B34,Assumptions!B35)</f>
        <v>1</v>
      </c>
      <c r="G210" s="20" t="n">
        <f aca="false">IF(D210&gt;=13,(1+Assumptions!B46)^(D210-12),1)</f>
        <v>1</v>
      </c>
      <c r="H210" s="21" t="n">
        <f aca="false">H209*(1+IF(C210=1,Assumptions!B22,Assumptions!B23))</f>
        <v>18.8057783498316</v>
      </c>
      <c r="I210" s="16" t="n">
        <f aca="false">ROUND(H210*F210,0)</f>
        <v>19</v>
      </c>
      <c r="J210" s="22" t="n">
        <f aca="false">I210*Assumptions!B24</f>
        <v>11400</v>
      </c>
      <c r="K210" s="21" t="n">
        <f aca="false">K209*(1+Assumptions!B30)</f>
        <v>14.0651310926925</v>
      </c>
      <c r="L210" s="16" t="n">
        <f aca="false">ROUND(K210*F210,0)</f>
        <v>14</v>
      </c>
      <c r="M210" s="22" t="n">
        <f aca="false">L210*Assumptions!B31</f>
        <v>4200</v>
      </c>
      <c r="N210" s="22" t="n">
        <f aca="false">J210+M210</f>
        <v>15600</v>
      </c>
      <c r="O210" s="22" t="n">
        <f aca="false">IF(DAY(B210)=1,Assumptions!B38*G210,0)</f>
        <v>0</v>
      </c>
      <c r="P210" s="22" t="n">
        <f aca="false">IF(DAY(B210)=1,Assumptions!B39*G210,0)</f>
        <v>0</v>
      </c>
      <c r="Q210" s="22" t="n">
        <f aca="false">IF(DAY(B210)=1,Assumptions!B40*G210,0)</f>
        <v>0</v>
      </c>
      <c r="R210" s="22" t="n">
        <f aca="false">IF(DAY(B210)=1,Assumptions!B41*G210,0)</f>
        <v>0</v>
      </c>
      <c r="S210" s="22" t="n">
        <f aca="false">IF(AND(DAY(B210)=1,D210&gt;=13),Assumptions!B42*G210,0)</f>
        <v>0</v>
      </c>
      <c r="T210" s="22" t="n">
        <f aca="false">IF(DAY(B210)=1,Assumptions!B43*G210,0)</f>
        <v>0</v>
      </c>
      <c r="U210" s="22" t="n">
        <f aca="false">SUM(O210:T210)</f>
        <v>0</v>
      </c>
      <c r="V210" s="22" t="n">
        <f aca="false">N210-U210</f>
        <v>15600</v>
      </c>
      <c r="W210" s="22" t="n">
        <f aca="false">W209+V210</f>
        <v>-4113700</v>
      </c>
      <c r="X210" s="23" t="str">
        <f aca="false">IF(W210&gt;=0,"YES","No")</f>
        <v>No</v>
      </c>
    </row>
    <row r="211" customFormat="false" ht="15" hidden="false" customHeight="false" outlineLevel="0" collapsed="false">
      <c r="A211" s="16" t="n">
        <v>210</v>
      </c>
      <c r="B211" s="17" t="n">
        <f aca="false">B210+1</f>
        <v>46232</v>
      </c>
      <c r="C211" s="18" t="n">
        <f aca="false">MIN(ROUNDUP(A211/365,0),5)</f>
        <v>1</v>
      </c>
      <c r="D211" s="18" t="n">
        <f aca="false">DATEDIF(Assumptions!B5,B211,"m")+1</f>
        <v>7</v>
      </c>
      <c r="E211" s="18" t="str">
        <f aca="false">TEXT(B211,"ddd")</f>
        <v>Wed</v>
      </c>
      <c r="F211" s="19" t="n">
        <f aca="false">IF(WEEKDAY(B211,2)&gt;=6,Assumptions!B34,Assumptions!B35)</f>
        <v>1</v>
      </c>
      <c r="G211" s="20" t="n">
        <f aca="false">IF(D211&gt;=13,(1+Assumptions!B46)^(D211-12),1)</f>
        <v>1</v>
      </c>
      <c r="H211" s="21" t="n">
        <f aca="false">H210*(1+IF(C211=1,Assumptions!B22,Assumptions!B23))</f>
        <v>18.8180163583369</v>
      </c>
      <c r="I211" s="16" t="n">
        <f aca="false">ROUND(H211*F211,0)</f>
        <v>19</v>
      </c>
      <c r="J211" s="22" t="n">
        <f aca="false">I211*Assumptions!B24</f>
        <v>11400</v>
      </c>
      <c r="K211" s="21" t="n">
        <f aca="false">K210*(1+Assumptions!B30)</f>
        <v>14.069729502169</v>
      </c>
      <c r="L211" s="16" t="n">
        <f aca="false">ROUND(K211*F211,0)</f>
        <v>14</v>
      </c>
      <c r="M211" s="22" t="n">
        <f aca="false">L211*Assumptions!B31</f>
        <v>4200</v>
      </c>
      <c r="N211" s="22" t="n">
        <f aca="false">J211+M211</f>
        <v>15600</v>
      </c>
      <c r="O211" s="22" t="n">
        <f aca="false">IF(DAY(B211)=1,Assumptions!B38*G211,0)</f>
        <v>0</v>
      </c>
      <c r="P211" s="22" t="n">
        <f aca="false">IF(DAY(B211)=1,Assumptions!B39*G211,0)</f>
        <v>0</v>
      </c>
      <c r="Q211" s="22" t="n">
        <f aca="false">IF(DAY(B211)=1,Assumptions!B40*G211,0)</f>
        <v>0</v>
      </c>
      <c r="R211" s="22" t="n">
        <f aca="false">IF(DAY(B211)=1,Assumptions!B41*G211,0)</f>
        <v>0</v>
      </c>
      <c r="S211" s="22" t="n">
        <f aca="false">IF(AND(DAY(B211)=1,D211&gt;=13),Assumptions!B42*G211,0)</f>
        <v>0</v>
      </c>
      <c r="T211" s="22" t="n">
        <f aca="false">IF(DAY(B211)=1,Assumptions!B43*G211,0)</f>
        <v>0</v>
      </c>
      <c r="U211" s="22" t="n">
        <f aca="false">SUM(O211:T211)</f>
        <v>0</v>
      </c>
      <c r="V211" s="22" t="n">
        <f aca="false">N211-U211</f>
        <v>15600</v>
      </c>
      <c r="W211" s="22" t="n">
        <f aca="false">W210+V211</f>
        <v>-4098100</v>
      </c>
      <c r="X211" s="23" t="str">
        <f aca="false">IF(W211&gt;=0,"YES","No")</f>
        <v>No</v>
      </c>
    </row>
    <row r="212" customFormat="false" ht="15" hidden="false" customHeight="false" outlineLevel="0" collapsed="false">
      <c r="A212" s="16" t="n">
        <v>211</v>
      </c>
      <c r="B212" s="17" t="n">
        <f aca="false">B211+1</f>
        <v>46233</v>
      </c>
      <c r="C212" s="18" t="n">
        <f aca="false">MIN(ROUNDUP(A212/365,0),5)</f>
        <v>1</v>
      </c>
      <c r="D212" s="18" t="n">
        <f aca="false">DATEDIF(Assumptions!B5,B212,"m")+1</f>
        <v>7</v>
      </c>
      <c r="E212" s="18" t="str">
        <f aca="false">TEXT(B212,"ddd")</f>
        <v>Thu</v>
      </c>
      <c r="F212" s="19" t="n">
        <f aca="false">IF(WEEKDAY(B212,2)&gt;=6,Assumptions!B34,Assumptions!B35)</f>
        <v>1</v>
      </c>
      <c r="G212" s="20" t="n">
        <f aca="false">IF(D212&gt;=13,(1+Assumptions!B46)^(D212-12),1)</f>
        <v>1</v>
      </c>
      <c r="H212" s="21" t="n">
        <f aca="false">H211*(1+IF(C212=1,Assumptions!B22,Assumptions!B23))</f>
        <v>18.8302623308226</v>
      </c>
      <c r="I212" s="16" t="n">
        <f aca="false">ROUND(H212*F212,0)</f>
        <v>19</v>
      </c>
      <c r="J212" s="22" t="n">
        <f aca="false">I212*Assumptions!B24</f>
        <v>11400</v>
      </c>
      <c r="K212" s="21" t="n">
        <f aca="false">K211*(1+Assumptions!B30)</f>
        <v>14.0743294150351</v>
      </c>
      <c r="L212" s="16" t="n">
        <f aca="false">ROUND(K212*F212,0)</f>
        <v>14</v>
      </c>
      <c r="M212" s="22" t="n">
        <f aca="false">L212*Assumptions!B31</f>
        <v>4200</v>
      </c>
      <c r="N212" s="22" t="n">
        <f aca="false">J212+M212</f>
        <v>15600</v>
      </c>
      <c r="O212" s="22" t="n">
        <f aca="false">IF(DAY(B212)=1,Assumptions!B38*G212,0)</f>
        <v>0</v>
      </c>
      <c r="P212" s="22" t="n">
        <f aca="false">IF(DAY(B212)=1,Assumptions!B39*G212,0)</f>
        <v>0</v>
      </c>
      <c r="Q212" s="22" t="n">
        <f aca="false">IF(DAY(B212)=1,Assumptions!B40*G212,0)</f>
        <v>0</v>
      </c>
      <c r="R212" s="22" t="n">
        <f aca="false">IF(DAY(B212)=1,Assumptions!B41*G212,0)</f>
        <v>0</v>
      </c>
      <c r="S212" s="22" t="n">
        <f aca="false">IF(AND(DAY(B212)=1,D212&gt;=13),Assumptions!B42*G212,0)</f>
        <v>0</v>
      </c>
      <c r="T212" s="22" t="n">
        <f aca="false">IF(DAY(B212)=1,Assumptions!B43*G212,0)</f>
        <v>0</v>
      </c>
      <c r="U212" s="22" t="n">
        <f aca="false">SUM(O212:T212)</f>
        <v>0</v>
      </c>
      <c r="V212" s="22" t="n">
        <f aca="false">N212-U212</f>
        <v>15600</v>
      </c>
      <c r="W212" s="22" t="n">
        <f aca="false">W211+V212</f>
        <v>-4082500</v>
      </c>
      <c r="X212" s="23" t="str">
        <f aca="false">IF(W212&gt;=0,"YES","No")</f>
        <v>No</v>
      </c>
    </row>
    <row r="213" customFormat="false" ht="15" hidden="false" customHeight="false" outlineLevel="0" collapsed="false">
      <c r="A213" s="16" t="n">
        <v>212</v>
      </c>
      <c r="B213" s="17" t="n">
        <f aca="false">B212+1</f>
        <v>46234</v>
      </c>
      <c r="C213" s="18" t="n">
        <f aca="false">MIN(ROUNDUP(A213/365,0),5)</f>
        <v>1</v>
      </c>
      <c r="D213" s="18" t="n">
        <f aca="false">DATEDIF(Assumptions!B5,B213,"m")+1</f>
        <v>7</v>
      </c>
      <c r="E213" s="18" t="str">
        <f aca="false">TEXT(B213,"ddd")</f>
        <v>Fri</v>
      </c>
      <c r="F213" s="19" t="n">
        <f aca="false">IF(WEEKDAY(B213,2)&gt;=6,Assumptions!B34,Assumptions!B35)</f>
        <v>1</v>
      </c>
      <c r="G213" s="20" t="n">
        <f aca="false">IF(D213&gt;=13,(1+Assumptions!B46)^(D213-12),1)</f>
        <v>1</v>
      </c>
      <c r="H213" s="21" t="n">
        <f aca="false">H212*(1+IF(C213=1,Assumptions!B22,Assumptions!B23))</f>
        <v>18.8425162724714</v>
      </c>
      <c r="I213" s="16" t="n">
        <f aca="false">ROUND(H213*F213,0)</f>
        <v>19</v>
      </c>
      <c r="J213" s="22" t="n">
        <f aca="false">I213*Assumptions!B24</f>
        <v>11400</v>
      </c>
      <c r="K213" s="21" t="n">
        <f aca="false">K212*(1+Assumptions!B30)</f>
        <v>14.078930831782</v>
      </c>
      <c r="L213" s="16" t="n">
        <f aca="false">ROUND(K213*F213,0)</f>
        <v>14</v>
      </c>
      <c r="M213" s="22" t="n">
        <f aca="false">L213*Assumptions!B31</f>
        <v>4200</v>
      </c>
      <c r="N213" s="22" t="n">
        <f aca="false">J213+M213</f>
        <v>15600</v>
      </c>
      <c r="O213" s="22" t="n">
        <f aca="false">IF(DAY(B213)=1,Assumptions!B38*G213,0)</f>
        <v>0</v>
      </c>
      <c r="P213" s="22" t="n">
        <f aca="false">IF(DAY(B213)=1,Assumptions!B39*G213,0)</f>
        <v>0</v>
      </c>
      <c r="Q213" s="22" t="n">
        <f aca="false">IF(DAY(B213)=1,Assumptions!B40*G213,0)</f>
        <v>0</v>
      </c>
      <c r="R213" s="22" t="n">
        <f aca="false">IF(DAY(B213)=1,Assumptions!B41*G213,0)</f>
        <v>0</v>
      </c>
      <c r="S213" s="22" t="n">
        <f aca="false">IF(AND(DAY(B213)=1,D213&gt;=13),Assumptions!B42*G213,0)</f>
        <v>0</v>
      </c>
      <c r="T213" s="22" t="n">
        <f aca="false">IF(DAY(B213)=1,Assumptions!B43*G213,0)</f>
        <v>0</v>
      </c>
      <c r="U213" s="22" t="n">
        <f aca="false">SUM(O213:T213)</f>
        <v>0</v>
      </c>
      <c r="V213" s="22" t="n">
        <f aca="false">N213-U213</f>
        <v>15600</v>
      </c>
      <c r="W213" s="22" t="n">
        <f aca="false">W212+V213</f>
        <v>-4066900</v>
      </c>
      <c r="X213" s="23" t="str">
        <f aca="false">IF(W213&gt;=0,"YES","No")</f>
        <v>No</v>
      </c>
    </row>
    <row r="214" customFormat="false" ht="15" hidden="false" customHeight="false" outlineLevel="0" collapsed="false">
      <c r="A214" s="16" t="n">
        <v>213</v>
      </c>
      <c r="B214" s="17" t="n">
        <f aca="false">B213+1</f>
        <v>46235</v>
      </c>
      <c r="C214" s="18" t="n">
        <f aca="false">MIN(ROUNDUP(A214/365,0),5)</f>
        <v>1</v>
      </c>
      <c r="D214" s="18" t="n">
        <f aca="false">DATEDIF(Assumptions!B5,B214,"m")+1</f>
        <v>8</v>
      </c>
      <c r="E214" s="18" t="str">
        <f aca="false">TEXT(B214,"ddd")</f>
        <v>Sat</v>
      </c>
      <c r="F214" s="19" t="n">
        <f aca="false">IF(WEEKDAY(B214,2)&gt;=6,Assumptions!B34,Assumptions!B35)</f>
        <v>0.6</v>
      </c>
      <c r="G214" s="20" t="n">
        <f aca="false">IF(D214&gt;=13,(1+Assumptions!B46)^(D214-12),1)</f>
        <v>1</v>
      </c>
      <c r="H214" s="21" t="n">
        <f aca="false">H213*(1+IF(C214=1,Assumptions!B22,Assumptions!B23))</f>
        <v>18.8547781884694</v>
      </c>
      <c r="I214" s="16" t="n">
        <f aca="false">ROUND(H214*F214,0)</f>
        <v>11</v>
      </c>
      <c r="J214" s="22" t="n">
        <f aca="false">I214*Assumptions!B24</f>
        <v>6600</v>
      </c>
      <c r="K214" s="21" t="n">
        <f aca="false">K213*(1+Assumptions!B30)</f>
        <v>14.0835337529017</v>
      </c>
      <c r="L214" s="16" t="n">
        <f aca="false">ROUND(K214*F214,0)</f>
        <v>8</v>
      </c>
      <c r="M214" s="22" t="n">
        <f aca="false">L214*Assumptions!B31</f>
        <v>2400</v>
      </c>
      <c r="N214" s="22" t="n">
        <f aca="false">J214+M214</f>
        <v>9000</v>
      </c>
      <c r="O214" s="22" t="n">
        <f aca="false">IF(DAY(B214)=1,Assumptions!B38*G214,0)</f>
        <v>150000</v>
      </c>
      <c r="P214" s="22" t="n">
        <f aca="false">IF(DAY(B214)=1,Assumptions!B39*G214,0)</f>
        <v>40000</v>
      </c>
      <c r="Q214" s="22" t="n">
        <f aca="false">IF(DAY(B214)=1,Assumptions!B40*G214,0)</f>
        <v>30000</v>
      </c>
      <c r="R214" s="22" t="n">
        <f aca="false">IF(DAY(B214)=1,Assumptions!B41*G214,0)</f>
        <v>20000</v>
      </c>
      <c r="S214" s="22" t="n">
        <f aca="false">IF(AND(DAY(B214)=1,D214&gt;=13),Assumptions!B42*G214,0)</f>
        <v>0</v>
      </c>
      <c r="T214" s="22" t="n">
        <f aca="false">IF(DAY(B214)=1,Assumptions!B43*G214,0)</f>
        <v>20000</v>
      </c>
      <c r="U214" s="22" t="n">
        <f aca="false">SUM(O214:T214)</f>
        <v>260000</v>
      </c>
      <c r="V214" s="22" t="n">
        <f aca="false">N214-U214</f>
        <v>-251000</v>
      </c>
      <c r="W214" s="22" t="n">
        <f aca="false">W213+V214</f>
        <v>-4317900</v>
      </c>
      <c r="X214" s="23" t="str">
        <f aca="false">IF(W214&gt;=0,"YES","No")</f>
        <v>No</v>
      </c>
    </row>
    <row r="215" customFormat="false" ht="15" hidden="false" customHeight="false" outlineLevel="0" collapsed="false">
      <c r="A215" s="16" t="n">
        <v>214</v>
      </c>
      <c r="B215" s="17" t="n">
        <f aca="false">B214+1</f>
        <v>46236</v>
      </c>
      <c r="C215" s="18" t="n">
        <f aca="false">MIN(ROUNDUP(A215/365,0),5)</f>
        <v>1</v>
      </c>
      <c r="D215" s="18" t="n">
        <f aca="false">DATEDIF(Assumptions!B5,B215,"m")+1</f>
        <v>8</v>
      </c>
      <c r="E215" s="18" t="str">
        <f aca="false">TEXT(B215,"ddd")</f>
        <v>Sun</v>
      </c>
      <c r="F215" s="19" t="n">
        <f aca="false">IF(WEEKDAY(B215,2)&gt;=6,Assumptions!B34,Assumptions!B35)</f>
        <v>0.6</v>
      </c>
      <c r="G215" s="20" t="n">
        <f aca="false">IF(D215&gt;=13,(1+Assumptions!B46)^(D215-12),1)</f>
        <v>1</v>
      </c>
      <c r="H215" s="21" t="n">
        <f aca="false">H214*(1+IF(C215=1,Assumptions!B22,Assumptions!B23))</f>
        <v>18.8670480840059</v>
      </c>
      <c r="I215" s="16" t="n">
        <f aca="false">ROUND(H215*F215,0)</f>
        <v>11</v>
      </c>
      <c r="J215" s="22" t="n">
        <f aca="false">I215*Assumptions!B24</f>
        <v>6600</v>
      </c>
      <c r="K215" s="21" t="n">
        <f aca="false">K214*(1+Assumptions!B30)</f>
        <v>14.0881381788858</v>
      </c>
      <c r="L215" s="16" t="n">
        <f aca="false">ROUND(K215*F215,0)</f>
        <v>8</v>
      </c>
      <c r="M215" s="22" t="n">
        <f aca="false">L215*Assumptions!B31</f>
        <v>2400</v>
      </c>
      <c r="N215" s="22" t="n">
        <f aca="false">J215+M215</f>
        <v>9000</v>
      </c>
      <c r="O215" s="22" t="n">
        <f aca="false">IF(DAY(B215)=1,Assumptions!B38*G215,0)</f>
        <v>0</v>
      </c>
      <c r="P215" s="22" t="n">
        <f aca="false">IF(DAY(B215)=1,Assumptions!B39*G215,0)</f>
        <v>0</v>
      </c>
      <c r="Q215" s="22" t="n">
        <f aca="false">IF(DAY(B215)=1,Assumptions!B40*G215,0)</f>
        <v>0</v>
      </c>
      <c r="R215" s="22" t="n">
        <f aca="false">IF(DAY(B215)=1,Assumptions!B41*G215,0)</f>
        <v>0</v>
      </c>
      <c r="S215" s="22" t="n">
        <f aca="false">IF(AND(DAY(B215)=1,D215&gt;=13),Assumptions!B42*G215,0)</f>
        <v>0</v>
      </c>
      <c r="T215" s="22" t="n">
        <f aca="false">IF(DAY(B215)=1,Assumptions!B43*G215,0)</f>
        <v>0</v>
      </c>
      <c r="U215" s="22" t="n">
        <f aca="false">SUM(O215:T215)</f>
        <v>0</v>
      </c>
      <c r="V215" s="22" t="n">
        <f aca="false">N215-U215</f>
        <v>9000</v>
      </c>
      <c r="W215" s="22" t="n">
        <f aca="false">W214+V215</f>
        <v>-4308900</v>
      </c>
      <c r="X215" s="23" t="str">
        <f aca="false">IF(W215&gt;=0,"YES","No")</f>
        <v>No</v>
      </c>
    </row>
    <row r="216" customFormat="false" ht="15" hidden="false" customHeight="false" outlineLevel="0" collapsed="false">
      <c r="A216" s="16" t="n">
        <v>215</v>
      </c>
      <c r="B216" s="17" t="n">
        <f aca="false">B215+1</f>
        <v>46237</v>
      </c>
      <c r="C216" s="18" t="n">
        <f aca="false">MIN(ROUNDUP(A216/365,0),5)</f>
        <v>1</v>
      </c>
      <c r="D216" s="18" t="n">
        <f aca="false">DATEDIF(Assumptions!B5,B216,"m")+1</f>
        <v>8</v>
      </c>
      <c r="E216" s="18" t="str">
        <f aca="false">TEXT(B216,"ddd")</f>
        <v>Mon</v>
      </c>
      <c r="F216" s="19" t="n">
        <f aca="false">IF(WEEKDAY(B216,2)&gt;=6,Assumptions!B34,Assumptions!B35)</f>
        <v>1</v>
      </c>
      <c r="G216" s="20" t="n">
        <f aca="false">IF(D216&gt;=13,(1+Assumptions!B46)^(D216-12),1)</f>
        <v>1</v>
      </c>
      <c r="H216" s="21" t="n">
        <f aca="false">H215*(1+IF(C216=1,Assumptions!B22,Assumptions!B23))</f>
        <v>18.8793259642736</v>
      </c>
      <c r="I216" s="16" t="n">
        <f aca="false">ROUND(H216*F216,0)</f>
        <v>19</v>
      </c>
      <c r="J216" s="22" t="n">
        <f aca="false">I216*Assumptions!B24</f>
        <v>11400</v>
      </c>
      <c r="K216" s="21" t="n">
        <f aca="false">K215*(1+Assumptions!B30)</f>
        <v>14.0927441102263</v>
      </c>
      <c r="L216" s="16" t="n">
        <f aca="false">ROUND(K216*F216,0)</f>
        <v>14</v>
      </c>
      <c r="M216" s="22" t="n">
        <f aca="false">L216*Assumptions!B31</f>
        <v>4200</v>
      </c>
      <c r="N216" s="22" t="n">
        <f aca="false">J216+M216</f>
        <v>15600</v>
      </c>
      <c r="O216" s="22" t="n">
        <f aca="false">IF(DAY(B216)=1,Assumptions!B38*G216,0)</f>
        <v>0</v>
      </c>
      <c r="P216" s="22" t="n">
        <f aca="false">IF(DAY(B216)=1,Assumptions!B39*G216,0)</f>
        <v>0</v>
      </c>
      <c r="Q216" s="22" t="n">
        <f aca="false">IF(DAY(B216)=1,Assumptions!B40*G216,0)</f>
        <v>0</v>
      </c>
      <c r="R216" s="22" t="n">
        <f aca="false">IF(DAY(B216)=1,Assumptions!B41*G216,0)</f>
        <v>0</v>
      </c>
      <c r="S216" s="22" t="n">
        <f aca="false">IF(AND(DAY(B216)=1,D216&gt;=13),Assumptions!B42*G216,0)</f>
        <v>0</v>
      </c>
      <c r="T216" s="22" t="n">
        <f aca="false">IF(DAY(B216)=1,Assumptions!B43*G216,0)</f>
        <v>0</v>
      </c>
      <c r="U216" s="22" t="n">
        <f aca="false">SUM(O216:T216)</f>
        <v>0</v>
      </c>
      <c r="V216" s="22" t="n">
        <f aca="false">N216-U216</f>
        <v>15600</v>
      </c>
      <c r="W216" s="22" t="n">
        <f aca="false">W215+V216</f>
        <v>-4293300</v>
      </c>
      <c r="X216" s="23" t="str">
        <f aca="false">IF(W216&gt;=0,"YES","No")</f>
        <v>No</v>
      </c>
    </row>
    <row r="217" customFormat="false" ht="15" hidden="false" customHeight="false" outlineLevel="0" collapsed="false">
      <c r="A217" s="16" t="n">
        <v>216</v>
      </c>
      <c r="B217" s="17" t="n">
        <f aca="false">B216+1</f>
        <v>46238</v>
      </c>
      <c r="C217" s="18" t="n">
        <f aca="false">MIN(ROUNDUP(A217/365,0),5)</f>
        <v>1</v>
      </c>
      <c r="D217" s="18" t="n">
        <f aca="false">DATEDIF(Assumptions!B5,B217,"m")+1</f>
        <v>8</v>
      </c>
      <c r="E217" s="18" t="str">
        <f aca="false">TEXT(B217,"ddd")</f>
        <v>Tue</v>
      </c>
      <c r="F217" s="19" t="n">
        <f aca="false">IF(WEEKDAY(B217,2)&gt;=6,Assumptions!B34,Assumptions!B35)</f>
        <v>1</v>
      </c>
      <c r="G217" s="20" t="n">
        <f aca="false">IF(D217&gt;=13,(1+Assumptions!B46)^(D217-12),1)</f>
        <v>1</v>
      </c>
      <c r="H217" s="21" t="n">
        <f aca="false">H216*(1+IF(C217=1,Assumptions!B22,Assumptions!B23))</f>
        <v>18.8916118344687</v>
      </c>
      <c r="I217" s="16" t="n">
        <f aca="false">ROUND(H217*F217,0)</f>
        <v>19</v>
      </c>
      <c r="J217" s="22" t="n">
        <f aca="false">I217*Assumptions!B24</f>
        <v>11400</v>
      </c>
      <c r="K217" s="21" t="n">
        <f aca="false">K216*(1+Assumptions!B30)</f>
        <v>14.0973515474155</v>
      </c>
      <c r="L217" s="16" t="n">
        <f aca="false">ROUND(K217*F217,0)</f>
        <v>14</v>
      </c>
      <c r="M217" s="22" t="n">
        <f aca="false">L217*Assumptions!B31</f>
        <v>4200</v>
      </c>
      <c r="N217" s="22" t="n">
        <f aca="false">J217+M217</f>
        <v>15600</v>
      </c>
      <c r="O217" s="22" t="n">
        <f aca="false">IF(DAY(B217)=1,Assumptions!B38*G217,0)</f>
        <v>0</v>
      </c>
      <c r="P217" s="22" t="n">
        <f aca="false">IF(DAY(B217)=1,Assumptions!B39*G217,0)</f>
        <v>0</v>
      </c>
      <c r="Q217" s="22" t="n">
        <f aca="false">IF(DAY(B217)=1,Assumptions!B40*G217,0)</f>
        <v>0</v>
      </c>
      <c r="R217" s="22" t="n">
        <f aca="false">IF(DAY(B217)=1,Assumptions!B41*G217,0)</f>
        <v>0</v>
      </c>
      <c r="S217" s="22" t="n">
        <f aca="false">IF(AND(DAY(B217)=1,D217&gt;=13),Assumptions!B42*G217,0)</f>
        <v>0</v>
      </c>
      <c r="T217" s="22" t="n">
        <f aca="false">IF(DAY(B217)=1,Assumptions!B43*G217,0)</f>
        <v>0</v>
      </c>
      <c r="U217" s="22" t="n">
        <f aca="false">SUM(O217:T217)</f>
        <v>0</v>
      </c>
      <c r="V217" s="22" t="n">
        <f aca="false">N217-U217</f>
        <v>15600</v>
      </c>
      <c r="W217" s="22" t="n">
        <f aca="false">W216+V217</f>
        <v>-4277700</v>
      </c>
      <c r="X217" s="23" t="str">
        <f aca="false">IF(W217&gt;=0,"YES","No")</f>
        <v>No</v>
      </c>
    </row>
    <row r="218" customFormat="false" ht="15" hidden="false" customHeight="false" outlineLevel="0" collapsed="false">
      <c r="A218" s="16" t="n">
        <v>217</v>
      </c>
      <c r="B218" s="17" t="n">
        <f aca="false">B217+1</f>
        <v>46239</v>
      </c>
      <c r="C218" s="18" t="n">
        <f aca="false">MIN(ROUNDUP(A218/365,0),5)</f>
        <v>1</v>
      </c>
      <c r="D218" s="18" t="n">
        <f aca="false">DATEDIF(Assumptions!B5,B218,"m")+1</f>
        <v>8</v>
      </c>
      <c r="E218" s="18" t="str">
        <f aca="false">TEXT(B218,"ddd")</f>
        <v>Wed</v>
      </c>
      <c r="F218" s="19" t="n">
        <f aca="false">IF(WEEKDAY(B218,2)&gt;=6,Assumptions!B34,Assumptions!B35)</f>
        <v>1</v>
      </c>
      <c r="G218" s="20" t="n">
        <f aca="false">IF(D218&gt;=13,(1+Assumptions!B46)^(D218-12),1)</f>
        <v>1</v>
      </c>
      <c r="H218" s="21" t="n">
        <f aca="false">H217*(1+IF(C218=1,Assumptions!B22,Assumptions!B23))</f>
        <v>18.9039056997907</v>
      </c>
      <c r="I218" s="16" t="n">
        <f aca="false">ROUND(H218*F218,0)</f>
        <v>19</v>
      </c>
      <c r="J218" s="22" t="n">
        <f aca="false">I218*Assumptions!B24</f>
        <v>11400</v>
      </c>
      <c r="K218" s="21" t="n">
        <f aca="false">K217*(1+Assumptions!B30)</f>
        <v>14.1019604909457</v>
      </c>
      <c r="L218" s="16" t="n">
        <f aca="false">ROUND(K218*F218,0)</f>
        <v>14</v>
      </c>
      <c r="M218" s="22" t="n">
        <f aca="false">L218*Assumptions!B31</f>
        <v>4200</v>
      </c>
      <c r="N218" s="22" t="n">
        <f aca="false">J218+M218</f>
        <v>15600</v>
      </c>
      <c r="O218" s="22" t="n">
        <f aca="false">IF(DAY(B218)=1,Assumptions!B38*G218,0)</f>
        <v>0</v>
      </c>
      <c r="P218" s="22" t="n">
        <f aca="false">IF(DAY(B218)=1,Assumptions!B39*G218,0)</f>
        <v>0</v>
      </c>
      <c r="Q218" s="22" t="n">
        <f aca="false">IF(DAY(B218)=1,Assumptions!B40*G218,0)</f>
        <v>0</v>
      </c>
      <c r="R218" s="22" t="n">
        <f aca="false">IF(DAY(B218)=1,Assumptions!B41*G218,0)</f>
        <v>0</v>
      </c>
      <c r="S218" s="22" t="n">
        <f aca="false">IF(AND(DAY(B218)=1,D218&gt;=13),Assumptions!B42*G218,0)</f>
        <v>0</v>
      </c>
      <c r="T218" s="22" t="n">
        <f aca="false">IF(DAY(B218)=1,Assumptions!B43*G218,0)</f>
        <v>0</v>
      </c>
      <c r="U218" s="22" t="n">
        <f aca="false">SUM(O218:T218)</f>
        <v>0</v>
      </c>
      <c r="V218" s="22" t="n">
        <f aca="false">N218-U218</f>
        <v>15600</v>
      </c>
      <c r="W218" s="22" t="n">
        <f aca="false">W217+V218</f>
        <v>-4262100</v>
      </c>
      <c r="X218" s="23" t="str">
        <f aca="false">IF(W218&gt;=0,"YES","No")</f>
        <v>No</v>
      </c>
    </row>
    <row r="219" customFormat="false" ht="15" hidden="false" customHeight="false" outlineLevel="0" collapsed="false">
      <c r="A219" s="16" t="n">
        <v>218</v>
      </c>
      <c r="B219" s="17" t="n">
        <f aca="false">B218+1</f>
        <v>46240</v>
      </c>
      <c r="C219" s="18" t="n">
        <f aca="false">MIN(ROUNDUP(A219/365,0),5)</f>
        <v>1</v>
      </c>
      <c r="D219" s="18" t="n">
        <f aca="false">DATEDIF(Assumptions!B5,B219,"m")+1</f>
        <v>8</v>
      </c>
      <c r="E219" s="18" t="str">
        <f aca="false">TEXT(B219,"ddd")</f>
        <v>Thu</v>
      </c>
      <c r="F219" s="19" t="n">
        <f aca="false">IF(WEEKDAY(B219,2)&gt;=6,Assumptions!B34,Assumptions!B35)</f>
        <v>1</v>
      </c>
      <c r="G219" s="20" t="n">
        <f aca="false">IF(D219&gt;=13,(1+Assumptions!B46)^(D219-12),1)</f>
        <v>1</v>
      </c>
      <c r="H219" s="21" t="n">
        <f aca="false">H218*(1+IF(C219=1,Assumptions!B22,Assumptions!B23))</f>
        <v>18.9162075654424</v>
      </c>
      <c r="I219" s="16" t="n">
        <f aca="false">ROUND(H219*F219,0)</f>
        <v>19</v>
      </c>
      <c r="J219" s="22" t="n">
        <f aca="false">I219*Assumptions!B24</f>
        <v>11400</v>
      </c>
      <c r="K219" s="21" t="n">
        <f aca="false">K218*(1+Assumptions!B30)</f>
        <v>14.1065709413092</v>
      </c>
      <c r="L219" s="16" t="n">
        <f aca="false">ROUND(K219*F219,0)</f>
        <v>14</v>
      </c>
      <c r="M219" s="22" t="n">
        <f aca="false">L219*Assumptions!B31</f>
        <v>4200</v>
      </c>
      <c r="N219" s="22" t="n">
        <f aca="false">J219+M219</f>
        <v>15600</v>
      </c>
      <c r="O219" s="22" t="n">
        <f aca="false">IF(DAY(B219)=1,Assumptions!B38*G219,0)</f>
        <v>0</v>
      </c>
      <c r="P219" s="22" t="n">
        <f aca="false">IF(DAY(B219)=1,Assumptions!B39*G219,0)</f>
        <v>0</v>
      </c>
      <c r="Q219" s="22" t="n">
        <f aca="false">IF(DAY(B219)=1,Assumptions!B40*G219,0)</f>
        <v>0</v>
      </c>
      <c r="R219" s="22" t="n">
        <f aca="false">IF(DAY(B219)=1,Assumptions!B41*G219,0)</f>
        <v>0</v>
      </c>
      <c r="S219" s="22" t="n">
        <f aca="false">IF(AND(DAY(B219)=1,D219&gt;=13),Assumptions!B42*G219,0)</f>
        <v>0</v>
      </c>
      <c r="T219" s="22" t="n">
        <f aca="false">IF(DAY(B219)=1,Assumptions!B43*G219,0)</f>
        <v>0</v>
      </c>
      <c r="U219" s="22" t="n">
        <f aca="false">SUM(O219:T219)</f>
        <v>0</v>
      </c>
      <c r="V219" s="22" t="n">
        <f aca="false">N219-U219</f>
        <v>15600</v>
      </c>
      <c r="W219" s="22" t="n">
        <f aca="false">W218+V219</f>
        <v>-4246500</v>
      </c>
      <c r="X219" s="23" t="str">
        <f aca="false">IF(W219&gt;=0,"YES","No")</f>
        <v>No</v>
      </c>
    </row>
    <row r="220" customFormat="false" ht="15" hidden="false" customHeight="false" outlineLevel="0" collapsed="false">
      <c r="A220" s="16" t="n">
        <v>219</v>
      </c>
      <c r="B220" s="17" t="n">
        <f aca="false">B219+1</f>
        <v>46241</v>
      </c>
      <c r="C220" s="18" t="n">
        <f aca="false">MIN(ROUNDUP(A220/365,0),5)</f>
        <v>1</v>
      </c>
      <c r="D220" s="18" t="n">
        <f aca="false">DATEDIF(Assumptions!B5,B220,"m")+1</f>
        <v>8</v>
      </c>
      <c r="E220" s="18" t="str">
        <f aca="false">TEXT(B220,"ddd")</f>
        <v>Fri</v>
      </c>
      <c r="F220" s="19" t="n">
        <f aca="false">IF(WEEKDAY(B220,2)&gt;=6,Assumptions!B34,Assumptions!B35)</f>
        <v>1</v>
      </c>
      <c r="G220" s="20" t="n">
        <f aca="false">IF(D220&gt;=13,(1+Assumptions!B46)^(D220-12),1)</f>
        <v>1</v>
      </c>
      <c r="H220" s="21" t="n">
        <f aca="false">H219*(1+IF(C220=1,Assumptions!B22,Assumptions!B23))</f>
        <v>18.9285174366302</v>
      </c>
      <c r="I220" s="16" t="n">
        <f aca="false">ROUND(H220*F220,0)</f>
        <v>19</v>
      </c>
      <c r="J220" s="22" t="n">
        <f aca="false">I220*Assumptions!B24</f>
        <v>11400</v>
      </c>
      <c r="K220" s="21" t="n">
        <f aca="false">K219*(1+Assumptions!B30)</f>
        <v>14.1111828989989</v>
      </c>
      <c r="L220" s="16" t="n">
        <f aca="false">ROUND(K220*F220,0)</f>
        <v>14</v>
      </c>
      <c r="M220" s="22" t="n">
        <f aca="false">L220*Assumptions!B31</f>
        <v>4200</v>
      </c>
      <c r="N220" s="22" t="n">
        <f aca="false">J220+M220</f>
        <v>15600</v>
      </c>
      <c r="O220" s="22" t="n">
        <f aca="false">IF(DAY(B220)=1,Assumptions!B38*G220,0)</f>
        <v>0</v>
      </c>
      <c r="P220" s="22" t="n">
        <f aca="false">IF(DAY(B220)=1,Assumptions!B39*G220,0)</f>
        <v>0</v>
      </c>
      <c r="Q220" s="22" t="n">
        <f aca="false">IF(DAY(B220)=1,Assumptions!B40*G220,0)</f>
        <v>0</v>
      </c>
      <c r="R220" s="22" t="n">
        <f aca="false">IF(DAY(B220)=1,Assumptions!B41*G220,0)</f>
        <v>0</v>
      </c>
      <c r="S220" s="22" t="n">
        <f aca="false">IF(AND(DAY(B220)=1,D220&gt;=13),Assumptions!B42*G220,0)</f>
        <v>0</v>
      </c>
      <c r="T220" s="22" t="n">
        <f aca="false">IF(DAY(B220)=1,Assumptions!B43*G220,0)</f>
        <v>0</v>
      </c>
      <c r="U220" s="22" t="n">
        <f aca="false">SUM(O220:T220)</f>
        <v>0</v>
      </c>
      <c r="V220" s="22" t="n">
        <f aca="false">N220-U220</f>
        <v>15600</v>
      </c>
      <c r="W220" s="22" t="n">
        <f aca="false">W219+V220</f>
        <v>-4230900</v>
      </c>
      <c r="X220" s="23" t="str">
        <f aca="false">IF(W220&gt;=0,"YES","No")</f>
        <v>No</v>
      </c>
    </row>
    <row r="221" customFormat="false" ht="15" hidden="false" customHeight="false" outlineLevel="0" collapsed="false">
      <c r="A221" s="16" t="n">
        <v>220</v>
      </c>
      <c r="B221" s="17" t="n">
        <f aca="false">B220+1</f>
        <v>46242</v>
      </c>
      <c r="C221" s="18" t="n">
        <f aca="false">MIN(ROUNDUP(A221/365,0),5)</f>
        <v>1</v>
      </c>
      <c r="D221" s="18" t="n">
        <f aca="false">DATEDIF(Assumptions!B5,B221,"m")+1</f>
        <v>8</v>
      </c>
      <c r="E221" s="18" t="str">
        <f aca="false">TEXT(B221,"ddd")</f>
        <v>Sat</v>
      </c>
      <c r="F221" s="19" t="n">
        <f aca="false">IF(WEEKDAY(B221,2)&gt;=6,Assumptions!B34,Assumptions!B35)</f>
        <v>0.6</v>
      </c>
      <c r="G221" s="20" t="n">
        <f aca="false">IF(D221&gt;=13,(1+Assumptions!B46)^(D221-12),1)</f>
        <v>1</v>
      </c>
      <c r="H221" s="21" t="n">
        <f aca="false">H220*(1+IF(C221=1,Assumptions!B22,Assumptions!B23))</f>
        <v>18.9408353185637</v>
      </c>
      <c r="I221" s="16" t="n">
        <f aca="false">ROUND(H221*F221,0)</f>
        <v>11</v>
      </c>
      <c r="J221" s="22" t="n">
        <f aca="false">I221*Assumptions!B24</f>
        <v>6600</v>
      </c>
      <c r="K221" s="21" t="n">
        <f aca="false">K220*(1+Assumptions!B30)</f>
        <v>14.1157963645073</v>
      </c>
      <c r="L221" s="16" t="n">
        <f aca="false">ROUND(K221*F221,0)</f>
        <v>8</v>
      </c>
      <c r="M221" s="22" t="n">
        <f aca="false">L221*Assumptions!B31</f>
        <v>2400</v>
      </c>
      <c r="N221" s="22" t="n">
        <f aca="false">J221+M221</f>
        <v>9000</v>
      </c>
      <c r="O221" s="22" t="n">
        <f aca="false">IF(DAY(B221)=1,Assumptions!B38*G221,0)</f>
        <v>0</v>
      </c>
      <c r="P221" s="22" t="n">
        <f aca="false">IF(DAY(B221)=1,Assumptions!B39*G221,0)</f>
        <v>0</v>
      </c>
      <c r="Q221" s="22" t="n">
        <f aca="false">IF(DAY(B221)=1,Assumptions!B40*G221,0)</f>
        <v>0</v>
      </c>
      <c r="R221" s="22" t="n">
        <f aca="false">IF(DAY(B221)=1,Assumptions!B41*G221,0)</f>
        <v>0</v>
      </c>
      <c r="S221" s="22" t="n">
        <f aca="false">IF(AND(DAY(B221)=1,D221&gt;=13),Assumptions!B42*G221,0)</f>
        <v>0</v>
      </c>
      <c r="T221" s="22" t="n">
        <f aca="false">IF(DAY(B221)=1,Assumptions!B43*G221,0)</f>
        <v>0</v>
      </c>
      <c r="U221" s="22" t="n">
        <f aca="false">SUM(O221:T221)</f>
        <v>0</v>
      </c>
      <c r="V221" s="22" t="n">
        <f aca="false">N221-U221</f>
        <v>9000</v>
      </c>
      <c r="W221" s="22" t="n">
        <f aca="false">W220+V221</f>
        <v>-4221900</v>
      </c>
      <c r="X221" s="23" t="str">
        <f aca="false">IF(W221&gt;=0,"YES","No")</f>
        <v>No</v>
      </c>
    </row>
    <row r="222" customFormat="false" ht="15" hidden="false" customHeight="false" outlineLevel="0" collapsed="false">
      <c r="A222" s="16" t="n">
        <v>221</v>
      </c>
      <c r="B222" s="17" t="n">
        <f aca="false">B221+1</f>
        <v>46243</v>
      </c>
      <c r="C222" s="18" t="n">
        <f aca="false">MIN(ROUNDUP(A222/365,0),5)</f>
        <v>1</v>
      </c>
      <c r="D222" s="18" t="n">
        <f aca="false">DATEDIF(Assumptions!B5,B222,"m")+1</f>
        <v>8</v>
      </c>
      <c r="E222" s="18" t="str">
        <f aca="false">TEXT(B222,"ddd")</f>
        <v>Sun</v>
      </c>
      <c r="F222" s="19" t="n">
        <f aca="false">IF(WEEKDAY(B222,2)&gt;=6,Assumptions!B34,Assumptions!B35)</f>
        <v>0.6</v>
      </c>
      <c r="G222" s="20" t="n">
        <f aca="false">IF(D222&gt;=13,(1+Assumptions!B46)^(D222-12),1)</f>
        <v>1</v>
      </c>
      <c r="H222" s="21" t="n">
        <f aca="false">H221*(1+IF(C222=1,Assumptions!B22,Assumptions!B23))</f>
        <v>18.9531612164559</v>
      </c>
      <c r="I222" s="16" t="n">
        <f aca="false">ROUND(H222*F222,0)</f>
        <v>11</v>
      </c>
      <c r="J222" s="22" t="n">
        <f aca="false">I222*Assumptions!B24</f>
        <v>6600</v>
      </c>
      <c r="K222" s="21" t="n">
        <f aca="false">K221*(1+Assumptions!B30)</f>
        <v>14.1204113383276</v>
      </c>
      <c r="L222" s="16" t="n">
        <f aca="false">ROUND(K222*F222,0)</f>
        <v>8</v>
      </c>
      <c r="M222" s="22" t="n">
        <f aca="false">L222*Assumptions!B31</f>
        <v>2400</v>
      </c>
      <c r="N222" s="22" t="n">
        <f aca="false">J222+M222</f>
        <v>9000</v>
      </c>
      <c r="O222" s="22" t="n">
        <f aca="false">IF(DAY(B222)=1,Assumptions!B38*G222,0)</f>
        <v>0</v>
      </c>
      <c r="P222" s="22" t="n">
        <f aca="false">IF(DAY(B222)=1,Assumptions!B39*G222,0)</f>
        <v>0</v>
      </c>
      <c r="Q222" s="22" t="n">
        <f aca="false">IF(DAY(B222)=1,Assumptions!B40*G222,0)</f>
        <v>0</v>
      </c>
      <c r="R222" s="22" t="n">
        <f aca="false">IF(DAY(B222)=1,Assumptions!B41*G222,0)</f>
        <v>0</v>
      </c>
      <c r="S222" s="22" t="n">
        <f aca="false">IF(AND(DAY(B222)=1,D222&gt;=13),Assumptions!B42*G222,0)</f>
        <v>0</v>
      </c>
      <c r="T222" s="22" t="n">
        <f aca="false">IF(DAY(B222)=1,Assumptions!B43*G222,0)</f>
        <v>0</v>
      </c>
      <c r="U222" s="22" t="n">
        <f aca="false">SUM(O222:T222)</f>
        <v>0</v>
      </c>
      <c r="V222" s="22" t="n">
        <f aca="false">N222-U222</f>
        <v>9000</v>
      </c>
      <c r="W222" s="22" t="n">
        <f aca="false">W221+V222</f>
        <v>-4212900</v>
      </c>
      <c r="X222" s="23" t="str">
        <f aca="false">IF(W222&gt;=0,"YES","No")</f>
        <v>No</v>
      </c>
    </row>
    <row r="223" customFormat="false" ht="15" hidden="false" customHeight="false" outlineLevel="0" collapsed="false">
      <c r="A223" s="16" t="n">
        <v>222</v>
      </c>
      <c r="B223" s="17" t="n">
        <f aca="false">B222+1</f>
        <v>46244</v>
      </c>
      <c r="C223" s="18" t="n">
        <f aca="false">MIN(ROUNDUP(A223/365,0),5)</f>
        <v>1</v>
      </c>
      <c r="D223" s="18" t="n">
        <f aca="false">DATEDIF(Assumptions!B5,B223,"m")+1</f>
        <v>8</v>
      </c>
      <c r="E223" s="18" t="str">
        <f aca="false">TEXT(B223,"ddd")</f>
        <v>Mon</v>
      </c>
      <c r="F223" s="19" t="n">
        <f aca="false">IF(WEEKDAY(B223,2)&gt;=6,Assumptions!B34,Assumptions!B35)</f>
        <v>1</v>
      </c>
      <c r="G223" s="20" t="n">
        <f aca="false">IF(D223&gt;=13,(1+Assumptions!B46)^(D223-12),1)</f>
        <v>1</v>
      </c>
      <c r="H223" s="21" t="n">
        <f aca="false">H222*(1+IF(C223=1,Assumptions!B22,Assumptions!B23))</f>
        <v>18.9654951355234</v>
      </c>
      <c r="I223" s="16" t="n">
        <f aca="false">ROUND(H223*F223,0)</f>
        <v>19</v>
      </c>
      <c r="J223" s="22" t="n">
        <f aca="false">I223*Assumptions!B24</f>
        <v>11400</v>
      </c>
      <c r="K223" s="21" t="n">
        <f aca="false">K222*(1+Assumptions!B30)</f>
        <v>14.1250278209529</v>
      </c>
      <c r="L223" s="16" t="n">
        <f aca="false">ROUND(K223*F223,0)</f>
        <v>14</v>
      </c>
      <c r="M223" s="22" t="n">
        <f aca="false">L223*Assumptions!B31</f>
        <v>4200</v>
      </c>
      <c r="N223" s="22" t="n">
        <f aca="false">J223+M223</f>
        <v>15600</v>
      </c>
      <c r="O223" s="22" t="n">
        <f aca="false">IF(DAY(B223)=1,Assumptions!B38*G223,0)</f>
        <v>0</v>
      </c>
      <c r="P223" s="22" t="n">
        <f aca="false">IF(DAY(B223)=1,Assumptions!B39*G223,0)</f>
        <v>0</v>
      </c>
      <c r="Q223" s="22" t="n">
        <f aca="false">IF(DAY(B223)=1,Assumptions!B40*G223,0)</f>
        <v>0</v>
      </c>
      <c r="R223" s="22" t="n">
        <f aca="false">IF(DAY(B223)=1,Assumptions!B41*G223,0)</f>
        <v>0</v>
      </c>
      <c r="S223" s="22" t="n">
        <f aca="false">IF(AND(DAY(B223)=1,D223&gt;=13),Assumptions!B42*G223,0)</f>
        <v>0</v>
      </c>
      <c r="T223" s="22" t="n">
        <f aca="false">IF(DAY(B223)=1,Assumptions!B43*G223,0)</f>
        <v>0</v>
      </c>
      <c r="U223" s="22" t="n">
        <f aca="false">SUM(O223:T223)</f>
        <v>0</v>
      </c>
      <c r="V223" s="22" t="n">
        <f aca="false">N223-U223</f>
        <v>15600</v>
      </c>
      <c r="W223" s="22" t="n">
        <f aca="false">W222+V223</f>
        <v>-4197300</v>
      </c>
      <c r="X223" s="23" t="str">
        <f aca="false">IF(W223&gt;=0,"YES","No")</f>
        <v>No</v>
      </c>
    </row>
    <row r="224" customFormat="false" ht="15" hidden="false" customHeight="false" outlineLevel="0" collapsed="false">
      <c r="A224" s="16" t="n">
        <v>223</v>
      </c>
      <c r="B224" s="17" t="n">
        <f aca="false">B223+1</f>
        <v>46245</v>
      </c>
      <c r="C224" s="18" t="n">
        <f aca="false">MIN(ROUNDUP(A224/365,0),5)</f>
        <v>1</v>
      </c>
      <c r="D224" s="18" t="n">
        <f aca="false">DATEDIF(Assumptions!B5,B224,"m")+1</f>
        <v>8</v>
      </c>
      <c r="E224" s="18" t="str">
        <f aca="false">TEXT(B224,"ddd")</f>
        <v>Tue</v>
      </c>
      <c r="F224" s="19" t="n">
        <f aca="false">IF(WEEKDAY(B224,2)&gt;=6,Assumptions!B34,Assumptions!B35)</f>
        <v>1</v>
      </c>
      <c r="G224" s="20" t="n">
        <f aca="false">IF(D224&gt;=13,(1+Assumptions!B46)^(D224-12),1)</f>
        <v>1</v>
      </c>
      <c r="H224" s="21" t="n">
        <f aca="false">H223*(1+IF(C224=1,Assumptions!B22,Assumptions!B23))</f>
        <v>18.977837080986</v>
      </c>
      <c r="I224" s="16" t="n">
        <f aca="false">ROUND(H224*F224,0)</f>
        <v>19</v>
      </c>
      <c r="J224" s="22" t="n">
        <f aca="false">I224*Assumptions!B24</f>
        <v>11400</v>
      </c>
      <c r="K224" s="21" t="n">
        <f aca="false">K223*(1+Assumptions!B30)</f>
        <v>14.1296458128764</v>
      </c>
      <c r="L224" s="16" t="n">
        <f aca="false">ROUND(K224*F224,0)</f>
        <v>14</v>
      </c>
      <c r="M224" s="22" t="n">
        <f aca="false">L224*Assumptions!B31</f>
        <v>4200</v>
      </c>
      <c r="N224" s="22" t="n">
        <f aca="false">J224+M224</f>
        <v>15600</v>
      </c>
      <c r="O224" s="22" t="n">
        <f aca="false">IF(DAY(B224)=1,Assumptions!B38*G224,0)</f>
        <v>0</v>
      </c>
      <c r="P224" s="22" t="n">
        <f aca="false">IF(DAY(B224)=1,Assumptions!B39*G224,0)</f>
        <v>0</v>
      </c>
      <c r="Q224" s="22" t="n">
        <f aca="false">IF(DAY(B224)=1,Assumptions!B40*G224,0)</f>
        <v>0</v>
      </c>
      <c r="R224" s="22" t="n">
        <f aca="false">IF(DAY(B224)=1,Assumptions!B41*G224,0)</f>
        <v>0</v>
      </c>
      <c r="S224" s="22" t="n">
        <f aca="false">IF(AND(DAY(B224)=1,D224&gt;=13),Assumptions!B42*G224,0)</f>
        <v>0</v>
      </c>
      <c r="T224" s="22" t="n">
        <f aca="false">IF(DAY(B224)=1,Assumptions!B43*G224,0)</f>
        <v>0</v>
      </c>
      <c r="U224" s="22" t="n">
        <f aca="false">SUM(O224:T224)</f>
        <v>0</v>
      </c>
      <c r="V224" s="22" t="n">
        <f aca="false">N224-U224</f>
        <v>15600</v>
      </c>
      <c r="W224" s="22" t="n">
        <f aca="false">W223+V224</f>
        <v>-4181700</v>
      </c>
      <c r="X224" s="23" t="str">
        <f aca="false">IF(W224&gt;=0,"YES","No")</f>
        <v>No</v>
      </c>
    </row>
    <row r="225" customFormat="false" ht="15" hidden="false" customHeight="false" outlineLevel="0" collapsed="false">
      <c r="A225" s="16" t="n">
        <v>224</v>
      </c>
      <c r="B225" s="17" t="n">
        <f aca="false">B224+1</f>
        <v>46246</v>
      </c>
      <c r="C225" s="18" t="n">
        <f aca="false">MIN(ROUNDUP(A225/365,0),5)</f>
        <v>1</v>
      </c>
      <c r="D225" s="18" t="n">
        <f aca="false">DATEDIF(Assumptions!B5,B225,"m")+1</f>
        <v>8</v>
      </c>
      <c r="E225" s="18" t="str">
        <f aca="false">TEXT(B225,"ddd")</f>
        <v>Wed</v>
      </c>
      <c r="F225" s="19" t="n">
        <f aca="false">IF(WEEKDAY(B225,2)&gt;=6,Assumptions!B34,Assumptions!B35)</f>
        <v>1</v>
      </c>
      <c r="G225" s="20" t="n">
        <f aca="false">IF(D225&gt;=13,(1+Assumptions!B46)^(D225-12),1)</f>
        <v>1</v>
      </c>
      <c r="H225" s="21" t="n">
        <f aca="false">H224*(1+IF(C225=1,Assumptions!B22,Assumptions!B23))</f>
        <v>18.9901870580668</v>
      </c>
      <c r="I225" s="16" t="n">
        <f aca="false">ROUND(H225*F225,0)</f>
        <v>19</v>
      </c>
      <c r="J225" s="22" t="n">
        <f aca="false">I225*Assumptions!B24</f>
        <v>11400</v>
      </c>
      <c r="K225" s="21" t="n">
        <f aca="false">K224*(1+Assumptions!B30)</f>
        <v>14.1342653145915</v>
      </c>
      <c r="L225" s="16" t="n">
        <f aca="false">ROUND(K225*F225,0)</f>
        <v>14</v>
      </c>
      <c r="M225" s="22" t="n">
        <f aca="false">L225*Assumptions!B31</f>
        <v>4200</v>
      </c>
      <c r="N225" s="22" t="n">
        <f aca="false">J225+M225</f>
        <v>15600</v>
      </c>
      <c r="O225" s="22" t="n">
        <f aca="false">IF(DAY(B225)=1,Assumptions!B38*G225,0)</f>
        <v>0</v>
      </c>
      <c r="P225" s="22" t="n">
        <f aca="false">IF(DAY(B225)=1,Assumptions!B39*G225,0)</f>
        <v>0</v>
      </c>
      <c r="Q225" s="22" t="n">
        <f aca="false">IF(DAY(B225)=1,Assumptions!B40*G225,0)</f>
        <v>0</v>
      </c>
      <c r="R225" s="22" t="n">
        <f aca="false">IF(DAY(B225)=1,Assumptions!B41*G225,0)</f>
        <v>0</v>
      </c>
      <c r="S225" s="22" t="n">
        <f aca="false">IF(AND(DAY(B225)=1,D225&gt;=13),Assumptions!B42*G225,0)</f>
        <v>0</v>
      </c>
      <c r="T225" s="22" t="n">
        <f aca="false">IF(DAY(B225)=1,Assumptions!B43*G225,0)</f>
        <v>0</v>
      </c>
      <c r="U225" s="22" t="n">
        <f aca="false">SUM(O225:T225)</f>
        <v>0</v>
      </c>
      <c r="V225" s="22" t="n">
        <f aca="false">N225-U225</f>
        <v>15600</v>
      </c>
      <c r="W225" s="22" t="n">
        <f aca="false">W224+V225</f>
        <v>-4166100</v>
      </c>
      <c r="X225" s="23" t="str">
        <f aca="false">IF(W225&gt;=0,"YES","No")</f>
        <v>No</v>
      </c>
    </row>
    <row r="226" customFormat="false" ht="15" hidden="false" customHeight="false" outlineLevel="0" collapsed="false">
      <c r="A226" s="16" t="n">
        <v>225</v>
      </c>
      <c r="B226" s="17" t="n">
        <f aca="false">B225+1</f>
        <v>46247</v>
      </c>
      <c r="C226" s="18" t="n">
        <f aca="false">MIN(ROUNDUP(A226/365,0),5)</f>
        <v>1</v>
      </c>
      <c r="D226" s="18" t="n">
        <f aca="false">DATEDIF(Assumptions!B5,B226,"m")+1</f>
        <v>8</v>
      </c>
      <c r="E226" s="18" t="str">
        <f aca="false">TEXT(B226,"ddd")</f>
        <v>Thu</v>
      </c>
      <c r="F226" s="19" t="n">
        <f aca="false">IF(WEEKDAY(B226,2)&gt;=6,Assumptions!B34,Assumptions!B35)</f>
        <v>1</v>
      </c>
      <c r="G226" s="20" t="n">
        <f aca="false">IF(D226&gt;=13,(1+Assumptions!B46)^(D226-12),1)</f>
        <v>1</v>
      </c>
      <c r="H226" s="21" t="n">
        <f aca="false">H225*(1+IF(C226=1,Assumptions!B22,Assumptions!B23))</f>
        <v>19.0025450719926</v>
      </c>
      <c r="I226" s="16" t="n">
        <f aca="false">ROUND(H226*F226,0)</f>
        <v>19</v>
      </c>
      <c r="J226" s="22" t="n">
        <f aca="false">I226*Assumptions!B24</f>
        <v>11400</v>
      </c>
      <c r="K226" s="21" t="n">
        <f aca="false">K225*(1+Assumptions!B30)</f>
        <v>14.138886326592</v>
      </c>
      <c r="L226" s="16" t="n">
        <f aca="false">ROUND(K226*F226,0)</f>
        <v>14</v>
      </c>
      <c r="M226" s="22" t="n">
        <f aca="false">L226*Assumptions!B31</f>
        <v>4200</v>
      </c>
      <c r="N226" s="22" t="n">
        <f aca="false">J226+M226</f>
        <v>15600</v>
      </c>
      <c r="O226" s="22" t="n">
        <f aca="false">IF(DAY(B226)=1,Assumptions!B38*G226,0)</f>
        <v>0</v>
      </c>
      <c r="P226" s="22" t="n">
        <f aca="false">IF(DAY(B226)=1,Assumptions!B39*G226,0)</f>
        <v>0</v>
      </c>
      <c r="Q226" s="22" t="n">
        <f aca="false">IF(DAY(B226)=1,Assumptions!B40*G226,0)</f>
        <v>0</v>
      </c>
      <c r="R226" s="22" t="n">
        <f aca="false">IF(DAY(B226)=1,Assumptions!B41*G226,0)</f>
        <v>0</v>
      </c>
      <c r="S226" s="22" t="n">
        <f aca="false">IF(AND(DAY(B226)=1,D226&gt;=13),Assumptions!B42*G226,0)</f>
        <v>0</v>
      </c>
      <c r="T226" s="22" t="n">
        <f aca="false">IF(DAY(B226)=1,Assumptions!B43*G226,0)</f>
        <v>0</v>
      </c>
      <c r="U226" s="22" t="n">
        <f aca="false">SUM(O226:T226)</f>
        <v>0</v>
      </c>
      <c r="V226" s="22" t="n">
        <f aca="false">N226-U226</f>
        <v>15600</v>
      </c>
      <c r="W226" s="22" t="n">
        <f aca="false">W225+V226</f>
        <v>-4150500</v>
      </c>
      <c r="X226" s="23" t="str">
        <f aca="false">IF(W226&gt;=0,"YES","No")</f>
        <v>No</v>
      </c>
    </row>
    <row r="227" customFormat="false" ht="15" hidden="false" customHeight="false" outlineLevel="0" collapsed="false">
      <c r="A227" s="16" t="n">
        <v>226</v>
      </c>
      <c r="B227" s="17" t="n">
        <f aca="false">B226+1</f>
        <v>46248</v>
      </c>
      <c r="C227" s="18" t="n">
        <f aca="false">MIN(ROUNDUP(A227/365,0),5)</f>
        <v>1</v>
      </c>
      <c r="D227" s="18" t="n">
        <f aca="false">DATEDIF(Assumptions!B5,B227,"m")+1</f>
        <v>8</v>
      </c>
      <c r="E227" s="18" t="str">
        <f aca="false">TEXT(B227,"ddd")</f>
        <v>Fri</v>
      </c>
      <c r="F227" s="19" t="n">
        <f aca="false">IF(WEEKDAY(B227,2)&gt;=6,Assumptions!B34,Assumptions!B35)</f>
        <v>1</v>
      </c>
      <c r="G227" s="20" t="n">
        <f aca="false">IF(D227&gt;=13,(1+Assumptions!B46)^(D227-12),1)</f>
        <v>1</v>
      </c>
      <c r="H227" s="21" t="n">
        <f aca="false">H226*(1+IF(C227=1,Assumptions!B22,Assumptions!B23))</f>
        <v>19.0149111279933</v>
      </c>
      <c r="I227" s="16" t="n">
        <f aca="false">ROUND(H227*F227,0)</f>
        <v>19</v>
      </c>
      <c r="J227" s="22" t="n">
        <f aca="false">I227*Assumptions!B24</f>
        <v>11400</v>
      </c>
      <c r="K227" s="21" t="n">
        <f aca="false">K226*(1+Assumptions!B30)</f>
        <v>14.1435088493714</v>
      </c>
      <c r="L227" s="16" t="n">
        <f aca="false">ROUND(K227*F227,0)</f>
        <v>14</v>
      </c>
      <c r="M227" s="22" t="n">
        <f aca="false">L227*Assumptions!B31</f>
        <v>4200</v>
      </c>
      <c r="N227" s="22" t="n">
        <f aca="false">J227+M227</f>
        <v>15600</v>
      </c>
      <c r="O227" s="22" t="n">
        <f aca="false">IF(DAY(B227)=1,Assumptions!B38*G227,0)</f>
        <v>0</v>
      </c>
      <c r="P227" s="22" t="n">
        <f aca="false">IF(DAY(B227)=1,Assumptions!B39*G227,0)</f>
        <v>0</v>
      </c>
      <c r="Q227" s="22" t="n">
        <f aca="false">IF(DAY(B227)=1,Assumptions!B40*G227,0)</f>
        <v>0</v>
      </c>
      <c r="R227" s="22" t="n">
        <f aca="false">IF(DAY(B227)=1,Assumptions!B41*G227,0)</f>
        <v>0</v>
      </c>
      <c r="S227" s="22" t="n">
        <f aca="false">IF(AND(DAY(B227)=1,D227&gt;=13),Assumptions!B42*G227,0)</f>
        <v>0</v>
      </c>
      <c r="T227" s="22" t="n">
        <f aca="false">IF(DAY(B227)=1,Assumptions!B43*G227,0)</f>
        <v>0</v>
      </c>
      <c r="U227" s="22" t="n">
        <f aca="false">SUM(O227:T227)</f>
        <v>0</v>
      </c>
      <c r="V227" s="22" t="n">
        <f aca="false">N227-U227</f>
        <v>15600</v>
      </c>
      <c r="W227" s="22" t="n">
        <f aca="false">W226+V227</f>
        <v>-4134900</v>
      </c>
      <c r="X227" s="23" t="str">
        <f aca="false">IF(W227&gt;=0,"YES","No")</f>
        <v>No</v>
      </c>
    </row>
    <row r="228" customFormat="false" ht="15" hidden="false" customHeight="false" outlineLevel="0" collapsed="false">
      <c r="A228" s="16" t="n">
        <v>227</v>
      </c>
      <c r="B228" s="17" t="n">
        <f aca="false">B227+1</f>
        <v>46249</v>
      </c>
      <c r="C228" s="18" t="n">
        <f aca="false">MIN(ROUNDUP(A228/365,0),5)</f>
        <v>1</v>
      </c>
      <c r="D228" s="18" t="n">
        <f aca="false">DATEDIF(Assumptions!B5,B228,"m")+1</f>
        <v>8</v>
      </c>
      <c r="E228" s="18" t="str">
        <f aca="false">TEXT(B228,"ddd")</f>
        <v>Sat</v>
      </c>
      <c r="F228" s="19" t="n">
        <f aca="false">IF(WEEKDAY(B228,2)&gt;=6,Assumptions!B34,Assumptions!B35)</f>
        <v>0.6</v>
      </c>
      <c r="G228" s="20" t="n">
        <f aca="false">IF(D228&gt;=13,(1+Assumptions!B46)^(D228-12),1)</f>
        <v>1</v>
      </c>
      <c r="H228" s="21" t="n">
        <f aca="false">H227*(1+IF(C228=1,Assumptions!B22,Assumptions!B23))</f>
        <v>19.0272852313025</v>
      </c>
      <c r="I228" s="16" t="n">
        <f aca="false">ROUND(H228*F228,0)</f>
        <v>11</v>
      </c>
      <c r="J228" s="22" t="n">
        <f aca="false">I228*Assumptions!B24</f>
        <v>6600</v>
      </c>
      <c r="K228" s="21" t="n">
        <f aca="false">K227*(1+Assumptions!B30)</f>
        <v>14.1481328834239</v>
      </c>
      <c r="L228" s="16" t="n">
        <f aca="false">ROUND(K228*F228,0)</f>
        <v>8</v>
      </c>
      <c r="M228" s="22" t="n">
        <f aca="false">L228*Assumptions!B31</f>
        <v>2400</v>
      </c>
      <c r="N228" s="22" t="n">
        <f aca="false">J228+M228</f>
        <v>9000</v>
      </c>
      <c r="O228" s="22" t="n">
        <f aca="false">IF(DAY(B228)=1,Assumptions!B38*G228,0)</f>
        <v>0</v>
      </c>
      <c r="P228" s="22" t="n">
        <f aca="false">IF(DAY(B228)=1,Assumptions!B39*G228,0)</f>
        <v>0</v>
      </c>
      <c r="Q228" s="22" t="n">
        <f aca="false">IF(DAY(B228)=1,Assumptions!B40*G228,0)</f>
        <v>0</v>
      </c>
      <c r="R228" s="22" t="n">
        <f aca="false">IF(DAY(B228)=1,Assumptions!B41*G228,0)</f>
        <v>0</v>
      </c>
      <c r="S228" s="22" t="n">
        <f aca="false">IF(AND(DAY(B228)=1,D228&gt;=13),Assumptions!B42*G228,0)</f>
        <v>0</v>
      </c>
      <c r="T228" s="22" t="n">
        <f aca="false">IF(DAY(B228)=1,Assumptions!B43*G228,0)</f>
        <v>0</v>
      </c>
      <c r="U228" s="22" t="n">
        <f aca="false">SUM(O228:T228)</f>
        <v>0</v>
      </c>
      <c r="V228" s="22" t="n">
        <f aca="false">N228-U228</f>
        <v>9000</v>
      </c>
      <c r="W228" s="22" t="n">
        <f aca="false">W227+V228</f>
        <v>-4125900</v>
      </c>
      <c r="X228" s="23" t="str">
        <f aca="false">IF(W228&gt;=0,"YES","No")</f>
        <v>No</v>
      </c>
    </row>
    <row r="229" customFormat="false" ht="15" hidden="false" customHeight="false" outlineLevel="0" collapsed="false">
      <c r="A229" s="16" t="n">
        <v>228</v>
      </c>
      <c r="B229" s="17" t="n">
        <f aca="false">B228+1</f>
        <v>46250</v>
      </c>
      <c r="C229" s="18" t="n">
        <f aca="false">MIN(ROUNDUP(A229/365,0),5)</f>
        <v>1</v>
      </c>
      <c r="D229" s="18" t="n">
        <f aca="false">DATEDIF(Assumptions!B5,B229,"m")+1</f>
        <v>8</v>
      </c>
      <c r="E229" s="18" t="str">
        <f aca="false">TEXT(B229,"ddd")</f>
        <v>Sun</v>
      </c>
      <c r="F229" s="19" t="n">
        <f aca="false">IF(WEEKDAY(B229,2)&gt;=6,Assumptions!B34,Assumptions!B35)</f>
        <v>0.6</v>
      </c>
      <c r="G229" s="20" t="n">
        <f aca="false">IF(D229&gt;=13,(1+Assumptions!B46)^(D229-12),1)</f>
        <v>1</v>
      </c>
      <c r="H229" s="21" t="n">
        <f aca="false">H228*(1+IF(C229=1,Assumptions!B22,Assumptions!B23))</f>
        <v>19.039667387157</v>
      </c>
      <c r="I229" s="16" t="n">
        <f aca="false">ROUND(H229*F229,0)</f>
        <v>11</v>
      </c>
      <c r="J229" s="22" t="n">
        <f aca="false">I229*Assumptions!B24</f>
        <v>6600</v>
      </c>
      <c r="K229" s="21" t="n">
        <f aca="false">K228*(1+Assumptions!B30)</f>
        <v>14.1527584292434</v>
      </c>
      <c r="L229" s="16" t="n">
        <f aca="false">ROUND(K229*F229,0)</f>
        <v>8</v>
      </c>
      <c r="M229" s="22" t="n">
        <f aca="false">L229*Assumptions!B31</f>
        <v>2400</v>
      </c>
      <c r="N229" s="22" t="n">
        <f aca="false">J229+M229</f>
        <v>9000</v>
      </c>
      <c r="O229" s="22" t="n">
        <f aca="false">IF(DAY(B229)=1,Assumptions!B38*G229,0)</f>
        <v>0</v>
      </c>
      <c r="P229" s="22" t="n">
        <f aca="false">IF(DAY(B229)=1,Assumptions!B39*G229,0)</f>
        <v>0</v>
      </c>
      <c r="Q229" s="22" t="n">
        <f aca="false">IF(DAY(B229)=1,Assumptions!B40*G229,0)</f>
        <v>0</v>
      </c>
      <c r="R229" s="22" t="n">
        <f aca="false">IF(DAY(B229)=1,Assumptions!B41*G229,0)</f>
        <v>0</v>
      </c>
      <c r="S229" s="22" t="n">
        <f aca="false">IF(AND(DAY(B229)=1,D229&gt;=13),Assumptions!B42*G229,0)</f>
        <v>0</v>
      </c>
      <c r="T229" s="22" t="n">
        <f aca="false">IF(DAY(B229)=1,Assumptions!B43*G229,0)</f>
        <v>0</v>
      </c>
      <c r="U229" s="22" t="n">
        <f aca="false">SUM(O229:T229)</f>
        <v>0</v>
      </c>
      <c r="V229" s="22" t="n">
        <f aca="false">N229-U229</f>
        <v>9000</v>
      </c>
      <c r="W229" s="22" t="n">
        <f aca="false">W228+V229</f>
        <v>-4116900</v>
      </c>
      <c r="X229" s="23" t="str">
        <f aca="false">IF(W229&gt;=0,"YES","No")</f>
        <v>No</v>
      </c>
    </row>
    <row r="230" customFormat="false" ht="15" hidden="false" customHeight="false" outlineLevel="0" collapsed="false">
      <c r="A230" s="16" t="n">
        <v>229</v>
      </c>
      <c r="B230" s="17" t="n">
        <f aca="false">B229+1</f>
        <v>46251</v>
      </c>
      <c r="C230" s="18" t="n">
        <f aca="false">MIN(ROUNDUP(A230/365,0),5)</f>
        <v>1</v>
      </c>
      <c r="D230" s="18" t="n">
        <f aca="false">DATEDIF(Assumptions!B5,B230,"m")+1</f>
        <v>8</v>
      </c>
      <c r="E230" s="18" t="str">
        <f aca="false">TEXT(B230,"ddd")</f>
        <v>Mon</v>
      </c>
      <c r="F230" s="19" t="n">
        <f aca="false">IF(WEEKDAY(B230,2)&gt;=6,Assumptions!B34,Assumptions!B35)</f>
        <v>1</v>
      </c>
      <c r="G230" s="20" t="n">
        <f aca="false">IF(D230&gt;=13,(1+Assumptions!B46)^(D230-12),1)</f>
        <v>1</v>
      </c>
      <c r="H230" s="21" t="n">
        <f aca="false">H229*(1+IF(C230=1,Assumptions!B22,Assumptions!B23))</f>
        <v>19.0520576007969</v>
      </c>
      <c r="I230" s="16" t="n">
        <f aca="false">ROUND(H230*F230,0)</f>
        <v>19</v>
      </c>
      <c r="J230" s="22" t="n">
        <f aca="false">I230*Assumptions!B24</f>
        <v>11400</v>
      </c>
      <c r="K230" s="21" t="n">
        <f aca="false">K229*(1+Assumptions!B30)</f>
        <v>14.1573854873243</v>
      </c>
      <c r="L230" s="16" t="n">
        <f aca="false">ROUND(K230*F230,0)</f>
        <v>14</v>
      </c>
      <c r="M230" s="22" t="n">
        <f aca="false">L230*Assumptions!B31</f>
        <v>4200</v>
      </c>
      <c r="N230" s="22" t="n">
        <f aca="false">J230+M230</f>
        <v>15600</v>
      </c>
      <c r="O230" s="22" t="n">
        <f aca="false">IF(DAY(B230)=1,Assumptions!B38*G230,0)</f>
        <v>0</v>
      </c>
      <c r="P230" s="22" t="n">
        <f aca="false">IF(DAY(B230)=1,Assumptions!B39*G230,0)</f>
        <v>0</v>
      </c>
      <c r="Q230" s="22" t="n">
        <f aca="false">IF(DAY(B230)=1,Assumptions!B40*G230,0)</f>
        <v>0</v>
      </c>
      <c r="R230" s="22" t="n">
        <f aca="false">IF(DAY(B230)=1,Assumptions!B41*G230,0)</f>
        <v>0</v>
      </c>
      <c r="S230" s="22" t="n">
        <f aca="false">IF(AND(DAY(B230)=1,D230&gt;=13),Assumptions!B42*G230,0)</f>
        <v>0</v>
      </c>
      <c r="T230" s="22" t="n">
        <f aca="false">IF(DAY(B230)=1,Assumptions!B43*G230,0)</f>
        <v>0</v>
      </c>
      <c r="U230" s="22" t="n">
        <f aca="false">SUM(O230:T230)</f>
        <v>0</v>
      </c>
      <c r="V230" s="22" t="n">
        <f aca="false">N230-U230</f>
        <v>15600</v>
      </c>
      <c r="W230" s="22" t="n">
        <f aca="false">W229+V230</f>
        <v>-4101300</v>
      </c>
      <c r="X230" s="23" t="str">
        <f aca="false">IF(W230&gt;=0,"YES","No")</f>
        <v>No</v>
      </c>
    </row>
    <row r="231" customFormat="false" ht="15" hidden="false" customHeight="false" outlineLevel="0" collapsed="false">
      <c r="A231" s="16" t="n">
        <v>230</v>
      </c>
      <c r="B231" s="17" t="n">
        <f aca="false">B230+1</f>
        <v>46252</v>
      </c>
      <c r="C231" s="18" t="n">
        <f aca="false">MIN(ROUNDUP(A231/365,0),5)</f>
        <v>1</v>
      </c>
      <c r="D231" s="18" t="n">
        <f aca="false">DATEDIF(Assumptions!B5,B231,"m")+1</f>
        <v>8</v>
      </c>
      <c r="E231" s="18" t="str">
        <f aca="false">TEXT(B231,"ddd")</f>
        <v>Tue</v>
      </c>
      <c r="F231" s="19" t="n">
        <f aca="false">IF(WEEKDAY(B231,2)&gt;=6,Assumptions!B34,Assumptions!B35)</f>
        <v>1</v>
      </c>
      <c r="G231" s="20" t="n">
        <f aca="false">IF(D231&gt;=13,(1+Assumptions!B46)^(D231-12),1)</f>
        <v>1</v>
      </c>
      <c r="H231" s="21" t="n">
        <f aca="false">H230*(1+IF(C231=1,Assumptions!B22,Assumptions!B23))</f>
        <v>19.0644558774661</v>
      </c>
      <c r="I231" s="16" t="n">
        <f aca="false">ROUND(H231*F231,0)</f>
        <v>19</v>
      </c>
      <c r="J231" s="22" t="n">
        <f aca="false">I231*Assumptions!B24</f>
        <v>11400</v>
      </c>
      <c r="K231" s="21" t="n">
        <f aca="false">K230*(1+Assumptions!B30)</f>
        <v>14.1620140581609</v>
      </c>
      <c r="L231" s="16" t="n">
        <f aca="false">ROUND(K231*F231,0)</f>
        <v>14</v>
      </c>
      <c r="M231" s="22" t="n">
        <f aca="false">L231*Assumptions!B31</f>
        <v>4200</v>
      </c>
      <c r="N231" s="22" t="n">
        <f aca="false">J231+M231</f>
        <v>15600</v>
      </c>
      <c r="O231" s="22" t="n">
        <f aca="false">IF(DAY(B231)=1,Assumptions!B38*G231,0)</f>
        <v>0</v>
      </c>
      <c r="P231" s="22" t="n">
        <f aca="false">IF(DAY(B231)=1,Assumptions!B39*G231,0)</f>
        <v>0</v>
      </c>
      <c r="Q231" s="22" t="n">
        <f aca="false">IF(DAY(B231)=1,Assumptions!B40*G231,0)</f>
        <v>0</v>
      </c>
      <c r="R231" s="22" t="n">
        <f aca="false">IF(DAY(B231)=1,Assumptions!B41*G231,0)</f>
        <v>0</v>
      </c>
      <c r="S231" s="22" t="n">
        <f aca="false">IF(AND(DAY(B231)=1,D231&gt;=13),Assumptions!B42*G231,0)</f>
        <v>0</v>
      </c>
      <c r="T231" s="22" t="n">
        <f aca="false">IF(DAY(B231)=1,Assumptions!B43*G231,0)</f>
        <v>0</v>
      </c>
      <c r="U231" s="22" t="n">
        <f aca="false">SUM(O231:T231)</f>
        <v>0</v>
      </c>
      <c r="V231" s="22" t="n">
        <f aca="false">N231-U231</f>
        <v>15600</v>
      </c>
      <c r="W231" s="22" t="n">
        <f aca="false">W230+V231</f>
        <v>-4085700</v>
      </c>
      <c r="X231" s="23" t="str">
        <f aca="false">IF(W231&gt;=0,"YES","No")</f>
        <v>No</v>
      </c>
    </row>
    <row r="232" customFormat="false" ht="15" hidden="false" customHeight="false" outlineLevel="0" collapsed="false">
      <c r="A232" s="16" t="n">
        <v>231</v>
      </c>
      <c r="B232" s="17" t="n">
        <f aca="false">B231+1</f>
        <v>46253</v>
      </c>
      <c r="C232" s="18" t="n">
        <f aca="false">MIN(ROUNDUP(A232/365,0),5)</f>
        <v>1</v>
      </c>
      <c r="D232" s="18" t="n">
        <f aca="false">DATEDIF(Assumptions!B5,B232,"m")+1</f>
        <v>8</v>
      </c>
      <c r="E232" s="18" t="str">
        <f aca="false">TEXT(B232,"ddd")</f>
        <v>Wed</v>
      </c>
      <c r="F232" s="19" t="n">
        <f aca="false">IF(WEEKDAY(B232,2)&gt;=6,Assumptions!B34,Assumptions!B35)</f>
        <v>1</v>
      </c>
      <c r="G232" s="20" t="n">
        <f aca="false">IF(D232&gt;=13,(1+Assumptions!B46)^(D232-12),1)</f>
        <v>1</v>
      </c>
      <c r="H232" s="21" t="n">
        <f aca="false">H231*(1+IF(C232=1,Assumptions!B22,Assumptions!B23))</f>
        <v>19.0768622224116</v>
      </c>
      <c r="I232" s="16" t="n">
        <f aca="false">ROUND(H232*F232,0)</f>
        <v>19</v>
      </c>
      <c r="J232" s="22" t="n">
        <f aca="false">I232*Assumptions!B24</f>
        <v>11400</v>
      </c>
      <c r="K232" s="21" t="n">
        <f aca="false">K231*(1+Assumptions!B30)</f>
        <v>14.1666441422478</v>
      </c>
      <c r="L232" s="16" t="n">
        <f aca="false">ROUND(K232*F232,0)</f>
        <v>14</v>
      </c>
      <c r="M232" s="22" t="n">
        <f aca="false">L232*Assumptions!B31</f>
        <v>4200</v>
      </c>
      <c r="N232" s="22" t="n">
        <f aca="false">J232+M232</f>
        <v>15600</v>
      </c>
      <c r="O232" s="22" t="n">
        <f aca="false">IF(DAY(B232)=1,Assumptions!B38*G232,0)</f>
        <v>0</v>
      </c>
      <c r="P232" s="22" t="n">
        <f aca="false">IF(DAY(B232)=1,Assumptions!B39*G232,0)</f>
        <v>0</v>
      </c>
      <c r="Q232" s="22" t="n">
        <f aca="false">IF(DAY(B232)=1,Assumptions!B40*G232,0)</f>
        <v>0</v>
      </c>
      <c r="R232" s="22" t="n">
        <f aca="false">IF(DAY(B232)=1,Assumptions!B41*G232,0)</f>
        <v>0</v>
      </c>
      <c r="S232" s="22" t="n">
        <f aca="false">IF(AND(DAY(B232)=1,D232&gt;=13),Assumptions!B42*G232,0)</f>
        <v>0</v>
      </c>
      <c r="T232" s="22" t="n">
        <f aca="false">IF(DAY(B232)=1,Assumptions!B43*G232,0)</f>
        <v>0</v>
      </c>
      <c r="U232" s="22" t="n">
        <f aca="false">SUM(O232:T232)</f>
        <v>0</v>
      </c>
      <c r="V232" s="22" t="n">
        <f aca="false">N232-U232</f>
        <v>15600</v>
      </c>
      <c r="W232" s="22" t="n">
        <f aca="false">W231+V232</f>
        <v>-4070100</v>
      </c>
      <c r="X232" s="23" t="str">
        <f aca="false">IF(W232&gt;=0,"YES","No")</f>
        <v>No</v>
      </c>
    </row>
    <row r="233" customFormat="false" ht="15" hidden="false" customHeight="false" outlineLevel="0" collapsed="false">
      <c r="A233" s="16" t="n">
        <v>232</v>
      </c>
      <c r="B233" s="17" t="n">
        <f aca="false">B232+1</f>
        <v>46254</v>
      </c>
      <c r="C233" s="18" t="n">
        <f aca="false">MIN(ROUNDUP(A233/365,0),5)</f>
        <v>1</v>
      </c>
      <c r="D233" s="18" t="n">
        <f aca="false">DATEDIF(Assumptions!B5,B233,"m")+1</f>
        <v>8</v>
      </c>
      <c r="E233" s="18" t="str">
        <f aca="false">TEXT(B233,"ddd")</f>
        <v>Thu</v>
      </c>
      <c r="F233" s="19" t="n">
        <f aca="false">IF(WEEKDAY(B233,2)&gt;=6,Assumptions!B34,Assumptions!B35)</f>
        <v>1</v>
      </c>
      <c r="G233" s="20" t="n">
        <f aca="false">IF(D233&gt;=13,(1+Assumptions!B46)^(D233-12),1)</f>
        <v>1</v>
      </c>
      <c r="H233" s="21" t="n">
        <f aca="false">H232*(1+IF(C233=1,Assumptions!B22,Assumptions!B23))</f>
        <v>19.0892766408838</v>
      </c>
      <c r="I233" s="16" t="n">
        <f aca="false">ROUND(H233*F233,0)</f>
        <v>19</v>
      </c>
      <c r="J233" s="22" t="n">
        <f aca="false">I233*Assumptions!B24</f>
        <v>11400</v>
      </c>
      <c r="K233" s="21" t="n">
        <f aca="false">K232*(1+Assumptions!B30)</f>
        <v>14.1712757400797</v>
      </c>
      <c r="L233" s="16" t="n">
        <f aca="false">ROUND(K233*F233,0)</f>
        <v>14</v>
      </c>
      <c r="M233" s="22" t="n">
        <f aca="false">L233*Assumptions!B31</f>
        <v>4200</v>
      </c>
      <c r="N233" s="22" t="n">
        <f aca="false">J233+M233</f>
        <v>15600</v>
      </c>
      <c r="O233" s="22" t="n">
        <f aca="false">IF(DAY(B233)=1,Assumptions!B38*G233,0)</f>
        <v>0</v>
      </c>
      <c r="P233" s="22" t="n">
        <f aca="false">IF(DAY(B233)=1,Assumptions!B39*G233,0)</f>
        <v>0</v>
      </c>
      <c r="Q233" s="22" t="n">
        <f aca="false">IF(DAY(B233)=1,Assumptions!B40*G233,0)</f>
        <v>0</v>
      </c>
      <c r="R233" s="22" t="n">
        <f aca="false">IF(DAY(B233)=1,Assumptions!B41*G233,0)</f>
        <v>0</v>
      </c>
      <c r="S233" s="22" t="n">
        <f aca="false">IF(AND(DAY(B233)=1,D233&gt;=13),Assumptions!B42*G233,0)</f>
        <v>0</v>
      </c>
      <c r="T233" s="22" t="n">
        <f aca="false">IF(DAY(B233)=1,Assumptions!B43*G233,0)</f>
        <v>0</v>
      </c>
      <c r="U233" s="22" t="n">
        <f aca="false">SUM(O233:T233)</f>
        <v>0</v>
      </c>
      <c r="V233" s="22" t="n">
        <f aca="false">N233-U233</f>
        <v>15600</v>
      </c>
      <c r="W233" s="22" t="n">
        <f aca="false">W232+V233</f>
        <v>-4054500</v>
      </c>
      <c r="X233" s="23" t="str">
        <f aca="false">IF(W233&gt;=0,"YES","No")</f>
        <v>No</v>
      </c>
    </row>
    <row r="234" customFormat="false" ht="15" hidden="false" customHeight="false" outlineLevel="0" collapsed="false">
      <c r="A234" s="16" t="n">
        <v>233</v>
      </c>
      <c r="B234" s="17" t="n">
        <f aca="false">B233+1</f>
        <v>46255</v>
      </c>
      <c r="C234" s="18" t="n">
        <f aca="false">MIN(ROUNDUP(A234/365,0),5)</f>
        <v>1</v>
      </c>
      <c r="D234" s="18" t="n">
        <f aca="false">DATEDIF(Assumptions!B5,B234,"m")+1</f>
        <v>8</v>
      </c>
      <c r="E234" s="18" t="str">
        <f aca="false">TEXT(B234,"ddd")</f>
        <v>Fri</v>
      </c>
      <c r="F234" s="19" t="n">
        <f aca="false">IF(WEEKDAY(B234,2)&gt;=6,Assumptions!B34,Assumptions!B35)</f>
        <v>1</v>
      </c>
      <c r="G234" s="20" t="n">
        <f aca="false">IF(D234&gt;=13,(1+Assumptions!B46)^(D234-12),1)</f>
        <v>1</v>
      </c>
      <c r="H234" s="21" t="n">
        <f aca="false">H233*(1+IF(C234=1,Assumptions!B22,Assumptions!B23))</f>
        <v>19.1016991381367</v>
      </c>
      <c r="I234" s="16" t="n">
        <f aca="false">ROUND(H234*F234,0)</f>
        <v>19</v>
      </c>
      <c r="J234" s="22" t="n">
        <f aca="false">I234*Assumptions!B24</f>
        <v>11400</v>
      </c>
      <c r="K234" s="21" t="n">
        <f aca="false">K233*(1+Assumptions!B30)</f>
        <v>14.1759088521516</v>
      </c>
      <c r="L234" s="16" t="n">
        <f aca="false">ROUND(K234*F234,0)</f>
        <v>14</v>
      </c>
      <c r="M234" s="22" t="n">
        <f aca="false">L234*Assumptions!B31</f>
        <v>4200</v>
      </c>
      <c r="N234" s="22" t="n">
        <f aca="false">J234+M234</f>
        <v>15600</v>
      </c>
      <c r="O234" s="22" t="n">
        <f aca="false">IF(DAY(B234)=1,Assumptions!B38*G234,0)</f>
        <v>0</v>
      </c>
      <c r="P234" s="22" t="n">
        <f aca="false">IF(DAY(B234)=1,Assumptions!B39*G234,0)</f>
        <v>0</v>
      </c>
      <c r="Q234" s="22" t="n">
        <f aca="false">IF(DAY(B234)=1,Assumptions!B40*G234,0)</f>
        <v>0</v>
      </c>
      <c r="R234" s="22" t="n">
        <f aca="false">IF(DAY(B234)=1,Assumptions!B41*G234,0)</f>
        <v>0</v>
      </c>
      <c r="S234" s="22" t="n">
        <f aca="false">IF(AND(DAY(B234)=1,D234&gt;=13),Assumptions!B42*G234,0)</f>
        <v>0</v>
      </c>
      <c r="T234" s="22" t="n">
        <f aca="false">IF(DAY(B234)=1,Assumptions!B43*G234,0)</f>
        <v>0</v>
      </c>
      <c r="U234" s="22" t="n">
        <f aca="false">SUM(O234:T234)</f>
        <v>0</v>
      </c>
      <c r="V234" s="22" t="n">
        <f aca="false">N234-U234</f>
        <v>15600</v>
      </c>
      <c r="W234" s="22" t="n">
        <f aca="false">W233+V234</f>
        <v>-4038900</v>
      </c>
      <c r="X234" s="23" t="str">
        <f aca="false">IF(W234&gt;=0,"YES","No")</f>
        <v>No</v>
      </c>
    </row>
    <row r="235" customFormat="false" ht="15" hidden="false" customHeight="false" outlineLevel="0" collapsed="false">
      <c r="A235" s="16" t="n">
        <v>234</v>
      </c>
      <c r="B235" s="17" t="n">
        <f aca="false">B234+1</f>
        <v>46256</v>
      </c>
      <c r="C235" s="18" t="n">
        <f aca="false">MIN(ROUNDUP(A235/365,0),5)</f>
        <v>1</v>
      </c>
      <c r="D235" s="18" t="n">
        <f aca="false">DATEDIF(Assumptions!B5,B235,"m")+1</f>
        <v>8</v>
      </c>
      <c r="E235" s="18" t="str">
        <f aca="false">TEXT(B235,"ddd")</f>
        <v>Sat</v>
      </c>
      <c r="F235" s="19" t="n">
        <f aca="false">IF(WEEKDAY(B235,2)&gt;=6,Assumptions!B34,Assumptions!B35)</f>
        <v>0.6</v>
      </c>
      <c r="G235" s="20" t="n">
        <f aca="false">IF(D235&gt;=13,(1+Assumptions!B46)^(D235-12),1)</f>
        <v>1</v>
      </c>
      <c r="H235" s="21" t="n">
        <f aca="false">H234*(1+IF(C235=1,Assumptions!B22,Assumptions!B23))</f>
        <v>19.1141297194276</v>
      </c>
      <c r="I235" s="16" t="n">
        <f aca="false">ROUND(H235*F235,0)</f>
        <v>11</v>
      </c>
      <c r="J235" s="22" t="n">
        <f aca="false">I235*Assumptions!B24</f>
        <v>6600</v>
      </c>
      <c r="K235" s="21" t="n">
        <f aca="false">K234*(1+Assumptions!B30)</f>
        <v>14.1805434789585</v>
      </c>
      <c r="L235" s="16" t="n">
        <f aca="false">ROUND(K235*F235,0)</f>
        <v>9</v>
      </c>
      <c r="M235" s="22" t="n">
        <f aca="false">L235*Assumptions!B31</f>
        <v>2700</v>
      </c>
      <c r="N235" s="22" t="n">
        <f aca="false">J235+M235</f>
        <v>9300</v>
      </c>
      <c r="O235" s="22" t="n">
        <f aca="false">IF(DAY(B235)=1,Assumptions!B38*G235,0)</f>
        <v>0</v>
      </c>
      <c r="P235" s="22" t="n">
        <f aca="false">IF(DAY(B235)=1,Assumptions!B39*G235,0)</f>
        <v>0</v>
      </c>
      <c r="Q235" s="22" t="n">
        <f aca="false">IF(DAY(B235)=1,Assumptions!B40*G235,0)</f>
        <v>0</v>
      </c>
      <c r="R235" s="22" t="n">
        <f aca="false">IF(DAY(B235)=1,Assumptions!B41*G235,0)</f>
        <v>0</v>
      </c>
      <c r="S235" s="22" t="n">
        <f aca="false">IF(AND(DAY(B235)=1,D235&gt;=13),Assumptions!B42*G235,0)</f>
        <v>0</v>
      </c>
      <c r="T235" s="22" t="n">
        <f aca="false">IF(DAY(B235)=1,Assumptions!B43*G235,0)</f>
        <v>0</v>
      </c>
      <c r="U235" s="22" t="n">
        <f aca="false">SUM(O235:T235)</f>
        <v>0</v>
      </c>
      <c r="V235" s="22" t="n">
        <f aca="false">N235-U235</f>
        <v>9300</v>
      </c>
      <c r="W235" s="22" t="n">
        <f aca="false">W234+V235</f>
        <v>-4029600</v>
      </c>
      <c r="X235" s="23" t="str">
        <f aca="false">IF(W235&gt;=0,"YES","No")</f>
        <v>No</v>
      </c>
    </row>
    <row r="236" customFormat="false" ht="15" hidden="false" customHeight="false" outlineLevel="0" collapsed="false">
      <c r="A236" s="16" t="n">
        <v>235</v>
      </c>
      <c r="B236" s="17" t="n">
        <f aca="false">B235+1</f>
        <v>46257</v>
      </c>
      <c r="C236" s="18" t="n">
        <f aca="false">MIN(ROUNDUP(A236/365,0),5)</f>
        <v>1</v>
      </c>
      <c r="D236" s="18" t="n">
        <f aca="false">DATEDIF(Assumptions!B5,B236,"m")+1</f>
        <v>8</v>
      </c>
      <c r="E236" s="18" t="str">
        <f aca="false">TEXT(B236,"ddd")</f>
        <v>Sun</v>
      </c>
      <c r="F236" s="19" t="n">
        <f aca="false">IF(WEEKDAY(B236,2)&gt;=6,Assumptions!B34,Assumptions!B35)</f>
        <v>0.6</v>
      </c>
      <c r="G236" s="20" t="n">
        <f aca="false">IF(D236&gt;=13,(1+Assumptions!B46)^(D236-12),1)</f>
        <v>1</v>
      </c>
      <c r="H236" s="21" t="n">
        <f aca="false">H235*(1+IF(C236=1,Assumptions!B22,Assumptions!B23))</f>
        <v>19.1265683900173</v>
      </c>
      <c r="I236" s="16" t="n">
        <f aca="false">ROUND(H236*F236,0)</f>
        <v>11</v>
      </c>
      <c r="J236" s="22" t="n">
        <f aca="false">I236*Assumptions!B24</f>
        <v>6600</v>
      </c>
      <c r="K236" s="21" t="n">
        <f aca="false">K235*(1+Assumptions!B30)</f>
        <v>14.1851796209956</v>
      </c>
      <c r="L236" s="16" t="n">
        <f aca="false">ROUND(K236*F236,0)</f>
        <v>9</v>
      </c>
      <c r="M236" s="22" t="n">
        <f aca="false">L236*Assumptions!B31</f>
        <v>2700</v>
      </c>
      <c r="N236" s="22" t="n">
        <f aca="false">J236+M236</f>
        <v>9300</v>
      </c>
      <c r="O236" s="22" t="n">
        <f aca="false">IF(DAY(B236)=1,Assumptions!B38*G236,0)</f>
        <v>0</v>
      </c>
      <c r="P236" s="22" t="n">
        <f aca="false">IF(DAY(B236)=1,Assumptions!B39*G236,0)</f>
        <v>0</v>
      </c>
      <c r="Q236" s="22" t="n">
        <f aca="false">IF(DAY(B236)=1,Assumptions!B40*G236,0)</f>
        <v>0</v>
      </c>
      <c r="R236" s="22" t="n">
        <f aca="false">IF(DAY(B236)=1,Assumptions!B41*G236,0)</f>
        <v>0</v>
      </c>
      <c r="S236" s="22" t="n">
        <f aca="false">IF(AND(DAY(B236)=1,D236&gt;=13),Assumptions!B42*G236,0)</f>
        <v>0</v>
      </c>
      <c r="T236" s="22" t="n">
        <f aca="false">IF(DAY(B236)=1,Assumptions!B43*G236,0)</f>
        <v>0</v>
      </c>
      <c r="U236" s="22" t="n">
        <f aca="false">SUM(O236:T236)</f>
        <v>0</v>
      </c>
      <c r="V236" s="22" t="n">
        <f aca="false">N236-U236</f>
        <v>9300</v>
      </c>
      <c r="W236" s="22" t="n">
        <f aca="false">W235+V236</f>
        <v>-4020300</v>
      </c>
      <c r="X236" s="23" t="str">
        <f aca="false">IF(W236&gt;=0,"YES","No")</f>
        <v>No</v>
      </c>
    </row>
    <row r="237" customFormat="false" ht="15" hidden="false" customHeight="false" outlineLevel="0" collapsed="false">
      <c r="A237" s="16" t="n">
        <v>236</v>
      </c>
      <c r="B237" s="17" t="n">
        <f aca="false">B236+1</f>
        <v>46258</v>
      </c>
      <c r="C237" s="18" t="n">
        <f aca="false">MIN(ROUNDUP(A237/365,0),5)</f>
        <v>1</v>
      </c>
      <c r="D237" s="18" t="n">
        <f aca="false">DATEDIF(Assumptions!B5,B237,"m")+1</f>
        <v>8</v>
      </c>
      <c r="E237" s="18" t="str">
        <f aca="false">TEXT(B237,"ddd")</f>
        <v>Mon</v>
      </c>
      <c r="F237" s="19" t="n">
        <f aca="false">IF(WEEKDAY(B237,2)&gt;=6,Assumptions!B34,Assumptions!B35)</f>
        <v>1</v>
      </c>
      <c r="G237" s="20" t="n">
        <f aca="false">IF(D237&gt;=13,(1+Assumptions!B46)^(D237-12),1)</f>
        <v>1</v>
      </c>
      <c r="H237" s="21" t="n">
        <f aca="false">H236*(1+IF(C237=1,Assumptions!B22,Assumptions!B23))</f>
        <v>19.13901515517</v>
      </c>
      <c r="I237" s="16" t="n">
        <f aca="false">ROUND(H237*F237,0)</f>
        <v>19</v>
      </c>
      <c r="J237" s="22" t="n">
        <f aca="false">I237*Assumptions!B24</f>
        <v>11400</v>
      </c>
      <c r="K237" s="21" t="n">
        <f aca="false">K236*(1+Assumptions!B30)</f>
        <v>14.1898172787584</v>
      </c>
      <c r="L237" s="16" t="n">
        <f aca="false">ROUND(K237*F237,0)</f>
        <v>14</v>
      </c>
      <c r="M237" s="22" t="n">
        <f aca="false">L237*Assumptions!B31</f>
        <v>4200</v>
      </c>
      <c r="N237" s="22" t="n">
        <f aca="false">J237+M237</f>
        <v>15600</v>
      </c>
      <c r="O237" s="22" t="n">
        <f aca="false">IF(DAY(B237)=1,Assumptions!B38*G237,0)</f>
        <v>0</v>
      </c>
      <c r="P237" s="22" t="n">
        <f aca="false">IF(DAY(B237)=1,Assumptions!B39*G237,0)</f>
        <v>0</v>
      </c>
      <c r="Q237" s="22" t="n">
        <f aca="false">IF(DAY(B237)=1,Assumptions!B40*G237,0)</f>
        <v>0</v>
      </c>
      <c r="R237" s="22" t="n">
        <f aca="false">IF(DAY(B237)=1,Assumptions!B41*G237,0)</f>
        <v>0</v>
      </c>
      <c r="S237" s="22" t="n">
        <f aca="false">IF(AND(DAY(B237)=1,D237&gt;=13),Assumptions!B42*G237,0)</f>
        <v>0</v>
      </c>
      <c r="T237" s="22" t="n">
        <f aca="false">IF(DAY(B237)=1,Assumptions!B43*G237,0)</f>
        <v>0</v>
      </c>
      <c r="U237" s="22" t="n">
        <f aca="false">SUM(O237:T237)</f>
        <v>0</v>
      </c>
      <c r="V237" s="22" t="n">
        <f aca="false">N237-U237</f>
        <v>15600</v>
      </c>
      <c r="W237" s="22" t="n">
        <f aca="false">W236+V237</f>
        <v>-4004700</v>
      </c>
      <c r="X237" s="23" t="str">
        <f aca="false">IF(W237&gt;=0,"YES","No")</f>
        <v>No</v>
      </c>
    </row>
    <row r="238" customFormat="false" ht="15" hidden="false" customHeight="false" outlineLevel="0" collapsed="false">
      <c r="A238" s="16" t="n">
        <v>237</v>
      </c>
      <c r="B238" s="17" t="n">
        <f aca="false">B237+1</f>
        <v>46259</v>
      </c>
      <c r="C238" s="18" t="n">
        <f aca="false">MIN(ROUNDUP(A238/365,0),5)</f>
        <v>1</v>
      </c>
      <c r="D238" s="18" t="n">
        <f aca="false">DATEDIF(Assumptions!B5,B238,"m")+1</f>
        <v>8</v>
      </c>
      <c r="E238" s="18" t="str">
        <f aca="false">TEXT(B238,"ddd")</f>
        <v>Tue</v>
      </c>
      <c r="F238" s="19" t="n">
        <f aca="false">IF(WEEKDAY(B238,2)&gt;=6,Assumptions!B34,Assumptions!B35)</f>
        <v>1</v>
      </c>
      <c r="G238" s="20" t="n">
        <f aca="false">IF(D238&gt;=13,(1+Assumptions!B46)^(D238-12),1)</f>
        <v>1</v>
      </c>
      <c r="H238" s="21" t="n">
        <f aca="false">H237*(1+IF(C238=1,Assumptions!B22,Assumptions!B23))</f>
        <v>19.1514700201531</v>
      </c>
      <c r="I238" s="16" t="n">
        <f aca="false">ROUND(H238*F238,0)</f>
        <v>19</v>
      </c>
      <c r="J238" s="22" t="n">
        <f aca="false">I238*Assumptions!B24</f>
        <v>11400</v>
      </c>
      <c r="K238" s="21" t="n">
        <f aca="false">K237*(1+Assumptions!B30)</f>
        <v>14.1944564527423</v>
      </c>
      <c r="L238" s="16" t="n">
        <f aca="false">ROUND(K238*F238,0)</f>
        <v>14</v>
      </c>
      <c r="M238" s="22" t="n">
        <f aca="false">L238*Assumptions!B31</f>
        <v>4200</v>
      </c>
      <c r="N238" s="22" t="n">
        <f aca="false">J238+M238</f>
        <v>15600</v>
      </c>
      <c r="O238" s="22" t="n">
        <f aca="false">IF(DAY(B238)=1,Assumptions!B38*G238,0)</f>
        <v>0</v>
      </c>
      <c r="P238" s="22" t="n">
        <f aca="false">IF(DAY(B238)=1,Assumptions!B39*G238,0)</f>
        <v>0</v>
      </c>
      <c r="Q238" s="22" t="n">
        <f aca="false">IF(DAY(B238)=1,Assumptions!B40*G238,0)</f>
        <v>0</v>
      </c>
      <c r="R238" s="22" t="n">
        <f aca="false">IF(DAY(B238)=1,Assumptions!B41*G238,0)</f>
        <v>0</v>
      </c>
      <c r="S238" s="22" t="n">
        <f aca="false">IF(AND(DAY(B238)=1,D238&gt;=13),Assumptions!B42*G238,0)</f>
        <v>0</v>
      </c>
      <c r="T238" s="22" t="n">
        <f aca="false">IF(DAY(B238)=1,Assumptions!B43*G238,0)</f>
        <v>0</v>
      </c>
      <c r="U238" s="22" t="n">
        <f aca="false">SUM(O238:T238)</f>
        <v>0</v>
      </c>
      <c r="V238" s="22" t="n">
        <f aca="false">N238-U238</f>
        <v>15600</v>
      </c>
      <c r="W238" s="22" t="n">
        <f aca="false">W237+V238</f>
        <v>-3989100</v>
      </c>
      <c r="X238" s="23" t="str">
        <f aca="false">IF(W238&gt;=0,"YES","No")</f>
        <v>No</v>
      </c>
    </row>
    <row r="239" customFormat="false" ht="15" hidden="false" customHeight="false" outlineLevel="0" collapsed="false">
      <c r="A239" s="16" t="n">
        <v>238</v>
      </c>
      <c r="B239" s="17" t="n">
        <f aca="false">B238+1</f>
        <v>46260</v>
      </c>
      <c r="C239" s="18" t="n">
        <f aca="false">MIN(ROUNDUP(A239/365,0),5)</f>
        <v>1</v>
      </c>
      <c r="D239" s="18" t="n">
        <f aca="false">DATEDIF(Assumptions!B5,B239,"m")+1</f>
        <v>8</v>
      </c>
      <c r="E239" s="18" t="str">
        <f aca="false">TEXT(B239,"ddd")</f>
        <v>Wed</v>
      </c>
      <c r="F239" s="19" t="n">
        <f aca="false">IF(WEEKDAY(B239,2)&gt;=6,Assumptions!B34,Assumptions!B35)</f>
        <v>1</v>
      </c>
      <c r="G239" s="20" t="n">
        <f aca="false">IF(D239&gt;=13,(1+Assumptions!B46)^(D239-12),1)</f>
        <v>1</v>
      </c>
      <c r="H239" s="21" t="n">
        <f aca="false">H238*(1+IF(C239=1,Assumptions!B22,Assumptions!B23))</f>
        <v>19.1639329902379</v>
      </c>
      <c r="I239" s="16" t="n">
        <f aca="false">ROUND(H239*F239,0)</f>
        <v>19</v>
      </c>
      <c r="J239" s="22" t="n">
        <f aca="false">I239*Assumptions!B24</f>
        <v>11400</v>
      </c>
      <c r="K239" s="21" t="n">
        <f aca="false">K238*(1+Assumptions!B30)</f>
        <v>14.1990971434431</v>
      </c>
      <c r="L239" s="16" t="n">
        <f aca="false">ROUND(K239*F239,0)</f>
        <v>14</v>
      </c>
      <c r="M239" s="22" t="n">
        <f aca="false">L239*Assumptions!B31</f>
        <v>4200</v>
      </c>
      <c r="N239" s="22" t="n">
        <f aca="false">J239+M239</f>
        <v>15600</v>
      </c>
      <c r="O239" s="22" t="n">
        <f aca="false">IF(DAY(B239)=1,Assumptions!B38*G239,0)</f>
        <v>0</v>
      </c>
      <c r="P239" s="22" t="n">
        <f aca="false">IF(DAY(B239)=1,Assumptions!B39*G239,0)</f>
        <v>0</v>
      </c>
      <c r="Q239" s="22" t="n">
        <f aca="false">IF(DAY(B239)=1,Assumptions!B40*G239,0)</f>
        <v>0</v>
      </c>
      <c r="R239" s="22" t="n">
        <f aca="false">IF(DAY(B239)=1,Assumptions!B41*G239,0)</f>
        <v>0</v>
      </c>
      <c r="S239" s="22" t="n">
        <f aca="false">IF(AND(DAY(B239)=1,D239&gt;=13),Assumptions!B42*G239,0)</f>
        <v>0</v>
      </c>
      <c r="T239" s="22" t="n">
        <f aca="false">IF(DAY(B239)=1,Assumptions!B43*G239,0)</f>
        <v>0</v>
      </c>
      <c r="U239" s="22" t="n">
        <f aca="false">SUM(O239:T239)</f>
        <v>0</v>
      </c>
      <c r="V239" s="22" t="n">
        <f aca="false">N239-U239</f>
        <v>15600</v>
      </c>
      <c r="W239" s="22" t="n">
        <f aca="false">W238+V239</f>
        <v>-3973500</v>
      </c>
      <c r="X239" s="23" t="str">
        <f aca="false">IF(W239&gt;=0,"YES","No")</f>
        <v>No</v>
      </c>
    </row>
    <row r="240" customFormat="false" ht="15" hidden="false" customHeight="false" outlineLevel="0" collapsed="false">
      <c r="A240" s="16" t="n">
        <v>239</v>
      </c>
      <c r="B240" s="17" t="n">
        <f aca="false">B239+1</f>
        <v>46261</v>
      </c>
      <c r="C240" s="18" t="n">
        <f aca="false">MIN(ROUNDUP(A240/365,0),5)</f>
        <v>1</v>
      </c>
      <c r="D240" s="18" t="n">
        <f aca="false">DATEDIF(Assumptions!B5,B240,"m")+1</f>
        <v>8</v>
      </c>
      <c r="E240" s="18" t="str">
        <f aca="false">TEXT(B240,"ddd")</f>
        <v>Thu</v>
      </c>
      <c r="F240" s="19" t="n">
        <f aca="false">IF(WEEKDAY(B240,2)&gt;=6,Assumptions!B34,Assumptions!B35)</f>
        <v>1</v>
      </c>
      <c r="G240" s="20" t="n">
        <f aca="false">IF(D240&gt;=13,(1+Assumptions!B46)^(D240-12),1)</f>
        <v>1</v>
      </c>
      <c r="H240" s="21" t="n">
        <f aca="false">H239*(1+IF(C240=1,Assumptions!B22,Assumptions!B23))</f>
        <v>19.1764040706986</v>
      </c>
      <c r="I240" s="16" t="n">
        <f aca="false">ROUND(H240*F240,0)</f>
        <v>19</v>
      </c>
      <c r="J240" s="22" t="n">
        <f aca="false">I240*Assumptions!B24</f>
        <v>11400</v>
      </c>
      <c r="K240" s="21" t="n">
        <f aca="false">K239*(1+Assumptions!B30)</f>
        <v>14.2037393513566</v>
      </c>
      <c r="L240" s="16" t="n">
        <f aca="false">ROUND(K240*F240,0)</f>
        <v>14</v>
      </c>
      <c r="M240" s="22" t="n">
        <f aca="false">L240*Assumptions!B31</f>
        <v>4200</v>
      </c>
      <c r="N240" s="22" t="n">
        <f aca="false">J240+M240</f>
        <v>15600</v>
      </c>
      <c r="O240" s="22" t="n">
        <f aca="false">IF(DAY(B240)=1,Assumptions!B38*G240,0)</f>
        <v>0</v>
      </c>
      <c r="P240" s="22" t="n">
        <f aca="false">IF(DAY(B240)=1,Assumptions!B39*G240,0)</f>
        <v>0</v>
      </c>
      <c r="Q240" s="22" t="n">
        <f aca="false">IF(DAY(B240)=1,Assumptions!B40*G240,0)</f>
        <v>0</v>
      </c>
      <c r="R240" s="22" t="n">
        <f aca="false">IF(DAY(B240)=1,Assumptions!B41*G240,0)</f>
        <v>0</v>
      </c>
      <c r="S240" s="22" t="n">
        <f aca="false">IF(AND(DAY(B240)=1,D240&gt;=13),Assumptions!B42*G240,0)</f>
        <v>0</v>
      </c>
      <c r="T240" s="22" t="n">
        <f aca="false">IF(DAY(B240)=1,Assumptions!B43*G240,0)</f>
        <v>0</v>
      </c>
      <c r="U240" s="22" t="n">
        <f aca="false">SUM(O240:T240)</f>
        <v>0</v>
      </c>
      <c r="V240" s="22" t="n">
        <f aca="false">N240-U240</f>
        <v>15600</v>
      </c>
      <c r="W240" s="22" t="n">
        <f aca="false">W239+V240</f>
        <v>-3957900</v>
      </c>
      <c r="X240" s="23" t="str">
        <f aca="false">IF(W240&gt;=0,"YES","No")</f>
        <v>No</v>
      </c>
    </row>
    <row r="241" customFormat="false" ht="15" hidden="false" customHeight="false" outlineLevel="0" collapsed="false">
      <c r="A241" s="16" t="n">
        <v>240</v>
      </c>
      <c r="B241" s="17" t="n">
        <f aca="false">B240+1</f>
        <v>46262</v>
      </c>
      <c r="C241" s="18" t="n">
        <f aca="false">MIN(ROUNDUP(A241/365,0),5)</f>
        <v>1</v>
      </c>
      <c r="D241" s="18" t="n">
        <f aca="false">DATEDIF(Assumptions!B5,B241,"m")+1</f>
        <v>8</v>
      </c>
      <c r="E241" s="18" t="str">
        <f aca="false">TEXT(B241,"ddd")</f>
        <v>Fri</v>
      </c>
      <c r="F241" s="19" t="n">
        <f aca="false">IF(WEEKDAY(B241,2)&gt;=6,Assumptions!B34,Assumptions!B35)</f>
        <v>1</v>
      </c>
      <c r="G241" s="20" t="n">
        <f aca="false">IF(D241&gt;=13,(1+Assumptions!B46)^(D241-12),1)</f>
        <v>1</v>
      </c>
      <c r="H241" s="21" t="n">
        <f aca="false">H240*(1+IF(C241=1,Assumptions!B22,Assumptions!B23))</f>
        <v>19.1888832668133</v>
      </c>
      <c r="I241" s="16" t="n">
        <f aca="false">ROUND(H241*F241,0)</f>
        <v>19</v>
      </c>
      <c r="J241" s="22" t="n">
        <f aca="false">I241*Assumptions!B24</f>
        <v>11400</v>
      </c>
      <c r="K241" s="21" t="n">
        <f aca="false">K240*(1+Assumptions!B30)</f>
        <v>14.2083830769789</v>
      </c>
      <c r="L241" s="16" t="n">
        <f aca="false">ROUND(K241*F241,0)</f>
        <v>14</v>
      </c>
      <c r="M241" s="22" t="n">
        <f aca="false">L241*Assumptions!B31</f>
        <v>4200</v>
      </c>
      <c r="N241" s="22" t="n">
        <f aca="false">J241+M241</f>
        <v>15600</v>
      </c>
      <c r="O241" s="22" t="n">
        <f aca="false">IF(DAY(B241)=1,Assumptions!B38*G241,0)</f>
        <v>0</v>
      </c>
      <c r="P241" s="22" t="n">
        <f aca="false">IF(DAY(B241)=1,Assumptions!B39*G241,0)</f>
        <v>0</v>
      </c>
      <c r="Q241" s="22" t="n">
        <f aca="false">IF(DAY(B241)=1,Assumptions!B40*G241,0)</f>
        <v>0</v>
      </c>
      <c r="R241" s="22" t="n">
        <f aca="false">IF(DAY(B241)=1,Assumptions!B41*G241,0)</f>
        <v>0</v>
      </c>
      <c r="S241" s="22" t="n">
        <f aca="false">IF(AND(DAY(B241)=1,D241&gt;=13),Assumptions!B42*G241,0)</f>
        <v>0</v>
      </c>
      <c r="T241" s="22" t="n">
        <f aca="false">IF(DAY(B241)=1,Assumptions!B43*G241,0)</f>
        <v>0</v>
      </c>
      <c r="U241" s="22" t="n">
        <f aca="false">SUM(O241:T241)</f>
        <v>0</v>
      </c>
      <c r="V241" s="22" t="n">
        <f aca="false">N241-U241</f>
        <v>15600</v>
      </c>
      <c r="W241" s="22" t="n">
        <f aca="false">W240+V241</f>
        <v>-3942300</v>
      </c>
      <c r="X241" s="23" t="str">
        <f aca="false">IF(W241&gt;=0,"YES","No")</f>
        <v>No</v>
      </c>
    </row>
    <row r="242" customFormat="false" ht="15" hidden="false" customHeight="false" outlineLevel="0" collapsed="false">
      <c r="A242" s="16" t="n">
        <v>241</v>
      </c>
      <c r="B242" s="17" t="n">
        <f aca="false">B241+1</f>
        <v>46263</v>
      </c>
      <c r="C242" s="18" t="n">
        <f aca="false">MIN(ROUNDUP(A242/365,0),5)</f>
        <v>1</v>
      </c>
      <c r="D242" s="18" t="n">
        <f aca="false">DATEDIF(Assumptions!B5,B242,"m")+1</f>
        <v>8</v>
      </c>
      <c r="E242" s="18" t="str">
        <f aca="false">TEXT(B242,"ddd")</f>
        <v>Sat</v>
      </c>
      <c r="F242" s="19" t="n">
        <f aca="false">IF(WEEKDAY(B242,2)&gt;=6,Assumptions!B34,Assumptions!B35)</f>
        <v>0.6</v>
      </c>
      <c r="G242" s="20" t="n">
        <f aca="false">IF(D242&gt;=13,(1+Assumptions!B46)^(D242-12),1)</f>
        <v>1</v>
      </c>
      <c r="H242" s="21" t="n">
        <f aca="false">H241*(1+IF(C242=1,Assumptions!B22,Assumptions!B23))</f>
        <v>19.2013705838632</v>
      </c>
      <c r="I242" s="16" t="n">
        <f aca="false">ROUND(H242*F242,0)</f>
        <v>12</v>
      </c>
      <c r="J242" s="22" t="n">
        <f aca="false">I242*Assumptions!B24</f>
        <v>7200</v>
      </c>
      <c r="K242" s="21" t="n">
        <f aca="false">K241*(1+Assumptions!B30)</f>
        <v>14.2130283208062</v>
      </c>
      <c r="L242" s="16" t="n">
        <f aca="false">ROUND(K242*F242,0)</f>
        <v>9</v>
      </c>
      <c r="M242" s="22" t="n">
        <f aca="false">L242*Assumptions!B31</f>
        <v>2700</v>
      </c>
      <c r="N242" s="22" t="n">
        <f aca="false">J242+M242</f>
        <v>9900</v>
      </c>
      <c r="O242" s="22" t="n">
        <f aca="false">IF(DAY(B242)=1,Assumptions!B38*G242,0)</f>
        <v>0</v>
      </c>
      <c r="P242" s="22" t="n">
        <f aca="false">IF(DAY(B242)=1,Assumptions!B39*G242,0)</f>
        <v>0</v>
      </c>
      <c r="Q242" s="22" t="n">
        <f aca="false">IF(DAY(B242)=1,Assumptions!B40*G242,0)</f>
        <v>0</v>
      </c>
      <c r="R242" s="22" t="n">
        <f aca="false">IF(DAY(B242)=1,Assumptions!B41*G242,0)</f>
        <v>0</v>
      </c>
      <c r="S242" s="22" t="n">
        <f aca="false">IF(AND(DAY(B242)=1,D242&gt;=13),Assumptions!B42*G242,0)</f>
        <v>0</v>
      </c>
      <c r="T242" s="22" t="n">
        <f aca="false">IF(DAY(B242)=1,Assumptions!B43*G242,0)</f>
        <v>0</v>
      </c>
      <c r="U242" s="22" t="n">
        <f aca="false">SUM(O242:T242)</f>
        <v>0</v>
      </c>
      <c r="V242" s="22" t="n">
        <f aca="false">N242-U242</f>
        <v>9900</v>
      </c>
      <c r="W242" s="22" t="n">
        <f aca="false">W241+V242</f>
        <v>-3932400</v>
      </c>
      <c r="X242" s="23" t="str">
        <f aca="false">IF(W242&gt;=0,"YES","No")</f>
        <v>No</v>
      </c>
    </row>
    <row r="243" customFormat="false" ht="15" hidden="false" customHeight="false" outlineLevel="0" collapsed="false">
      <c r="A243" s="16" t="n">
        <v>242</v>
      </c>
      <c r="B243" s="17" t="n">
        <f aca="false">B242+1</f>
        <v>46264</v>
      </c>
      <c r="C243" s="18" t="n">
        <f aca="false">MIN(ROUNDUP(A243/365,0),5)</f>
        <v>1</v>
      </c>
      <c r="D243" s="18" t="n">
        <f aca="false">DATEDIF(Assumptions!B5,B243,"m")+1</f>
        <v>8</v>
      </c>
      <c r="E243" s="18" t="str">
        <f aca="false">TEXT(B243,"ddd")</f>
        <v>Sun</v>
      </c>
      <c r="F243" s="19" t="n">
        <f aca="false">IF(WEEKDAY(B243,2)&gt;=6,Assumptions!B34,Assumptions!B35)</f>
        <v>0.6</v>
      </c>
      <c r="G243" s="20" t="n">
        <f aca="false">IF(D243&gt;=13,(1+Assumptions!B46)^(D243-12),1)</f>
        <v>1</v>
      </c>
      <c r="H243" s="21" t="n">
        <f aca="false">H242*(1+IF(C243=1,Assumptions!B22,Assumptions!B23))</f>
        <v>19.2138660271332</v>
      </c>
      <c r="I243" s="16" t="n">
        <f aca="false">ROUND(H243*F243,0)</f>
        <v>12</v>
      </c>
      <c r="J243" s="22" t="n">
        <f aca="false">I243*Assumptions!B24</f>
        <v>7200</v>
      </c>
      <c r="K243" s="21" t="n">
        <f aca="false">K242*(1+Assumptions!B30)</f>
        <v>14.2176750833347</v>
      </c>
      <c r="L243" s="16" t="n">
        <f aca="false">ROUND(K243*F243,0)</f>
        <v>9</v>
      </c>
      <c r="M243" s="22" t="n">
        <f aca="false">L243*Assumptions!B31</f>
        <v>2700</v>
      </c>
      <c r="N243" s="22" t="n">
        <f aca="false">J243+M243</f>
        <v>9900</v>
      </c>
      <c r="O243" s="22" t="n">
        <f aca="false">IF(DAY(B243)=1,Assumptions!B38*G243,0)</f>
        <v>0</v>
      </c>
      <c r="P243" s="22" t="n">
        <f aca="false">IF(DAY(B243)=1,Assumptions!B39*G243,0)</f>
        <v>0</v>
      </c>
      <c r="Q243" s="22" t="n">
        <f aca="false">IF(DAY(B243)=1,Assumptions!B40*G243,0)</f>
        <v>0</v>
      </c>
      <c r="R243" s="22" t="n">
        <f aca="false">IF(DAY(B243)=1,Assumptions!B41*G243,0)</f>
        <v>0</v>
      </c>
      <c r="S243" s="22" t="n">
        <f aca="false">IF(AND(DAY(B243)=1,D243&gt;=13),Assumptions!B42*G243,0)</f>
        <v>0</v>
      </c>
      <c r="T243" s="22" t="n">
        <f aca="false">IF(DAY(B243)=1,Assumptions!B43*G243,0)</f>
        <v>0</v>
      </c>
      <c r="U243" s="22" t="n">
        <f aca="false">SUM(O243:T243)</f>
        <v>0</v>
      </c>
      <c r="V243" s="22" t="n">
        <f aca="false">N243-U243</f>
        <v>9900</v>
      </c>
      <c r="W243" s="22" t="n">
        <f aca="false">W242+V243</f>
        <v>-3922500</v>
      </c>
      <c r="X243" s="23" t="str">
        <f aca="false">IF(W243&gt;=0,"YES","No")</f>
        <v>No</v>
      </c>
    </row>
    <row r="244" customFormat="false" ht="15" hidden="false" customHeight="false" outlineLevel="0" collapsed="false">
      <c r="A244" s="16" t="n">
        <v>243</v>
      </c>
      <c r="B244" s="17" t="n">
        <f aca="false">B243+1</f>
        <v>46265</v>
      </c>
      <c r="C244" s="18" t="n">
        <f aca="false">MIN(ROUNDUP(A244/365,0),5)</f>
        <v>1</v>
      </c>
      <c r="D244" s="18" t="n">
        <f aca="false">DATEDIF(Assumptions!B5,B244,"m")+1</f>
        <v>8</v>
      </c>
      <c r="E244" s="18" t="str">
        <f aca="false">TEXT(B244,"ddd")</f>
        <v>Mon</v>
      </c>
      <c r="F244" s="19" t="n">
        <f aca="false">IF(WEEKDAY(B244,2)&gt;=6,Assumptions!B34,Assumptions!B35)</f>
        <v>1</v>
      </c>
      <c r="G244" s="20" t="n">
        <f aca="false">IF(D244&gt;=13,(1+Assumptions!B46)^(D244-12),1)</f>
        <v>1</v>
      </c>
      <c r="H244" s="21" t="n">
        <f aca="false">H243*(1+IF(C244=1,Assumptions!B22,Assumptions!B23))</f>
        <v>19.2263696019113</v>
      </c>
      <c r="I244" s="16" t="n">
        <f aca="false">ROUND(H244*F244,0)</f>
        <v>19</v>
      </c>
      <c r="J244" s="22" t="n">
        <f aca="false">I244*Assumptions!B24</f>
        <v>11400</v>
      </c>
      <c r="K244" s="21" t="n">
        <f aca="false">K243*(1+Assumptions!B30)</f>
        <v>14.2223233650612</v>
      </c>
      <c r="L244" s="16" t="n">
        <f aca="false">ROUND(K244*F244,0)</f>
        <v>14</v>
      </c>
      <c r="M244" s="22" t="n">
        <f aca="false">L244*Assumptions!B31</f>
        <v>4200</v>
      </c>
      <c r="N244" s="22" t="n">
        <f aca="false">J244+M244</f>
        <v>15600</v>
      </c>
      <c r="O244" s="22" t="n">
        <f aca="false">IF(DAY(B244)=1,Assumptions!B38*G244,0)</f>
        <v>0</v>
      </c>
      <c r="P244" s="22" t="n">
        <f aca="false">IF(DAY(B244)=1,Assumptions!B39*G244,0)</f>
        <v>0</v>
      </c>
      <c r="Q244" s="22" t="n">
        <f aca="false">IF(DAY(B244)=1,Assumptions!B40*G244,0)</f>
        <v>0</v>
      </c>
      <c r="R244" s="22" t="n">
        <f aca="false">IF(DAY(B244)=1,Assumptions!B41*G244,0)</f>
        <v>0</v>
      </c>
      <c r="S244" s="22" t="n">
        <f aca="false">IF(AND(DAY(B244)=1,D244&gt;=13),Assumptions!B42*G244,0)</f>
        <v>0</v>
      </c>
      <c r="T244" s="22" t="n">
        <f aca="false">IF(DAY(B244)=1,Assumptions!B43*G244,0)</f>
        <v>0</v>
      </c>
      <c r="U244" s="22" t="n">
        <f aca="false">SUM(O244:T244)</f>
        <v>0</v>
      </c>
      <c r="V244" s="22" t="n">
        <f aca="false">N244-U244</f>
        <v>15600</v>
      </c>
      <c r="W244" s="22" t="n">
        <f aca="false">W243+V244</f>
        <v>-3906900</v>
      </c>
      <c r="X244" s="23" t="str">
        <f aca="false">IF(W244&gt;=0,"YES","No")</f>
        <v>No</v>
      </c>
    </row>
    <row r="245" customFormat="false" ht="15" hidden="false" customHeight="false" outlineLevel="0" collapsed="false">
      <c r="A245" s="16" t="n">
        <v>244</v>
      </c>
      <c r="B245" s="17" t="n">
        <f aca="false">B244+1</f>
        <v>46266</v>
      </c>
      <c r="C245" s="18" t="n">
        <f aca="false">MIN(ROUNDUP(A245/365,0),5)</f>
        <v>1</v>
      </c>
      <c r="D245" s="18" t="n">
        <f aca="false">DATEDIF(Assumptions!B5,B245,"m")+1</f>
        <v>9</v>
      </c>
      <c r="E245" s="18" t="str">
        <f aca="false">TEXT(B245,"ddd")</f>
        <v>Tue</v>
      </c>
      <c r="F245" s="19" t="n">
        <f aca="false">IF(WEEKDAY(B245,2)&gt;=6,Assumptions!B34,Assumptions!B35)</f>
        <v>1</v>
      </c>
      <c r="G245" s="20" t="n">
        <f aca="false">IF(D245&gt;=13,(1+Assumptions!B46)^(D245-12),1)</f>
        <v>1</v>
      </c>
      <c r="H245" s="21" t="n">
        <f aca="false">H244*(1+IF(C245=1,Assumptions!B22,Assumptions!B23))</f>
        <v>19.2388813134893</v>
      </c>
      <c r="I245" s="16" t="n">
        <f aca="false">ROUND(H245*F245,0)</f>
        <v>19</v>
      </c>
      <c r="J245" s="22" t="n">
        <f aca="false">I245*Assumptions!B24</f>
        <v>11400</v>
      </c>
      <c r="K245" s="21" t="n">
        <f aca="false">K244*(1+Assumptions!B30)</f>
        <v>14.2269731664821</v>
      </c>
      <c r="L245" s="16" t="n">
        <f aca="false">ROUND(K245*F245,0)</f>
        <v>14</v>
      </c>
      <c r="M245" s="22" t="n">
        <f aca="false">L245*Assumptions!B31</f>
        <v>4200</v>
      </c>
      <c r="N245" s="22" t="n">
        <f aca="false">J245+M245</f>
        <v>15600</v>
      </c>
      <c r="O245" s="22" t="n">
        <f aca="false">IF(DAY(B245)=1,Assumptions!B38*G245,0)</f>
        <v>150000</v>
      </c>
      <c r="P245" s="22" t="n">
        <f aca="false">IF(DAY(B245)=1,Assumptions!B39*G245,0)</f>
        <v>40000</v>
      </c>
      <c r="Q245" s="22" t="n">
        <f aca="false">IF(DAY(B245)=1,Assumptions!B40*G245,0)</f>
        <v>30000</v>
      </c>
      <c r="R245" s="22" t="n">
        <f aca="false">IF(DAY(B245)=1,Assumptions!B41*G245,0)</f>
        <v>20000</v>
      </c>
      <c r="S245" s="22" t="n">
        <f aca="false">IF(AND(DAY(B245)=1,D245&gt;=13),Assumptions!B42*G245,0)</f>
        <v>0</v>
      </c>
      <c r="T245" s="22" t="n">
        <f aca="false">IF(DAY(B245)=1,Assumptions!B43*G245,0)</f>
        <v>20000</v>
      </c>
      <c r="U245" s="22" t="n">
        <f aca="false">SUM(O245:T245)</f>
        <v>260000</v>
      </c>
      <c r="V245" s="22" t="n">
        <f aca="false">N245-U245</f>
        <v>-244400</v>
      </c>
      <c r="W245" s="22" t="n">
        <f aca="false">W244+V245</f>
        <v>-4151300</v>
      </c>
      <c r="X245" s="23" t="str">
        <f aca="false">IF(W245&gt;=0,"YES","No")</f>
        <v>No</v>
      </c>
    </row>
    <row r="246" customFormat="false" ht="15" hidden="false" customHeight="false" outlineLevel="0" collapsed="false">
      <c r="A246" s="16" t="n">
        <v>245</v>
      </c>
      <c r="B246" s="17" t="n">
        <f aca="false">B245+1</f>
        <v>46267</v>
      </c>
      <c r="C246" s="18" t="n">
        <f aca="false">MIN(ROUNDUP(A246/365,0),5)</f>
        <v>1</v>
      </c>
      <c r="D246" s="18" t="n">
        <f aca="false">DATEDIF(Assumptions!B5,B246,"m")+1</f>
        <v>9</v>
      </c>
      <c r="E246" s="18" t="str">
        <f aca="false">TEXT(B246,"ddd")</f>
        <v>Wed</v>
      </c>
      <c r="F246" s="19" t="n">
        <f aca="false">IF(WEEKDAY(B246,2)&gt;=6,Assumptions!B34,Assumptions!B35)</f>
        <v>1</v>
      </c>
      <c r="G246" s="20" t="n">
        <f aca="false">IF(D246&gt;=13,(1+Assumptions!B46)^(D246-12),1)</f>
        <v>1</v>
      </c>
      <c r="H246" s="21" t="n">
        <f aca="false">H245*(1+IF(C246=1,Assumptions!B22,Assumptions!B23))</f>
        <v>19.2514011671622</v>
      </c>
      <c r="I246" s="16" t="n">
        <f aca="false">ROUND(H246*F246,0)</f>
        <v>19</v>
      </c>
      <c r="J246" s="22" t="n">
        <f aca="false">I246*Assumptions!B24</f>
        <v>11400</v>
      </c>
      <c r="K246" s="21" t="n">
        <f aca="false">K245*(1+Assumptions!B30)</f>
        <v>14.2316244880945</v>
      </c>
      <c r="L246" s="16" t="n">
        <f aca="false">ROUND(K246*F246,0)</f>
        <v>14</v>
      </c>
      <c r="M246" s="22" t="n">
        <f aca="false">L246*Assumptions!B31</f>
        <v>4200</v>
      </c>
      <c r="N246" s="22" t="n">
        <f aca="false">J246+M246</f>
        <v>15600</v>
      </c>
      <c r="O246" s="22" t="n">
        <f aca="false">IF(DAY(B246)=1,Assumptions!B38*G246,0)</f>
        <v>0</v>
      </c>
      <c r="P246" s="22" t="n">
        <f aca="false">IF(DAY(B246)=1,Assumptions!B39*G246,0)</f>
        <v>0</v>
      </c>
      <c r="Q246" s="22" t="n">
        <f aca="false">IF(DAY(B246)=1,Assumptions!B40*G246,0)</f>
        <v>0</v>
      </c>
      <c r="R246" s="22" t="n">
        <f aca="false">IF(DAY(B246)=1,Assumptions!B41*G246,0)</f>
        <v>0</v>
      </c>
      <c r="S246" s="22" t="n">
        <f aca="false">IF(AND(DAY(B246)=1,D246&gt;=13),Assumptions!B42*G246,0)</f>
        <v>0</v>
      </c>
      <c r="T246" s="22" t="n">
        <f aca="false">IF(DAY(B246)=1,Assumptions!B43*G246,0)</f>
        <v>0</v>
      </c>
      <c r="U246" s="22" t="n">
        <f aca="false">SUM(O246:T246)</f>
        <v>0</v>
      </c>
      <c r="V246" s="22" t="n">
        <f aca="false">N246-U246</f>
        <v>15600</v>
      </c>
      <c r="W246" s="22" t="n">
        <f aca="false">W245+V246</f>
        <v>-4135700</v>
      </c>
      <c r="X246" s="23" t="str">
        <f aca="false">IF(W246&gt;=0,"YES","No")</f>
        <v>No</v>
      </c>
    </row>
    <row r="247" customFormat="false" ht="15" hidden="false" customHeight="false" outlineLevel="0" collapsed="false">
      <c r="A247" s="16" t="n">
        <v>246</v>
      </c>
      <c r="B247" s="17" t="n">
        <f aca="false">B246+1</f>
        <v>46268</v>
      </c>
      <c r="C247" s="18" t="n">
        <f aca="false">MIN(ROUNDUP(A247/365,0),5)</f>
        <v>1</v>
      </c>
      <c r="D247" s="18" t="n">
        <f aca="false">DATEDIF(Assumptions!B5,B247,"m")+1</f>
        <v>9</v>
      </c>
      <c r="E247" s="18" t="str">
        <f aca="false">TEXT(B247,"ddd")</f>
        <v>Thu</v>
      </c>
      <c r="F247" s="19" t="n">
        <f aca="false">IF(WEEKDAY(B247,2)&gt;=6,Assumptions!B34,Assumptions!B35)</f>
        <v>1</v>
      </c>
      <c r="G247" s="20" t="n">
        <f aca="false">IF(D247&gt;=13,(1+Assumptions!B46)^(D247-12),1)</f>
        <v>1</v>
      </c>
      <c r="H247" s="21" t="n">
        <f aca="false">H246*(1+IF(C247=1,Assumptions!B22,Assumptions!B23))</f>
        <v>19.2639291682286</v>
      </c>
      <c r="I247" s="16" t="n">
        <f aca="false">ROUND(H247*F247,0)</f>
        <v>19</v>
      </c>
      <c r="J247" s="22" t="n">
        <f aca="false">I247*Assumptions!B24</f>
        <v>11400</v>
      </c>
      <c r="K247" s="21" t="n">
        <f aca="false">K246*(1+Assumptions!B30)</f>
        <v>14.2362773303952</v>
      </c>
      <c r="L247" s="16" t="n">
        <f aca="false">ROUND(K247*F247,0)</f>
        <v>14</v>
      </c>
      <c r="M247" s="22" t="n">
        <f aca="false">L247*Assumptions!B31</f>
        <v>4200</v>
      </c>
      <c r="N247" s="22" t="n">
        <f aca="false">J247+M247</f>
        <v>15600</v>
      </c>
      <c r="O247" s="22" t="n">
        <f aca="false">IF(DAY(B247)=1,Assumptions!B38*G247,0)</f>
        <v>0</v>
      </c>
      <c r="P247" s="22" t="n">
        <f aca="false">IF(DAY(B247)=1,Assumptions!B39*G247,0)</f>
        <v>0</v>
      </c>
      <c r="Q247" s="22" t="n">
        <f aca="false">IF(DAY(B247)=1,Assumptions!B40*G247,0)</f>
        <v>0</v>
      </c>
      <c r="R247" s="22" t="n">
        <f aca="false">IF(DAY(B247)=1,Assumptions!B41*G247,0)</f>
        <v>0</v>
      </c>
      <c r="S247" s="22" t="n">
        <f aca="false">IF(AND(DAY(B247)=1,D247&gt;=13),Assumptions!B42*G247,0)</f>
        <v>0</v>
      </c>
      <c r="T247" s="22" t="n">
        <f aca="false">IF(DAY(B247)=1,Assumptions!B43*G247,0)</f>
        <v>0</v>
      </c>
      <c r="U247" s="22" t="n">
        <f aca="false">SUM(O247:T247)</f>
        <v>0</v>
      </c>
      <c r="V247" s="22" t="n">
        <f aca="false">N247-U247</f>
        <v>15600</v>
      </c>
      <c r="W247" s="22" t="n">
        <f aca="false">W246+V247</f>
        <v>-4120100</v>
      </c>
      <c r="X247" s="23" t="str">
        <f aca="false">IF(W247&gt;=0,"YES","No")</f>
        <v>No</v>
      </c>
    </row>
    <row r="248" customFormat="false" ht="15" hidden="false" customHeight="false" outlineLevel="0" collapsed="false">
      <c r="A248" s="16" t="n">
        <v>247</v>
      </c>
      <c r="B248" s="17" t="n">
        <f aca="false">B247+1</f>
        <v>46269</v>
      </c>
      <c r="C248" s="18" t="n">
        <f aca="false">MIN(ROUNDUP(A248/365,0),5)</f>
        <v>1</v>
      </c>
      <c r="D248" s="18" t="n">
        <f aca="false">DATEDIF(Assumptions!B5,B248,"m")+1</f>
        <v>9</v>
      </c>
      <c r="E248" s="18" t="str">
        <f aca="false">TEXT(B248,"ddd")</f>
        <v>Fri</v>
      </c>
      <c r="F248" s="19" t="n">
        <f aca="false">IF(WEEKDAY(B248,2)&gt;=6,Assumptions!B34,Assumptions!B35)</f>
        <v>1</v>
      </c>
      <c r="G248" s="20" t="n">
        <f aca="false">IF(D248&gt;=13,(1+Assumptions!B46)^(D248-12),1)</f>
        <v>1</v>
      </c>
      <c r="H248" s="21" t="n">
        <f aca="false">H247*(1+IF(C248=1,Assumptions!B22,Assumptions!B23))</f>
        <v>19.2764653219904</v>
      </c>
      <c r="I248" s="16" t="n">
        <f aca="false">ROUND(H248*F248,0)</f>
        <v>19</v>
      </c>
      <c r="J248" s="22" t="n">
        <f aca="false">I248*Assumptions!B24</f>
        <v>11400</v>
      </c>
      <c r="K248" s="21" t="n">
        <f aca="false">K247*(1+Assumptions!B30)</f>
        <v>14.2409316938814</v>
      </c>
      <c r="L248" s="16" t="n">
        <f aca="false">ROUND(K248*F248,0)</f>
        <v>14</v>
      </c>
      <c r="M248" s="22" t="n">
        <f aca="false">L248*Assumptions!B31</f>
        <v>4200</v>
      </c>
      <c r="N248" s="22" t="n">
        <f aca="false">J248+M248</f>
        <v>15600</v>
      </c>
      <c r="O248" s="22" t="n">
        <f aca="false">IF(DAY(B248)=1,Assumptions!B38*G248,0)</f>
        <v>0</v>
      </c>
      <c r="P248" s="22" t="n">
        <f aca="false">IF(DAY(B248)=1,Assumptions!B39*G248,0)</f>
        <v>0</v>
      </c>
      <c r="Q248" s="22" t="n">
        <f aca="false">IF(DAY(B248)=1,Assumptions!B40*G248,0)</f>
        <v>0</v>
      </c>
      <c r="R248" s="22" t="n">
        <f aca="false">IF(DAY(B248)=1,Assumptions!B41*G248,0)</f>
        <v>0</v>
      </c>
      <c r="S248" s="22" t="n">
        <f aca="false">IF(AND(DAY(B248)=1,D248&gt;=13),Assumptions!B42*G248,0)</f>
        <v>0</v>
      </c>
      <c r="T248" s="22" t="n">
        <f aca="false">IF(DAY(B248)=1,Assumptions!B43*G248,0)</f>
        <v>0</v>
      </c>
      <c r="U248" s="22" t="n">
        <f aca="false">SUM(O248:T248)</f>
        <v>0</v>
      </c>
      <c r="V248" s="22" t="n">
        <f aca="false">N248-U248</f>
        <v>15600</v>
      </c>
      <c r="W248" s="22" t="n">
        <f aca="false">W247+V248</f>
        <v>-4104500</v>
      </c>
      <c r="X248" s="23" t="str">
        <f aca="false">IF(W248&gt;=0,"YES","No")</f>
        <v>No</v>
      </c>
    </row>
    <row r="249" customFormat="false" ht="15" hidden="false" customHeight="false" outlineLevel="0" collapsed="false">
      <c r="A249" s="16" t="n">
        <v>248</v>
      </c>
      <c r="B249" s="17" t="n">
        <f aca="false">B248+1</f>
        <v>46270</v>
      </c>
      <c r="C249" s="18" t="n">
        <f aca="false">MIN(ROUNDUP(A249/365,0),5)</f>
        <v>1</v>
      </c>
      <c r="D249" s="18" t="n">
        <f aca="false">DATEDIF(Assumptions!B5,B249,"m")+1</f>
        <v>9</v>
      </c>
      <c r="E249" s="18" t="str">
        <f aca="false">TEXT(B249,"ddd")</f>
        <v>Sat</v>
      </c>
      <c r="F249" s="19" t="n">
        <f aca="false">IF(WEEKDAY(B249,2)&gt;=6,Assumptions!B34,Assumptions!B35)</f>
        <v>0.6</v>
      </c>
      <c r="G249" s="20" t="n">
        <f aca="false">IF(D249&gt;=13,(1+Assumptions!B46)^(D249-12),1)</f>
        <v>1</v>
      </c>
      <c r="H249" s="21" t="n">
        <f aca="false">H248*(1+IF(C249=1,Assumptions!B22,Assumptions!B23))</f>
        <v>19.2890096337532</v>
      </c>
      <c r="I249" s="16" t="n">
        <f aca="false">ROUND(H249*F249,0)</f>
        <v>12</v>
      </c>
      <c r="J249" s="22" t="n">
        <f aca="false">I249*Assumptions!B24</f>
        <v>7200</v>
      </c>
      <c r="K249" s="21" t="n">
        <f aca="false">K248*(1+Assumptions!B30)</f>
        <v>14.2455875790506</v>
      </c>
      <c r="L249" s="16" t="n">
        <f aca="false">ROUND(K249*F249,0)</f>
        <v>9</v>
      </c>
      <c r="M249" s="22" t="n">
        <f aca="false">L249*Assumptions!B31</f>
        <v>2700</v>
      </c>
      <c r="N249" s="22" t="n">
        <f aca="false">J249+M249</f>
        <v>9900</v>
      </c>
      <c r="O249" s="22" t="n">
        <f aca="false">IF(DAY(B249)=1,Assumptions!B38*G249,0)</f>
        <v>0</v>
      </c>
      <c r="P249" s="22" t="n">
        <f aca="false">IF(DAY(B249)=1,Assumptions!B39*G249,0)</f>
        <v>0</v>
      </c>
      <c r="Q249" s="22" t="n">
        <f aca="false">IF(DAY(B249)=1,Assumptions!B40*G249,0)</f>
        <v>0</v>
      </c>
      <c r="R249" s="22" t="n">
        <f aca="false">IF(DAY(B249)=1,Assumptions!B41*G249,0)</f>
        <v>0</v>
      </c>
      <c r="S249" s="22" t="n">
        <f aca="false">IF(AND(DAY(B249)=1,D249&gt;=13),Assumptions!B42*G249,0)</f>
        <v>0</v>
      </c>
      <c r="T249" s="22" t="n">
        <f aca="false">IF(DAY(B249)=1,Assumptions!B43*G249,0)</f>
        <v>0</v>
      </c>
      <c r="U249" s="22" t="n">
        <f aca="false">SUM(O249:T249)</f>
        <v>0</v>
      </c>
      <c r="V249" s="22" t="n">
        <f aca="false">N249-U249</f>
        <v>9900</v>
      </c>
      <c r="W249" s="22" t="n">
        <f aca="false">W248+V249</f>
        <v>-4094600</v>
      </c>
      <c r="X249" s="23" t="str">
        <f aca="false">IF(W249&gt;=0,"YES","No")</f>
        <v>No</v>
      </c>
    </row>
    <row r="250" customFormat="false" ht="15" hidden="false" customHeight="false" outlineLevel="0" collapsed="false">
      <c r="A250" s="16" t="n">
        <v>249</v>
      </c>
      <c r="B250" s="17" t="n">
        <f aca="false">B249+1</f>
        <v>46271</v>
      </c>
      <c r="C250" s="18" t="n">
        <f aca="false">MIN(ROUNDUP(A250/365,0),5)</f>
        <v>1</v>
      </c>
      <c r="D250" s="18" t="n">
        <f aca="false">DATEDIF(Assumptions!B5,B250,"m")+1</f>
        <v>9</v>
      </c>
      <c r="E250" s="18" t="str">
        <f aca="false">TEXT(B250,"ddd")</f>
        <v>Sun</v>
      </c>
      <c r="F250" s="19" t="n">
        <f aca="false">IF(WEEKDAY(B250,2)&gt;=6,Assumptions!B34,Assumptions!B35)</f>
        <v>0.6</v>
      </c>
      <c r="G250" s="20" t="n">
        <f aca="false">IF(D250&gt;=13,(1+Assumptions!B46)^(D250-12),1)</f>
        <v>1</v>
      </c>
      <c r="H250" s="21" t="n">
        <f aca="false">H249*(1+IF(C250=1,Assumptions!B22,Assumptions!B23))</f>
        <v>19.3015621088257</v>
      </c>
      <c r="I250" s="16" t="n">
        <f aca="false">ROUND(H250*F250,0)</f>
        <v>12</v>
      </c>
      <c r="J250" s="22" t="n">
        <f aca="false">I250*Assumptions!B24</f>
        <v>7200</v>
      </c>
      <c r="K250" s="21" t="n">
        <f aca="false">K249*(1+Assumptions!B30)</f>
        <v>14.2502449864001</v>
      </c>
      <c r="L250" s="16" t="n">
        <f aca="false">ROUND(K250*F250,0)</f>
        <v>9</v>
      </c>
      <c r="M250" s="22" t="n">
        <f aca="false">L250*Assumptions!B31</f>
        <v>2700</v>
      </c>
      <c r="N250" s="22" t="n">
        <f aca="false">J250+M250</f>
        <v>9900</v>
      </c>
      <c r="O250" s="22" t="n">
        <f aca="false">IF(DAY(B250)=1,Assumptions!B38*G250,0)</f>
        <v>0</v>
      </c>
      <c r="P250" s="22" t="n">
        <f aca="false">IF(DAY(B250)=1,Assumptions!B39*G250,0)</f>
        <v>0</v>
      </c>
      <c r="Q250" s="22" t="n">
        <f aca="false">IF(DAY(B250)=1,Assumptions!B40*G250,0)</f>
        <v>0</v>
      </c>
      <c r="R250" s="22" t="n">
        <f aca="false">IF(DAY(B250)=1,Assumptions!B41*G250,0)</f>
        <v>0</v>
      </c>
      <c r="S250" s="22" t="n">
        <f aca="false">IF(AND(DAY(B250)=1,D250&gt;=13),Assumptions!B42*G250,0)</f>
        <v>0</v>
      </c>
      <c r="T250" s="22" t="n">
        <f aca="false">IF(DAY(B250)=1,Assumptions!B43*G250,0)</f>
        <v>0</v>
      </c>
      <c r="U250" s="22" t="n">
        <f aca="false">SUM(O250:T250)</f>
        <v>0</v>
      </c>
      <c r="V250" s="22" t="n">
        <f aca="false">N250-U250</f>
        <v>9900</v>
      </c>
      <c r="W250" s="22" t="n">
        <f aca="false">W249+V250</f>
        <v>-4084700</v>
      </c>
      <c r="X250" s="23" t="str">
        <f aca="false">IF(W250&gt;=0,"YES","No")</f>
        <v>No</v>
      </c>
    </row>
    <row r="251" customFormat="false" ht="15" hidden="false" customHeight="false" outlineLevel="0" collapsed="false">
      <c r="A251" s="16" t="n">
        <v>250</v>
      </c>
      <c r="B251" s="17" t="n">
        <f aca="false">B250+1</f>
        <v>46272</v>
      </c>
      <c r="C251" s="18" t="n">
        <f aca="false">MIN(ROUNDUP(A251/365,0),5)</f>
        <v>1</v>
      </c>
      <c r="D251" s="18" t="n">
        <f aca="false">DATEDIF(Assumptions!B5,B251,"m")+1</f>
        <v>9</v>
      </c>
      <c r="E251" s="18" t="str">
        <f aca="false">TEXT(B251,"ddd")</f>
        <v>Mon</v>
      </c>
      <c r="F251" s="19" t="n">
        <f aca="false">IF(WEEKDAY(B251,2)&gt;=6,Assumptions!B34,Assumptions!B35)</f>
        <v>1</v>
      </c>
      <c r="G251" s="20" t="n">
        <f aca="false">IF(D251&gt;=13,(1+Assumptions!B46)^(D251-12),1)</f>
        <v>1</v>
      </c>
      <c r="H251" s="21" t="n">
        <f aca="false">H250*(1+IF(C251=1,Assumptions!B22,Assumptions!B23))</f>
        <v>19.3141227525203</v>
      </c>
      <c r="I251" s="16" t="n">
        <f aca="false">ROUND(H251*F251,0)</f>
        <v>19</v>
      </c>
      <c r="J251" s="22" t="n">
        <f aca="false">I251*Assumptions!B24</f>
        <v>11400</v>
      </c>
      <c r="K251" s="21" t="n">
        <f aca="false">K250*(1+Assumptions!B30)</f>
        <v>14.2549039164276</v>
      </c>
      <c r="L251" s="16" t="n">
        <f aca="false">ROUND(K251*F251,0)</f>
        <v>14</v>
      </c>
      <c r="M251" s="22" t="n">
        <f aca="false">L251*Assumptions!B31</f>
        <v>4200</v>
      </c>
      <c r="N251" s="22" t="n">
        <f aca="false">J251+M251</f>
        <v>15600</v>
      </c>
      <c r="O251" s="22" t="n">
        <f aca="false">IF(DAY(B251)=1,Assumptions!B38*G251,0)</f>
        <v>0</v>
      </c>
      <c r="P251" s="22" t="n">
        <f aca="false">IF(DAY(B251)=1,Assumptions!B39*G251,0)</f>
        <v>0</v>
      </c>
      <c r="Q251" s="22" t="n">
        <f aca="false">IF(DAY(B251)=1,Assumptions!B40*G251,0)</f>
        <v>0</v>
      </c>
      <c r="R251" s="22" t="n">
        <f aca="false">IF(DAY(B251)=1,Assumptions!B41*G251,0)</f>
        <v>0</v>
      </c>
      <c r="S251" s="22" t="n">
        <f aca="false">IF(AND(DAY(B251)=1,D251&gt;=13),Assumptions!B42*G251,0)</f>
        <v>0</v>
      </c>
      <c r="T251" s="22" t="n">
        <f aca="false">IF(DAY(B251)=1,Assumptions!B43*G251,0)</f>
        <v>0</v>
      </c>
      <c r="U251" s="22" t="n">
        <f aca="false">SUM(O251:T251)</f>
        <v>0</v>
      </c>
      <c r="V251" s="22" t="n">
        <f aca="false">N251-U251</f>
        <v>15600</v>
      </c>
      <c r="W251" s="22" t="n">
        <f aca="false">W250+V251</f>
        <v>-4069100</v>
      </c>
      <c r="X251" s="23" t="str">
        <f aca="false">IF(W251&gt;=0,"YES","No")</f>
        <v>No</v>
      </c>
    </row>
    <row r="252" customFormat="false" ht="15" hidden="false" customHeight="false" outlineLevel="0" collapsed="false">
      <c r="A252" s="16" t="n">
        <v>251</v>
      </c>
      <c r="B252" s="17" t="n">
        <f aca="false">B251+1</f>
        <v>46273</v>
      </c>
      <c r="C252" s="18" t="n">
        <f aca="false">MIN(ROUNDUP(A252/365,0),5)</f>
        <v>1</v>
      </c>
      <c r="D252" s="18" t="n">
        <f aca="false">DATEDIF(Assumptions!B5,B252,"m")+1</f>
        <v>9</v>
      </c>
      <c r="E252" s="18" t="str">
        <f aca="false">TEXT(B252,"ddd")</f>
        <v>Tue</v>
      </c>
      <c r="F252" s="19" t="n">
        <f aca="false">IF(WEEKDAY(B252,2)&gt;=6,Assumptions!B34,Assumptions!B35)</f>
        <v>1</v>
      </c>
      <c r="G252" s="20" t="n">
        <f aca="false">IF(D252&gt;=13,(1+Assumptions!B46)^(D252-12),1)</f>
        <v>1</v>
      </c>
      <c r="H252" s="21" t="n">
        <f aca="false">H251*(1+IF(C252=1,Assumptions!B22,Assumptions!B23))</f>
        <v>19.3266915701528</v>
      </c>
      <c r="I252" s="16" t="n">
        <f aca="false">ROUND(H252*F252,0)</f>
        <v>19</v>
      </c>
      <c r="J252" s="22" t="n">
        <f aca="false">I252*Assumptions!B24</f>
        <v>11400</v>
      </c>
      <c r="K252" s="21" t="n">
        <f aca="false">K251*(1+Assumptions!B30)</f>
        <v>14.259564369631</v>
      </c>
      <c r="L252" s="16" t="n">
        <f aca="false">ROUND(K252*F252,0)</f>
        <v>14</v>
      </c>
      <c r="M252" s="22" t="n">
        <f aca="false">L252*Assumptions!B31</f>
        <v>4200</v>
      </c>
      <c r="N252" s="22" t="n">
        <f aca="false">J252+M252</f>
        <v>15600</v>
      </c>
      <c r="O252" s="22" t="n">
        <f aca="false">IF(DAY(B252)=1,Assumptions!B38*G252,0)</f>
        <v>0</v>
      </c>
      <c r="P252" s="22" t="n">
        <f aca="false">IF(DAY(B252)=1,Assumptions!B39*G252,0)</f>
        <v>0</v>
      </c>
      <c r="Q252" s="22" t="n">
        <f aca="false">IF(DAY(B252)=1,Assumptions!B40*G252,0)</f>
        <v>0</v>
      </c>
      <c r="R252" s="22" t="n">
        <f aca="false">IF(DAY(B252)=1,Assumptions!B41*G252,0)</f>
        <v>0</v>
      </c>
      <c r="S252" s="22" t="n">
        <f aca="false">IF(AND(DAY(B252)=1,D252&gt;=13),Assumptions!B42*G252,0)</f>
        <v>0</v>
      </c>
      <c r="T252" s="22" t="n">
        <f aca="false">IF(DAY(B252)=1,Assumptions!B43*G252,0)</f>
        <v>0</v>
      </c>
      <c r="U252" s="22" t="n">
        <f aca="false">SUM(O252:T252)</f>
        <v>0</v>
      </c>
      <c r="V252" s="22" t="n">
        <f aca="false">N252-U252</f>
        <v>15600</v>
      </c>
      <c r="W252" s="22" t="n">
        <f aca="false">W251+V252</f>
        <v>-4053500</v>
      </c>
      <c r="X252" s="23" t="str">
        <f aca="false">IF(W252&gt;=0,"YES","No")</f>
        <v>No</v>
      </c>
    </row>
    <row r="253" customFormat="false" ht="15" hidden="false" customHeight="false" outlineLevel="0" collapsed="false">
      <c r="A253" s="16" t="n">
        <v>252</v>
      </c>
      <c r="B253" s="17" t="n">
        <f aca="false">B252+1</f>
        <v>46274</v>
      </c>
      <c r="C253" s="18" t="n">
        <f aca="false">MIN(ROUNDUP(A253/365,0),5)</f>
        <v>1</v>
      </c>
      <c r="D253" s="18" t="n">
        <f aca="false">DATEDIF(Assumptions!B5,B253,"m")+1</f>
        <v>9</v>
      </c>
      <c r="E253" s="18" t="str">
        <f aca="false">TEXT(B253,"ddd")</f>
        <v>Wed</v>
      </c>
      <c r="F253" s="19" t="n">
        <f aca="false">IF(WEEKDAY(B253,2)&gt;=6,Assumptions!B34,Assumptions!B35)</f>
        <v>1</v>
      </c>
      <c r="G253" s="20" t="n">
        <f aca="false">IF(D253&gt;=13,(1+Assumptions!B46)^(D253-12),1)</f>
        <v>1</v>
      </c>
      <c r="H253" s="21" t="n">
        <f aca="false">H252*(1+IF(C253=1,Assumptions!B22,Assumptions!B23))</f>
        <v>19.3392685670424</v>
      </c>
      <c r="I253" s="16" t="n">
        <f aca="false">ROUND(H253*F253,0)</f>
        <v>19</v>
      </c>
      <c r="J253" s="22" t="n">
        <f aca="false">I253*Assumptions!B24</f>
        <v>11400</v>
      </c>
      <c r="K253" s="21" t="n">
        <f aca="false">K252*(1+Assumptions!B30)</f>
        <v>14.2642263465082</v>
      </c>
      <c r="L253" s="16" t="n">
        <f aca="false">ROUND(K253*F253,0)</f>
        <v>14</v>
      </c>
      <c r="M253" s="22" t="n">
        <f aca="false">L253*Assumptions!B31</f>
        <v>4200</v>
      </c>
      <c r="N253" s="22" t="n">
        <f aca="false">J253+M253</f>
        <v>15600</v>
      </c>
      <c r="O253" s="22" t="n">
        <f aca="false">IF(DAY(B253)=1,Assumptions!B38*G253,0)</f>
        <v>0</v>
      </c>
      <c r="P253" s="22" t="n">
        <f aca="false">IF(DAY(B253)=1,Assumptions!B39*G253,0)</f>
        <v>0</v>
      </c>
      <c r="Q253" s="22" t="n">
        <f aca="false">IF(DAY(B253)=1,Assumptions!B40*G253,0)</f>
        <v>0</v>
      </c>
      <c r="R253" s="22" t="n">
        <f aca="false">IF(DAY(B253)=1,Assumptions!B41*G253,0)</f>
        <v>0</v>
      </c>
      <c r="S253" s="22" t="n">
        <f aca="false">IF(AND(DAY(B253)=1,D253&gt;=13),Assumptions!B42*G253,0)</f>
        <v>0</v>
      </c>
      <c r="T253" s="22" t="n">
        <f aca="false">IF(DAY(B253)=1,Assumptions!B43*G253,0)</f>
        <v>0</v>
      </c>
      <c r="U253" s="22" t="n">
        <f aca="false">SUM(O253:T253)</f>
        <v>0</v>
      </c>
      <c r="V253" s="22" t="n">
        <f aca="false">N253-U253</f>
        <v>15600</v>
      </c>
      <c r="W253" s="22" t="n">
        <f aca="false">W252+V253</f>
        <v>-4037900</v>
      </c>
      <c r="X253" s="23" t="str">
        <f aca="false">IF(W253&gt;=0,"YES","No")</f>
        <v>No</v>
      </c>
    </row>
    <row r="254" customFormat="false" ht="15" hidden="false" customHeight="false" outlineLevel="0" collapsed="false">
      <c r="A254" s="16" t="n">
        <v>253</v>
      </c>
      <c r="B254" s="17" t="n">
        <f aca="false">B253+1</f>
        <v>46275</v>
      </c>
      <c r="C254" s="18" t="n">
        <f aca="false">MIN(ROUNDUP(A254/365,0),5)</f>
        <v>1</v>
      </c>
      <c r="D254" s="18" t="n">
        <f aca="false">DATEDIF(Assumptions!B5,B254,"m")+1</f>
        <v>9</v>
      </c>
      <c r="E254" s="18" t="str">
        <f aca="false">TEXT(B254,"ddd")</f>
        <v>Thu</v>
      </c>
      <c r="F254" s="19" t="n">
        <f aca="false">IF(WEEKDAY(B254,2)&gt;=6,Assumptions!B34,Assumptions!B35)</f>
        <v>1</v>
      </c>
      <c r="G254" s="20" t="n">
        <f aca="false">IF(D254&gt;=13,(1+Assumptions!B46)^(D254-12),1)</f>
        <v>1</v>
      </c>
      <c r="H254" s="21" t="n">
        <f aca="false">H253*(1+IF(C254=1,Assumptions!B22,Assumptions!B23))</f>
        <v>19.3518537485119</v>
      </c>
      <c r="I254" s="16" t="n">
        <f aca="false">ROUND(H254*F254,0)</f>
        <v>19</v>
      </c>
      <c r="J254" s="22" t="n">
        <f aca="false">I254*Assumptions!B24</f>
        <v>11400</v>
      </c>
      <c r="K254" s="21" t="n">
        <f aca="false">K253*(1+Assumptions!B30)</f>
        <v>14.2688898475574</v>
      </c>
      <c r="L254" s="16" t="n">
        <f aca="false">ROUND(K254*F254,0)</f>
        <v>14</v>
      </c>
      <c r="M254" s="22" t="n">
        <f aca="false">L254*Assumptions!B31</f>
        <v>4200</v>
      </c>
      <c r="N254" s="22" t="n">
        <f aca="false">J254+M254</f>
        <v>15600</v>
      </c>
      <c r="O254" s="22" t="n">
        <f aca="false">IF(DAY(B254)=1,Assumptions!B38*G254,0)</f>
        <v>0</v>
      </c>
      <c r="P254" s="22" t="n">
        <f aca="false">IF(DAY(B254)=1,Assumptions!B39*G254,0)</f>
        <v>0</v>
      </c>
      <c r="Q254" s="22" t="n">
        <f aca="false">IF(DAY(B254)=1,Assumptions!B40*G254,0)</f>
        <v>0</v>
      </c>
      <c r="R254" s="22" t="n">
        <f aca="false">IF(DAY(B254)=1,Assumptions!B41*G254,0)</f>
        <v>0</v>
      </c>
      <c r="S254" s="22" t="n">
        <f aca="false">IF(AND(DAY(B254)=1,D254&gt;=13),Assumptions!B42*G254,0)</f>
        <v>0</v>
      </c>
      <c r="T254" s="22" t="n">
        <f aca="false">IF(DAY(B254)=1,Assumptions!B43*G254,0)</f>
        <v>0</v>
      </c>
      <c r="U254" s="22" t="n">
        <f aca="false">SUM(O254:T254)</f>
        <v>0</v>
      </c>
      <c r="V254" s="22" t="n">
        <f aca="false">N254-U254</f>
        <v>15600</v>
      </c>
      <c r="W254" s="22" t="n">
        <f aca="false">W253+V254</f>
        <v>-4022300</v>
      </c>
      <c r="X254" s="23" t="str">
        <f aca="false">IF(W254&gt;=0,"YES","No")</f>
        <v>No</v>
      </c>
    </row>
    <row r="255" customFormat="false" ht="15" hidden="false" customHeight="false" outlineLevel="0" collapsed="false">
      <c r="A255" s="16" t="n">
        <v>254</v>
      </c>
      <c r="B255" s="17" t="n">
        <f aca="false">B254+1</f>
        <v>46276</v>
      </c>
      <c r="C255" s="18" t="n">
        <f aca="false">MIN(ROUNDUP(A255/365,0),5)</f>
        <v>1</v>
      </c>
      <c r="D255" s="18" t="n">
        <f aca="false">DATEDIF(Assumptions!B5,B255,"m")+1</f>
        <v>9</v>
      </c>
      <c r="E255" s="18" t="str">
        <f aca="false">TEXT(B255,"ddd")</f>
        <v>Fri</v>
      </c>
      <c r="F255" s="19" t="n">
        <f aca="false">IF(WEEKDAY(B255,2)&gt;=6,Assumptions!B34,Assumptions!B35)</f>
        <v>1</v>
      </c>
      <c r="G255" s="20" t="n">
        <f aca="false">IF(D255&gt;=13,(1+Assumptions!B46)^(D255-12),1)</f>
        <v>1</v>
      </c>
      <c r="H255" s="21" t="n">
        <f aca="false">H254*(1+IF(C255=1,Assumptions!B22,Assumptions!B23))</f>
        <v>19.3644471198875</v>
      </c>
      <c r="I255" s="16" t="n">
        <f aca="false">ROUND(H255*F255,0)</f>
        <v>19</v>
      </c>
      <c r="J255" s="22" t="n">
        <f aca="false">I255*Assumptions!B24</f>
        <v>11400</v>
      </c>
      <c r="K255" s="21" t="n">
        <f aca="false">K254*(1+Assumptions!B30)</f>
        <v>14.2735548732769</v>
      </c>
      <c r="L255" s="16" t="n">
        <f aca="false">ROUND(K255*F255,0)</f>
        <v>14</v>
      </c>
      <c r="M255" s="22" t="n">
        <f aca="false">L255*Assumptions!B31</f>
        <v>4200</v>
      </c>
      <c r="N255" s="22" t="n">
        <f aca="false">J255+M255</f>
        <v>15600</v>
      </c>
      <c r="O255" s="22" t="n">
        <f aca="false">IF(DAY(B255)=1,Assumptions!B38*G255,0)</f>
        <v>0</v>
      </c>
      <c r="P255" s="22" t="n">
        <f aca="false">IF(DAY(B255)=1,Assumptions!B39*G255,0)</f>
        <v>0</v>
      </c>
      <c r="Q255" s="22" t="n">
        <f aca="false">IF(DAY(B255)=1,Assumptions!B40*G255,0)</f>
        <v>0</v>
      </c>
      <c r="R255" s="22" t="n">
        <f aca="false">IF(DAY(B255)=1,Assumptions!B41*G255,0)</f>
        <v>0</v>
      </c>
      <c r="S255" s="22" t="n">
        <f aca="false">IF(AND(DAY(B255)=1,D255&gt;=13),Assumptions!B42*G255,0)</f>
        <v>0</v>
      </c>
      <c r="T255" s="22" t="n">
        <f aca="false">IF(DAY(B255)=1,Assumptions!B43*G255,0)</f>
        <v>0</v>
      </c>
      <c r="U255" s="22" t="n">
        <f aca="false">SUM(O255:T255)</f>
        <v>0</v>
      </c>
      <c r="V255" s="22" t="n">
        <f aca="false">N255-U255</f>
        <v>15600</v>
      </c>
      <c r="W255" s="22" t="n">
        <f aca="false">W254+V255</f>
        <v>-4006700</v>
      </c>
      <c r="X255" s="23" t="str">
        <f aca="false">IF(W255&gt;=0,"YES","No")</f>
        <v>No</v>
      </c>
    </row>
    <row r="256" customFormat="false" ht="15" hidden="false" customHeight="false" outlineLevel="0" collapsed="false">
      <c r="A256" s="16" t="n">
        <v>255</v>
      </c>
      <c r="B256" s="17" t="n">
        <f aca="false">B255+1</f>
        <v>46277</v>
      </c>
      <c r="C256" s="18" t="n">
        <f aca="false">MIN(ROUNDUP(A256/365,0),5)</f>
        <v>1</v>
      </c>
      <c r="D256" s="18" t="n">
        <f aca="false">DATEDIF(Assumptions!B5,B256,"m")+1</f>
        <v>9</v>
      </c>
      <c r="E256" s="18" t="str">
        <f aca="false">TEXT(B256,"ddd")</f>
        <v>Sat</v>
      </c>
      <c r="F256" s="19" t="n">
        <f aca="false">IF(WEEKDAY(B256,2)&gt;=6,Assumptions!B34,Assumptions!B35)</f>
        <v>0.6</v>
      </c>
      <c r="G256" s="20" t="n">
        <f aca="false">IF(D256&gt;=13,(1+Assumptions!B46)^(D256-12),1)</f>
        <v>1</v>
      </c>
      <c r="H256" s="21" t="n">
        <f aca="false">H255*(1+IF(C256=1,Assumptions!B22,Assumptions!B23))</f>
        <v>19.3770486864988</v>
      </c>
      <c r="I256" s="16" t="n">
        <f aca="false">ROUND(H256*F256,0)</f>
        <v>12</v>
      </c>
      <c r="J256" s="22" t="n">
        <f aca="false">I256*Assumptions!B24</f>
        <v>7200</v>
      </c>
      <c r="K256" s="21" t="n">
        <f aca="false">K255*(1+Assumptions!B30)</f>
        <v>14.2782214241651</v>
      </c>
      <c r="L256" s="16" t="n">
        <f aca="false">ROUND(K256*F256,0)</f>
        <v>9</v>
      </c>
      <c r="M256" s="22" t="n">
        <f aca="false">L256*Assumptions!B31</f>
        <v>2700</v>
      </c>
      <c r="N256" s="22" t="n">
        <f aca="false">J256+M256</f>
        <v>9900</v>
      </c>
      <c r="O256" s="22" t="n">
        <f aca="false">IF(DAY(B256)=1,Assumptions!B38*G256,0)</f>
        <v>0</v>
      </c>
      <c r="P256" s="22" t="n">
        <f aca="false">IF(DAY(B256)=1,Assumptions!B39*G256,0)</f>
        <v>0</v>
      </c>
      <c r="Q256" s="22" t="n">
        <f aca="false">IF(DAY(B256)=1,Assumptions!B40*G256,0)</f>
        <v>0</v>
      </c>
      <c r="R256" s="22" t="n">
        <f aca="false">IF(DAY(B256)=1,Assumptions!B41*G256,0)</f>
        <v>0</v>
      </c>
      <c r="S256" s="22" t="n">
        <f aca="false">IF(AND(DAY(B256)=1,D256&gt;=13),Assumptions!B42*G256,0)</f>
        <v>0</v>
      </c>
      <c r="T256" s="22" t="n">
        <f aca="false">IF(DAY(B256)=1,Assumptions!B43*G256,0)</f>
        <v>0</v>
      </c>
      <c r="U256" s="22" t="n">
        <f aca="false">SUM(O256:T256)</f>
        <v>0</v>
      </c>
      <c r="V256" s="22" t="n">
        <f aca="false">N256-U256</f>
        <v>9900</v>
      </c>
      <c r="W256" s="22" t="n">
        <f aca="false">W255+V256</f>
        <v>-3996800</v>
      </c>
      <c r="X256" s="23" t="str">
        <f aca="false">IF(W256&gt;=0,"YES","No")</f>
        <v>No</v>
      </c>
    </row>
    <row r="257" customFormat="false" ht="15" hidden="false" customHeight="false" outlineLevel="0" collapsed="false">
      <c r="A257" s="16" t="n">
        <v>256</v>
      </c>
      <c r="B257" s="17" t="n">
        <f aca="false">B256+1</f>
        <v>46278</v>
      </c>
      <c r="C257" s="18" t="n">
        <f aca="false">MIN(ROUNDUP(A257/365,0),5)</f>
        <v>1</v>
      </c>
      <c r="D257" s="18" t="n">
        <f aca="false">DATEDIF(Assumptions!B5,B257,"m")+1</f>
        <v>9</v>
      </c>
      <c r="E257" s="18" t="str">
        <f aca="false">TEXT(B257,"ddd")</f>
        <v>Sun</v>
      </c>
      <c r="F257" s="19" t="n">
        <f aca="false">IF(WEEKDAY(B257,2)&gt;=6,Assumptions!B34,Assumptions!B35)</f>
        <v>0.6</v>
      </c>
      <c r="G257" s="20" t="n">
        <f aca="false">IF(D257&gt;=13,(1+Assumptions!B46)^(D257-12),1)</f>
        <v>1</v>
      </c>
      <c r="H257" s="21" t="n">
        <f aca="false">H256*(1+IF(C257=1,Assumptions!B22,Assumptions!B23))</f>
        <v>19.3896584536788</v>
      </c>
      <c r="I257" s="16" t="n">
        <f aca="false">ROUND(H257*F257,0)</f>
        <v>12</v>
      </c>
      <c r="J257" s="22" t="n">
        <f aca="false">I257*Assumptions!B24</f>
        <v>7200</v>
      </c>
      <c r="K257" s="21" t="n">
        <f aca="false">K256*(1+Assumptions!B30)</f>
        <v>14.2828895007207</v>
      </c>
      <c r="L257" s="16" t="n">
        <f aca="false">ROUND(K257*F257,0)</f>
        <v>9</v>
      </c>
      <c r="M257" s="22" t="n">
        <f aca="false">L257*Assumptions!B31</f>
        <v>2700</v>
      </c>
      <c r="N257" s="22" t="n">
        <f aca="false">J257+M257</f>
        <v>9900</v>
      </c>
      <c r="O257" s="22" t="n">
        <f aca="false">IF(DAY(B257)=1,Assumptions!B38*G257,0)</f>
        <v>0</v>
      </c>
      <c r="P257" s="22" t="n">
        <f aca="false">IF(DAY(B257)=1,Assumptions!B39*G257,0)</f>
        <v>0</v>
      </c>
      <c r="Q257" s="22" t="n">
        <f aca="false">IF(DAY(B257)=1,Assumptions!B40*G257,0)</f>
        <v>0</v>
      </c>
      <c r="R257" s="22" t="n">
        <f aca="false">IF(DAY(B257)=1,Assumptions!B41*G257,0)</f>
        <v>0</v>
      </c>
      <c r="S257" s="22" t="n">
        <f aca="false">IF(AND(DAY(B257)=1,D257&gt;=13),Assumptions!B42*G257,0)</f>
        <v>0</v>
      </c>
      <c r="T257" s="22" t="n">
        <f aca="false">IF(DAY(B257)=1,Assumptions!B43*G257,0)</f>
        <v>0</v>
      </c>
      <c r="U257" s="22" t="n">
        <f aca="false">SUM(O257:T257)</f>
        <v>0</v>
      </c>
      <c r="V257" s="22" t="n">
        <f aca="false">N257-U257</f>
        <v>9900</v>
      </c>
      <c r="W257" s="22" t="n">
        <f aca="false">W256+V257</f>
        <v>-3986900</v>
      </c>
      <c r="X257" s="23" t="str">
        <f aca="false">IF(W257&gt;=0,"YES","No")</f>
        <v>No</v>
      </c>
    </row>
    <row r="258" customFormat="false" ht="15" hidden="false" customHeight="false" outlineLevel="0" collapsed="false">
      <c r="A258" s="16" t="n">
        <v>257</v>
      </c>
      <c r="B258" s="17" t="n">
        <f aca="false">B257+1</f>
        <v>46279</v>
      </c>
      <c r="C258" s="18" t="n">
        <f aca="false">MIN(ROUNDUP(A258/365,0),5)</f>
        <v>1</v>
      </c>
      <c r="D258" s="18" t="n">
        <f aca="false">DATEDIF(Assumptions!B5,B258,"m")+1</f>
        <v>9</v>
      </c>
      <c r="E258" s="18" t="str">
        <f aca="false">TEXT(B258,"ddd")</f>
        <v>Mon</v>
      </c>
      <c r="F258" s="19" t="n">
        <f aca="false">IF(WEEKDAY(B258,2)&gt;=6,Assumptions!B34,Assumptions!B35)</f>
        <v>1</v>
      </c>
      <c r="G258" s="20" t="n">
        <f aca="false">IF(D258&gt;=13,(1+Assumptions!B46)^(D258-12),1)</f>
        <v>1</v>
      </c>
      <c r="H258" s="21" t="n">
        <f aca="false">H257*(1+IF(C258=1,Assumptions!B22,Assumptions!B23))</f>
        <v>19.4022764267643</v>
      </c>
      <c r="I258" s="16" t="n">
        <f aca="false">ROUND(H258*F258,0)</f>
        <v>19</v>
      </c>
      <c r="J258" s="22" t="n">
        <f aca="false">I258*Assumptions!B24</f>
        <v>11400</v>
      </c>
      <c r="K258" s="21" t="n">
        <f aca="false">K257*(1+Assumptions!B30)</f>
        <v>14.2875591034425</v>
      </c>
      <c r="L258" s="16" t="n">
        <f aca="false">ROUND(K258*F258,0)</f>
        <v>14</v>
      </c>
      <c r="M258" s="22" t="n">
        <f aca="false">L258*Assumptions!B31</f>
        <v>4200</v>
      </c>
      <c r="N258" s="22" t="n">
        <f aca="false">J258+M258</f>
        <v>15600</v>
      </c>
      <c r="O258" s="22" t="n">
        <f aca="false">IF(DAY(B258)=1,Assumptions!B38*G258,0)</f>
        <v>0</v>
      </c>
      <c r="P258" s="22" t="n">
        <f aca="false">IF(DAY(B258)=1,Assumptions!B39*G258,0)</f>
        <v>0</v>
      </c>
      <c r="Q258" s="22" t="n">
        <f aca="false">IF(DAY(B258)=1,Assumptions!B40*G258,0)</f>
        <v>0</v>
      </c>
      <c r="R258" s="22" t="n">
        <f aca="false">IF(DAY(B258)=1,Assumptions!B41*G258,0)</f>
        <v>0</v>
      </c>
      <c r="S258" s="22" t="n">
        <f aca="false">IF(AND(DAY(B258)=1,D258&gt;=13),Assumptions!B42*G258,0)</f>
        <v>0</v>
      </c>
      <c r="T258" s="22" t="n">
        <f aca="false">IF(DAY(B258)=1,Assumptions!B43*G258,0)</f>
        <v>0</v>
      </c>
      <c r="U258" s="22" t="n">
        <f aca="false">SUM(O258:T258)</f>
        <v>0</v>
      </c>
      <c r="V258" s="22" t="n">
        <f aca="false">N258-U258</f>
        <v>15600</v>
      </c>
      <c r="W258" s="22" t="n">
        <f aca="false">W257+V258</f>
        <v>-3971300</v>
      </c>
      <c r="X258" s="23" t="str">
        <f aca="false">IF(W258&gt;=0,"YES","No")</f>
        <v>No</v>
      </c>
    </row>
    <row r="259" customFormat="false" ht="15" hidden="false" customHeight="false" outlineLevel="0" collapsed="false">
      <c r="A259" s="16" t="n">
        <v>258</v>
      </c>
      <c r="B259" s="17" t="n">
        <f aca="false">B258+1</f>
        <v>46280</v>
      </c>
      <c r="C259" s="18" t="n">
        <f aca="false">MIN(ROUNDUP(A259/365,0),5)</f>
        <v>1</v>
      </c>
      <c r="D259" s="18" t="n">
        <f aca="false">DATEDIF(Assumptions!B5,B259,"m")+1</f>
        <v>9</v>
      </c>
      <c r="E259" s="18" t="str">
        <f aca="false">TEXT(B259,"ddd")</f>
        <v>Tue</v>
      </c>
      <c r="F259" s="19" t="n">
        <f aca="false">IF(WEEKDAY(B259,2)&gt;=6,Assumptions!B34,Assumptions!B35)</f>
        <v>1</v>
      </c>
      <c r="G259" s="20" t="n">
        <f aca="false">IF(D259&gt;=13,(1+Assumptions!B46)^(D259-12),1)</f>
        <v>1</v>
      </c>
      <c r="H259" s="21" t="n">
        <f aca="false">H258*(1+IF(C259=1,Assumptions!B22,Assumptions!B23))</f>
        <v>19.4149026110952</v>
      </c>
      <c r="I259" s="16" t="n">
        <f aca="false">ROUND(H259*F259,0)</f>
        <v>19</v>
      </c>
      <c r="J259" s="22" t="n">
        <f aca="false">I259*Assumptions!B24</f>
        <v>11400</v>
      </c>
      <c r="K259" s="21" t="n">
        <f aca="false">K258*(1+Assumptions!B30)</f>
        <v>14.2922302328295</v>
      </c>
      <c r="L259" s="16" t="n">
        <f aca="false">ROUND(K259*F259,0)</f>
        <v>14</v>
      </c>
      <c r="M259" s="22" t="n">
        <f aca="false">L259*Assumptions!B31</f>
        <v>4200</v>
      </c>
      <c r="N259" s="22" t="n">
        <f aca="false">J259+M259</f>
        <v>15600</v>
      </c>
      <c r="O259" s="22" t="n">
        <f aca="false">IF(DAY(B259)=1,Assumptions!B38*G259,0)</f>
        <v>0</v>
      </c>
      <c r="P259" s="22" t="n">
        <f aca="false">IF(DAY(B259)=1,Assumptions!B39*G259,0)</f>
        <v>0</v>
      </c>
      <c r="Q259" s="22" t="n">
        <f aca="false">IF(DAY(B259)=1,Assumptions!B40*G259,0)</f>
        <v>0</v>
      </c>
      <c r="R259" s="22" t="n">
        <f aca="false">IF(DAY(B259)=1,Assumptions!B41*G259,0)</f>
        <v>0</v>
      </c>
      <c r="S259" s="22" t="n">
        <f aca="false">IF(AND(DAY(B259)=1,D259&gt;=13),Assumptions!B42*G259,0)</f>
        <v>0</v>
      </c>
      <c r="T259" s="22" t="n">
        <f aca="false">IF(DAY(B259)=1,Assumptions!B43*G259,0)</f>
        <v>0</v>
      </c>
      <c r="U259" s="22" t="n">
        <f aca="false">SUM(O259:T259)</f>
        <v>0</v>
      </c>
      <c r="V259" s="22" t="n">
        <f aca="false">N259-U259</f>
        <v>15600</v>
      </c>
      <c r="W259" s="22" t="n">
        <f aca="false">W258+V259</f>
        <v>-3955700</v>
      </c>
      <c r="X259" s="23" t="str">
        <f aca="false">IF(W259&gt;=0,"YES","No")</f>
        <v>No</v>
      </c>
    </row>
    <row r="260" customFormat="false" ht="15" hidden="false" customHeight="false" outlineLevel="0" collapsed="false">
      <c r="A260" s="16" t="n">
        <v>259</v>
      </c>
      <c r="B260" s="17" t="n">
        <f aca="false">B259+1</f>
        <v>46281</v>
      </c>
      <c r="C260" s="18" t="n">
        <f aca="false">MIN(ROUNDUP(A260/365,0),5)</f>
        <v>1</v>
      </c>
      <c r="D260" s="18" t="n">
        <f aca="false">DATEDIF(Assumptions!B5,B260,"m")+1</f>
        <v>9</v>
      </c>
      <c r="E260" s="18" t="str">
        <f aca="false">TEXT(B260,"ddd")</f>
        <v>Wed</v>
      </c>
      <c r="F260" s="19" t="n">
        <f aca="false">IF(WEEKDAY(B260,2)&gt;=6,Assumptions!B34,Assumptions!B35)</f>
        <v>1</v>
      </c>
      <c r="G260" s="20" t="n">
        <f aca="false">IF(D260&gt;=13,(1+Assumptions!B46)^(D260-12),1)</f>
        <v>1</v>
      </c>
      <c r="H260" s="21" t="n">
        <f aca="false">H259*(1+IF(C260=1,Assumptions!B22,Assumptions!B23))</f>
        <v>19.4275370120151</v>
      </c>
      <c r="I260" s="16" t="n">
        <f aca="false">ROUND(H260*F260,0)</f>
        <v>19</v>
      </c>
      <c r="J260" s="22" t="n">
        <f aca="false">I260*Assumptions!B24</f>
        <v>11400</v>
      </c>
      <c r="K260" s="21" t="n">
        <f aca="false">K259*(1+Assumptions!B30)</f>
        <v>14.2969028893807</v>
      </c>
      <c r="L260" s="16" t="n">
        <f aca="false">ROUND(K260*F260,0)</f>
        <v>14</v>
      </c>
      <c r="M260" s="22" t="n">
        <f aca="false">L260*Assumptions!B31</f>
        <v>4200</v>
      </c>
      <c r="N260" s="22" t="n">
        <f aca="false">J260+M260</f>
        <v>15600</v>
      </c>
      <c r="O260" s="22" t="n">
        <f aca="false">IF(DAY(B260)=1,Assumptions!B38*G260,0)</f>
        <v>0</v>
      </c>
      <c r="P260" s="22" t="n">
        <f aca="false">IF(DAY(B260)=1,Assumptions!B39*G260,0)</f>
        <v>0</v>
      </c>
      <c r="Q260" s="22" t="n">
        <f aca="false">IF(DAY(B260)=1,Assumptions!B40*G260,0)</f>
        <v>0</v>
      </c>
      <c r="R260" s="22" t="n">
        <f aca="false">IF(DAY(B260)=1,Assumptions!B41*G260,0)</f>
        <v>0</v>
      </c>
      <c r="S260" s="22" t="n">
        <f aca="false">IF(AND(DAY(B260)=1,D260&gt;=13),Assumptions!B42*G260,0)</f>
        <v>0</v>
      </c>
      <c r="T260" s="22" t="n">
        <f aca="false">IF(DAY(B260)=1,Assumptions!B43*G260,0)</f>
        <v>0</v>
      </c>
      <c r="U260" s="22" t="n">
        <f aca="false">SUM(O260:T260)</f>
        <v>0</v>
      </c>
      <c r="V260" s="22" t="n">
        <f aca="false">N260-U260</f>
        <v>15600</v>
      </c>
      <c r="W260" s="22" t="n">
        <f aca="false">W259+V260</f>
        <v>-3940100</v>
      </c>
      <c r="X260" s="23" t="str">
        <f aca="false">IF(W260&gt;=0,"YES","No")</f>
        <v>No</v>
      </c>
    </row>
    <row r="261" customFormat="false" ht="15" hidden="false" customHeight="false" outlineLevel="0" collapsed="false">
      <c r="A261" s="16" t="n">
        <v>260</v>
      </c>
      <c r="B261" s="17" t="n">
        <f aca="false">B260+1</f>
        <v>46282</v>
      </c>
      <c r="C261" s="18" t="n">
        <f aca="false">MIN(ROUNDUP(A261/365,0),5)</f>
        <v>1</v>
      </c>
      <c r="D261" s="18" t="n">
        <f aca="false">DATEDIF(Assumptions!B5,B261,"m")+1</f>
        <v>9</v>
      </c>
      <c r="E261" s="18" t="str">
        <f aca="false">TEXT(B261,"ddd")</f>
        <v>Thu</v>
      </c>
      <c r="F261" s="19" t="n">
        <f aca="false">IF(WEEKDAY(B261,2)&gt;=6,Assumptions!B34,Assumptions!B35)</f>
        <v>1</v>
      </c>
      <c r="G261" s="20" t="n">
        <f aca="false">IF(D261&gt;=13,(1+Assumptions!B46)^(D261-12),1)</f>
        <v>1</v>
      </c>
      <c r="H261" s="21" t="n">
        <f aca="false">H260*(1+IF(C261=1,Assumptions!B22,Assumptions!B23))</f>
        <v>19.440179634871</v>
      </c>
      <c r="I261" s="16" t="n">
        <f aca="false">ROUND(H261*F261,0)</f>
        <v>19</v>
      </c>
      <c r="J261" s="22" t="n">
        <f aca="false">I261*Assumptions!B24</f>
        <v>11400</v>
      </c>
      <c r="K261" s="21" t="n">
        <f aca="false">K260*(1+Assumptions!B30)</f>
        <v>14.3015770735954</v>
      </c>
      <c r="L261" s="16" t="n">
        <f aca="false">ROUND(K261*F261,0)</f>
        <v>14</v>
      </c>
      <c r="M261" s="22" t="n">
        <f aca="false">L261*Assumptions!B31</f>
        <v>4200</v>
      </c>
      <c r="N261" s="22" t="n">
        <f aca="false">J261+M261</f>
        <v>15600</v>
      </c>
      <c r="O261" s="22" t="n">
        <f aca="false">IF(DAY(B261)=1,Assumptions!B38*G261,0)</f>
        <v>0</v>
      </c>
      <c r="P261" s="22" t="n">
        <f aca="false">IF(DAY(B261)=1,Assumptions!B39*G261,0)</f>
        <v>0</v>
      </c>
      <c r="Q261" s="22" t="n">
        <f aca="false">IF(DAY(B261)=1,Assumptions!B40*G261,0)</f>
        <v>0</v>
      </c>
      <c r="R261" s="22" t="n">
        <f aca="false">IF(DAY(B261)=1,Assumptions!B41*G261,0)</f>
        <v>0</v>
      </c>
      <c r="S261" s="22" t="n">
        <f aca="false">IF(AND(DAY(B261)=1,D261&gt;=13),Assumptions!B42*G261,0)</f>
        <v>0</v>
      </c>
      <c r="T261" s="22" t="n">
        <f aca="false">IF(DAY(B261)=1,Assumptions!B43*G261,0)</f>
        <v>0</v>
      </c>
      <c r="U261" s="22" t="n">
        <f aca="false">SUM(O261:T261)</f>
        <v>0</v>
      </c>
      <c r="V261" s="22" t="n">
        <f aca="false">N261-U261</f>
        <v>15600</v>
      </c>
      <c r="W261" s="22" t="n">
        <f aca="false">W260+V261</f>
        <v>-3924500</v>
      </c>
      <c r="X261" s="23" t="str">
        <f aca="false">IF(W261&gt;=0,"YES","No")</f>
        <v>No</v>
      </c>
    </row>
    <row r="262" customFormat="false" ht="15" hidden="false" customHeight="false" outlineLevel="0" collapsed="false">
      <c r="A262" s="16" t="n">
        <v>261</v>
      </c>
      <c r="B262" s="17" t="n">
        <f aca="false">B261+1</f>
        <v>46283</v>
      </c>
      <c r="C262" s="18" t="n">
        <f aca="false">MIN(ROUNDUP(A262/365,0),5)</f>
        <v>1</v>
      </c>
      <c r="D262" s="18" t="n">
        <f aca="false">DATEDIF(Assumptions!B5,B262,"m")+1</f>
        <v>9</v>
      </c>
      <c r="E262" s="18" t="str">
        <f aca="false">TEXT(B262,"ddd")</f>
        <v>Fri</v>
      </c>
      <c r="F262" s="19" t="n">
        <f aca="false">IF(WEEKDAY(B262,2)&gt;=6,Assumptions!B34,Assumptions!B35)</f>
        <v>1</v>
      </c>
      <c r="G262" s="20" t="n">
        <f aca="false">IF(D262&gt;=13,(1+Assumptions!B46)^(D262-12),1)</f>
        <v>1</v>
      </c>
      <c r="H262" s="21" t="n">
        <f aca="false">H261*(1+IF(C262=1,Assumptions!B22,Assumptions!B23))</f>
        <v>19.4528304850134</v>
      </c>
      <c r="I262" s="16" t="n">
        <f aca="false">ROUND(H262*F262,0)</f>
        <v>19</v>
      </c>
      <c r="J262" s="22" t="n">
        <f aca="false">I262*Assumptions!B24</f>
        <v>11400</v>
      </c>
      <c r="K262" s="21" t="n">
        <f aca="false">K261*(1+Assumptions!B30)</f>
        <v>14.3062527859732</v>
      </c>
      <c r="L262" s="16" t="n">
        <f aca="false">ROUND(K262*F262,0)</f>
        <v>14</v>
      </c>
      <c r="M262" s="22" t="n">
        <f aca="false">L262*Assumptions!B31</f>
        <v>4200</v>
      </c>
      <c r="N262" s="22" t="n">
        <f aca="false">J262+M262</f>
        <v>15600</v>
      </c>
      <c r="O262" s="22" t="n">
        <f aca="false">IF(DAY(B262)=1,Assumptions!B38*G262,0)</f>
        <v>0</v>
      </c>
      <c r="P262" s="22" t="n">
        <f aca="false">IF(DAY(B262)=1,Assumptions!B39*G262,0)</f>
        <v>0</v>
      </c>
      <c r="Q262" s="22" t="n">
        <f aca="false">IF(DAY(B262)=1,Assumptions!B40*G262,0)</f>
        <v>0</v>
      </c>
      <c r="R262" s="22" t="n">
        <f aca="false">IF(DAY(B262)=1,Assumptions!B41*G262,0)</f>
        <v>0</v>
      </c>
      <c r="S262" s="22" t="n">
        <f aca="false">IF(AND(DAY(B262)=1,D262&gt;=13),Assumptions!B42*G262,0)</f>
        <v>0</v>
      </c>
      <c r="T262" s="22" t="n">
        <f aca="false">IF(DAY(B262)=1,Assumptions!B43*G262,0)</f>
        <v>0</v>
      </c>
      <c r="U262" s="22" t="n">
        <f aca="false">SUM(O262:T262)</f>
        <v>0</v>
      </c>
      <c r="V262" s="22" t="n">
        <f aca="false">N262-U262</f>
        <v>15600</v>
      </c>
      <c r="W262" s="22" t="n">
        <f aca="false">W261+V262</f>
        <v>-3908900</v>
      </c>
      <c r="X262" s="23" t="str">
        <f aca="false">IF(W262&gt;=0,"YES","No")</f>
        <v>No</v>
      </c>
    </row>
    <row r="263" customFormat="false" ht="15" hidden="false" customHeight="false" outlineLevel="0" collapsed="false">
      <c r="A263" s="16" t="n">
        <v>262</v>
      </c>
      <c r="B263" s="17" t="n">
        <f aca="false">B262+1</f>
        <v>46284</v>
      </c>
      <c r="C263" s="18" t="n">
        <f aca="false">MIN(ROUNDUP(A263/365,0),5)</f>
        <v>1</v>
      </c>
      <c r="D263" s="18" t="n">
        <f aca="false">DATEDIF(Assumptions!B5,B263,"m")+1</f>
        <v>9</v>
      </c>
      <c r="E263" s="18" t="str">
        <f aca="false">TEXT(B263,"ddd")</f>
        <v>Sat</v>
      </c>
      <c r="F263" s="19" t="n">
        <f aca="false">IF(WEEKDAY(B263,2)&gt;=6,Assumptions!B34,Assumptions!B35)</f>
        <v>0.6</v>
      </c>
      <c r="G263" s="20" t="n">
        <f aca="false">IF(D263&gt;=13,(1+Assumptions!B46)^(D263-12),1)</f>
        <v>1</v>
      </c>
      <c r="H263" s="21" t="n">
        <f aca="false">H262*(1+IF(C263=1,Assumptions!B22,Assumptions!B23))</f>
        <v>19.4654895677962</v>
      </c>
      <c r="I263" s="16" t="n">
        <f aca="false">ROUND(H263*F263,0)</f>
        <v>12</v>
      </c>
      <c r="J263" s="22" t="n">
        <f aca="false">I263*Assumptions!B24</f>
        <v>7200</v>
      </c>
      <c r="K263" s="21" t="n">
        <f aca="false">K262*(1+Assumptions!B30)</f>
        <v>14.3109300270136</v>
      </c>
      <c r="L263" s="16" t="n">
        <f aca="false">ROUND(K263*F263,0)</f>
        <v>9</v>
      </c>
      <c r="M263" s="22" t="n">
        <f aca="false">L263*Assumptions!B31</f>
        <v>2700</v>
      </c>
      <c r="N263" s="22" t="n">
        <f aca="false">J263+M263</f>
        <v>9900</v>
      </c>
      <c r="O263" s="22" t="n">
        <f aca="false">IF(DAY(B263)=1,Assumptions!B38*G263,0)</f>
        <v>0</v>
      </c>
      <c r="P263" s="22" t="n">
        <f aca="false">IF(DAY(B263)=1,Assumptions!B39*G263,0)</f>
        <v>0</v>
      </c>
      <c r="Q263" s="22" t="n">
        <f aca="false">IF(DAY(B263)=1,Assumptions!B40*G263,0)</f>
        <v>0</v>
      </c>
      <c r="R263" s="22" t="n">
        <f aca="false">IF(DAY(B263)=1,Assumptions!B41*G263,0)</f>
        <v>0</v>
      </c>
      <c r="S263" s="22" t="n">
        <f aca="false">IF(AND(DAY(B263)=1,D263&gt;=13),Assumptions!B42*G263,0)</f>
        <v>0</v>
      </c>
      <c r="T263" s="22" t="n">
        <f aca="false">IF(DAY(B263)=1,Assumptions!B43*G263,0)</f>
        <v>0</v>
      </c>
      <c r="U263" s="22" t="n">
        <f aca="false">SUM(O263:T263)</f>
        <v>0</v>
      </c>
      <c r="V263" s="22" t="n">
        <f aca="false">N263-U263</f>
        <v>9900</v>
      </c>
      <c r="W263" s="22" t="n">
        <f aca="false">W262+V263</f>
        <v>-3899000</v>
      </c>
      <c r="X263" s="23" t="str">
        <f aca="false">IF(W263&gt;=0,"YES","No")</f>
        <v>No</v>
      </c>
    </row>
    <row r="264" customFormat="false" ht="15" hidden="false" customHeight="false" outlineLevel="0" collapsed="false">
      <c r="A264" s="16" t="n">
        <v>263</v>
      </c>
      <c r="B264" s="17" t="n">
        <f aca="false">B263+1</f>
        <v>46285</v>
      </c>
      <c r="C264" s="18" t="n">
        <f aca="false">MIN(ROUNDUP(A264/365,0),5)</f>
        <v>1</v>
      </c>
      <c r="D264" s="18" t="n">
        <f aca="false">DATEDIF(Assumptions!B5,B264,"m")+1</f>
        <v>9</v>
      </c>
      <c r="E264" s="18" t="str">
        <f aca="false">TEXT(B264,"ddd")</f>
        <v>Sun</v>
      </c>
      <c r="F264" s="19" t="n">
        <f aca="false">IF(WEEKDAY(B264,2)&gt;=6,Assumptions!B34,Assumptions!B35)</f>
        <v>0.6</v>
      </c>
      <c r="G264" s="20" t="n">
        <f aca="false">IF(D264&gt;=13,(1+Assumptions!B46)^(D264-12),1)</f>
        <v>1</v>
      </c>
      <c r="H264" s="21" t="n">
        <f aca="false">H263*(1+IF(C264=1,Assumptions!B22,Assumptions!B23))</f>
        <v>19.478156888577</v>
      </c>
      <c r="I264" s="16" t="n">
        <f aca="false">ROUND(H264*F264,0)</f>
        <v>12</v>
      </c>
      <c r="J264" s="22" t="n">
        <f aca="false">I264*Assumptions!B24</f>
        <v>7200</v>
      </c>
      <c r="K264" s="21" t="n">
        <f aca="false">K263*(1+Assumptions!B30)</f>
        <v>14.3156087972164</v>
      </c>
      <c r="L264" s="16" t="n">
        <f aca="false">ROUND(K264*F264,0)</f>
        <v>9</v>
      </c>
      <c r="M264" s="22" t="n">
        <f aca="false">L264*Assumptions!B31</f>
        <v>2700</v>
      </c>
      <c r="N264" s="22" t="n">
        <f aca="false">J264+M264</f>
        <v>9900</v>
      </c>
      <c r="O264" s="22" t="n">
        <f aca="false">IF(DAY(B264)=1,Assumptions!B38*G264,0)</f>
        <v>0</v>
      </c>
      <c r="P264" s="22" t="n">
        <f aca="false">IF(DAY(B264)=1,Assumptions!B39*G264,0)</f>
        <v>0</v>
      </c>
      <c r="Q264" s="22" t="n">
        <f aca="false">IF(DAY(B264)=1,Assumptions!B40*G264,0)</f>
        <v>0</v>
      </c>
      <c r="R264" s="22" t="n">
        <f aca="false">IF(DAY(B264)=1,Assumptions!B41*G264,0)</f>
        <v>0</v>
      </c>
      <c r="S264" s="22" t="n">
        <f aca="false">IF(AND(DAY(B264)=1,D264&gt;=13),Assumptions!B42*G264,0)</f>
        <v>0</v>
      </c>
      <c r="T264" s="22" t="n">
        <f aca="false">IF(DAY(B264)=1,Assumptions!B43*G264,0)</f>
        <v>0</v>
      </c>
      <c r="U264" s="22" t="n">
        <f aca="false">SUM(O264:T264)</f>
        <v>0</v>
      </c>
      <c r="V264" s="22" t="n">
        <f aca="false">N264-U264</f>
        <v>9900</v>
      </c>
      <c r="W264" s="22" t="n">
        <f aca="false">W263+V264</f>
        <v>-3889100</v>
      </c>
      <c r="X264" s="23" t="str">
        <f aca="false">IF(W264&gt;=0,"YES","No")</f>
        <v>No</v>
      </c>
    </row>
    <row r="265" customFormat="false" ht="15" hidden="false" customHeight="false" outlineLevel="0" collapsed="false">
      <c r="A265" s="16" t="n">
        <v>264</v>
      </c>
      <c r="B265" s="17" t="n">
        <f aca="false">B264+1</f>
        <v>46286</v>
      </c>
      <c r="C265" s="18" t="n">
        <f aca="false">MIN(ROUNDUP(A265/365,0),5)</f>
        <v>1</v>
      </c>
      <c r="D265" s="18" t="n">
        <f aca="false">DATEDIF(Assumptions!B5,B265,"m")+1</f>
        <v>9</v>
      </c>
      <c r="E265" s="18" t="str">
        <f aca="false">TEXT(B265,"ddd")</f>
        <v>Mon</v>
      </c>
      <c r="F265" s="19" t="n">
        <f aca="false">IF(WEEKDAY(B265,2)&gt;=6,Assumptions!B34,Assumptions!B35)</f>
        <v>1</v>
      </c>
      <c r="G265" s="20" t="n">
        <f aca="false">IF(D265&gt;=13,(1+Assumptions!B46)^(D265-12),1)</f>
        <v>1</v>
      </c>
      <c r="H265" s="21" t="n">
        <f aca="false">H264*(1+IF(C265=1,Assumptions!B22,Assumptions!B23))</f>
        <v>19.4908324527166</v>
      </c>
      <c r="I265" s="16" t="n">
        <f aca="false">ROUND(H265*F265,0)</f>
        <v>19</v>
      </c>
      <c r="J265" s="22" t="n">
        <f aca="false">I265*Assumptions!B24</f>
        <v>11400</v>
      </c>
      <c r="K265" s="21" t="n">
        <f aca="false">K264*(1+Assumptions!B30)</f>
        <v>14.3202890970815</v>
      </c>
      <c r="L265" s="16" t="n">
        <f aca="false">ROUND(K265*F265,0)</f>
        <v>14</v>
      </c>
      <c r="M265" s="22" t="n">
        <f aca="false">L265*Assumptions!B31</f>
        <v>4200</v>
      </c>
      <c r="N265" s="22" t="n">
        <f aca="false">J265+M265</f>
        <v>15600</v>
      </c>
      <c r="O265" s="22" t="n">
        <f aca="false">IF(DAY(B265)=1,Assumptions!B38*G265,0)</f>
        <v>0</v>
      </c>
      <c r="P265" s="22" t="n">
        <f aca="false">IF(DAY(B265)=1,Assumptions!B39*G265,0)</f>
        <v>0</v>
      </c>
      <c r="Q265" s="22" t="n">
        <f aca="false">IF(DAY(B265)=1,Assumptions!B40*G265,0)</f>
        <v>0</v>
      </c>
      <c r="R265" s="22" t="n">
        <f aca="false">IF(DAY(B265)=1,Assumptions!B41*G265,0)</f>
        <v>0</v>
      </c>
      <c r="S265" s="22" t="n">
        <f aca="false">IF(AND(DAY(B265)=1,D265&gt;=13),Assumptions!B42*G265,0)</f>
        <v>0</v>
      </c>
      <c r="T265" s="22" t="n">
        <f aca="false">IF(DAY(B265)=1,Assumptions!B43*G265,0)</f>
        <v>0</v>
      </c>
      <c r="U265" s="22" t="n">
        <f aca="false">SUM(O265:T265)</f>
        <v>0</v>
      </c>
      <c r="V265" s="22" t="n">
        <f aca="false">N265-U265</f>
        <v>15600</v>
      </c>
      <c r="W265" s="22" t="n">
        <f aca="false">W264+V265</f>
        <v>-3873500</v>
      </c>
      <c r="X265" s="23" t="str">
        <f aca="false">IF(W265&gt;=0,"YES","No")</f>
        <v>No</v>
      </c>
    </row>
    <row r="266" customFormat="false" ht="15" hidden="false" customHeight="false" outlineLevel="0" collapsed="false">
      <c r="A266" s="16" t="n">
        <v>265</v>
      </c>
      <c r="B266" s="17" t="n">
        <f aca="false">B265+1</f>
        <v>46287</v>
      </c>
      <c r="C266" s="18" t="n">
        <f aca="false">MIN(ROUNDUP(A266/365,0),5)</f>
        <v>1</v>
      </c>
      <c r="D266" s="18" t="n">
        <f aca="false">DATEDIF(Assumptions!B5,B266,"m")+1</f>
        <v>9</v>
      </c>
      <c r="E266" s="18" t="str">
        <f aca="false">TEXT(B266,"ddd")</f>
        <v>Tue</v>
      </c>
      <c r="F266" s="19" t="n">
        <f aca="false">IF(WEEKDAY(B266,2)&gt;=6,Assumptions!B34,Assumptions!B35)</f>
        <v>1</v>
      </c>
      <c r="G266" s="20" t="n">
        <f aca="false">IF(D266&gt;=13,(1+Assumptions!B46)^(D266-12),1)</f>
        <v>1</v>
      </c>
      <c r="H266" s="21" t="n">
        <f aca="false">H265*(1+IF(C266=1,Assumptions!B22,Assumptions!B23))</f>
        <v>19.5035162655795</v>
      </c>
      <c r="I266" s="16" t="n">
        <f aca="false">ROUND(H266*F266,0)</f>
        <v>20</v>
      </c>
      <c r="J266" s="22" t="n">
        <f aca="false">I266*Assumptions!B24</f>
        <v>12000</v>
      </c>
      <c r="K266" s="21" t="n">
        <f aca="false">K265*(1+Assumptions!B30)</f>
        <v>14.3249709271091</v>
      </c>
      <c r="L266" s="16" t="n">
        <f aca="false">ROUND(K266*F266,0)</f>
        <v>14</v>
      </c>
      <c r="M266" s="22" t="n">
        <f aca="false">L266*Assumptions!B31</f>
        <v>4200</v>
      </c>
      <c r="N266" s="22" t="n">
        <f aca="false">J266+M266</f>
        <v>16200</v>
      </c>
      <c r="O266" s="22" t="n">
        <f aca="false">IF(DAY(B266)=1,Assumptions!B38*G266,0)</f>
        <v>0</v>
      </c>
      <c r="P266" s="22" t="n">
        <f aca="false">IF(DAY(B266)=1,Assumptions!B39*G266,0)</f>
        <v>0</v>
      </c>
      <c r="Q266" s="22" t="n">
        <f aca="false">IF(DAY(B266)=1,Assumptions!B40*G266,0)</f>
        <v>0</v>
      </c>
      <c r="R266" s="22" t="n">
        <f aca="false">IF(DAY(B266)=1,Assumptions!B41*G266,0)</f>
        <v>0</v>
      </c>
      <c r="S266" s="22" t="n">
        <f aca="false">IF(AND(DAY(B266)=1,D266&gt;=13),Assumptions!B42*G266,0)</f>
        <v>0</v>
      </c>
      <c r="T266" s="22" t="n">
        <f aca="false">IF(DAY(B266)=1,Assumptions!B43*G266,0)</f>
        <v>0</v>
      </c>
      <c r="U266" s="22" t="n">
        <f aca="false">SUM(O266:T266)</f>
        <v>0</v>
      </c>
      <c r="V266" s="22" t="n">
        <f aca="false">N266-U266</f>
        <v>16200</v>
      </c>
      <c r="W266" s="22" t="n">
        <f aca="false">W265+V266</f>
        <v>-3857300</v>
      </c>
      <c r="X266" s="23" t="str">
        <f aca="false">IF(W266&gt;=0,"YES","No")</f>
        <v>No</v>
      </c>
    </row>
    <row r="267" customFormat="false" ht="15" hidden="false" customHeight="false" outlineLevel="0" collapsed="false">
      <c r="A267" s="16" t="n">
        <v>266</v>
      </c>
      <c r="B267" s="17" t="n">
        <f aca="false">B266+1</f>
        <v>46288</v>
      </c>
      <c r="C267" s="18" t="n">
        <f aca="false">MIN(ROUNDUP(A267/365,0),5)</f>
        <v>1</v>
      </c>
      <c r="D267" s="18" t="n">
        <f aca="false">DATEDIF(Assumptions!B5,B267,"m")+1</f>
        <v>9</v>
      </c>
      <c r="E267" s="18" t="str">
        <f aca="false">TEXT(B267,"ddd")</f>
        <v>Wed</v>
      </c>
      <c r="F267" s="19" t="n">
        <f aca="false">IF(WEEKDAY(B267,2)&gt;=6,Assumptions!B34,Assumptions!B35)</f>
        <v>1</v>
      </c>
      <c r="G267" s="20" t="n">
        <f aca="false">IF(D267&gt;=13,(1+Assumptions!B46)^(D267-12),1)</f>
        <v>1</v>
      </c>
      <c r="H267" s="21" t="n">
        <f aca="false">H266*(1+IF(C267=1,Assumptions!B22,Assumptions!B23))</f>
        <v>19.5162083325336</v>
      </c>
      <c r="I267" s="16" t="n">
        <f aca="false">ROUND(H267*F267,0)</f>
        <v>20</v>
      </c>
      <c r="J267" s="22" t="n">
        <f aca="false">I267*Assumptions!B24</f>
        <v>12000</v>
      </c>
      <c r="K267" s="21" t="n">
        <f aca="false">K266*(1+Assumptions!B30)</f>
        <v>14.3296542877993</v>
      </c>
      <c r="L267" s="16" t="n">
        <f aca="false">ROUND(K267*F267,0)</f>
        <v>14</v>
      </c>
      <c r="M267" s="22" t="n">
        <f aca="false">L267*Assumptions!B31</f>
        <v>4200</v>
      </c>
      <c r="N267" s="22" t="n">
        <f aca="false">J267+M267</f>
        <v>16200</v>
      </c>
      <c r="O267" s="22" t="n">
        <f aca="false">IF(DAY(B267)=1,Assumptions!B38*G267,0)</f>
        <v>0</v>
      </c>
      <c r="P267" s="22" t="n">
        <f aca="false">IF(DAY(B267)=1,Assumptions!B39*G267,0)</f>
        <v>0</v>
      </c>
      <c r="Q267" s="22" t="n">
        <f aca="false">IF(DAY(B267)=1,Assumptions!B40*G267,0)</f>
        <v>0</v>
      </c>
      <c r="R267" s="22" t="n">
        <f aca="false">IF(DAY(B267)=1,Assumptions!B41*G267,0)</f>
        <v>0</v>
      </c>
      <c r="S267" s="22" t="n">
        <f aca="false">IF(AND(DAY(B267)=1,D267&gt;=13),Assumptions!B42*G267,0)</f>
        <v>0</v>
      </c>
      <c r="T267" s="22" t="n">
        <f aca="false">IF(DAY(B267)=1,Assumptions!B43*G267,0)</f>
        <v>0</v>
      </c>
      <c r="U267" s="22" t="n">
        <f aca="false">SUM(O267:T267)</f>
        <v>0</v>
      </c>
      <c r="V267" s="22" t="n">
        <f aca="false">N267-U267</f>
        <v>16200</v>
      </c>
      <c r="W267" s="22" t="n">
        <f aca="false">W266+V267</f>
        <v>-3841100</v>
      </c>
      <c r="X267" s="23" t="str">
        <f aca="false">IF(W267&gt;=0,"YES","No")</f>
        <v>No</v>
      </c>
    </row>
    <row r="268" customFormat="false" ht="15" hidden="false" customHeight="false" outlineLevel="0" collapsed="false">
      <c r="A268" s="16" t="n">
        <v>267</v>
      </c>
      <c r="B268" s="17" t="n">
        <f aca="false">B267+1</f>
        <v>46289</v>
      </c>
      <c r="C268" s="18" t="n">
        <f aca="false">MIN(ROUNDUP(A268/365,0),5)</f>
        <v>1</v>
      </c>
      <c r="D268" s="18" t="n">
        <f aca="false">DATEDIF(Assumptions!B5,B268,"m")+1</f>
        <v>9</v>
      </c>
      <c r="E268" s="18" t="str">
        <f aca="false">TEXT(B268,"ddd")</f>
        <v>Thu</v>
      </c>
      <c r="F268" s="19" t="n">
        <f aca="false">IF(WEEKDAY(B268,2)&gt;=6,Assumptions!B34,Assumptions!B35)</f>
        <v>1</v>
      </c>
      <c r="G268" s="20" t="n">
        <f aca="false">IF(D268&gt;=13,(1+Assumptions!B46)^(D268-12),1)</f>
        <v>1</v>
      </c>
      <c r="H268" s="21" t="n">
        <f aca="false">H267*(1+IF(C268=1,Assumptions!B22,Assumptions!B23))</f>
        <v>19.5289086589503</v>
      </c>
      <c r="I268" s="16" t="n">
        <f aca="false">ROUND(H268*F268,0)</f>
        <v>20</v>
      </c>
      <c r="J268" s="22" t="n">
        <f aca="false">I268*Assumptions!B24</f>
        <v>12000</v>
      </c>
      <c r="K268" s="21" t="n">
        <f aca="false">K267*(1+Assumptions!B30)</f>
        <v>14.3343391796527</v>
      </c>
      <c r="L268" s="16" t="n">
        <f aca="false">ROUND(K268*F268,0)</f>
        <v>14</v>
      </c>
      <c r="M268" s="22" t="n">
        <f aca="false">L268*Assumptions!B31</f>
        <v>4200</v>
      </c>
      <c r="N268" s="22" t="n">
        <f aca="false">J268+M268</f>
        <v>16200</v>
      </c>
      <c r="O268" s="22" t="n">
        <f aca="false">IF(DAY(B268)=1,Assumptions!B38*G268,0)</f>
        <v>0</v>
      </c>
      <c r="P268" s="22" t="n">
        <f aca="false">IF(DAY(B268)=1,Assumptions!B39*G268,0)</f>
        <v>0</v>
      </c>
      <c r="Q268" s="22" t="n">
        <f aca="false">IF(DAY(B268)=1,Assumptions!B40*G268,0)</f>
        <v>0</v>
      </c>
      <c r="R268" s="22" t="n">
        <f aca="false">IF(DAY(B268)=1,Assumptions!B41*G268,0)</f>
        <v>0</v>
      </c>
      <c r="S268" s="22" t="n">
        <f aca="false">IF(AND(DAY(B268)=1,D268&gt;=13),Assumptions!B42*G268,0)</f>
        <v>0</v>
      </c>
      <c r="T268" s="22" t="n">
        <f aca="false">IF(DAY(B268)=1,Assumptions!B43*G268,0)</f>
        <v>0</v>
      </c>
      <c r="U268" s="22" t="n">
        <f aca="false">SUM(O268:T268)</f>
        <v>0</v>
      </c>
      <c r="V268" s="22" t="n">
        <f aca="false">N268-U268</f>
        <v>16200</v>
      </c>
      <c r="W268" s="22" t="n">
        <f aca="false">W267+V268</f>
        <v>-3824900</v>
      </c>
      <c r="X268" s="23" t="str">
        <f aca="false">IF(W268&gt;=0,"YES","No")</f>
        <v>No</v>
      </c>
    </row>
    <row r="269" customFormat="false" ht="15" hidden="false" customHeight="false" outlineLevel="0" collapsed="false">
      <c r="A269" s="16" t="n">
        <v>268</v>
      </c>
      <c r="B269" s="17" t="n">
        <f aca="false">B268+1</f>
        <v>46290</v>
      </c>
      <c r="C269" s="18" t="n">
        <f aca="false">MIN(ROUNDUP(A269/365,0),5)</f>
        <v>1</v>
      </c>
      <c r="D269" s="18" t="n">
        <f aca="false">DATEDIF(Assumptions!B5,B269,"m")+1</f>
        <v>9</v>
      </c>
      <c r="E269" s="18" t="str">
        <f aca="false">TEXT(B269,"ddd")</f>
        <v>Fri</v>
      </c>
      <c r="F269" s="19" t="n">
        <f aca="false">IF(WEEKDAY(B269,2)&gt;=6,Assumptions!B34,Assumptions!B35)</f>
        <v>1</v>
      </c>
      <c r="G269" s="20" t="n">
        <f aca="false">IF(D269&gt;=13,(1+Assumptions!B46)^(D269-12),1)</f>
        <v>1</v>
      </c>
      <c r="H269" s="21" t="n">
        <f aca="false">H268*(1+IF(C269=1,Assumptions!B22,Assumptions!B23))</f>
        <v>19.5416172502045</v>
      </c>
      <c r="I269" s="16" t="n">
        <f aca="false">ROUND(H269*F269,0)</f>
        <v>20</v>
      </c>
      <c r="J269" s="22" t="n">
        <f aca="false">I269*Assumptions!B24</f>
        <v>12000</v>
      </c>
      <c r="K269" s="21" t="n">
        <f aca="false">K268*(1+Assumptions!B30)</f>
        <v>14.3390256031698</v>
      </c>
      <c r="L269" s="16" t="n">
        <f aca="false">ROUND(K269*F269,0)</f>
        <v>14</v>
      </c>
      <c r="M269" s="22" t="n">
        <f aca="false">L269*Assumptions!B31</f>
        <v>4200</v>
      </c>
      <c r="N269" s="22" t="n">
        <f aca="false">J269+M269</f>
        <v>16200</v>
      </c>
      <c r="O269" s="22" t="n">
        <f aca="false">IF(DAY(B269)=1,Assumptions!B38*G269,0)</f>
        <v>0</v>
      </c>
      <c r="P269" s="22" t="n">
        <f aca="false">IF(DAY(B269)=1,Assumptions!B39*G269,0)</f>
        <v>0</v>
      </c>
      <c r="Q269" s="22" t="n">
        <f aca="false">IF(DAY(B269)=1,Assumptions!B40*G269,0)</f>
        <v>0</v>
      </c>
      <c r="R269" s="22" t="n">
        <f aca="false">IF(DAY(B269)=1,Assumptions!B41*G269,0)</f>
        <v>0</v>
      </c>
      <c r="S269" s="22" t="n">
        <f aca="false">IF(AND(DAY(B269)=1,D269&gt;=13),Assumptions!B42*G269,0)</f>
        <v>0</v>
      </c>
      <c r="T269" s="22" t="n">
        <f aca="false">IF(DAY(B269)=1,Assumptions!B43*G269,0)</f>
        <v>0</v>
      </c>
      <c r="U269" s="22" t="n">
        <f aca="false">SUM(O269:T269)</f>
        <v>0</v>
      </c>
      <c r="V269" s="22" t="n">
        <f aca="false">N269-U269</f>
        <v>16200</v>
      </c>
      <c r="W269" s="22" t="n">
        <f aca="false">W268+V269</f>
        <v>-3808700</v>
      </c>
      <c r="X269" s="23" t="str">
        <f aca="false">IF(W269&gt;=0,"YES","No")</f>
        <v>No</v>
      </c>
    </row>
    <row r="270" customFormat="false" ht="15" hidden="false" customHeight="false" outlineLevel="0" collapsed="false">
      <c r="A270" s="16" t="n">
        <v>269</v>
      </c>
      <c r="B270" s="17" t="n">
        <f aca="false">B269+1</f>
        <v>46291</v>
      </c>
      <c r="C270" s="18" t="n">
        <f aca="false">MIN(ROUNDUP(A270/365,0),5)</f>
        <v>1</v>
      </c>
      <c r="D270" s="18" t="n">
        <f aca="false">DATEDIF(Assumptions!B5,B270,"m")+1</f>
        <v>9</v>
      </c>
      <c r="E270" s="18" t="str">
        <f aca="false">TEXT(B270,"ddd")</f>
        <v>Sat</v>
      </c>
      <c r="F270" s="19" t="n">
        <f aca="false">IF(WEEKDAY(B270,2)&gt;=6,Assumptions!B34,Assumptions!B35)</f>
        <v>0.6</v>
      </c>
      <c r="G270" s="20" t="n">
        <f aca="false">IF(D270&gt;=13,(1+Assumptions!B46)^(D270-12),1)</f>
        <v>1</v>
      </c>
      <c r="H270" s="21" t="n">
        <f aca="false">H269*(1+IF(C270=1,Assumptions!B22,Assumptions!B23))</f>
        <v>19.5543341116747</v>
      </c>
      <c r="I270" s="16" t="n">
        <f aca="false">ROUND(H270*F270,0)</f>
        <v>12</v>
      </c>
      <c r="J270" s="22" t="n">
        <f aca="false">I270*Assumptions!B24</f>
        <v>7200</v>
      </c>
      <c r="K270" s="21" t="n">
        <f aca="false">K269*(1+Assumptions!B30)</f>
        <v>14.3437135588514</v>
      </c>
      <c r="L270" s="16" t="n">
        <f aca="false">ROUND(K270*F270,0)</f>
        <v>9</v>
      </c>
      <c r="M270" s="22" t="n">
        <f aca="false">L270*Assumptions!B31</f>
        <v>2700</v>
      </c>
      <c r="N270" s="22" t="n">
        <f aca="false">J270+M270</f>
        <v>9900</v>
      </c>
      <c r="O270" s="22" t="n">
        <f aca="false">IF(DAY(B270)=1,Assumptions!B38*G270,0)</f>
        <v>0</v>
      </c>
      <c r="P270" s="22" t="n">
        <f aca="false">IF(DAY(B270)=1,Assumptions!B39*G270,0)</f>
        <v>0</v>
      </c>
      <c r="Q270" s="22" t="n">
        <f aca="false">IF(DAY(B270)=1,Assumptions!B40*G270,0)</f>
        <v>0</v>
      </c>
      <c r="R270" s="22" t="n">
        <f aca="false">IF(DAY(B270)=1,Assumptions!B41*G270,0)</f>
        <v>0</v>
      </c>
      <c r="S270" s="22" t="n">
        <f aca="false">IF(AND(DAY(B270)=1,D270&gt;=13),Assumptions!B42*G270,0)</f>
        <v>0</v>
      </c>
      <c r="T270" s="22" t="n">
        <f aca="false">IF(DAY(B270)=1,Assumptions!B43*G270,0)</f>
        <v>0</v>
      </c>
      <c r="U270" s="22" t="n">
        <f aca="false">SUM(O270:T270)</f>
        <v>0</v>
      </c>
      <c r="V270" s="22" t="n">
        <f aca="false">N270-U270</f>
        <v>9900</v>
      </c>
      <c r="W270" s="22" t="n">
        <f aca="false">W269+V270</f>
        <v>-3798800</v>
      </c>
      <c r="X270" s="23" t="str">
        <f aca="false">IF(W270&gt;=0,"YES","No")</f>
        <v>No</v>
      </c>
    </row>
    <row r="271" customFormat="false" ht="15" hidden="false" customHeight="false" outlineLevel="0" collapsed="false">
      <c r="A271" s="16" t="n">
        <v>270</v>
      </c>
      <c r="B271" s="17" t="n">
        <f aca="false">B270+1</f>
        <v>46292</v>
      </c>
      <c r="C271" s="18" t="n">
        <f aca="false">MIN(ROUNDUP(A271/365,0),5)</f>
        <v>1</v>
      </c>
      <c r="D271" s="18" t="n">
        <f aca="false">DATEDIF(Assumptions!B5,B271,"m")+1</f>
        <v>9</v>
      </c>
      <c r="E271" s="18" t="str">
        <f aca="false">TEXT(B271,"ddd")</f>
        <v>Sun</v>
      </c>
      <c r="F271" s="19" t="n">
        <f aca="false">IF(WEEKDAY(B271,2)&gt;=6,Assumptions!B34,Assumptions!B35)</f>
        <v>0.6</v>
      </c>
      <c r="G271" s="20" t="n">
        <f aca="false">IF(D271&gt;=13,(1+Assumptions!B46)^(D271-12),1)</f>
        <v>1</v>
      </c>
      <c r="H271" s="21" t="n">
        <f aca="false">H270*(1+IF(C271=1,Assumptions!B22,Assumptions!B23))</f>
        <v>19.5670592487427</v>
      </c>
      <c r="I271" s="16" t="n">
        <f aca="false">ROUND(H271*F271,0)</f>
        <v>12</v>
      </c>
      <c r="J271" s="22" t="n">
        <f aca="false">I271*Assumptions!B24</f>
        <v>7200</v>
      </c>
      <c r="K271" s="21" t="n">
        <f aca="false">K270*(1+Assumptions!B30)</f>
        <v>14.3484030471985</v>
      </c>
      <c r="L271" s="16" t="n">
        <f aca="false">ROUND(K271*F271,0)</f>
        <v>9</v>
      </c>
      <c r="M271" s="22" t="n">
        <f aca="false">L271*Assumptions!B31</f>
        <v>2700</v>
      </c>
      <c r="N271" s="22" t="n">
        <f aca="false">J271+M271</f>
        <v>9900</v>
      </c>
      <c r="O271" s="22" t="n">
        <f aca="false">IF(DAY(B271)=1,Assumptions!B38*G271,0)</f>
        <v>0</v>
      </c>
      <c r="P271" s="22" t="n">
        <f aca="false">IF(DAY(B271)=1,Assumptions!B39*G271,0)</f>
        <v>0</v>
      </c>
      <c r="Q271" s="22" t="n">
        <f aca="false">IF(DAY(B271)=1,Assumptions!B40*G271,0)</f>
        <v>0</v>
      </c>
      <c r="R271" s="22" t="n">
        <f aca="false">IF(DAY(B271)=1,Assumptions!B41*G271,0)</f>
        <v>0</v>
      </c>
      <c r="S271" s="22" t="n">
        <f aca="false">IF(AND(DAY(B271)=1,D271&gt;=13),Assumptions!B42*G271,0)</f>
        <v>0</v>
      </c>
      <c r="T271" s="22" t="n">
        <f aca="false">IF(DAY(B271)=1,Assumptions!B43*G271,0)</f>
        <v>0</v>
      </c>
      <c r="U271" s="22" t="n">
        <f aca="false">SUM(O271:T271)</f>
        <v>0</v>
      </c>
      <c r="V271" s="22" t="n">
        <f aca="false">N271-U271</f>
        <v>9900</v>
      </c>
      <c r="W271" s="22" t="n">
        <f aca="false">W270+V271</f>
        <v>-3788900</v>
      </c>
      <c r="X271" s="23" t="str">
        <f aca="false">IF(W271&gt;=0,"YES","No")</f>
        <v>No</v>
      </c>
    </row>
    <row r="272" customFormat="false" ht="15" hidden="false" customHeight="false" outlineLevel="0" collapsed="false">
      <c r="A272" s="16" t="n">
        <v>271</v>
      </c>
      <c r="B272" s="17" t="n">
        <f aca="false">B271+1</f>
        <v>46293</v>
      </c>
      <c r="C272" s="18" t="n">
        <f aca="false">MIN(ROUNDUP(A272/365,0),5)</f>
        <v>1</v>
      </c>
      <c r="D272" s="18" t="n">
        <f aca="false">DATEDIF(Assumptions!B5,B272,"m")+1</f>
        <v>9</v>
      </c>
      <c r="E272" s="18" t="str">
        <f aca="false">TEXT(B272,"ddd")</f>
        <v>Mon</v>
      </c>
      <c r="F272" s="19" t="n">
        <f aca="false">IF(WEEKDAY(B272,2)&gt;=6,Assumptions!B34,Assumptions!B35)</f>
        <v>1</v>
      </c>
      <c r="G272" s="20" t="n">
        <f aca="false">IF(D272&gt;=13,(1+Assumptions!B46)^(D272-12),1)</f>
        <v>1</v>
      </c>
      <c r="H272" s="21" t="n">
        <f aca="false">H271*(1+IF(C272=1,Assumptions!B22,Assumptions!B23))</f>
        <v>19.579792666794</v>
      </c>
      <c r="I272" s="16" t="n">
        <f aca="false">ROUND(H272*F272,0)</f>
        <v>20</v>
      </c>
      <c r="J272" s="22" t="n">
        <f aca="false">I272*Assumptions!B24</f>
        <v>12000</v>
      </c>
      <c r="K272" s="21" t="n">
        <f aca="false">K271*(1+Assumptions!B30)</f>
        <v>14.3530940687119</v>
      </c>
      <c r="L272" s="16" t="n">
        <f aca="false">ROUND(K272*F272,0)</f>
        <v>14</v>
      </c>
      <c r="M272" s="22" t="n">
        <f aca="false">L272*Assumptions!B31</f>
        <v>4200</v>
      </c>
      <c r="N272" s="22" t="n">
        <f aca="false">J272+M272</f>
        <v>16200</v>
      </c>
      <c r="O272" s="22" t="n">
        <f aca="false">IF(DAY(B272)=1,Assumptions!B38*G272,0)</f>
        <v>0</v>
      </c>
      <c r="P272" s="22" t="n">
        <f aca="false">IF(DAY(B272)=1,Assumptions!B39*G272,0)</f>
        <v>0</v>
      </c>
      <c r="Q272" s="22" t="n">
        <f aca="false">IF(DAY(B272)=1,Assumptions!B40*G272,0)</f>
        <v>0</v>
      </c>
      <c r="R272" s="22" t="n">
        <f aca="false">IF(DAY(B272)=1,Assumptions!B41*G272,0)</f>
        <v>0</v>
      </c>
      <c r="S272" s="22" t="n">
        <f aca="false">IF(AND(DAY(B272)=1,D272&gt;=13),Assumptions!B42*G272,0)</f>
        <v>0</v>
      </c>
      <c r="T272" s="22" t="n">
        <f aca="false">IF(DAY(B272)=1,Assumptions!B43*G272,0)</f>
        <v>0</v>
      </c>
      <c r="U272" s="22" t="n">
        <f aca="false">SUM(O272:T272)</f>
        <v>0</v>
      </c>
      <c r="V272" s="22" t="n">
        <f aca="false">N272-U272</f>
        <v>16200</v>
      </c>
      <c r="W272" s="22" t="n">
        <f aca="false">W271+V272</f>
        <v>-3772700</v>
      </c>
      <c r="X272" s="23" t="str">
        <f aca="false">IF(W272&gt;=0,"YES","No")</f>
        <v>No</v>
      </c>
    </row>
    <row r="273" customFormat="false" ht="15" hidden="false" customHeight="false" outlineLevel="0" collapsed="false">
      <c r="A273" s="16" t="n">
        <v>272</v>
      </c>
      <c r="B273" s="17" t="n">
        <f aca="false">B272+1</f>
        <v>46294</v>
      </c>
      <c r="C273" s="18" t="n">
        <f aca="false">MIN(ROUNDUP(A273/365,0),5)</f>
        <v>1</v>
      </c>
      <c r="D273" s="18" t="n">
        <f aca="false">DATEDIF(Assumptions!B5,B273,"m")+1</f>
        <v>9</v>
      </c>
      <c r="E273" s="18" t="str">
        <f aca="false">TEXT(B273,"ddd")</f>
        <v>Tue</v>
      </c>
      <c r="F273" s="19" t="n">
        <f aca="false">IF(WEEKDAY(B273,2)&gt;=6,Assumptions!B34,Assumptions!B35)</f>
        <v>1</v>
      </c>
      <c r="G273" s="20" t="n">
        <f aca="false">IF(D273&gt;=13,(1+Assumptions!B46)^(D273-12),1)</f>
        <v>1</v>
      </c>
      <c r="H273" s="21" t="n">
        <f aca="false">H272*(1+IF(C273=1,Assumptions!B22,Assumptions!B23))</f>
        <v>19.5925343712175</v>
      </c>
      <c r="I273" s="16" t="n">
        <f aca="false">ROUND(H273*F273,0)</f>
        <v>20</v>
      </c>
      <c r="J273" s="22" t="n">
        <f aca="false">I273*Assumptions!B24</f>
        <v>12000</v>
      </c>
      <c r="K273" s="21" t="n">
        <f aca="false">K272*(1+Assumptions!B30)</f>
        <v>14.3577866238932</v>
      </c>
      <c r="L273" s="16" t="n">
        <f aca="false">ROUND(K273*F273,0)</f>
        <v>14</v>
      </c>
      <c r="M273" s="22" t="n">
        <f aca="false">L273*Assumptions!B31</f>
        <v>4200</v>
      </c>
      <c r="N273" s="22" t="n">
        <f aca="false">J273+M273</f>
        <v>16200</v>
      </c>
      <c r="O273" s="22" t="n">
        <f aca="false">IF(DAY(B273)=1,Assumptions!B38*G273,0)</f>
        <v>0</v>
      </c>
      <c r="P273" s="22" t="n">
        <f aca="false">IF(DAY(B273)=1,Assumptions!B39*G273,0)</f>
        <v>0</v>
      </c>
      <c r="Q273" s="22" t="n">
        <f aca="false">IF(DAY(B273)=1,Assumptions!B40*G273,0)</f>
        <v>0</v>
      </c>
      <c r="R273" s="22" t="n">
        <f aca="false">IF(DAY(B273)=1,Assumptions!B41*G273,0)</f>
        <v>0</v>
      </c>
      <c r="S273" s="22" t="n">
        <f aca="false">IF(AND(DAY(B273)=1,D273&gt;=13),Assumptions!B42*G273,0)</f>
        <v>0</v>
      </c>
      <c r="T273" s="22" t="n">
        <f aca="false">IF(DAY(B273)=1,Assumptions!B43*G273,0)</f>
        <v>0</v>
      </c>
      <c r="U273" s="22" t="n">
        <f aca="false">SUM(O273:T273)</f>
        <v>0</v>
      </c>
      <c r="V273" s="22" t="n">
        <f aca="false">N273-U273</f>
        <v>16200</v>
      </c>
      <c r="W273" s="22" t="n">
        <f aca="false">W272+V273</f>
        <v>-3756500</v>
      </c>
      <c r="X273" s="23" t="str">
        <f aca="false">IF(W273&gt;=0,"YES","No")</f>
        <v>No</v>
      </c>
    </row>
    <row r="274" customFormat="false" ht="15" hidden="false" customHeight="false" outlineLevel="0" collapsed="false">
      <c r="A274" s="16" t="n">
        <v>273</v>
      </c>
      <c r="B274" s="17" t="n">
        <f aca="false">B273+1</f>
        <v>46295</v>
      </c>
      <c r="C274" s="18" t="n">
        <f aca="false">MIN(ROUNDUP(A274/365,0),5)</f>
        <v>1</v>
      </c>
      <c r="D274" s="18" t="n">
        <f aca="false">DATEDIF(Assumptions!B5,B274,"m")+1</f>
        <v>9</v>
      </c>
      <c r="E274" s="18" t="str">
        <f aca="false">TEXT(B274,"ddd")</f>
        <v>Wed</v>
      </c>
      <c r="F274" s="19" t="n">
        <f aca="false">IF(WEEKDAY(B274,2)&gt;=6,Assumptions!B34,Assumptions!B35)</f>
        <v>1</v>
      </c>
      <c r="G274" s="20" t="n">
        <f aca="false">IF(D274&gt;=13,(1+Assumptions!B46)^(D274-12),1)</f>
        <v>1</v>
      </c>
      <c r="H274" s="21" t="n">
        <f aca="false">H273*(1+IF(C274=1,Assumptions!B22,Assumptions!B23))</f>
        <v>19.6052843674055</v>
      </c>
      <c r="I274" s="16" t="n">
        <f aca="false">ROUND(H274*F274,0)</f>
        <v>20</v>
      </c>
      <c r="J274" s="22" t="n">
        <f aca="false">I274*Assumptions!B24</f>
        <v>12000</v>
      </c>
      <c r="K274" s="21" t="n">
        <f aca="false">K273*(1+Assumptions!B30)</f>
        <v>14.3624807132436</v>
      </c>
      <c r="L274" s="16" t="n">
        <f aca="false">ROUND(K274*F274,0)</f>
        <v>14</v>
      </c>
      <c r="M274" s="22" t="n">
        <f aca="false">L274*Assumptions!B31</f>
        <v>4200</v>
      </c>
      <c r="N274" s="22" t="n">
        <f aca="false">J274+M274</f>
        <v>16200</v>
      </c>
      <c r="O274" s="22" t="n">
        <f aca="false">IF(DAY(B274)=1,Assumptions!B38*G274,0)</f>
        <v>0</v>
      </c>
      <c r="P274" s="22" t="n">
        <f aca="false">IF(DAY(B274)=1,Assumptions!B39*G274,0)</f>
        <v>0</v>
      </c>
      <c r="Q274" s="22" t="n">
        <f aca="false">IF(DAY(B274)=1,Assumptions!B40*G274,0)</f>
        <v>0</v>
      </c>
      <c r="R274" s="22" t="n">
        <f aca="false">IF(DAY(B274)=1,Assumptions!B41*G274,0)</f>
        <v>0</v>
      </c>
      <c r="S274" s="22" t="n">
        <f aca="false">IF(AND(DAY(B274)=1,D274&gt;=13),Assumptions!B42*G274,0)</f>
        <v>0</v>
      </c>
      <c r="T274" s="22" t="n">
        <f aca="false">IF(DAY(B274)=1,Assumptions!B43*G274,0)</f>
        <v>0</v>
      </c>
      <c r="U274" s="22" t="n">
        <f aca="false">SUM(O274:T274)</f>
        <v>0</v>
      </c>
      <c r="V274" s="22" t="n">
        <f aca="false">N274-U274</f>
        <v>16200</v>
      </c>
      <c r="W274" s="22" t="n">
        <f aca="false">W273+V274</f>
        <v>-3740300</v>
      </c>
      <c r="X274" s="23" t="str">
        <f aca="false">IF(W274&gt;=0,"YES","No")</f>
        <v>No</v>
      </c>
    </row>
    <row r="275" customFormat="false" ht="15" hidden="false" customHeight="false" outlineLevel="0" collapsed="false">
      <c r="A275" s="16" t="n">
        <v>274</v>
      </c>
      <c r="B275" s="17" t="n">
        <f aca="false">B274+1</f>
        <v>46296</v>
      </c>
      <c r="C275" s="18" t="n">
        <f aca="false">MIN(ROUNDUP(A275/365,0),5)</f>
        <v>1</v>
      </c>
      <c r="D275" s="18" t="n">
        <f aca="false">DATEDIF(Assumptions!B5,B275,"m")+1</f>
        <v>10</v>
      </c>
      <c r="E275" s="18" t="str">
        <f aca="false">TEXT(B275,"ddd")</f>
        <v>Thu</v>
      </c>
      <c r="F275" s="19" t="n">
        <f aca="false">IF(WEEKDAY(B275,2)&gt;=6,Assumptions!B34,Assumptions!B35)</f>
        <v>1</v>
      </c>
      <c r="G275" s="20" t="n">
        <f aca="false">IF(D275&gt;=13,(1+Assumptions!B46)^(D275-12),1)</f>
        <v>1</v>
      </c>
      <c r="H275" s="21" t="n">
        <f aca="false">H274*(1+IF(C275=1,Assumptions!B22,Assumptions!B23))</f>
        <v>19.6180426607541</v>
      </c>
      <c r="I275" s="16" t="n">
        <f aca="false">ROUND(H275*F275,0)</f>
        <v>20</v>
      </c>
      <c r="J275" s="22" t="n">
        <f aca="false">I275*Assumptions!B24</f>
        <v>12000</v>
      </c>
      <c r="K275" s="21" t="n">
        <f aca="false">K274*(1+Assumptions!B30)</f>
        <v>14.3671763372647</v>
      </c>
      <c r="L275" s="16" t="n">
        <f aca="false">ROUND(K275*F275,0)</f>
        <v>14</v>
      </c>
      <c r="M275" s="22" t="n">
        <f aca="false">L275*Assumptions!B31</f>
        <v>4200</v>
      </c>
      <c r="N275" s="22" t="n">
        <f aca="false">J275+M275</f>
        <v>16200</v>
      </c>
      <c r="O275" s="22" t="n">
        <f aca="false">IF(DAY(B275)=1,Assumptions!B38*G275,0)</f>
        <v>150000</v>
      </c>
      <c r="P275" s="22" t="n">
        <f aca="false">IF(DAY(B275)=1,Assumptions!B39*G275,0)</f>
        <v>40000</v>
      </c>
      <c r="Q275" s="22" t="n">
        <f aca="false">IF(DAY(B275)=1,Assumptions!B40*G275,0)</f>
        <v>30000</v>
      </c>
      <c r="R275" s="22" t="n">
        <f aca="false">IF(DAY(B275)=1,Assumptions!B41*G275,0)</f>
        <v>20000</v>
      </c>
      <c r="S275" s="22" t="n">
        <f aca="false">IF(AND(DAY(B275)=1,D275&gt;=13),Assumptions!B42*G275,0)</f>
        <v>0</v>
      </c>
      <c r="T275" s="22" t="n">
        <f aca="false">IF(DAY(B275)=1,Assumptions!B43*G275,0)</f>
        <v>20000</v>
      </c>
      <c r="U275" s="22" t="n">
        <f aca="false">SUM(O275:T275)</f>
        <v>260000</v>
      </c>
      <c r="V275" s="22" t="n">
        <f aca="false">N275-U275</f>
        <v>-243800</v>
      </c>
      <c r="W275" s="22" t="n">
        <f aca="false">W274+V275</f>
        <v>-3984100</v>
      </c>
      <c r="X275" s="23" t="str">
        <f aca="false">IF(W275&gt;=0,"YES","No")</f>
        <v>No</v>
      </c>
    </row>
    <row r="276" customFormat="false" ht="15" hidden="false" customHeight="false" outlineLevel="0" collapsed="false">
      <c r="A276" s="16" t="n">
        <v>275</v>
      </c>
      <c r="B276" s="17" t="n">
        <f aca="false">B275+1</f>
        <v>46297</v>
      </c>
      <c r="C276" s="18" t="n">
        <f aca="false">MIN(ROUNDUP(A276/365,0),5)</f>
        <v>1</v>
      </c>
      <c r="D276" s="18" t="n">
        <f aca="false">DATEDIF(Assumptions!B5,B276,"m")+1</f>
        <v>10</v>
      </c>
      <c r="E276" s="18" t="str">
        <f aca="false">TEXT(B276,"ddd")</f>
        <v>Fri</v>
      </c>
      <c r="F276" s="19" t="n">
        <f aca="false">IF(WEEKDAY(B276,2)&gt;=6,Assumptions!B34,Assumptions!B35)</f>
        <v>1</v>
      </c>
      <c r="G276" s="20" t="n">
        <f aca="false">IF(D276&gt;=13,(1+Assumptions!B46)^(D276-12),1)</f>
        <v>1</v>
      </c>
      <c r="H276" s="21" t="n">
        <f aca="false">H275*(1+IF(C276=1,Assumptions!B22,Assumptions!B23))</f>
        <v>19.6308092566627</v>
      </c>
      <c r="I276" s="16" t="n">
        <f aca="false">ROUND(H276*F276,0)</f>
        <v>20</v>
      </c>
      <c r="J276" s="22" t="n">
        <f aca="false">I276*Assumptions!B24</f>
        <v>12000</v>
      </c>
      <c r="K276" s="21" t="n">
        <f aca="false">K275*(1+Assumptions!B30)</f>
        <v>14.3718734964582</v>
      </c>
      <c r="L276" s="16" t="n">
        <f aca="false">ROUND(K276*F276,0)</f>
        <v>14</v>
      </c>
      <c r="M276" s="22" t="n">
        <f aca="false">L276*Assumptions!B31</f>
        <v>4200</v>
      </c>
      <c r="N276" s="22" t="n">
        <f aca="false">J276+M276</f>
        <v>16200</v>
      </c>
      <c r="O276" s="22" t="n">
        <f aca="false">IF(DAY(B276)=1,Assumptions!B38*G276,0)</f>
        <v>0</v>
      </c>
      <c r="P276" s="22" t="n">
        <f aca="false">IF(DAY(B276)=1,Assumptions!B39*G276,0)</f>
        <v>0</v>
      </c>
      <c r="Q276" s="22" t="n">
        <f aca="false">IF(DAY(B276)=1,Assumptions!B40*G276,0)</f>
        <v>0</v>
      </c>
      <c r="R276" s="22" t="n">
        <f aca="false">IF(DAY(B276)=1,Assumptions!B41*G276,0)</f>
        <v>0</v>
      </c>
      <c r="S276" s="22" t="n">
        <f aca="false">IF(AND(DAY(B276)=1,D276&gt;=13),Assumptions!B42*G276,0)</f>
        <v>0</v>
      </c>
      <c r="T276" s="22" t="n">
        <f aca="false">IF(DAY(B276)=1,Assumptions!B43*G276,0)</f>
        <v>0</v>
      </c>
      <c r="U276" s="22" t="n">
        <f aca="false">SUM(O276:T276)</f>
        <v>0</v>
      </c>
      <c r="V276" s="22" t="n">
        <f aca="false">N276-U276</f>
        <v>16200</v>
      </c>
      <c r="W276" s="22" t="n">
        <f aca="false">W275+V276</f>
        <v>-3967900</v>
      </c>
      <c r="X276" s="23" t="str">
        <f aca="false">IF(W276&gt;=0,"YES","No")</f>
        <v>No</v>
      </c>
    </row>
    <row r="277" customFormat="false" ht="15" hidden="false" customHeight="false" outlineLevel="0" collapsed="false">
      <c r="A277" s="16" t="n">
        <v>276</v>
      </c>
      <c r="B277" s="17" t="n">
        <f aca="false">B276+1</f>
        <v>46298</v>
      </c>
      <c r="C277" s="18" t="n">
        <f aca="false">MIN(ROUNDUP(A277/365,0),5)</f>
        <v>1</v>
      </c>
      <c r="D277" s="18" t="n">
        <f aca="false">DATEDIF(Assumptions!B5,B277,"m")+1</f>
        <v>10</v>
      </c>
      <c r="E277" s="18" t="str">
        <f aca="false">TEXT(B277,"ddd")</f>
        <v>Sat</v>
      </c>
      <c r="F277" s="19" t="n">
        <f aca="false">IF(WEEKDAY(B277,2)&gt;=6,Assumptions!B34,Assumptions!B35)</f>
        <v>0.6</v>
      </c>
      <c r="G277" s="20" t="n">
        <f aca="false">IF(D277&gt;=13,(1+Assumptions!B46)^(D277-12),1)</f>
        <v>1</v>
      </c>
      <c r="H277" s="21" t="n">
        <f aca="false">H276*(1+IF(C277=1,Assumptions!B22,Assumptions!B23))</f>
        <v>19.6435841605342</v>
      </c>
      <c r="I277" s="16" t="n">
        <f aca="false">ROUND(H277*F277,0)</f>
        <v>12</v>
      </c>
      <c r="J277" s="22" t="n">
        <f aca="false">I277*Assumptions!B24</f>
        <v>7200</v>
      </c>
      <c r="K277" s="21" t="n">
        <f aca="false">K276*(1+Assumptions!B30)</f>
        <v>14.3765721913262</v>
      </c>
      <c r="L277" s="16" t="n">
        <f aca="false">ROUND(K277*F277,0)</f>
        <v>9</v>
      </c>
      <c r="M277" s="22" t="n">
        <f aca="false">L277*Assumptions!B31</f>
        <v>2700</v>
      </c>
      <c r="N277" s="22" t="n">
        <f aca="false">J277+M277</f>
        <v>9900</v>
      </c>
      <c r="O277" s="22" t="n">
        <f aca="false">IF(DAY(B277)=1,Assumptions!B38*G277,0)</f>
        <v>0</v>
      </c>
      <c r="P277" s="22" t="n">
        <f aca="false">IF(DAY(B277)=1,Assumptions!B39*G277,0)</f>
        <v>0</v>
      </c>
      <c r="Q277" s="22" t="n">
        <f aca="false">IF(DAY(B277)=1,Assumptions!B40*G277,0)</f>
        <v>0</v>
      </c>
      <c r="R277" s="22" t="n">
        <f aca="false">IF(DAY(B277)=1,Assumptions!B41*G277,0)</f>
        <v>0</v>
      </c>
      <c r="S277" s="22" t="n">
        <f aca="false">IF(AND(DAY(B277)=1,D277&gt;=13),Assumptions!B42*G277,0)</f>
        <v>0</v>
      </c>
      <c r="T277" s="22" t="n">
        <f aca="false">IF(DAY(B277)=1,Assumptions!B43*G277,0)</f>
        <v>0</v>
      </c>
      <c r="U277" s="22" t="n">
        <f aca="false">SUM(O277:T277)</f>
        <v>0</v>
      </c>
      <c r="V277" s="22" t="n">
        <f aca="false">N277-U277</f>
        <v>9900</v>
      </c>
      <c r="W277" s="22" t="n">
        <f aca="false">W276+V277</f>
        <v>-3958000</v>
      </c>
      <c r="X277" s="23" t="str">
        <f aca="false">IF(W277&gt;=0,"YES","No")</f>
        <v>No</v>
      </c>
    </row>
    <row r="278" customFormat="false" ht="15" hidden="false" customHeight="false" outlineLevel="0" collapsed="false">
      <c r="A278" s="16" t="n">
        <v>277</v>
      </c>
      <c r="B278" s="17" t="n">
        <f aca="false">B277+1</f>
        <v>46299</v>
      </c>
      <c r="C278" s="18" t="n">
        <f aca="false">MIN(ROUNDUP(A278/365,0),5)</f>
        <v>1</v>
      </c>
      <c r="D278" s="18" t="n">
        <f aca="false">DATEDIF(Assumptions!B5,B278,"m")+1</f>
        <v>10</v>
      </c>
      <c r="E278" s="18" t="str">
        <f aca="false">TEXT(B278,"ddd")</f>
        <v>Sun</v>
      </c>
      <c r="F278" s="19" t="n">
        <f aca="false">IF(WEEKDAY(B278,2)&gt;=6,Assumptions!B34,Assumptions!B35)</f>
        <v>0.6</v>
      </c>
      <c r="G278" s="20" t="n">
        <f aca="false">IF(D278&gt;=13,(1+Assumptions!B46)^(D278-12),1)</f>
        <v>1</v>
      </c>
      <c r="H278" s="21" t="n">
        <f aca="false">H277*(1+IF(C278=1,Assumptions!B22,Assumptions!B23))</f>
        <v>19.656367377775</v>
      </c>
      <c r="I278" s="16" t="n">
        <f aca="false">ROUND(H278*F278,0)</f>
        <v>12</v>
      </c>
      <c r="J278" s="22" t="n">
        <f aca="false">I278*Assumptions!B24</f>
        <v>7200</v>
      </c>
      <c r="K278" s="21" t="n">
        <f aca="false">K277*(1+Assumptions!B30)</f>
        <v>14.3812724223706</v>
      </c>
      <c r="L278" s="16" t="n">
        <f aca="false">ROUND(K278*F278,0)</f>
        <v>9</v>
      </c>
      <c r="M278" s="22" t="n">
        <f aca="false">L278*Assumptions!B31</f>
        <v>2700</v>
      </c>
      <c r="N278" s="22" t="n">
        <f aca="false">J278+M278</f>
        <v>9900</v>
      </c>
      <c r="O278" s="22" t="n">
        <f aca="false">IF(DAY(B278)=1,Assumptions!B38*G278,0)</f>
        <v>0</v>
      </c>
      <c r="P278" s="22" t="n">
        <f aca="false">IF(DAY(B278)=1,Assumptions!B39*G278,0)</f>
        <v>0</v>
      </c>
      <c r="Q278" s="22" t="n">
        <f aca="false">IF(DAY(B278)=1,Assumptions!B40*G278,0)</f>
        <v>0</v>
      </c>
      <c r="R278" s="22" t="n">
        <f aca="false">IF(DAY(B278)=1,Assumptions!B41*G278,0)</f>
        <v>0</v>
      </c>
      <c r="S278" s="22" t="n">
        <f aca="false">IF(AND(DAY(B278)=1,D278&gt;=13),Assumptions!B42*G278,0)</f>
        <v>0</v>
      </c>
      <c r="T278" s="22" t="n">
        <f aca="false">IF(DAY(B278)=1,Assumptions!B43*G278,0)</f>
        <v>0</v>
      </c>
      <c r="U278" s="22" t="n">
        <f aca="false">SUM(O278:T278)</f>
        <v>0</v>
      </c>
      <c r="V278" s="22" t="n">
        <f aca="false">N278-U278</f>
        <v>9900</v>
      </c>
      <c r="W278" s="22" t="n">
        <f aca="false">W277+V278</f>
        <v>-3948100</v>
      </c>
      <c r="X278" s="23" t="str">
        <f aca="false">IF(W278&gt;=0,"YES","No")</f>
        <v>No</v>
      </c>
    </row>
    <row r="279" customFormat="false" ht="15" hidden="false" customHeight="false" outlineLevel="0" collapsed="false">
      <c r="A279" s="16" t="n">
        <v>278</v>
      </c>
      <c r="B279" s="17" t="n">
        <f aca="false">B278+1</f>
        <v>46300</v>
      </c>
      <c r="C279" s="18" t="n">
        <f aca="false">MIN(ROUNDUP(A279/365,0),5)</f>
        <v>1</v>
      </c>
      <c r="D279" s="18" t="n">
        <f aca="false">DATEDIF(Assumptions!B5,B279,"m")+1</f>
        <v>10</v>
      </c>
      <c r="E279" s="18" t="str">
        <f aca="false">TEXT(B279,"ddd")</f>
        <v>Mon</v>
      </c>
      <c r="F279" s="19" t="n">
        <f aca="false">IF(WEEKDAY(B279,2)&gt;=6,Assumptions!B34,Assumptions!B35)</f>
        <v>1</v>
      </c>
      <c r="G279" s="20" t="n">
        <f aca="false">IF(D279&gt;=13,(1+Assumptions!B46)^(D279-12),1)</f>
        <v>1</v>
      </c>
      <c r="H279" s="21" t="n">
        <f aca="false">H278*(1+IF(C279=1,Assumptions!B22,Assumptions!B23))</f>
        <v>19.6691589137953</v>
      </c>
      <c r="I279" s="16" t="n">
        <f aca="false">ROUND(H279*F279,0)</f>
        <v>20</v>
      </c>
      <c r="J279" s="22" t="n">
        <f aca="false">I279*Assumptions!B24</f>
        <v>12000</v>
      </c>
      <c r="K279" s="21" t="n">
        <f aca="false">K278*(1+Assumptions!B30)</f>
        <v>14.3859741900936</v>
      </c>
      <c r="L279" s="16" t="n">
        <f aca="false">ROUND(K279*F279,0)</f>
        <v>14</v>
      </c>
      <c r="M279" s="22" t="n">
        <f aca="false">L279*Assumptions!B31</f>
        <v>4200</v>
      </c>
      <c r="N279" s="22" t="n">
        <f aca="false">J279+M279</f>
        <v>16200</v>
      </c>
      <c r="O279" s="22" t="n">
        <f aca="false">IF(DAY(B279)=1,Assumptions!B38*G279,0)</f>
        <v>0</v>
      </c>
      <c r="P279" s="22" t="n">
        <f aca="false">IF(DAY(B279)=1,Assumptions!B39*G279,0)</f>
        <v>0</v>
      </c>
      <c r="Q279" s="22" t="n">
        <f aca="false">IF(DAY(B279)=1,Assumptions!B40*G279,0)</f>
        <v>0</v>
      </c>
      <c r="R279" s="22" t="n">
        <f aca="false">IF(DAY(B279)=1,Assumptions!B41*G279,0)</f>
        <v>0</v>
      </c>
      <c r="S279" s="22" t="n">
        <f aca="false">IF(AND(DAY(B279)=1,D279&gt;=13),Assumptions!B42*G279,0)</f>
        <v>0</v>
      </c>
      <c r="T279" s="22" t="n">
        <f aca="false">IF(DAY(B279)=1,Assumptions!B43*G279,0)</f>
        <v>0</v>
      </c>
      <c r="U279" s="22" t="n">
        <f aca="false">SUM(O279:T279)</f>
        <v>0</v>
      </c>
      <c r="V279" s="22" t="n">
        <f aca="false">N279-U279</f>
        <v>16200</v>
      </c>
      <c r="W279" s="22" t="n">
        <f aca="false">W278+V279</f>
        <v>-3931900</v>
      </c>
      <c r="X279" s="23" t="str">
        <f aca="false">IF(W279&gt;=0,"YES","No")</f>
        <v>No</v>
      </c>
    </row>
    <row r="280" customFormat="false" ht="15" hidden="false" customHeight="false" outlineLevel="0" collapsed="false">
      <c r="A280" s="16" t="n">
        <v>279</v>
      </c>
      <c r="B280" s="17" t="n">
        <f aca="false">B279+1</f>
        <v>46301</v>
      </c>
      <c r="C280" s="18" t="n">
        <f aca="false">MIN(ROUNDUP(A280/365,0),5)</f>
        <v>1</v>
      </c>
      <c r="D280" s="18" t="n">
        <f aca="false">DATEDIF(Assumptions!B5,B280,"m")+1</f>
        <v>10</v>
      </c>
      <c r="E280" s="18" t="str">
        <f aca="false">TEXT(B280,"ddd")</f>
        <v>Tue</v>
      </c>
      <c r="F280" s="19" t="n">
        <f aca="false">IF(WEEKDAY(B280,2)&gt;=6,Assumptions!B34,Assumptions!B35)</f>
        <v>1</v>
      </c>
      <c r="G280" s="20" t="n">
        <f aca="false">IF(D280&gt;=13,(1+Assumptions!B46)^(D280-12),1)</f>
        <v>1</v>
      </c>
      <c r="H280" s="21" t="n">
        <f aca="false">H279*(1+IF(C280=1,Assumptions!B22,Assumptions!B23))</f>
        <v>19.6819587740084</v>
      </c>
      <c r="I280" s="16" t="n">
        <f aca="false">ROUND(H280*F280,0)</f>
        <v>20</v>
      </c>
      <c r="J280" s="22" t="n">
        <f aca="false">I280*Assumptions!B24</f>
        <v>12000</v>
      </c>
      <c r="K280" s="21" t="n">
        <f aca="false">K279*(1+Assumptions!B30)</f>
        <v>14.3906774949978</v>
      </c>
      <c r="L280" s="16" t="n">
        <f aca="false">ROUND(K280*F280,0)</f>
        <v>14</v>
      </c>
      <c r="M280" s="22" t="n">
        <f aca="false">L280*Assumptions!B31</f>
        <v>4200</v>
      </c>
      <c r="N280" s="22" t="n">
        <f aca="false">J280+M280</f>
        <v>16200</v>
      </c>
      <c r="O280" s="22" t="n">
        <f aca="false">IF(DAY(B280)=1,Assumptions!B38*G280,0)</f>
        <v>0</v>
      </c>
      <c r="P280" s="22" t="n">
        <f aca="false">IF(DAY(B280)=1,Assumptions!B39*G280,0)</f>
        <v>0</v>
      </c>
      <c r="Q280" s="22" t="n">
        <f aca="false">IF(DAY(B280)=1,Assumptions!B40*G280,0)</f>
        <v>0</v>
      </c>
      <c r="R280" s="22" t="n">
        <f aca="false">IF(DAY(B280)=1,Assumptions!B41*G280,0)</f>
        <v>0</v>
      </c>
      <c r="S280" s="22" t="n">
        <f aca="false">IF(AND(DAY(B280)=1,D280&gt;=13),Assumptions!B42*G280,0)</f>
        <v>0</v>
      </c>
      <c r="T280" s="22" t="n">
        <f aca="false">IF(DAY(B280)=1,Assumptions!B43*G280,0)</f>
        <v>0</v>
      </c>
      <c r="U280" s="22" t="n">
        <f aca="false">SUM(O280:T280)</f>
        <v>0</v>
      </c>
      <c r="V280" s="22" t="n">
        <f aca="false">N280-U280</f>
        <v>16200</v>
      </c>
      <c r="W280" s="22" t="n">
        <f aca="false">W279+V280</f>
        <v>-3915700</v>
      </c>
      <c r="X280" s="23" t="str">
        <f aca="false">IF(W280&gt;=0,"YES","No")</f>
        <v>No</v>
      </c>
    </row>
    <row r="281" customFormat="false" ht="15" hidden="false" customHeight="false" outlineLevel="0" collapsed="false">
      <c r="A281" s="16" t="n">
        <v>280</v>
      </c>
      <c r="B281" s="17" t="n">
        <f aca="false">B280+1</f>
        <v>46302</v>
      </c>
      <c r="C281" s="18" t="n">
        <f aca="false">MIN(ROUNDUP(A281/365,0),5)</f>
        <v>1</v>
      </c>
      <c r="D281" s="18" t="n">
        <f aca="false">DATEDIF(Assumptions!B5,B281,"m")+1</f>
        <v>10</v>
      </c>
      <c r="E281" s="18" t="str">
        <f aca="false">TEXT(B281,"ddd")</f>
        <v>Wed</v>
      </c>
      <c r="F281" s="19" t="n">
        <f aca="false">IF(WEEKDAY(B281,2)&gt;=6,Assumptions!B34,Assumptions!B35)</f>
        <v>1</v>
      </c>
      <c r="G281" s="20" t="n">
        <f aca="false">IF(D281&gt;=13,(1+Assumptions!B46)^(D281-12),1)</f>
        <v>1</v>
      </c>
      <c r="H281" s="21" t="n">
        <f aca="false">H280*(1+IF(C281=1,Assumptions!B22,Assumptions!B23))</f>
        <v>19.6947669638315</v>
      </c>
      <c r="I281" s="16" t="n">
        <f aca="false">ROUND(H281*F281,0)</f>
        <v>20</v>
      </c>
      <c r="J281" s="22" t="n">
        <f aca="false">I281*Assumptions!B24</f>
        <v>12000</v>
      </c>
      <c r="K281" s="21" t="n">
        <f aca="false">K280*(1+Assumptions!B30)</f>
        <v>14.3953823375855</v>
      </c>
      <c r="L281" s="16" t="n">
        <f aca="false">ROUND(K281*F281,0)</f>
        <v>14</v>
      </c>
      <c r="M281" s="22" t="n">
        <f aca="false">L281*Assumptions!B31</f>
        <v>4200</v>
      </c>
      <c r="N281" s="22" t="n">
        <f aca="false">J281+M281</f>
        <v>16200</v>
      </c>
      <c r="O281" s="22" t="n">
        <f aca="false">IF(DAY(B281)=1,Assumptions!B38*G281,0)</f>
        <v>0</v>
      </c>
      <c r="P281" s="22" t="n">
        <f aca="false">IF(DAY(B281)=1,Assumptions!B39*G281,0)</f>
        <v>0</v>
      </c>
      <c r="Q281" s="22" t="n">
        <f aca="false">IF(DAY(B281)=1,Assumptions!B40*G281,0)</f>
        <v>0</v>
      </c>
      <c r="R281" s="22" t="n">
        <f aca="false">IF(DAY(B281)=1,Assumptions!B41*G281,0)</f>
        <v>0</v>
      </c>
      <c r="S281" s="22" t="n">
        <f aca="false">IF(AND(DAY(B281)=1,D281&gt;=13),Assumptions!B42*G281,0)</f>
        <v>0</v>
      </c>
      <c r="T281" s="22" t="n">
        <f aca="false">IF(DAY(B281)=1,Assumptions!B43*G281,0)</f>
        <v>0</v>
      </c>
      <c r="U281" s="22" t="n">
        <f aca="false">SUM(O281:T281)</f>
        <v>0</v>
      </c>
      <c r="V281" s="22" t="n">
        <f aca="false">N281-U281</f>
        <v>16200</v>
      </c>
      <c r="W281" s="22" t="n">
        <f aca="false">W280+V281</f>
        <v>-3899500</v>
      </c>
      <c r="X281" s="23" t="str">
        <f aca="false">IF(W281&gt;=0,"YES","No")</f>
        <v>No</v>
      </c>
    </row>
    <row r="282" customFormat="false" ht="15" hidden="false" customHeight="false" outlineLevel="0" collapsed="false">
      <c r="A282" s="16" t="n">
        <v>281</v>
      </c>
      <c r="B282" s="17" t="n">
        <f aca="false">B281+1</f>
        <v>46303</v>
      </c>
      <c r="C282" s="18" t="n">
        <f aca="false">MIN(ROUNDUP(A282/365,0),5)</f>
        <v>1</v>
      </c>
      <c r="D282" s="18" t="n">
        <f aca="false">DATEDIF(Assumptions!B5,B282,"m")+1</f>
        <v>10</v>
      </c>
      <c r="E282" s="18" t="str">
        <f aca="false">TEXT(B282,"ddd")</f>
        <v>Thu</v>
      </c>
      <c r="F282" s="19" t="n">
        <f aca="false">IF(WEEKDAY(B282,2)&gt;=6,Assumptions!B34,Assumptions!B35)</f>
        <v>1</v>
      </c>
      <c r="G282" s="20" t="n">
        <f aca="false">IF(D282&gt;=13,(1+Assumptions!B46)^(D282-12),1)</f>
        <v>1</v>
      </c>
      <c r="H282" s="21" t="n">
        <f aca="false">H281*(1+IF(C282=1,Assumptions!B22,Assumptions!B23))</f>
        <v>19.7075834886851</v>
      </c>
      <c r="I282" s="16" t="n">
        <f aca="false">ROUND(H282*F282,0)</f>
        <v>20</v>
      </c>
      <c r="J282" s="22" t="n">
        <f aca="false">I282*Assumptions!B24</f>
        <v>12000</v>
      </c>
      <c r="K282" s="21" t="n">
        <f aca="false">K281*(1+Assumptions!B30)</f>
        <v>14.4000887183596</v>
      </c>
      <c r="L282" s="16" t="n">
        <f aca="false">ROUND(K282*F282,0)</f>
        <v>14</v>
      </c>
      <c r="M282" s="22" t="n">
        <f aca="false">L282*Assumptions!B31</f>
        <v>4200</v>
      </c>
      <c r="N282" s="22" t="n">
        <f aca="false">J282+M282</f>
        <v>16200</v>
      </c>
      <c r="O282" s="22" t="n">
        <f aca="false">IF(DAY(B282)=1,Assumptions!B38*G282,0)</f>
        <v>0</v>
      </c>
      <c r="P282" s="22" t="n">
        <f aca="false">IF(DAY(B282)=1,Assumptions!B39*G282,0)</f>
        <v>0</v>
      </c>
      <c r="Q282" s="22" t="n">
        <f aca="false">IF(DAY(B282)=1,Assumptions!B40*G282,0)</f>
        <v>0</v>
      </c>
      <c r="R282" s="22" t="n">
        <f aca="false">IF(DAY(B282)=1,Assumptions!B41*G282,0)</f>
        <v>0</v>
      </c>
      <c r="S282" s="22" t="n">
        <f aca="false">IF(AND(DAY(B282)=1,D282&gt;=13),Assumptions!B42*G282,0)</f>
        <v>0</v>
      </c>
      <c r="T282" s="22" t="n">
        <f aca="false">IF(DAY(B282)=1,Assumptions!B43*G282,0)</f>
        <v>0</v>
      </c>
      <c r="U282" s="22" t="n">
        <f aca="false">SUM(O282:T282)</f>
        <v>0</v>
      </c>
      <c r="V282" s="22" t="n">
        <f aca="false">N282-U282</f>
        <v>16200</v>
      </c>
      <c r="W282" s="22" t="n">
        <f aca="false">W281+V282</f>
        <v>-3883300</v>
      </c>
      <c r="X282" s="23" t="str">
        <f aca="false">IF(W282&gt;=0,"YES","No")</f>
        <v>No</v>
      </c>
    </row>
    <row r="283" customFormat="false" ht="15" hidden="false" customHeight="false" outlineLevel="0" collapsed="false">
      <c r="A283" s="16" t="n">
        <v>282</v>
      </c>
      <c r="B283" s="17" t="n">
        <f aca="false">B282+1</f>
        <v>46304</v>
      </c>
      <c r="C283" s="18" t="n">
        <f aca="false">MIN(ROUNDUP(A283/365,0),5)</f>
        <v>1</v>
      </c>
      <c r="D283" s="18" t="n">
        <f aca="false">DATEDIF(Assumptions!B5,B283,"m")+1</f>
        <v>10</v>
      </c>
      <c r="E283" s="18" t="str">
        <f aca="false">TEXT(B283,"ddd")</f>
        <v>Fri</v>
      </c>
      <c r="F283" s="19" t="n">
        <f aca="false">IF(WEEKDAY(B283,2)&gt;=6,Assumptions!B34,Assumptions!B35)</f>
        <v>1</v>
      </c>
      <c r="G283" s="20" t="n">
        <f aca="false">IF(D283&gt;=13,(1+Assumptions!B46)^(D283-12),1)</f>
        <v>1</v>
      </c>
      <c r="H283" s="21" t="n">
        <f aca="false">H282*(1+IF(C283=1,Assumptions!B22,Assumptions!B23))</f>
        <v>19.7204083539933</v>
      </c>
      <c r="I283" s="16" t="n">
        <f aca="false">ROUND(H283*F283,0)</f>
        <v>20</v>
      </c>
      <c r="J283" s="22" t="n">
        <f aca="false">I283*Assumptions!B24</f>
        <v>12000</v>
      </c>
      <c r="K283" s="21" t="n">
        <f aca="false">K282*(1+Assumptions!B30)</f>
        <v>14.404796637823</v>
      </c>
      <c r="L283" s="16" t="n">
        <f aca="false">ROUND(K283*F283,0)</f>
        <v>14</v>
      </c>
      <c r="M283" s="22" t="n">
        <f aca="false">L283*Assumptions!B31</f>
        <v>4200</v>
      </c>
      <c r="N283" s="22" t="n">
        <f aca="false">J283+M283</f>
        <v>16200</v>
      </c>
      <c r="O283" s="22" t="n">
        <f aca="false">IF(DAY(B283)=1,Assumptions!B38*G283,0)</f>
        <v>0</v>
      </c>
      <c r="P283" s="22" t="n">
        <f aca="false">IF(DAY(B283)=1,Assumptions!B39*G283,0)</f>
        <v>0</v>
      </c>
      <c r="Q283" s="22" t="n">
        <f aca="false">IF(DAY(B283)=1,Assumptions!B40*G283,0)</f>
        <v>0</v>
      </c>
      <c r="R283" s="22" t="n">
        <f aca="false">IF(DAY(B283)=1,Assumptions!B41*G283,0)</f>
        <v>0</v>
      </c>
      <c r="S283" s="22" t="n">
        <f aca="false">IF(AND(DAY(B283)=1,D283&gt;=13),Assumptions!B42*G283,0)</f>
        <v>0</v>
      </c>
      <c r="T283" s="22" t="n">
        <f aca="false">IF(DAY(B283)=1,Assumptions!B43*G283,0)</f>
        <v>0</v>
      </c>
      <c r="U283" s="22" t="n">
        <f aca="false">SUM(O283:T283)</f>
        <v>0</v>
      </c>
      <c r="V283" s="22" t="n">
        <f aca="false">N283-U283</f>
        <v>16200</v>
      </c>
      <c r="W283" s="22" t="n">
        <f aca="false">W282+V283</f>
        <v>-3867100</v>
      </c>
      <c r="X283" s="23" t="str">
        <f aca="false">IF(W283&gt;=0,"YES","No")</f>
        <v>No</v>
      </c>
    </row>
    <row r="284" customFormat="false" ht="15" hidden="false" customHeight="false" outlineLevel="0" collapsed="false">
      <c r="A284" s="16" t="n">
        <v>283</v>
      </c>
      <c r="B284" s="17" t="n">
        <f aca="false">B283+1</f>
        <v>46305</v>
      </c>
      <c r="C284" s="18" t="n">
        <f aca="false">MIN(ROUNDUP(A284/365,0),5)</f>
        <v>1</v>
      </c>
      <c r="D284" s="18" t="n">
        <f aca="false">DATEDIF(Assumptions!B5,B284,"m")+1</f>
        <v>10</v>
      </c>
      <c r="E284" s="18" t="str">
        <f aca="false">TEXT(B284,"ddd")</f>
        <v>Sat</v>
      </c>
      <c r="F284" s="19" t="n">
        <f aca="false">IF(WEEKDAY(B284,2)&gt;=6,Assumptions!B34,Assumptions!B35)</f>
        <v>0.6</v>
      </c>
      <c r="G284" s="20" t="n">
        <f aca="false">IF(D284&gt;=13,(1+Assumptions!B46)^(D284-12),1)</f>
        <v>1</v>
      </c>
      <c r="H284" s="21" t="n">
        <f aca="false">H283*(1+IF(C284=1,Assumptions!B22,Assumptions!B23))</f>
        <v>19.7332415651837</v>
      </c>
      <c r="I284" s="16" t="n">
        <f aca="false">ROUND(H284*F284,0)</f>
        <v>12</v>
      </c>
      <c r="J284" s="22" t="n">
        <f aca="false">I284*Assumptions!B24</f>
        <v>7200</v>
      </c>
      <c r="K284" s="21" t="n">
        <f aca="false">K283*(1+Assumptions!B30)</f>
        <v>14.4095060964787</v>
      </c>
      <c r="L284" s="16" t="n">
        <f aca="false">ROUND(K284*F284,0)</f>
        <v>9</v>
      </c>
      <c r="M284" s="22" t="n">
        <f aca="false">L284*Assumptions!B31</f>
        <v>2700</v>
      </c>
      <c r="N284" s="22" t="n">
        <f aca="false">J284+M284</f>
        <v>9900</v>
      </c>
      <c r="O284" s="22" t="n">
        <f aca="false">IF(DAY(B284)=1,Assumptions!B38*G284,0)</f>
        <v>0</v>
      </c>
      <c r="P284" s="22" t="n">
        <f aca="false">IF(DAY(B284)=1,Assumptions!B39*G284,0)</f>
        <v>0</v>
      </c>
      <c r="Q284" s="22" t="n">
        <f aca="false">IF(DAY(B284)=1,Assumptions!B40*G284,0)</f>
        <v>0</v>
      </c>
      <c r="R284" s="22" t="n">
        <f aca="false">IF(DAY(B284)=1,Assumptions!B41*G284,0)</f>
        <v>0</v>
      </c>
      <c r="S284" s="22" t="n">
        <f aca="false">IF(AND(DAY(B284)=1,D284&gt;=13),Assumptions!B42*G284,0)</f>
        <v>0</v>
      </c>
      <c r="T284" s="22" t="n">
        <f aca="false">IF(DAY(B284)=1,Assumptions!B43*G284,0)</f>
        <v>0</v>
      </c>
      <c r="U284" s="22" t="n">
        <f aca="false">SUM(O284:T284)</f>
        <v>0</v>
      </c>
      <c r="V284" s="22" t="n">
        <f aca="false">N284-U284</f>
        <v>9900</v>
      </c>
      <c r="W284" s="22" t="n">
        <f aca="false">W283+V284</f>
        <v>-3857200</v>
      </c>
      <c r="X284" s="23" t="str">
        <f aca="false">IF(W284&gt;=0,"YES","No")</f>
        <v>No</v>
      </c>
    </row>
    <row r="285" customFormat="false" ht="15" hidden="false" customHeight="false" outlineLevel="0" collapsed="false">
      <c r="A285" s="16" t="n">
        <v>284</v>
      </c>
      <c r="B285" s="17" t="n">
        <f aca="false">B284+1</f>
        <v>46306</v>
      </c>
      <c r="C285" s="18" t="n">
        <f aca="false">MIN(ROUNDUP(A285/365,0),5)</f>
        <v>1</v>
      </c>
      <c r="D285" s="18" t="n">
        <f aca="false">DATEDIF(Assumptions!B5,B285,"m")+1</f>
        <v>10</v>
      </c>
      <c r="E285" s="18" t="str">
        <f aca="false">TEXT(B285,"ddd")</f>
        <v>Sun</v>
      </c>
      <c r="F285" s="19" t="n">
        <f aca="false">IF(WEEKDAY(B285,2)&gt;=6,Assumptions!B34,Assumptions!B35)</f>
        <v>0.6</v>
      </c>
      <c r="G285" s="20" t="n">
        <f aca="false">IF(D285&gt;=13,(1+Assumptions!B46)^(D285-12),1)</f>
        <v>1</v>
      </c>
      <c r="H285" s="21" t="n">
        <f aca="false">H284*(1+IF(C285=1,Assumptions!B22,Assumptions!B23))</f>
        <v>19.7460831276874</v>
      </c>
      <c r="I285" s="16" t="n">
        <f aca="false">ROUND(H285*F285,0)</f>
        <v>12</v>
      </c>
      <c r="J285" s="22" t="n">
        <f aca="false">I285*Assumptions!B24</f>
        <v>7200</v>
      </c>
      <c r="K285" s="21" t="n">
        <f aca="false">K284*(1+Assumptions!B30)</f>
        <v>14.4142170948298</v>
      </c>
      <c r="L285" s="16" t="n">
        <f aca="false">ROUND(K285*F285,0)</f>
        <v>9</v>
      </c>
      <c r="M285" s="22" t="n">
        <f aca="false">L285*Assumptions!B31</f>
        <v>2700</v>
      </c>
      <c r="N285" s="22" t="n">
        <f aca="false">J285+M285</f>
        <v>9900</v>
      </c>
      <c r="O285" s="22" t="n">
        <f aca="false">IF(DAY(B285)=1,Assumptions!B38*G285,0)</f>
        <v>0</v>
      </c>
      <c r="P285" s="22" t="n">
        <f aca="false">IF(DAY(B285)=1,Assumptions!B39*G285,0)</f>
        <v>0</v>
      </c>
      <c r="Q285" s="22" t="n">
        <f aca="false">IF(DAY(B285)=1,Assumptions!B40*G285,0)</f>
        <v>0</v>
      </c>
      <c r="R285" s="22" t="n">
        <f aca="false">IF(DAY(B285)=1,Assumptions!B41*G285,0)</f>
        <v>0</v>
      </c>
      <c r="S285" s="22" t="n">
        <f aca="false">IF(AND(DAY(B285)=1,D285&gt;=13),Assumptions!B42*G285,0)</f>
        <v>0</v>
      </c>
      <c r="T285" s="22" t="n">
        <f aca="false">IF(DAY(B285)=1,Assumptions!B43*G285,0)</f>
        <v>0</v>
      </c>
      <c r="U285" s="22" t="n">
        <f aca="false">SUM(O285:T285)</f>
        <v>0</v>
      </c>
      <c r="V285" s="22" t="n">
        <f aca="false">N285-U285</f>
        <v>9900</v>
      </c>
      <c r="W285" s="22" t="n">
        <f aca="false">W284+V285</f>
        <v>-3847300</v>
      </c>
      <c r="X285" s="23" t="str">
        <f aca="false">IF(W285&gt;=0,"YES","No")</f>
        <v>No</v>
      </c>
    </row>
    <row r="286" customFormat="false" ht="15" hidden="false" customHeight="false" outlineLevel="0" collapsed="false">
      <c r="A286" s="16" t="n">
        <v>285</v>
      </c>
      <c r="B286" s="17" t="n">
        <f aca="false">B285+1</f>
        <v>46307</v>
      </c>
      <c r="C286" s="18" t="n">
        <f aca="false">MIN(ROUNDUP(A286/365,0),5)</f>
        <v>1</v>
      </c>
      <c r="D286" s="18" t="n">
        <f aca="false">DATEDIF(Assumptions!B5,B286,"m")+1</f>
        <v>10</v>
      </c>
      <c r="E286" s="18" t="str">
        <f aca="false">TEXT(B286,"ddd")</f>
        <v>Mon</v>
      </c>
      <c r="F286" s="19" t="n">
        <f aca="false">IF(WEEKDAY(B286,2)&gt;=6,Assumptions!B34,Assumptions!B35)</f>
        <v>1</v>
      </c>
      <c r="G286" s="20" t="n">
        <f aca="false">IF(D286&gt;=13,(1+Assumptions!B46)^(D286-12),1)</f>
        <v>1</v>
      </c>
      <c r="H286" s="21" t="n">
        <f aca="false">H285*(1+IF(C286=1,Assumptions!B22,Assumptions!B23))</f>
        <v>19.7589330469391</v>
      </c>
      <c r="I286" s="16" t="n">
        <f aca="false">ROUND(H286*F286,0)</f>
        <v>20</v>
      </c>
      <c r="J286" s="22" t="n">
        <f aca="false">I286*Assumptions!B24</f>
        <v>12000</v>
      </c>
      <c r="K286" s="21" t="n">
        <f aca="false">K285*(1+Assumptions!B30)</f>
        <v>14.4189296333799</v>
      </c>
      <c r="L286" s="16" t="n">
        <f aca="false">ROUND(K286*F286,0)</f>
        <v>14</v>
      </c>
      <c r="M286" s="22" t="n">
        <f aca="false">L286*Assumptions!B31</f>
        <v>4200</v>
      </c>
      <c r="N286" s="22" t="n">
        <f aca="false">J286+M286</f>
        <v>16200</v>
      </c>
      <c r="O286" s="22" t="n">
        <f aca="false">IF(DAY(B286)=1,Assumptions!B38*G286,0)</f>
        <v>0</v>
      </c>
      <c r="P286" s="22" t="n">
        <f aca="false">IF(DAY(B286)=1,Assumptions!B39*G286,0)</f>
        <v>0</v>
      </c>
      <c r="Q286" s="22" t="n">
        <f aca="false">IF(DAY(B286)=1,Assumptions!B40*G286,0)</f>
        <v>0</v>
      </c>
      <c r="R286" s="22" t="n">
        <f aca="false">IF(DAY(B286)=1,Assumptions!B41*G286,0)</f>
        <v>0</v>
      </c>
      <c r="S286" s="22" t="n">
        <f aca="false">IF(AND(DAY(B286)=1,D286&gt;=13),Assumptions!B42*G286,0)</f>
        <v>0</v>
      </c>
      <c r="T286" s="22" t="n">
        <f aca="false">IF(DAY(B286)=1,Assumptions!B43*G286,0)</f>
        <v>0</v>
      </c>
      <c r="U286" s="22" t="n">
        <f aca="false">SUM(O286:T286)</f>
        <v>0</v>
      </c>
      <c r="V286" s="22" t="n">
        <f aca="false">N286-U286</f>
        <v>16200</v>
      </c>
      <c r="W286" s="22" t="n">
        <f aca="false">W285+V286</f>
        <v>-3831100</v>
      </c>
      <c r="X286" s="23" t="str">
        <f aca="false">IF(W286&gt;=0,"YES","No")</f>
        <v>No</v>
      </c>
    </row>
    <row r="287" customFormat="false" ht="15" hidden="false" customHeight="false" outlineLevel="0" collapsed="false">
      <c r="A287" s="16" t="n">
        <v>286</v>
      </c>
      <c r="B287" s="17" t="n">
        <f aca="false">B286+1</f>
        <v>46308</v>
      </c>
      <c r="C287" s="18" t="n">
        <f aca="false">MIN(ROUNDUP(A287/365,0),5)</f>
        <v>1</v>
      </c>
      <c r="D287" s="18" t="n">
        <f aca="false">DATEDIF(Assumptions!B5,B287,"m")+1</f>
        <v>10</v>
      </c>
      <c r="E287" s="18" t="str">
        <f aca="false">TEXT(B287,"ddd")</f>
        <v>Tue</v>
      </c>
      <c r="F287" s="19" t="n">
        <f aca="false">IF(WEEKDAY(B287,2)&gt;=6,Assumptions!B34,Assumptions!B35)</f>
        <v>1</v>
      </c>
      <c r="G287" s="20" t="n">
        <f aca="false">IF(D287&gt;=13,(1+Assumptions!B46)^(D287-12),1)</f>
        <v>1</v>
      </c>
      <c r="H287" s="21" t="n">
        <f aca="false">H286*(1+IF(C287=1,Assumptions!B22,Assumptions!B23))</f>
        <v>19.7717913283771</v>
      </c>
      <c r="I287" s="16" t="n">
        <f aca="false">ROUND(H287*F287,0)</f>
        <v>20</v>
      </c>
      <c r="J287" s="22" t="n">
        <f aca="false">I287*Assumptions!B24</f>
        <v>12000</v>
      </c>
      <c r="K287" s="21" t="n">
        <f aca="false">K286*(1+Assumptions!B30)</f>
        <v>14.4236437126324</v>
      </c>
      <c r="L287" s="16" t="n">
        <f aca="false">ROUND(K287*F287,0)</f>
        <v>14</v>
      </c>
      <c r="M287" s="22" t="n">
        <f aca="false">L287*Assumptions!B31</f>
        <v>4200</v>
      </c>
      <c r="N287" s="22" t="n">
        <f aca="false">J287+M287</f>
        <v>16200</v>
      </c>
      <c r="O287" s="22" t="n">
        <f aca="false">IF(DAY(B287)=1,Assumptions!B38*G287,0)</f>
        <v>0</v>
      </c>
      <c r="P287" s="22" t="n">
        <f aca="false">IF(DAY(B287)=1,Assumptions!B39*G287,0)</f>
        <v>0</v>
      </c>
      <c r="Q287" s="22" t="n">
        <f aca="false">IF(DAY(B287)=1,Assumptions!B40*G287,0)</f>
        <v>0</v>
      </c>
      <c r="R287" s="22" t="n">
        <f aca="false">IF(DAY(B287)=1,Assumptions!B41*G287,0)</f>
        <v>0</v>
      </c>
      <c r="S287" s="22" t="n">
        <f aca="false">IF(AND(DAY(B287)=1,D287&gt;=13),Assumptions!B42*G287,0)</f>
        <v>0</v>
      </c>
      <c r="T287" s="22" t="n">
        <f aca="false">IF(DAY(B287)=1,Assumptions!B43*G287,0)</f>
        <v>0</v>
      </c>
      <c r="U287" s="22" t="n">
        <f aca="false">SUM(O287:T287)</f>
        <v>0</v>
      </c>
      <c r="V287" s="22" t="n">
        <f aca="false">N287-U287</f>
        <v>16200</v>
      </c>
      <c r="W287" s="22" t="n">
        <f aca="false">W286+V287</f>
        <v>-3814900</v>
      </c>
      <c r="X287" s="23" t="str">
        <f aca="false">IF(W287&gt;=0,"YES","No")</f>
        <v>No</v>
      </c>
    </row>
    <row r="288" customFormat="false" ht="15" hidden="false" customHeight="false" outlineLevel="0" collapsed="false">
      <c r="A288" s="16" t="n">
        <v>287</v>
      </c>
      <c r="B288" s="17" t="n">
        <f aca="false">B287+1</f>
        <v>46309</v>
      </c>
      <c r="C288" s="18" t="n">
        <f aca="false">MIN(ROUNDUP(A288/365,0),5)</f>
        <v>1</v>
      </c>
      <c r="D288" s="18" t="n">
        <f aca="false">DATEDIF(Assumptions!B5,B288,"m")+1</f>
        <v>10</v>
      </c>
      <c r="E288" s="18" t="str">
        <f aca="false">TEXT(B288,"ddd")</f>
        <v>Wed</v>
      </c>
      <c r="F288" s="19" t="n">
        <f aca="false">IF(WEEKDAY(B288,2)&gt;=6,Assumptions!B34,Assumptions!B35)</f>
        <v>1</v>
      </c>
      <c r="G288" s="20" t="n">
        <f aca="false">IF(D288&gt;=13,(1+Assumptions!B46)^(D288-12),1)</f>
        <v>1</v>
      </c>
      <c r="H288" s="21" t="n">
        <f aca="false">H287*(1+IF(C288=1,Assumptions!B22,Assumptions!B23))</f>
        <v>19.7846579774431</v>
      </c>
      <c r="I288" s="16" t="n">
        <f aca="false">ROUND(H288*F288,0)</f>
        <v>20</v>
      </c>
      <c r="J288" s="22" t="n">
        <f aca="false">I288*Assumptions!B24</f>
        <v>12000</v>
      </c>
      <c r="K288" s="21" t="n">
        <f aca="false">K287*(1+Assumptions!B30)</f>
        <v>14.4283593330911</v>
      </c>
      <c r="L288" s="16" t="n">
        <f aca="false">ROUND(K288*F288,0)</f>
        <v>14</v>
      </c>
      <c r="M288" s="22" t="n">
        <f aca="false">L288*Assumptions!B31</f>
        <v>4200</v>
      </c>
      <c r="N288" s="22" t="n">
        <f aca="false">J288+M288</f>
        <v>16200</v>
      </c>
      <c r="O288" s="22" t="n">
        <f aca="false">IF(DAY(B288)=1,Assumptions!B38*G288,0)</f>
        <v>0</v>
      </c>
      <c r="P288" s="22" t="n">
        <f aca="false">IF(DAY(B288)=1,Assumptions!B39*G288,0)</f>
        <v>0</v>
      </c>
      <c r="Q288" s="22" t="n">
        <f aca="false">IF(DAY(B288)=1,Assumptions!B40*G288,0)</f>
        <v>0</v>
      </c>
      <c r="R288" s="22" t="n">
        <f aca="false">IF(DAY(B288)=1,Assumptions!B41*G288,0)</f>
        <v>0</v>
      </c>
      <c r="S288" s="22" t="n">
        <f aca="false">IF(AND(DAY(B288)=1,D288&gt;=13),Assumptions!B42*G288,0)</f>
        <v>0</v>
      </c>
      <c r="T288" s="22" t="n">
        <f aca="false">IF(DAY(B288)=1,Assumptions!B43*G288,0)</f>
        <v>0</v>
      </c>
      <c r="U288" s="22" t="n">
        <f aca="false">SUM(O288:T288)</f>
        <v>0</v>
      </c>
      <c r="V288" s="22" t="n">
        <f aca="false">N288-U288</f>
        <v>16200</v>
      </c>
      <c r="W288" s="22" t="n">
        <f aca="false">W287+V288</f>
        <v>-3798700</v>
      </c>
      <c r="X288" s="23" t="str">
        <f aca="false">IF(W288&gt;=0,"YES","No")</f>
        <v>No</v>
      </c>
    </row>
    <row r="289" customFormat="false" ht="15" hidden="false" customHeight="false" outlineLevel="0" collapsed="false">
      <c r="A289" s="16" t="n">
        <v>288</v>
      </c>
      <c r="B289" s="17" t="n">
        <f aca="false">B288+1</f>
        <v>46310</v>
      </c>
      <c r="C289" s="18" t="n">
        <f aca="false">MIN(ROUNDUP(A289/365,0),5)</f>
        <v>1</v>
      </c>
      <c r="D289" s="18" t="n">
        <f aca="false">DATEDIF(Assumptions!B5,B289,"m")+1</f>
        <v>10</v>
      </c>
      <c r="E289" s="18" t="str">
        <f aca="false">TEXT(B289,"ddd")</f>
        <v>Thu</v>
      </c>
      <c r="F289" s="19" t="n">
        <f aca="false">IF(WEEKDAY(B289,2)&gt;=6,Assumptions!B34,Assumptions!B35)</f>
        <v>1</v>
      </c>
      <c r="G289" s="20" t="n">
        <f aca="false">IF(D289&gt;=13,(1+Assumptions!B46)^(D289-12),1)</f>
        <v>1</v>
      </c>
      <c r="H289" s="21" t="n">
        <f aca="false">H288*(1+IF(C289=1,Assumptions!B22,Assumptions!B23))</f>
        <v>19.7975329995824</v>
      </c>
      <c r="I289" s="16" t="n">
        <f aca="false">ROUND(H289*F289,0)</f>
        <v>20</v>
      </c>
      <c r="J289" s="22" t="n">
        <f aca="false">I289*Assumptions!B24</f>
        <v>12000</v>
      </c>
      <c r="K289" s="21" t="n">
        <f aca="false">K288*(1+Assumptions!B30)</f>
        <v>14.4330764952599</v>
      </c>
      <c r="L289" s="16" t="n">
        <f aca="false">ROUND(K289*F289,0)</f>
        <v>14</v>
      </c>
      <c r="M289" s="22" t="n">
        <f aca="false">L289*Assumptions!B31</f>
        <v>4200</v>
      </c>
      <c r="N289" s="22" t="n">
        <f aca="false">J289+M289</f>
        <v>16200</v>
      </c>
      <c r="O289" s="22" t="n">
        <f aca="false">IF(DAY(B289)=1,Assumptions!B38*G289,0)</f>
        <v>0</v>
      </c>
      <c r="P289" s="22" t="n">
        <f aca="false">IF(DAY(B289)=1,Assumptions!B39*G289,0)</f>
        <v>0</v>
      </c>
      <c r="Q289" s="22" t="n">
        <f aca="false">IF(DAY(B289)=1,Assumptions!B40*G289,0)</f>
        <v>0</v>
      </c>
      <c r="R289" s="22" t="n">
        <f aca="false">IF(DAY(B289)=1,Assumptions!B41*G289,0)</f>
        <v>0</v>
      </c>
      <c r="S289" s="22" t="n">
        <f aca="false">IF(AND(DAY(B289)=1,D289&gt;=13),Assumptions!B42*G289,0)</f>
        <v>0</v>
      </c>
      <c r="T289" s="22" t="n">
        <f aca="false">IF(DAY(B289)=1,Assumptions!B43*G289,0)</f>
        <v>0</v>
      </c>
      <c r="U289" s="22" t="n">
        <f aca="false">SUM(O289:T289)</f>
        <v>0</v>
      </c>
      <c r="V289" s="22" t="n">
        <f aca="false">N289-U289</f>
        <v>16200</v>
      </c>
      <c r="W289" s="22" t="n">
        <f aca="false">W288+V289</f>
        <v>-3782500</v>
      </c>
      <c r="X289" s="23" t="str">
        <f aca="false">IF(W289&gt;=0,"YES","No")</f>
        <v>No</v>
      </c>
    </row>
    <row r="290" customFormat="false" ht="15" hidden="false" customHeight="false" outlineLevel="0" collapsed="false">
      <c r="A290" s="16" t="n">
        <v>289</v>
      </c>
      <c r="B290" s="17" t="n">
        <f aca="false">B289+1</f>
        <v>46311</v>
      </c>
      <c r="C290" s="18" t="n">
        <f aca="false">MIN(ROUNDUP(A290/365,0),5)</f>
        <v>1</v>
      </c>
      <c r="D290" s="18" t="n">
        <f aca="false">DATEDIF(Assumptions!B5,B290,"m")+1</f>
        <v>10</v>
      </c>
      <c r="E290" s="18" t="str">
        <f aca="false">TEXT(B290,"ddd")</f>
        <v>Fri</v>
      </c>
      <c r="F290" s="19" t="n">
        <f aca="false">IF(WEEKDAY(B290,2)&gt;=6,Assumptions!B34,Assumptions!B35)</f>
        <v>1</v>
      </c>
      <c r="G290" s="20" t="n">
        <f aca="false">IF(D290&gt;=13,(1+Assumptions!B46)^(D290-12),1)</f>
        <v>1</v>
      </c>
      <c r="H290" s="21" t="n">
        <f aca="false">H289*(1+IF(C290=1,Assumptions!B22,Assumptions!B23))</f>
        <v>19.8104164002438</v>
      </c>
      <c r="I290" s="16" t="n">
        <f aca="false">ROUND(H290*F290,0)</f>
        <v>20</v>
      </c>
      <c r="J290" s="22" t="n">
        <f aca="false">I290*Assumptions!B24</f>
        <v>12000</v>
      </c>
      <c r="K290" s="21" t="n">
        <f aca="false">K289*(1+Assumptions!B30)</f>
        <v>14.4377951996427</v>
      </c>
      <c r="L290" s="16" t="n">
        <f aca="false">ROUND(K290*F290,0)</f>
        <v>14</v>
      </c>
      <c r="M290" s="22" t="n">
        <f aca="false">L290*Assumptions!B31</f>
        <v>4200</v>
      </c>
      <c r="N290" s="22" t="n">
        <f aca="false">J290+M290</f>
        <v>16200</v>
      </c>
      <c r="O290" s="22" t="n">
        <f aca="false">IF(DAY(B290)=1,Assumptions!B38*G290,0)</f>
        <v>0</v>
      </c>
      <c r="P290" s="22" t="n">
        <f aca="false">IF(DAY(B290)=1,Assumptions!B39*G290,0)</f>
        <v>0</v>
      </c>
      <c r="Q290" s="22" t="n">
        <f aca="false">IF(DAY(B290)=1,Assumptions!B40*G290,0)</f>
        <v>0</v>
      </c>
      <c r="R290" s="22" t="n">
        <f aca="false">IF(DAY(B290)=1,Assumptions!B41*G290,0)</f>
        <v>0</v>
      </c>
      <c r="S290" s="22" t="n">
        <f aca="false">IF(AND(DAY(B290)=1,D290&gt;=13),Assumptions!B42*G290,0)</f>
        <v>0</v>
      </c>
      <c r="T290" s="22" t="n">
        <f aca="false">IF(DAY(B290)=1,Assumptions!B43*G290,0)</f>
        <v>0</v>
      </c>
      <c r="U290" s="22" t="n">
        <f aca="false">SUM(O290:T290)</f>
        <v>0</v>
      </c>
      <c r="V290" s="22" t="n">
        <f aca="false">N290-U290</f>
        <v>16200</v>
      </c>
      <c r="W290" s="22" t="n">
        <f aca="false">W289+V290</f>
        <v>-3766300</v>
      </c>
      <c r="X290" s="23" t="str">
        <f aca="false">IF(W290&gt;=0,"YES","No")</f>
        <v>No</v>
      </c>
    </row>
    <row r="291" customFormat="false" ht="15" hidden="false" customHeight="false" outlineLevel="0" collapsed="false">
      <c r="A291" s="16" t="n">
        <v>290</v>
      </c>
      <c r="B291" s="17" t="n">
        <f aca="false">B290+1</f>
        <v>46312</v>
      </c>
      <c r="C291" s="18" t="n">
        <f aca="false">MIN(ROUNDUP(A291/365,0),5)</f>
        <v>1</v>
      </c>
      <c r="D291" s="18" t="n">
        <f aca="false">DATEDIF(Assumptions!B5,B291,"m")+1</f>
        <v>10</v>
      </c>
      <c r="E291" s="18" t="str">
        <f aca="false">TEXT(B291,"ddd")</f>
        <v>Sat</v>
      </c>
      <c r="F291" s="19" t="n">
        <f aca="false">IF(WEEKDAY(B291,2)&gt;=6,Assumptions!B34,Assumptions!B35)</f>
        <v>0.6</v>
      </c>
      <c r="G291" s="20" t="n">
        <f aca="false">IF(D291&gt;=13,(1+Assumptions!B46)^(D291-12),1)</f>
        <v>1</v>
      </c>
      <c r="H291" s="21" t="n">
        <f aca="false">H290*(1+IF(C291=1,Assumptions!B22,Assumptions!B23))</f>
        <v>19.8233081848798</v>
      </c>
      <c r="I291" s="16" t="n">
        <f aca="false">ROUND(H291*F291,0)</f>
        <v>12</v>
      </c>
      <c r="J291" s="22" t="n">
        <f aca="false">I291*Assumptions!B24</f>
        <v>7200</v>
      </c>
      <c r="K291" s="21" t="n">
        <f aca="false">K290*(1+Assumptions!B30)</f>
        <v>14.4425154467438</v>
      </c>
      <c r="L291" s="16" t="n">
        <f aca="false">ROUND(K291*F291,0)</f>
        <v>9</v>
      </c>
      <c r="M291" s="22" t="n">
        <f aca="false">L291*Assumptions!B31</f>
        <v>2700</v>
      </c>
      <c r="N291" s="22" t="n">
        <f aca="false">J291+M291</f>
        <v>9900</v>
      </c>
      <c r="O291" s="22" t="n">
        <f aca="false">IF(DAY(B291)=1,Assumptions!B38*G291,0)</f>
        <v>0</v>
      </c>
      <c r="P291" s="22" t="n">
        <f aca="false">IF(DAY(B291)=1,Assumptions!B39*G291,0)</f>
        <v>0</v>
      </c>
      <c r="Q291" s="22" t="n">
        <f aca="false">IF(DAY(B291)=1,Assumptions!B40*G291,0)</f>
        <v>0</v>
      </c>
      <c r="R291" s="22" t="n">
        <f aca="false">IF(DAY(B291)=1,Assumptions!B41*G291,0)</f>
        <v>0</v>
      </c>
      <c r="S291" s="22" t="n">
        <f aca="false">IF(AND(DAY(B291)=1,D291&gt;=13),Assumptions!B42*G291,0)</f>
        <v>0</v>
      </c>
      <c r="T291" s="22" t="n">
        <f aca="false">IF(DAY(B291)=1,Assumptions!B43*G291,0)</f>
        <v>0</v>
      </c>
      <c r="U291" s="22" t="n">
        <f aca="false">SUM(O291:T291)</f>
        <v>0</v>
      </c>
      <c r="V291" s="22" t="n">
        <f aca="false">N291-U291</f>
        <v>9900</v>
      </c>
      <c r="W291" s="22" t="n">
        <f aca="false">W290+V291</f>
        <v>-3756400</v>
      </c>
      <c r="X291" s="23" t="str">
        <f aca="false">IF(W291&gt;=0,"YES","No")</f>
        <v>No</v>
      </c>
    </row>
    <row r="292" customFormat="false" ht="15" hidden="false" customHeight="false" outlineLevel="0" collapsed="false">
      <c r="A292" s="16" t="n">
        <v>291</v>
      </c>
      <c r="B292" s="17" t="n">
        <f aca="false">B291+1</f>
        <v>46313</v>
      </c>
      <c r="C292" s="18" t="n">
        <f aca="false">MIN(ROUNDUP(A292/365,0),5)</f>
        <v>1</v>
      </c>
      <c r="D292" s="18" t="n">
        <f aca="false">DATEDIF(Assumptions!B5,B292,"m")+1</f>
        <v>10</v>
      </c>
      <c r="E292" s="18" t="str">
        <f aca="false">TEXT(B292,"ddd")</f>
        <v>Sun</v>
      </c>
      <c r="F292" s="19" t="n">
        <f aca="false">IF(WEEKDAY(B292,2)&gt;=6,Assumptions!B34,Assumptions!B35)</f>
        <v>0.6</v>
      </c>
      <c r="G292" s="20" t="n">
        <f aca="false">IF(D292&gt;=13,(1+Assumptions!B46)^(D292-12),1)</f>
        <v>1</v>
      </c>
      <c r="H292" s="21" t="n">
        <f aca="false">H291*(1+IF(C292=1,Assumptions!B22,Assumptions!B23))</f>
        <v>19.8362083589463</v>
      </c>
      <c r="I292" s="16" t="n">
        <f aca="false">ROUND(H292*F292,0)</f>
        <v>12</v>
      </c>
      <c r="J292" s="22" t="n">
        <f aca="false">I292*Assumptions!B24</f>
        <v>7200</v>
      </c>
      <c r="K292" s="21" t="n">
        <f aca="false">K291*(1+Assumptions!B30)</f>
        <v>14.4472372370675</v>
      </c>
      <c r="L292" s="16" t="n">
        <f aca="false">ROUND(K292*F292,0)</f>
        <v>9</v>
      </c>
      <c r="M292" s="22" t="n">
        <f aca="false">L292*Assumptions!B31</f>
        <v>2700</v>
      </c>
      <c r="N292" s="22" t="n">
        <f aca="false">J292+M292</f>
        <v>9900</v>
      </c>
      <c r="O292" s="22" t="n">
        <f aca="false">IF(DAY(B292)=1,Assumptions!B38*G292,0)</f>
        <v>0</v>
      </c>
      <c r="P292" s="22" t="n">
        <f aca="false">IF(DAY(B292)=1,Assumptions!B39*G292,0)</f>
        <v>0</v>
      </c>
      <c r="Q292" s="22" t="n">
        <f aca="false">IF(DAY(B292)=1,Assumptions!B40*G292,0)</f>
        <v>0</v>
      </c>
      <c r="R292" s="22" t="n">
        <f aca="false">IF(DAY(B292)=1,Assumptions!B41*G292,0)</f>
        <v>0</v>
      </c>
      <c r="S292" s="22" t="n">
        <f aca="false">IF(AND(DAY(B292)=1,D292&gt;=13),Assumptions!B42*G292,0)</f>
        <v>0</v>
      </c>
      <c r="T292" s="22" t="n">
        <f aca="false">IF(DAY(B292)=1,Assumptions!B43*G292,0)</f>
        <v>0</v>
      </c>
      <c r="U292" s="22" t="n">
        <f aca="false">SUM(O292:T292)</f>
        <v>0</v>
      </c>
      <c r="V292" s="22" t="n">
        <f aca="false">N292-U292</f>
        <v>9900</v>
      </c>
      <c r="W292" s="22" t="n">
        <f aca="false">W291+V292</f>
        <v>-3746500</v>
      </c>
      <c r="X292" s="23" t="str">
        <f aca="false">IF(W292&gt;=0,"YES","No")</f>
        <v>No</v>
      </c>
    </row>
    <row r="293" customFormat="false" ht="15" hidden="false" customHeight="false" outlineLevel="0" collapsed="false">
      <c r="A293" s="16" t="n">
        <v>292</v>
      </c>
      <c r="B293" s="17" t="n">
        <f aca="false">B292+1</f>
        <v>46314</v>
      </c>
      <c r="C293" s="18" t="n">
        <f aca="false">MIN(ROUNDUP(A293/365,0),5)</f>
        <v>1</v>
      </c>
      <c r="D293" s="18" t="n">
        <f aca="false">DATEDIF(Assumptions!B5,B293,"m")+1</f>
        <v>10</v>
      </c>
      <c r="E293" s="18" t="str">
        <f aca="false">TEXT(B293,"ddd")</f>
        <v>Mon</v>
      </c>
      <c r="F293" s="19" t="n">
        <f aca="false">IF(WEEKDAY(B293,2)&gt;=6,Assumptions!B34,Assumptions!B35)</f>
        <v>1</v>
      </c>
      <c r="G293" s="20" t="n">
        <f aca="false">IF(D293&gt;=13,(1+Assumptions!B46)^(D293-12),1)</f>
        <v>1</v>
      </c>
      <c r="H293" s="21" t="n">
        <f aca="false">H292*(1+IF(C293=1,Assumptions!B22,Assumptions!B23))</f>
        <v>19.8491169279027</v>
      </c>
      <c r="I293" s="16" t="n">
        <f aca="false">ROUND(H293*F293,0)</f>
        <v>20</v>
      </c>
      <c r="J293" s="22" t="n">
        <f aca="false">I293*Assumptions!B24</f>
        <v>12000</v>
      </c>
      <c r="K293" s="21" t="n">
        <f aca="false">K292*(1+Assumptions!B30)</f>
        <v>14.4519605711185</v>
      </c>
      <c r="L293" s="16" t="n">
        <f aca="false">ROUND(K293*F293,0)</f>
        <v>14</v>
      </c>
      <c r="M293" s="22" t="n">
        <f aca="false">L293*Assumptions!B31</f>
        <v>4200</v>
      </c>
      <c r="N293" s="22" t="n">
        <f aca="false">J293+M293</f>
        <v>16200</v>
      </c>
      <c r="O293" s="22" t="n">
        <f aca="false">IF(DAY(B293)=1,Assumptions!B38*G293,0)</f>
        <v>0</v>
      </c>
      <c r="P293" s="22" t="n">
        <f aca="false">IF(DAY(B293)=1,Assumptions!B39*G293,0)</f>
        <v>0</v>
      </c>
      <c r="Q293" s="22" t="n">
        <f aca="false">IF(DAY(B293)=1,Assumptions!B40*G293,0)</f>
        <v>0</v>
      </c>
      <c r="R293" s="22" t="n">
        <f aca="false">IF(DAY(B293)=1,Assumptions!B41*G293,0)</f>
        <v>0</v>
      </c>
      <c r="S293" s="22" t="n">
        <f aca="false">IF(AND(DAY(B293)=1,D293&gt;=13),Assumptions!B42*G293,0)</f>
        <v>0</v>
      </c>
      <c r="T293" s="22" t="n">
        <f aca="false">IF(DAY(B293)=1,Assumptions!B43*G293,0)</f>
        <v>0</v>
      </c>
      <c r="U293" s="22" t="n">
        <f aca="false">SUM(O293:T293)</f>
        <v>0</v>
      </c>
      <c r="V293" s="22" t="n">
        <f aca="false">N293-U293</f>
        <v>16200</v>
      </c>
      <c r="W293" s="22" t="n">
        <f aca="false">W292+V293</f>
        <v>-3730300</v>
      </c>
      <c r="X293" s="23" t="str">
        <f aca="false">IF(W293&gt;=0,"YES","No")</f>
        <v>No</v>
      </c>
    </row>
    <row r="294" customFormat="false" ht="15" hidden="false" customHeight="false" outlineLevel="0" collapsed="false">
      <c r="A294" s="16" t="n">
        <v>293</v>
      </c>
      <c r="B294" s="17" t="n">
        <f aca="false">B293+1</f>
        <v>46315</v>
      </c>
      <c r="C294" s="18" t="n">
        <f aca="false">MIN(ROUNDUP(A294/365,0),5)</f>
        <v>1</v>
      </c>
      <c r="D294" s="18" t="n">
        <f aca="false">DATEDIF(Assumptions!B5,B294,"m")+1</f>
        <v>10</v>
      </c>
      <c r="E294" s="18" t="str">
        <f aca="false">TEXT(B294,"ddd")</f>
        <v>Tue</v>
      </c>
      <c r="F294" s="19" t="n">
        <f aca="false">IF(WEEKDAY(B294,2)&gt;=6,Assumptions!B34,Assumptions!B35)</f>
        <v>1</v>
      </c>
      <c r="G294" s="20" t="n">
        <f aca="false">IF(D294&gt;=13,(1+Assumptions!B46)^(D294-12),1)</f>
        <v>1</v>
      </c>
      <c r="H294" s="21" t="n">
        <f aca="false">H293*(1+IF(C294=1,Assumptions!B22,Assumptions!B23))</f>
        <v>19.8620338972121</v>
      </c>
      <c r="I294" s="16" t="n">
        <f aca="false">ROUND(H294*F294,0)</f>
        <v>20</v>
      </c>
      <c r="J294" s="22" t="n">
        <f aca="false">I294*Assumptions!B24</f>
        <v>12000</v>
      </c>
      <c r="K294" s="21" t="n">
        <f aca="false">K293*(1+Assumptions!B30)</f>
        <v>14.4566854494013</v>
      </c>
      <c r="L294" s="16" t="n">
        <f aca="false">ROUND(K294*F294,0)</f>
        <v>14</v>
      </c>
      <c r="M294" s="22" t="n">
        <f aca="false">L294*Assumptions!B31</f>
        <v>4200</v>
      </c>
      <c r="N294" s="22" t="n">
        <f aca="false">J294+M294</f>
        <v>16200</v>
      </c>
      <c r="O294" s="22" t="n">
        <f aca="false">IF(DAY(B294)=1,Assumptions!B38*G294,0)</f>
        <v>0</v>
      </c>
      <c r="P294" s="22" t="n">
        <f aca="false">IF(DAY(B294)=1,Assumptions!B39*G294,0)</f>
        <v>0</v>
      </c>
      <c r="Q294" s="22" t="n">
        <f aca="false">IF(DAY(B294)=1,Assumptions!B40*G294,0)</f>
        <v>0</v>
      </c>
      <c r="R294" s="22" t="n">
        <f aca="false">IF(DAY(B294)=1,Assumptions!B41*G294,0)</f>
        <v>0</v>
      </c>
      <c r="S294" s="22" t="n">
        <f aca="false">IF(AND(DAY(B294)=1,D294&gt;=13),Assumptions!B42*G294,0)</f>
        <v>0</v>
      </c>
      <c r="T294" s="22" t="n">
        <f aca="false">IF(DAY(B294)=1,Assumptions!B43*G294,0)</f>
        <v>0</v>
      </c>
      <c r="U294" s="22" t="n">
        <f aca="false">SUM(O294:T294)</f>
        <v>0</v>
      </c>
      <c r="V294" s="22" t="n">
        <f aca="false">N294-U294</f>
        <v>16200</v>
      </c>
      <c r="W294" s="22" t="n">
        <f aca="false">W293+V294</f>
        <v>-3714100</v>
      </c>
      <c r="X294" s="23" t="str">
        <f aca="false">IF(W294&gt;=0,"YES","No")</f>
        <v>No</v>
      </c>
    </row>
    <row r="295" customFormat="false" ht="15" hidden="false" customHeight="false" outlineLevel="0" collapsed="false">
      <c r="A295" s="16" t="n">
        <v>294</v>
      </c>
      <c r="B295" s="17" t="n">
        <f aca="false">B294+1</f>
        <v>46316</v>
      </c>
      <c r="C295" s="18" t="n">
        <f aca="false">MIN(ROUNDUP(A295/365,0),5)</f>
        <v>1</v>
      </c>
      <c r="D295" s="18" t="n">
        <f aca="false">DATEDIF(Assumptions!B5,B295,"m")+1</f>
        <v>10</v>
      </c>
      <c r="E295" s="18" t="str">
        <f aca="false">TEXT(B295,"ddd")</f>
        <v>Wed</v>
      </c>
      <c r="F295" s="19" t="n">
        <f aca="false">IF(WEEKDAY(B295,2)&gt;=6,Assumptions!B34,Assumptions!B35)</f>
        <v>1</v>
      </c>
      <c r="G295" s="20" t="n">
        <f aca="false">IF(D295&gt;=13,(1+Assumptions!B46)^(D295-12),1)</f>
        <v>1</v>
      </c>
      <c r="H295" s="21" t="n">
        <f aca="false">H294*(1+IF(C295=1,Assumptions!B22,Assumptions!B23))</f>
        <v>19.8749592723412</v>
      </c>
      <c r="I295" s="16" t="n">
        <f aca="false">ROUND(H295*F295,0)</f>
        <v>20</v>
      </c>
      <c r="J295" s="22" t="n">
        <f aca="false">I295*Assumptions!B24</f>
        <v>12000</v>
      </c>
      <c r="K295" s="21" t="n">
        <f aca="false">K294*(1+Assumptions!B30)</f>
        <v>14.4614118724209</v>
      </c>
      <c r="L295" s="16" t="n">
        <f aca="false">ROUND(K295*F295,0)</f>
        <v>14</v>
      </c>
      <c r="M295" s="22" t="n">
        <f aca="false">L295*Assumptions!B31</f>
        <v>4200</v>
      </c>
      <c r="N295" s="22" t="n">
        <f aca="false">J295+M295</f>
        <v>16200</v>
      </c>
      <c r="O295" s="22" t="n">
        <f aca="false">IF(DAY(B295)=1,Assumptions!B38*G295,0)</f>
        <v>0</v>
      </c>
      <c r="P295" s="22" t="n">
        <f aca="false">IF(DAY(B295)=1,Assumptions!B39*G295,0)</f>
        <v>0</v>
      </c>
      <c r="Q295" s="22" t="n">
        <f aca="false">IF(DAY(B295)=1,Assumptions!B40*G295,0)</f>
        <v>0</v>
      </c>
      <c r="R295" s="22" t="n">
        <f aca="false">IF(DAY(B295)=1,Assumptions!B41*G295,0)</f>
        <v>0</v>
      </c>
      <c r="S295" s="22" t="n">
        <f aca="false">IF(AND(DAY(B295)=1,D295&gt;=13),Assumptions!B42*G295,0)</f>
        <v>0</v>
      </c>
      <c r="T295" s="22" t="n">
        <f aca="false">IF(DAY(B295)=1,Assumptions!B43*G295,0)</f>
        <v>0</v>
      </c>
      <c r="U295" s="22" t="n">
        <f aca="false">SUM(O295:T295)</f>
        <v>0</v>
      </c>
      <c r="V295" s="22" t="n">
        <f aca="false">N295-U295</f>
        <v>16200</v>
      </c>
      <c r="W295" s="22" t="n">
        <f aca="false">W294+V295</f>
        <v>-3697900</v>
      </c>
      <c r="X295" s="23" t="str">
        <f aca="false">IF(W295&gt;=0,"YES","No")</f>
        <v>No</v>
      </c>
    </row>
    <row r="296" customFormat="false" ht="15" hidden="false" customHeight="false" outlineLevel="0" collapsed="false">
      <c r="A296" s="16" t="n">
        <v>295</v>
      </c>
      <c r="B296" s="17" t="n">
        <f aca="false">B295+1</f>
        <v>46317</v>
      </c>
      <c r="C296" s="18" t="n">
        <f aca="false">MIN(ROUNDUP(A296/365,0),5)</f>
        <v>1</v>
      </c>
      <c r="D296" s="18" t="n">
        <f aca="false">DATEDIF(Assumptions!B5,B296,"m")+1</f>
        <v>10</v>
      </c>
      <c r="E296" s="18" t="str">
        <f aca="false">TEXT(B296,"ddd")</f>
        <v>Thu</v>
      </c>
      <c r="F296" s="19" t="n">
        <f aca="false">IF(WEEKDAY(B296,2)&gt;=6,Assumptions!B34,Assumptions!B35)</f>
        <v>1</v>
      </c>
      <c r="G296" s="20" t="n">
        <f aca="false">IF(D296&gt;=13,(1+Assumptions!B46)^(D296-12),1)</f>
        <v>1</v>
      </c>
      <c r="H296" s="21" t="n">
        <f aca="false">H295*(1+IF(C296=1,Assumptions!B22,Assumptions!B23))</f>
        <v>19.88789305876</v>
      </c>
      <c r="I296" s="16" t="n">
        <f aca="false">ROUND(H296*F296,0)</f>
        <v>20</v>
      </c>
      <c r="J296" s="22" t="n">
        <f aca="false">I296*Assumptions!B24</f>
        <v>12000</v>
      </c>
      <c r="K296" s="21" t="n">
        <f aca="false">K295*(1+Assumptions!B30)</f>
        <v>14.4661398406824</v>
      </c>
      <c r="L296" s="16" t="n">
        <f aca="false">ROUND(K296*F296,0)</f>
        <v>14</v>
      </c>
      <c r="M296" s="22" t="n">
        <f aca="false">L296*Assumptions!B31</f>
        <v>4200</v>
      </c>
      <c r="N296" s="22" t="n">
        <f aca="false">J296+M296</f>
        <v>16200</v>
      </c>
      <c r="O296" s="22" t="n">
        <f aca="false">IF(DAY(B296)=1,Assumptions!B38*G296,0)</f>
        <v>0</v>
      </c>
      <c r="P296" s="22" t="n">
        <f aca="false">IF(DAY(B296)=1,Assumptions!B39*G296,0)</f>
        <v>0</v>
      </c>
      <c r="Q296" s="22" t="n">
        <f aca="false">IF(DAY(B296)=1,Assumptions!B40*G296,0)</f>
        <v>0</v>
      </c>
      <c r="R296" s="22" t="n">
        <f aca="false">IF(DAY(B296)=1,Assumptions!B41*G296,0)</f>
        <v>0</v>
      </c>
      <c r="S296" s="22" t="n">
        <f aca="false">IF(AND(DAY(B296)=1,D296&gt;=13),Assumptions!B42*G296,0)</f>
        <v>0</v>
      </c>
      <c r="T296" s="22" t="n">
        <f aca="false">IF(DAY(B296)=1,Assumptions!B43*G296,0)</f>
        <v>0</v>
      </c>
      <c r="U296" s="22" t="n">
        <f aca="false">SUM(O296:T296)</f>
        <v>0</v>
      </c>
      <c r="V296" s="22" t="n">
        <f aca="false">N296-U296</f>
        <v>16200</v>
      </c>
      <c r="W296" s="22" t="n">
        <f aca="false">W295+V296</f>
        <v>-3681700</v>
      </c>
      <c r="X296" s="23" t="str">
        <f aca="false">IF(W296&gt;=0,"YES","No")</f>
        <v>No</v>
      </c>
    </row>
    <row r="297" customFormat="false" ht="15" hidden="false" customHeight="false" outlineLevel="0" collapsed="false">
      <c r="A297" s="16" t="n">
        <v>296</v>
      </c>
      <c r="B297" s="17" t="n">
        <f aca="false">B296+1</f>
        <v>46318</v>
      </c>
      <c r="C297" s="18" t="n">
        <f aca="false">MIN(ROUNDUP(A297/365,0),5)</f>
        <v>1</v>
      </c>
      <c r="D297" s="18" t="n">
        <f aca="false">DATEDIF(Assumptions!B5,B297,"m")+1</f>
        <v>10</v>
      </c>
      <c r="E297" s="18" t="str">
        <f aca="false">TEXT(B297,"ddd")</f>
        <v>Fri</v>
      </c>
      <c r="F297" s="19" t="n">
        <f aca="false">IF(WEEKDAY(B297,2)&gt;=6,Assumptions!B34,Assumptions!B35)</f>
        <v>1</v>
      </c>
      <c r="G297" s="20" t="n">
        <f aca="false">IF(D297&gt;=13,(1+Assumptions!B46)^(D297-12),1)</f>
        <v>1</v>
      </c>
      <c r="H297" s="21" t="n">
        <f aca="false">H296*(1+IF(C297=1,Assumptions!B22,Assumptions!B23))</f>
        <v>19.9008352619422</v>
      </c>
      <c r="I297" s="16" t="n">
        <f aca="false">ROUND(H297*F297,0)</f>
        <v>20</v>
      </c>
      <c r="J297" s="22" t="n">
        <f aca="false">I297*Assumptions!B24</f>
        <v>12000</v>
      </c>
      <c r="K297" s="21" t="n">
        <f aca="false">K296*(1+Assumptions!B30)</f>
        <v>14.4708693546907</v>
      </c>
      <c r="L297" s="16" t="n">
        <f aca="false">ROUND(K297*F297,0)</f>
        <v>14</v>
      </c>
      <c r="M297" s="22" t="n">
        <f aca="false">L297*Assumptions!B31</f>
        <v>4200</v>
      </c>
      <c r="N297" s="22" t="n">
        <f aca="false">J297+M297</f>
        <v>16200</v>
      </c>
      <c r="O297" s="22" t="n">
        <f aca="false">IF(DAY(B297)=1,Assumptions!B38*G297,0)</f>
        <v>0</v>
      </c>
      <c r="P297" s="22" t="n">
        <f aca="false">IF(DAY(B297)=1,Assumptions!B39*G297,0)</f>
        <v>0</v>
      </c>
      <c r="Q297" s="22" t="n">
        <f aca="false">IF(DAY(B297)=1,Assumptions!B40*G297,0)</f>
        <v>0</v>
      </c>
      <c r="R297" s="22" t="n">
        <f aca="false">IF(DAY(B297)=1,Assumptions!B41*G297,0)</f>
        <v>0</v>
      </c>
      <c r="S297" s="22" t="n">
        <f aca="false">IF(AND(DAY(B297)=1,D297&gt;=13),Assumptions!B42*G297,0)</f>
        <v>0</v>
      </c>
      <c r="T297" s="22" t="n">
        <f aca="false">IF(DAY(B297)=1,Assumptions!B43*G297,0)</f>
        <v>0</v>
      </c>
      <c r="U297" s="22" t="n">
        <f aca="false">SUM(O297:T297)</f>
        <v>0</v>
      </c>
      <c r="V297" s="22" t="n">
        <f aca="false">N297-U297</f>
        <v>16200</v>
      </c>
      <c r="W297" s="22" t="n">
        <f aca="false">W296+V297</f>
        <v>-3665500</v>
      </c>
      <c r="X297" s="23" t="str">
        <f aca="false">IF(W297&gt;=0,"YES","No")</f>
        <v>No</v>
      </c>
    </row>
    <row r="298" customFormat="false" ht="15" hidden="false" customHeight="false" outlineLevel="0" collapsed="false">
      <c r="A298" s="16" t="n">
        <v>297</v>
      </c>
      <c r="B298" s="17" t="n">
        <f aca="false">B297+1</f>
        <v>46319</v>
      </c>
      <c r="C298" s="18" t="n">
        <f aca="false">MIN(ROUNDUP(A298/365,0),5)</f>
        <v>1</v>
      </c>
      <c r="D298" s="18" t="n">
        <f aca="false">DATEDIF(Assumptions!B5,B298,"m")+1</f>
        <v>10</v>
      </c>
      <c r="E298" s="18" t="str">
        <f aca="false">TEXT(B298,"ddd")</f>
        <v>Sat</v>
      </c>
      <c r="F298" s="19" t="n">
        <f aca="false">IF(WEEKDAY(B298,2)&gt;=6,Assumptions!B34,Assumptions!B35)</f>
        <v>0.6</v>
      </c>
      <c r="G298" s="20" t="n">
        <f aca="false">IF(D298&gt;=13,(1+Assumptions!B46)^(D298-12),1)</f>
        <v>1</v>
      </c>
      <c r="H298" s="21" t="n">
        <f aca="false">H297*(1+IF(C298=1,Assumptions!B22,Assumptions!B23))</f>
        <v>19.9137858873652</v>
      </c>
      <c r="I298" s="16" t="n">
        <f aca="false">ROUND(H298*F298,0)</f>
        <v>12</v>
      </c>
      <c r="J298" s="22" t="n">
        <f aca="false">I298*Assumptions!B24</f>
        <v>7200</v>
      </c>
      <c r="K298" s="21" t="n">
        <f aca="false">K297*(1+Assumptions!B30)</f>
        <v>14.4756004149515</v>
      </c>
      <c r="L298" s="16" t="n">
        <f aca="false">ROUND(K298*F298,0)</f>
        <v>9</v>
      </c>
      <c r="M298" s="22" t="n">
        <f aca="false">L298*Assumptions!B31</f>
        <v>2700</v>
      </c>
      <c r="N298" s="22" t="n">
        <f aca="false">J298+M298</f>
        <v>9900</v>
      </c>
      <c r="O298" s="22" t="n">
        <f aca="false">IF(DAY(B298)=1,Assumptions!B38*G298,0)</f>
        <v>0</v>
      </c>
      <c r="P298" s="22" t="n">
        <f aca="false">IF(DAY(B298)=1,Assumptions!B39*G298,0)</f>
        <v>0</v>
      </c>
      <c r="Q298" s="22" t="n">
        <f aca="false">IF(DAY(B298)=1,Assumptions!B40*G298,0)</f>
        <v>0</v>
      </c>
      <c r="R298" s="22" t="n">
        <f aca="false">IF(DAY(B298)=1,Assumptions!B41*G298,0)</f>
        <v>0</v>
      </c>
      <c r="S298" s="22" t="n">
        <f aca="false">IF(AND(DAY(B298)=1,D298&gt;=13),Assumptions!B42*G298,0)</f>
        <v>0</v>
      </c>
      <c r="T298" s="22" t="n">
        <f aca="false">IF(DAY(B298)=1,Assumptions!B43*G298,0)</f>
        <v>0</v>
      </c>
      <c r="U298" s="22" t="n">
        <f aca="false">SUM(O298:T298)</f>
        <v>0</v>
      </c>
      <c r="V298" s="22" t="n">
        <f aca="false">N298-U298</f>
        <v>9900</v>
      </c>
      <c r="W298" s="22" t="n">
        <f aca="false">W297+V298</f>
        <v>-3655600</v>
      </c>
      <c r="X298" s="23" t="str">
        <f aca="false">IF(W298&gt;=0,"YES","No")</f>
        <v>No</v>
      </c>
    </row>
    <row r="299" customFormat="false" ht="15" hidden="false" customHeight="false" outlineLevel="0" collapsed="false">
      <c r="A299" s="16" t="n">
        <v>298</v>
      </c>
      <c r="B299" s="17" t="n">
        <f aca="false">B298+1</f>
        <v>46320</v>
      </c>
      <c r="C299" s="18" t="n">
        <f aca="false">MIN(ROUNDUP(A299/365,0),5)</f>
        <v>1</v>
      </c>
      <c r="D299" s="18" t="n">
        <f aca="false">DATEDIF(Assumptions!B5,B299,"m")+1</f>
        <v>10</v>
      </c>
      <c r="E299" s="18" t="str">
        <f aca="false">TEXT(B299,"ddd")</f>
        <v>Sun</v>
      </c>
      <c r="F299" s="19" t="n">
        <f aca="false">IF(WEEKDAY(B299,2)&gt;=6,Assumptions!B34,Assumptions!B35)</f>
        <v>0.6</v>
      </c>
      <c r="G299" s="20" t="n">
        <f aca="false">IF(D299&gt;=13,(1+Assumptions!B46)^(D299-12),1)</f>
        <v>1</v>
      </c>
      <c r="H299" s="21" t="n">
        <f aca="false">H298*(1+IF(C299=1,Assumptions!B22,Assumptions!B23))</f>
        <v>19.9267449405098</v>
      </c>
      <c r="I299" s="16" t="n">
        <f aca="false">ROUND(H299*F299,0)</f>
        <v>12</v>
      </c>
      <c r="J299" s="22" t="n">
        <f aca="false">I299*Assumptions!B24</f>
        <v>7200</v>
      </c>
      <c r="K299" s="21" t="n">
        <f aca="false">K298*(1+Assumptions!B30)</f>
        <v>14.4803330219701</v>
      </c>
      <c r="L299" s="16" t="n">
        <f aca="false">ROUND(K299*F299,0)</f>
        <v>9</v>
      </c>
      <c r="M299" s="22" t="n">
        <f aca="false">L299*Assumptions!B31</f>
        <v>2700</v>
      </c>
      <c r="N299" s="22" t="n">
        <f aca="false">J299+M299</f>
        <v>9900</v>
      </c>
      <c r="O299" s="22" t="n">
        <f aca="false">IF(DAY(B299)=1,Assumptions!B38*G299,0)</f>
        <v>0</v>
      </c>
      <c r="P299" s="22" t="n">
        <f aca="false">IF(DAY(B299)=1,Assumptions!B39*G299,0)</f>
        <v>0</v>
      </c>
      <c r="Q299" s="22" t="n">
        <f aca="false">IF(DAY(B299)=1,Assumptions!B40*G299,0)</f>
        <v>0</v>
      </c>
      <c r="R299" s="22" t="n">
        <f aca="false">IF(DAY(B299)=1,Assumptions!B41*G299,0)</f>
        <v>0</v>
      </c>
      <c r="S299" s="22" t="n">
        <f aca="false">IF(AND(DAY(B299)=1,D299&gt;=13),Assumptions!B42*G299,0)</f>
        <v>0</v>
      </c>
      <c r="T299" s="22" t="n">
        <f aca="false">IF(DAY(B299)=1,Assumptions!B43*G299,0)</f>
        <v>0</v>
      </c>
      <c r="U299" s="22" t="n">
        <f aca="false">SUM(O299:T299)</f>
        <v>0</v>
      </c>
      <c r="V299" s="22" t="n">
        <f aca="false">N299-U299</f>
        <v>9900</v>
      </c>
      <c r="W299" s="22" t="n">
        <f aca="false">W298+V299</f>
        <v>-3645700</v>
      </c>
      <c r="X299" s="23" t="str">
        <f aca="false">IF(W299&gt;=0,"YES","No")</f>
        <v>No</v>
      </c>
    </row>
    <row r="300" customFormat="false" ht="15" hidden="false" customHeight="false" outlineLevel="0" collapsed="false">
      <c r="A300" s="16" t="n">
        <v>299</v>
      </c>
      <c r="B300" s="17" t="n">
        <f aca="false">B299+1</f>
        <v>46321</v>
      </c>
      <c r="C300" s="18" t="n">
        <f aca="false">MIN(ROUNDUP(A300/365,0),5)</f>
        <v>1</v>
      </c>
      <c r="D300" s="18" t="n">
        <f aca="false">DATEDIF(Assumptions!B5,B300,"m")+1</f>
        <v>10</v>
      </c>
      <c r="E300" s="18" t="str">
        <f aca="false">TEXT(B300,"ddd")</f>
        <v>Mon</v>
      </c>
      <c r="F300" s="19" t="n">
        <f aca="false">IF(WEEKDAY(B300,2)&gt;=6,Assumptions!B34,Assumptions!B35)</f>
        <v>1</v>
      </c>
      <c r="G300" s="20" t="n">
        <f aca="false">IF(D300&gt;=13,(1+Assumptions!B46)^(D300-12),1)</f>
        <v>1</v>
      </c>
      <c r="H300" s="21" t="n">
        <f aca="false">H299*(1+IF(C300=1,Assumptions!B22,Assumptions!B23))</f>
        <v>19.9397124268604</v>
      </c>
      <c r="I300" s="16" t="n">
        <f aca="false">ROUND(H300*F300,0)</f>
        <v>20</v>
      </c>
      <c r="J300" s="22" t="n">
        <f aca="false">I300*Assumptions!B24</f>
        <v>12000</v>
      </c>
      <c r="K300" s="21" t="n">
        <f aca="false">K299*(1+Assumptions!B30)</f>
        <v>14.4850671762523</v>
      </c>
      <c r="L300" s="16" t="n">
        <f aca="false">ROUND(K300*F300,0)</f>
        <v>14</v>
      </c>
      <c r="M300" s="22" t="n">
        <f aca="false">L300*Assumptions!B31</f>
        <v>4200</v>
      </c>
      <c r="N300" s="22" t="n">
        <f aca="false">J300+M300</f>
        <v>16200</v>
      </c>
      <c r="O300" s="22" t="n">
        <f aca="false">IF(DAY(B300)=1,Assumptions!B38*G300,0)</f>
        <v>0</v>
      </c>
      <c r="P300" s="22" t="n">
        <f aca="false">IF(DAY(B300)=1,Assumptions!B39*G300,0)</f>
        <v>0</v>
      </c>
      <c r="Q300" s="22" t="n">
        <f aca="false">IF(DAY(B300)=1,Assumptions!B40*G300,0)</f>
        <v>0</v>
      </c>
      <c r="R300" s="22" t="n">
        <f aca="false">IF(DAY(B300)=1,Assumptions!B41*G300,0)</f>
        <v>0</v>
      </c>
      <c r="S300" s="22" t="n">
        <f aca="false">IF(AND(DAY(B300)=1,D300&gt;=13),Assumptions!B42*G300,0)</f>
        <v>0</v>
      </c>
      <c r="T300" s="22" t="n">
        <f aca="false">IF(DAY(B300)=1,Assumptions!B43*G300,0)</f>
        <v>0</v>
      </c>
      <c r="U300" s="22" t="n">
        <f aca="false">SUM(O300:T300)</f>
        <v>0</v>
      </c>
      <c r="V300" s="22" t="n">
        <f aca="false">N300-U300</f>
        <v>16200</v>
      </c>
      <c r="W300" s="22" t="n">
        <f aca="false">W299+V300</f>
        <v>-3629500</v>
      </c>
      <c r="X300" s="23" t="str">
        <f aca="false">IF(W300&gt;=0,"YES","No")</f>
        <v>No</v>
      </c>
    </row>
    <row r="301" customFormat="false" ht="15" hidden="false" customHeight="false" outlineLevel="0" collapsed="false">
      <c r="A301" s="16" t="n">
        <v>300</v>
      </c>
      <c r="B301" s="17" t="n">
        <f aca="false">B300+1</f>
        <v>46322</v>
      </c>
      <c r="C301" s="18" t="n">
        <f aca="false">MIN(ROUNDUP(A301/365,0),5)</f>
        <v>1</v>
      </c>
      <c r="D301" s="18" t="n">
        <f aca="false">DATEDIF(Assumptions!B5,B301,"m")+1</f>
        <v>10</v>
      </c>
      <c r="E301" s="18" t="str">
        <f aca="false">TEXT(B301,"ddd")</f>
        <v>Tue</v>
      </c>
      <c r="F301" s="19" t="n">
        <f aca="false">IF(WEEKDAY(B301,2)&gt;=6,Assumptions!B34,Assumptions!B35)</f>
        <v>1</v>
      </c>
      <c r="G301" s="20" t="n">
        <f aca="false">IF(D301&gt;=13,(1+Assumptions!B46)^(D301-12),1)</f>
        <v>1</v>
      </c>
      <c r="H301" s="21" t="n">
        <f aca="false">H300*(1+IF(C301=1,Assumptions!B22,Assumptions!B23))</f>
        <v>19.9526883519049</v>
      </c>
      <c r="I301" s="16" t="n">
        <f aca="false">ROUND(H301*F301,0)</f>
        <v>20</v>
      </c>
      <c r="J301" s="22" t="n">
        <f aca="false">I301*Assumptions!B24</f>
        <v>12000</v>
      </c>
      <c r="K301" s="21" t="n">
        <f aca="false">K300*(1+Assumptions!B30)</f>
        <v>14.489802878304</v>
      </c>
      <c r="L301" s="16" t="n">
        <f aca="false">ROUND(K301*F301,0)</f>
        <v>14</v>
      </c>
      <c r="M301" s="22" t="n">
        <f aca="false">L301*Assumptions!B31</f>
        <v>4200</v>
      </c>
      <c r="N301" s="22" t="n">
        <f aca="false">J301+M301</f>
        <v>16200</v>
      </c>
      <c r="O301" s="22" t="n">
        <f aca="false">IF(DAY(B301)=1,Assumptions!B38*G301,0)</f>
        <v>0</v>
      </c>
      <c r="P301" s="22" t="n">
        <f aca="false">IF(DAY(B301)=1,Assumptions!B39*G301,0)</f>
        <v>0</v>
      </c>
      <c r="Q301" s="22" t="n">
        <f aca="false">IF(DAY(B301)=1,Assumptions!B40*G301,0)</f>
        <v>0</v>
      </c>
      <c r="R301" s="22" t="n">
        <f aca="false">IF(DAY(B301)=1,Assumptions!B41*G301,0)</f>
        <v>0</v>
      </c>
      <c r="S301" s="22" t="n">
        <f aca="false">IF(AND(DAY(B301)=1,D301&gt;=13),Assumptions!B42*G301,0)</f>
        <v>0</v>
      </c>
      <c r="T301" s="22" t="n">
        <f aca="false">IF(DAY(B301)=1,Assumptions!B43*G301,0)</f>
        <v>0</v>
      </c>
      <c r="U301" s="22" t="n">
        <f aca="false">SUM(O301:T301)</f>
        <v>0</v>
      </c>
      <c r="V301" s="22" t="n">
        <f aca="false">N301-U301</f>
        <v>16200</v>
      </c>
      <c r="W301" s="22" t="n">
        <f aca="false">W300+V301</f>
        <v>-3613300</v>
      </c>
      <c r="X301" s="23" t="str">
        <f aca="false">IF(W301&gt;=0,"YES","No")</f>
        <v>No</v>
      </c>
    </row>
    <row r="302" customFormat="false" ht="15" hidden="false" customHeight="false" outlineLevel="0" collapsed="false">
      <c r="A302" s="16" t="n">
        <v>301</v>
      </c>
      <c r="B302" s="17" t="n">
        <f aca="false">B301+1</f>
        <v>46323</v>
      </c>
      <c r="C302" s="18" t="n">
        <f aca="false">MIN(ROUNDUP(A302/365,0),5)</f>
        <v>1</v>
      </c>
      <c r="D302" s="18" t="n">
        <f aca="false">DATEDIF(Assumptions!B5,B302,"m")+1</f>
        <v>10</v>
      </c>
      <c r="E302" s="18" t="str">
        <f aca="false">TEXT(B302,"ddd")</f>
        <v>Wed</v>
      </c>
      <c r="F302" s="19" t="n">
        <f aca="false">IF(WEEKDAY(B302,2)&gt;=6,Assumptions!B34,Assumptions!B35)</f>
        <v>1</v>
      </c>
      <c r="G302" s="20" t="n">
        <f aca="false">IF(D302&gt;=13,(1+Assumptions!B46)^(D302-12),1)</f>
        <v>1</v>
      </c>
      <c r="H302" s="21" t="n">
        <f aca="false">H301*(1+IF(C302=1,Assumptions!B22,Assumptions!B23))</f>
        <v>19.965672721135</v>
      </c>
      <c r="I302" s="16" t="n">
        <f aca="false">ROUND(H302*F302,0)</f>
        <v>20</v>
      </c>
      <c r="J302" s="22" t="n">
        <f aca="false">I302*Assumptions!B24</f>
        <v>12000</v>
      </c>
      <c r="K302" s="21" t="n">
        <f aca="false">K301*(1+Assumptions!B30)</f>
        <v>14.494540128631</v>
      </c>
      <c r="L302" s="16" t="n">
        <f aca="false">ROUND(K302*F302,0)</f>
        <v>14</v>
      </c>
      <c r="M302" s="22" t="n">
        <f aca="false">L302*Assumptions!B31</f>
        <v>4200</v>
      </c>
      <c r="N302" s="22" t="n">
        <f aca="false">J302+M302</f>
        <v>16200</v>
      </c>
      <c r="O302" s="22" t="n">
        <f aca="false">IF(DAY(B302)=1,Assumptions!B38*G302,0)</f>
        <v>0</v>
      </c>
      <c r="P302" s="22" t="n">
        <f aca="false">IF(DAY(B302)=1,Assumptions!B39*G302,0)</f>
        <v>0</v>
      </c>
      <c r="Q302" s="22" t="n">
        <f aca="false">IF(DAY(B302)=1,Assumptions!B40*G302,0)</f>
        <v>0</v>
      </c>
      <c r="R302" s="22" t="n">
        <f aca="false">IF(DAY(B302)=1,Assumptions!B41*G302,0)</f>
        <v>0</v>
      </c>
      <c r="S302" s="22" t="n">
        <f aca="false">IF(AND(DAY(B302)=1,D302&gt;=13),Assumptions!B42*G302,0)</f>
        <v>0</v>
      </c>
      <c r="T302" s="22" t="n">
        <f aca="false">IF(DAY(B302)=1,Assumptions!B43*G302,0)</f>
        <v>0</v>
      </c>
      <c r="U302" s="22" t="n">
        <f aca="false">SUM(O302:T302)</f>
        <v>0</v>
      </c>
      <c r="V302" s="22" t="n">
        <f aca="false">N302-U302</f>
        <v>16200</v>
      </c>
      <c r="W302" s="22" t="n">
        <f aca="false">W301+V302</f>
        <v>-3597100</v>
      </c>
      <c r="X302" s="23" t="str">
        <f aca="false">IF(W302&gt;=0,"YES","No")</f>
        <v>No</v>
      </c>
    </row>
    <row r="303" customFormat="false" ht="15" hidden="false" customHeight="false" outlineLevel="0" collapsed="false">
      <c r="A303" s="16" t="n">
        <v>302</v>
      </c>
      <c r="B303" s="17" t="n">
        <f aca="false">B302+1</f>
        <v>46324</v>
      </c>
      <c r="C303" s="18" t="n">
        <f aca="false">MIN(ROUNDUP(A303/365,0),5)</f>
        <v>1</v>
      </c>
      <c r="D303" s="18" t="n">
        <f aca="false">DATEDIF(Assumptions!B5,B303,"m")+1</f>
        <v>10</v>
      </c>
      <c r="E303" s="18" t="str">
        <f aca="false">TEXT(B303,"ddd")</f>
        <v>Thu</v>
      </c>
      <c r="F303" s="19" t="n">
        <f aca="false">IF(WEEKDAY(B303,2)&gt;=6,Assumptions!B34,Assumptions!B35)</f>
        <v>1</v>
      </c>
      <c r="G303" s="20" t="n">
        <f aca="false">IF(D303&gt;=13,(1+Assumptions!B46)^(D303-12),1)</f>
        <v>1</v>
      </c>
      <c r="H303" s="21" t="n">
        <f aca="false">H302*(1+IF(C303=1,Assumptions!B22,Assumptions!B23))</f>
        <v>19.9786655400456</v>
      </c>
      <c r="I303" s="16" t="n">
        <f aca="false">ROUND(H303*F303,0)</f>
        <v>20</v>
      </c>
      <c r="J303" s="22" t="n">
        <f aca="false">I303*Assumptions!B24</f>
        <v>12000</v>
      </c>
      <c r="K303" s="21" t="n">
        <f aca="false">K302*(1+Assumptions!B30)</f>
        <v>14.4992789277397</v>
      </c>
      <c r="L303" s="16" t="n">
        <f aca="false">ROUND(K303*F303,0)</f>
        <v>14</v>
      </c>
      <c r="M303" s="22" t="n">
        <f aca="false">L303*Assumptions!B31</f>
        <v>4200</v>
      </c>
      <c r="N303" s="22" t="n">
        <f aca="false">J303+M303</f>
        <v>16200</v>
      </c>
      <c r="O303" s="22" t="n">
        <f aca="false">IF(DAY(B303)=1,Assumptions!B38*G303,0)</f>
        <v>0</v>
      </c>
      <c r="P303" s="22" t="n">
        <f aca="false">IF(DAY(B303)=1,Assumptions!B39*G303,0)</f>
        <v>0</v>
      </c>
      <c r="Q303" s="22" t="n">
        <f aca="false">IF(DAY(B303)=1,Assumptions!B40*G303,0)</f>
        <v>0</v>
      </c>
      <c r="R303" s="22" t="n">
        <f aca="false">IF(DAY(B303)=1,Assumptions!B41*G303,0)</f>
        <v>0</v>
      </c>
      <c r="S303" s="22" t="n">
        <f aca="false">IF(AND(DAY(B303)=1,D303&gt;=13),Assumptions!B42*G303,0)</f>
        <v>0</v>
      </c>
      <c r="T303" s="22" t="n">
        <f aca="false">IF(DAY(B303)=1,Assumptions!B43*G303,0)</f>
        <v>0</v>
      </c>
      <c r="U303" s="22" t="n">
        <f aca="false">SUM(O303:T303)</f>
        <v>0</v>
      </c>
      <c r="V303" s="22" t="n">
        <f aca="false">N303-U303</f>
        <v>16200</v>
      </c>
      <c r="W303" s="22" t="n">
        <f aca="false">W302+V303</f>
        <v>-3580900</v>
      </c>
      <c r="X303" s="23" t="str">
        <f aca="false">IF(W303&gt;=0,"YES","No")</f>
        <v>No</v>
      </c>
    </row>
    <row r="304" customFormat="false" ht="15" hidden="false" customHeight="false" outlineLevel="0" collapsed="false">
      <c r="A304" s="16" t="n">
        <v>303</v>
      </c>
      <c r="B304" s="17" t="n">
        <f aca="false">B303+1</f>
        <v>46325</v>
      </c>
      <c r="C304" s="18" t="n">
        <f aca="false">MIN(ROUNDUP(A304/365,0),5)</f>
        <v>1</v>
      </c>
      <c r="D304" s="18" t="n">
        <f aca="false">DATEDIF(Assumptions!B5,B304,"m")+1</f>
        <v>10</v>
      </c>
      <c r="E304" s="18" t="str">
        <f aca="false">TEXT(B304,"ddd")</f>
        <v>Fri</v>
      </c>
      <c r="F304" s="19" t="n">
        <f aca="false">IF(WEEKDAY(B304,2)&gt;=6,Assumptions!B34,Assumptions!B35)</f>
        <v>1</v>
      </c>
      <c r="G304" s="20" t="n">
        <f aca="false">IF(D304&gt;=13,(1+Assumptions!B46)^(D304-12),1)</f>
        <v>1</v>
      </c>
      <c r="H304" s="21" t="n">
        <f aca="false">H303*(1+IF(C304=1,Assumptions!B22,Assumptions!B23))</f>
        <v>19.9916668141356</v>
      </c>
      <c r="I304" s="16" t="n">
        <f aca="false">ROUND(H304*F304,0)</f>
        <v>20</v>
      </c>
      <c r="J304" s="22" t="n">
        <f aca="false">I304*Assumptions!B24</f>
        <v>12000</v>
      </c>
      <c r="K304" s="21" t="n">
        <f aca="false">K303*(1+Assumptions!B30)</f>
        <v>14.5040192761365</v>
      </c>
      <c r="L304" s="16" t="n">
        <f aca="false">ROUND(K304*F304,0)</f>
        <v>15</v>
      </c>
      <c r="M304" s="22" t="n">
        <f aca="false">L304*Assumptions!B31</f>
        <v>4500</v>
      </c>
      <c r="N304" s="22" t="n">
        <f aca="false">J304+M304</f>
        <v>16500</v>
      </c>
      <c r="O304" s="22" t="n">
        <f aca="false">IF(DAY(B304)=1,Assumptions!B38*G304,0)</f>
        <v>0</v>
      </c>
      <c r="P304" s="22" t="n">
        <f aca="false">IF(DAY(B304)=1,Assumptions!B39*G304,0)</f>
        <v>0</v>
      </c>
      <c r="Q304" s="22" t="n">
        <f aca="false">IF(DAY(B304)=1,Assumptions!B40*G304,0)</f>
        <v>0</v>
      </c>
      <c r="R304" s="22" t="n">
        <f aca="false">IF(DAY(B304)=1,Assumptions!B41*G304,0)</f>
        <v>0</v>
      </c>
      <c r="S304" s="22" t="n">
        <f aca="false">IF(AND(DAY(B304)=1,D304&gt;=13),Assumptions!B42*G304,0)</f>
        <v>0</v>
      </c>
      <c r="T304" s="22" t="n">
        <f aca="false">IF(DAY(B304)=1,Assumptions!B43*G304,0)</f>
        <v>0</v>
      </c>
      <c r="U304" s="22" t="n">
        <f aca="false">SUM(O304:T304)</f>
        <v>0</v>
      </c>
      <c r="V304" s="22" t="n">
        <f aca="false">N304-U304</f>
        <v>16500</v>
      </c>
      <c r="W304" s="22" t="n">
        <f aca="false">W303+V304</f>
        <v>-3564400</v>
      </c>
      <c r="X304" s="23" t="str">
        <f aca="false">IF(W304&gt;=0,"YES","No")</f>
        <v>No</v>
      </c>
    </row>
    <row r="305" customFormat="false" ht="15" hidden="false" customHeight="false" outlineLevel="0" collapsed="false">
      <c r="A305" s="16" t="n">
        <v>304</v>
      </c>
      <c r="B305" s="17" t="n">
        <f aca="false">B304+1</f>
        <v>46326</v>
      </c>
      <c r="C305" s="18" t="n">
        <f aca="false">MIN(ROUNDUP(A305/365,0),5)</f>
        <v>1</v>
      </c>
      <c r="D305" s="18" t="n">
        <f aca="false">DATEDIF(Assumptions!B5,B305,"m")+1</f>
        <v>10</v>
      </c>
      <c r="E305" s="18" t="str">
        <f aca="false">TEXT(B305,"ddd")</f>
        <v>Sat</v>
      </c>
      <c r="F305" s="19" t="n">
        <f aca="false">IF(WEEKDAY(B305,2)&gt;=6,Assumptions!B34,Assumptions!B35)</f>
        <v>0.6</v>
      </c>
      <c r="G305" s="20" t="n">
        <f aca="false">IF(D305&gt;=13,(1+Assumptions!B46)^(D305-12),1)</f>
        <v>1</v>
      </c>
      <c r="H305" s="21" t="n">
        <f aca="false">H304*(1+IF(C305=1,Assumptions!B22,Assumptions!B23))</f>
        <v>20.0046765489072</v>
      </c>
      <c r="I305" s="16" t="n">
        <f aca="false">ROUND(H305*F305,0)</f>
        <v>12</v>
      </c>
      <c r="J305" s="22" t="n">
        <f aca="false">I305*Assumptions!B24</f>
        <v>7200</v>
      </c>
      <c r="K305" s="21" t="n">
        <f aca="false">K304*(1+Assumptions!B30)</f>
        <v>14.5087611743277</v>
      </c>
      <c r="L305" s="16" t="n">
        <f aca="false">ROUND(K305*F305,0)</f>
        <v>9</v>
      </c>
      <c r="M305" s="22" t="n">
        <f aca="false">L305*Assumptions!B31</f>
        <v>2700</v>
      </c>
      <c r="N305" s="22" t="n">
        <f aca="false">J305+M305</f>
        <v>9900</v>
      </c>
      <c r="O305" s="22" t="n">
        <f aca="false">IF(DAY(B305)=1,Assumptions!B38*G305,0)</f>
        <v>0</v>
      </c>
      <c r="P305" s="22" t="n">
        <f aca="false">IF(DAY(B305)=1,Assumptions!B39*G305,0)</f>
        <v>0</v>
      </c>
      <c r="Q305" s="22" t="n">
        <f aca="false">IF(DAY(B305)=1,Assumptions!B40*G305,0)</f>
        <v>0</v>
      </c>
      <c r="R305" s="22" t="n">
        <f aca="false">IF(DAY(B305)=1,Assumptions!B41*G305,0)</f>
        <v>0</v>
      </c>
      <c r="S305" s="22" t="n">
        <f aca="false">IF(AND(DAY(B305)=1,D305&gt;=13),Assumptions!B42*G305,0)</f>
        <v>0</v>
      </c>
      <c r="T305" s="22" t="n">
        <f aca="false">IF(DAY(B305)=1,Assumptions!B43*G305,0)</f>
        <v>0</v>
      </c>
      <c r="U305" s="22" t="n">
        <f aca="false">SUM(O305:T305)</f>
        <v>0</v>
      </c>
      <c r="V305" s="22" t="n">
        <f aca="false">N305-U305</f>
        <v>9900</v>
      </c>
      <c r="W305" s="22" t="n">
        <f aca="false">W304+V305</f>
        <v>-3554500</v>
      </c>
      <c r="X305" s="23" t="str">
        <f aca="false">IF(W305&gt;=0,"YES","No")</f>
        <v>No</v>
      </c>
    </row>
    <row r="306" customFormat="false" ht="15" hidden="false" customHeight="false" outlineLevel="0" collapsed="false">
      <c r="A306" s="16" t="n">
        <v>305</v>
      </c>
      <c r="B306" s="17" t="n">
        <f aca="false">B305+1</f>
        <v>46327</v>
      </c>
      <c r="C306" s="18" t="n">
        <f aca="false">MIN(ROUNDUP(A306/365,0),5)</f>
        <v>1</v>
      </c>
      <c r="D306" s="18" t="n">
        <f aca="false">DATEDIF(Assumptions!B5,B306,"m")+1</f>
        <v>11</v>
      </c>
      <c r="E306" s="18" t="str">
        <f aca="false">TEXT(B306,"ddd")</f>
        <v>Sun</v>
      </c>
      <c r="F306" s="19" t="n">
        <f aca="false">IF(WEEKDAY(B306,2)&gt;=6,Assumptions!B34,Assumptions!B35)</f>
        <v>0.6</v>
      </c>
      <c r="G306" s="20" t="n">
        <f aca="false">IF(D306&gt;=13,(1+Assumptions!B46)^(D306-12),1)</f>
        <v>1</v>
      </c>
      <c r="H306" s="21" t="n">
        <f aca="false">H305*(1+IF(C306=1,Assumptions!B22,Assumptions!B23))</f>
        <v>20.0176947498663</v>
      </c>
      <c r="I306" s="16" t="n">
        <f aca="false">ROUND(H306*F306,0)</f>
        <v>12</v>
      </c>
      <c r="J306" s="22" t="n">
        <f aca="false">I306*Assumptions!B24</f>
        <v>7200</v>
      </c>
      <c r="K306" s="21" t="n">
        <f aca="false">K305*(1+Assumptions!B30)</f>
        <v>14.5135046228201</v>
      </c>
      <c r="L306" s="16" t="n">
        <f aca="false">ROUND(K306*F306,0)</f>
        <v>9</v>
      </c>
      <c r="M306" s="22" t="n">
        <f aca="false">L306*Assumptions!B31</f>
        <v>2700</v>
      </c>
      <c r="N306" s="22" t="n">
        <f aca="false">J306+M306</f>
        <v>9900</v>
      </c>
      <c r="O306" s="22" t="n">
        <f aca="false">IF(DAY(B306)=1,Assumptions!B38*G306,0)</f>
        <v>150000</v>
      </c>
      <c r="P306" s="22" t="n">
        <f aca="false">IF(DAY(B306)=1,Assumptions!B39*G306,0)</f>
        <v>40000</v>
      </c>
      <c r="Q306" s="22" t="n">
        <f aca="false">IF(DAY(B306)=1,Assumptions!B40*G306,0)</f>
        <v>30000</v>
      </c>
      <c r="R306" s="22" t="n">
        <f aca="false">IF(DAY(B306)=1,Assumptions!B41*G306,0)</f>
        <v>20000</v>
      </c>
      <c r="S306" s="22" t="n">
        <f aca="false">IF(AND(DAY(B306)=1,D306&gt;=13),Assumptions!B42*G306,0)</f>
        <v>0</v>
      </c>
      <c r="T306" s="22" t="n">
        <f aca="false">IF(DAY(B306)=1,Assumptions!B43*G306,0)</f>
        <v>20000</v>
      </c>
      <c r="U306" s="22" t="n">
        <f aca="false">SUM(O306:T306)</f>
        <v>260000</v>
      </c>
      <c r="V306" s="22" t="n">
        <f aca="false">N306-U306</f>
        <v>-250100</v>
      </c>
      <c r="W306" s="22" t="n">
        <f aca="false">W305+V306</f>
        <v>-3804600</v>
      </c>
      <c r="X306" s="23" t="str">
        <f aca="false">IF(W306&gt;=0,"YES","No")</f>
        <v>No</v>
      </c>
    </row>
    <row r="307" customFormat="false" ht="15" hidden="false" customHeight="false" outlineLevel="0" collapsed="false">
      <c r="A307" s="16" t="n">
        <v>306</v>
      </c>
      <c r="B307" s="17" t="n">
        <f aca="false">B306+1</f>
        <v>46328</v>
      </c>
      <c r="C307" s="18" t="n">
        <f aca="false">MIN(ROUNDUP(A307/365,0),5)</f>
        <v>1</v>
      </c>
      <c r="D307" s="18" t="n">
        <f aca="false">DATEDIF(Assumptions!B5,B307,"m")+1</f>
        <v>11</v>
      </c>
      <c r="E307" s="18" t="str">
        <f aca="false">TEXT(B307,"ddd")</f>
        <v>Mon</v>
      </c>
      <c r="F307" s="19" t="n">
        <f aca="false">IF(WEEKDAY(B307,2)&gt;=6,Assumptions!B34,Assumptions!B35)</f>
        <v>1</v>
      </c>
      <c r="G307" s="20" t="n">
        <f aca="false">IF(D307&gt;=13,(1+Assumptions!B46)^(D307-12),1)</f>
        <v>1</v>
      </c>
      <c r="H307" s="21" t="n">
        <f aca="false">H306*(1+IF(C307=1,Assumptions!B22,Assumptions!B23))</f>
        <v>20.0307214225223</v>
      </c>
      <c r="I307" s="16" t="n">
        <f aca="false">ROUND(H307*F307,0)</f>
        <v>20</v>
      </c>
      <c r="J307" s="22" t="n">
        <f aca="false">I307*Assumptions!B24</f>
        <v>12000</v>
      </c>
      <c r="K307" s="21" t="n">
        <f aca="false">K306*(1+Assumptions!B30)</f>
        <v>14.5182496221206</v>
      </c>
      <c r="L307" s="16" t="n">
        <f aca="false">ROUND(K307*F307,0)</f>
        <v>15</v>
      </c>
      <c r="M307" s="22" t="n">
        <f aca="false">L307*Assumptions!B31</f>
        <v>4500</v>
      </c>
      <c r="N307" s="22" t="n">
        <f aca="false">J307+M307</f>
        <v>16500</v>
      </c>
      <c r="O307" s="22" t="n">
        <f aca="false">IF(DAY(B307)=1,Assumptions!B38*G307,0)</f>
        <v>0</v>
      </c>
      <c r="P307" s="22" t="n">
        <f aca="false">IF(DAY(B307)=1,Assumptions!B39*G307,0)</f>
        <v>0</v>
      </c>
      <c r="Q307" s="22" t="n">
        <f aca="false">IF(DAY(B307)=1,Assumptions!B40*G307,0)</f>
        <v>0</v>
      </c>
      <c r="R307" s="22" t="n">
        <f aca="false">IF(DAY(B307)=1,Assumptions!B41*G307,0)</f>
        <v>0</v>
      </c>
      <c r="S307" s="22" t="n">
        <f aca="false">IF(AND(DAY(B307)=1,D307&gt;=13),Assumptions!B42*G307,0)</f>
        <v>0</v>
      </c>
      <c r="T307" s="22" t="n">
        <f aca="false">IF(DAY(B307)=1,Assumptions!B43*G307,0)</f>
        <v>0</v>
      </c>
      <c r="U307" s="22" t="n">
        <f aca="false">SUM(O307:T307)</f>
        <v>0</v>
      </c>
      <c r="V307" s="22" t="n">
        <f aca="false">N307-U307</f>
        <v>16500</v>
      </c>
      <c r="W307" s="22" t="n">
        <f aca="false">W306+V307</f>
        <v>-3788100</v>
      </c>
      <c r="X307" s="23" t="str">
        <f aca="false">IF(W307&gt;=0,"YES","No")</f>
        <v>No</v>
      </c>
    </row>
    <row r="308" customFormat="false" ht="15" hidden="false" customHeight="false" outlineLevel="0" collapsed="false">
      <c r="A308" s="16" t="n">
        <v>307</v>
      </c>
      <c r="B308" s="17" t="n">
        <f aca="false">B307+1</f>
        <v>46329</v>
      </c>
      <c r="C308" s="18" t="n">
        <f aca="false">MIN(ROUNDUP(A308/365,0),5)</f>
        <v>1</v>
      </c>
      <c r="D308" s="18" t="n">
        <f aca="false">DATEDIF(Assumptions!B5,B308,"m")+1</f>
        <v>11</v>
      </c>
      <c r="E308" s="18" t="str">
        <f aca="false">TEXT(B308,"ddd")</f>
        <v>Tue</v>
      </c>
      <c r="F308" s="19" t="n">
        <f aca="false">IF(WEEKDAY(B308,2)&gt;=6,Assumptions!B34,Assumptions!B35)</f>
        <v>1</v>
      </c>
      <c r="G308" s="20" t="n">
        <f aca="false">IF(D308&gt;=13,(1+Assumptions!B46)^(D308-12),1)</f>
        <v>1</v>
      </c>
      <c r="H308" s="21" t="n">
        <f aca="false">H307*(1+IF(C308=1,Assumptions!B22,Assumptions!B23))</f>
        <v>20.0437565723881</v>
      </c>
      <c r="I308" s="16" t="n">
        <f aca="false">ROUND(H308*F308,0)</f>
        <v>20</v>
      </c>
      <c r="J308" s="22" t="n">
        <f aca="false">I308*Assumptions!B24</f>
        <v>12000</v>
      </c>
      <c r="K308" s="21" t="n">
        <f aca="false">K307*(1+Assumptions!B30)</f>
        <v>14.5229961727361</v>
      </c>
      <c r="L308" s="16" t="n">
        <f aca="false">ROUND(K308*F308,0)</f>
        <v>15</v>
      </c>
      <c r="M308" s="22" t="n">
        <f aca="false">L308*Assumptions!B31</f>
        <v>4500</v>
      </c>
      <c r="N308" s="22" t="n">
        <f aca="false">J308+M308</f>
        <v>16500</v>
      </c>
      <c r="O308" s="22" t="n">
        <f aca="false">IF(DAY(B308)=1,Assumptions!B38*G308,0)</f>
        <v>0</v>
      </c>
      <c r="P308" s="22" t="n">
        <f aca="false">IF(DAY(B308)=1,Assumptions!B39*G308,0)</f>
        <v>0</v>
      </c>
      <c r="Q308" s="22" t="n">
        <f aca="false">IF(DAY(B308)=1,Assumptions!B40*G308,0)</f>
        <v>0</v>
      </c>
      <c r="R308" s="22" t="n">
        <f aca="false">IF(DAY(B308)=1,Assumptions!B41*G308,0)</f>
        <v>0</v>
      </c>
      <c r="S308" s="22" t="n">
        <f aca="false">IF(AND(DAY(B308)=1,D308&gt;=13),Assumptions!B42*G308,0)</f>
        <v>0</v>
      </c>
      <c r="T308" s="22" t="n">
        <f aca="false">IF(DAY(B308)=1,Assumptions!B43*G308,0)</f>
        <v>0</v>
      </c>
      <c r="U308" s="22" t="n">
        <f aca="false">SUM(O308:T308)</f>
        <v>0</v>
      </c>
      <c r="V308" s="22" t="n">
        <f aca="false">N308-U308</f>
        <v>16500</v>
      </c>
      <c r="W308" s="22" t="n">
        <f aca="false">W307+V308</f>
        <v>-3771600</v>
      </c>
      <c r="X308" s="23" t="str">
        <f aca="false">IF(W308&gt;=0,"YES","No")</f>
        <v>No</v>
      </c>
    </row>
    <row r="309" customFormat="false" ht="15" hidden="false" customHeight="false" outlineLevel="0" collapsed="false">
      <c r="A309" s="16" t="n">
        <v>308</v>
      </c>
      <c r="B309" s="17" t="n">
        <f aca="false">B308+1</f>
        <v>46330</v>
      </c>
      <c r="C309" s="18" t="n">
        <f aca="false">MIN(ROUNDUP(A309/365,0),5)</f>
        <v>1</v>
      </c>
      <c r="D309" s="18" t="n">
        <f aca="false">DATEDIF(Assumptions!B5,B309,"m")+1</f>
        <v>11</v>
      </c>
      <c r="E309" s="18" t="str">
        <f aca="false">TEXT(B309,"ddd")</f>
        <v>Wed</v>
      </c>
      <c r="F309" s="19" t="n">
        <f aca="false">IF(WEEKDAY(B309,2)&gt;=6,Assumptions!B34,Assumptions!B35)</f>
        <v>1</v>
      </c>
      <c r="G309" s="20" t="n">
        <f aca="false">IF(D309&gt;=13,(1+Assumptions!B46)^(D309-12),1)</f>
        <v>1</v>
      </c>
      <c r="H309" s="21" t="n">
        <f aca="false">H308*(1+IF(C309=1,Assumptions!B22,Assumptions!B23))</f>
        <v>20.0568002049805</v>
      </c>
      <c r="I309" s="16" t="n">
        <f aca="false">ROUND(H309*F309,0)</f>
        <v>20</v>
      </c>
      <c r="J309" s="22" t="n">
        <f aca="false">I309*Assumptions!B24</f>
        <v>12000</v>
      </c>
      <c r="K309" s="21" t="n">
        <f aca="false">K308*(1+Assumptions!B30)</f>
        <v>14.5277442751739</v>
      </c>
      <c r="L309" s="16" t="n">
        <f aca="false">ROUND(K309*F309,0)</f>
        <v>15</v>
      </c>
      <c r="M309" s="22" t="n">
        <f aca="false">L309*Assumptions!B31</f>
        <v>4500</v>
      </c>
      <c r="N309" s="22" t="n">
        <f aca="false">J309+M309</f>
        <v>16500</v>
      </c>
      <c r="O309" s="22" t="n">
        <f aca="false">IF(DAY(B309)=1,Assumptions!B38*G309,0)</f>
        <v>0</v>
      </c>
      <c r="P309" s="22" t="n">
        <f aca="false">IF(DAY(B309)=1,Assumptions!B39*G309,0)</f>
        <v>0</v>
      </c>
      <c r="Q309" s="22" t="n">
        <f aca="false">IF(DAY(B309)=1,Assumptions!B40*G309,0)</f>
        <v>0</v>
      </c>
      <c r="R309" s="22" t="n">
        <f aca="false">IF(DAY(B309)=1,Assumptions!B41*G309,0)</f>
        <v>0</v>
      </c>
      <c r="S309" s="22" t="n">
        <f aca="false">IF(AND(DAY(B309)=1,D309&gt;=13),Assumptions!B42*G309,0)</f>
        <v>0</v>
      </c>
      <c r="T309" s="22" t="n">
        <f aca="false">IF(DAY(B309)=1,Assumptions!B43*G309,0)</f>
        <v>0</v>
      </c>
      <c r="U309" s="22" t="n">
        <f aca="false">SUM(O309:T309)</f>
        <v>0</v>
      </c>
      <c r="V309" s="22" t="n">
        <f aca="false">N309-U309</f>
        <v>16500</v>
      </c>
      <c r="W309" s="22" t="n">
        <f aca="false">W308+V309</f>
        <v>-3755100</v>
      </c>
      <c r="X309" s="23" t="str">
        <f aca="false">IF(W309&gt;=0,"YES","No")</f>
        <v>No</v>
      </c>
    </row>
    <row r="310" customFormat="false" ht="15" hidden="false" customHeight="false" outlineLevel="0" collapsed="false">
      <c r="A310" s="16" t="n">
        <v>309</v>
      </c>
      <c r="B310" s="17" t="n">
        <f aca="false">B309+1</f>
        <v>46331</v>
      </c>
      <c r="C310" s="18" t="n">
        <f aca="false">MIN(ROUNDUP(A310/365,0),5)</f>
        <v>1</v>
      </c>
      <c r="D310" s="18" t="n">
        <f aca="false">DATEDIF(Assumptions!B5,B310,"m")+1</f>
        <v>11</v>
      </c>
      <c r="E310" s="18" t="str">
        <f aca="false">TEXT(B310,"ddd")</f>
        <v>Thu</v>
      </c>
      <c r="F310" s="19" t="n">
        <f aca="false">IF(WEEKDAY(B310,2)&gt;=6,Assumptions!B34,Assumptions!B35)</f>
        <v>1</v>
      </c>
      <c r="G310" s="20" t="n">
        <f aca="false">IF(D310&gt;=13,(1+Assumptions!B46)^(D310-12),1)</f>
        <v>1</v>
      </c>
      <c r="H310" s="21" t="n">
        <f aca="false">H309*(1+IF(C310=1,Assumptions!B22,Assumptions!B23))</f>
        <v>20.0698523258197</v>
      </c>
      <c r="I310" s="16" t="n">
        <f aca="false">ROUND(H310*F310,0)</f>
        <v>20</v>
      </c>
      <c r="J310" s="22" t="n">
        <f aca="false">I310*Assumptions!B24</f>
        <v>12000</v>
      </c>
      <c r="K310" s="21" t="n">
        <f aca="false">K309*(1+Assumptions!B30)</f>
        <v>14.5324939299413</v>
      </c>
      <c r="L310" s="16" t="n">
        <f aca="false">ROUND(K310*F310,0)</f>
        <v>15</v>
      </c>
      <c r="M310" s="22" t="n">
        <f aca="false">L310*Assumptions!B31</f>
        <v>4500</v>
      </c>
      <c r="N310" s="22" t="n">
        <f aca="false">J310+M310</f>
        <v>16500</v>
      </c>
      <c r="O310" s="22" t="n">
        <f aca="false">IF(DAY(B310)=1,Assumptions!B38*G310,0)</f>
        <v>0</v>
      </c>
      <c r="P310" s="22" t="n">
        <f aca="false">IF(DAY(B310)=1,Assumptions!B39*G310,0)</f>
        <v>0</v>
      </c>
      <c r="Q310" s="22" t="n">
        <f aca="false">IF(DAY(B310)=1,Assumptions!B40*G310,0)</f>
        <v>0</v>
      </c>
      <c r="R310" s="22" t="n">
        <f aca="false">IF(DAY(B310)=1,Assumptions!B41*G310,0)</f>
        <v>0</v>
      </c>
      <c r="S310" s="22" t="n">
        <f aca="false">IF(AND(DAY(B310)=1,D310&gt;=13),Assumptions!B42*G310,0)</f>
        <v>0</v>
      </c>
      <c r="T310" s="22" t="n">
        <f aca="false">IF(DAY(B310)=1,Assumptions!B43*G310,0)</f>
        <v>0</v>
      </c>
      <c r="U310" s="22" t="n">
        <f aca="false">SUM(O310:T310)</f>
        <v>0</v>
      </c>
      <c r="V310" s="22" t="n">
        <f aca="false">N310-U310</f>
        <v>16500</v>
      </c>
      <c r="W310" s="22" t="n">
        <f aca="false">W309+V310</f>
        <v>-3738600</v>
      </c>
      <c r="X310" s="23" t="str">
        <f aca="false">IF(W310&gt;=0,"YES","No")</f>
        <v>No</v>
      </c>
    </row>
    <row r="311" customFormat="false" ht="15" hidden="false" customHeight="false" outlineLevel="0" collapsed="false">
      <c r="A311" s="16" t="n">
        <v>310</v>
      </c>
      <c r="B311" s="17" t="n">
        <f aca="false">B310+1</f>
        <v>46332</v>
      </c>
      <c r="C311" s="18" t="n">
        <f aca="false">MIN(ROUNDUP(A311/365,0),5)</f>
        <v>1</v>
      </c>
      <c r="D311" s="18" t="n">
        <f aca="false">DATEDIF(Assumptions!B5,B311,"m")+1</f>
        <v>11</v>
      </c>
      <c r="E311" s="18" t="str">
        <f aca="false">TEXT(B311,"ddd")</f>
        <v>Fri</v>
      </c>
      <c r="F311" s="19" t="n">
        <f aca="false">IF(WEEKDAY(B311,2)&gt;=6,Assumptions!B34,Assumptions!B35)</f>
        <v>1</v>
      </c>
      <c r="G311" s="20" t="n">
        <f aca="false">IF(D311&gt;=13,(1+Assumptions!B46)^(D311-12),1)</f>
        <v>1</v>
      </c>
      <c r="H311" s="21" t="n">
        <f aca="false">H310*(1+IF(C311=1,Assumptions!B22,Assumptions!B23))</f>
        <v>20.0829129404293</v>
      </c>
      <c r="I311" s="16" t="n">
        <f aca="false">ROUND(H311*F311,0)</f>
        <v>20</v>
      </c>
      <c r="J311" s="22" t="n">
        <f aca="false">I311*Assumptions!B24</f>
        <v>12000</v>
      </c>
      <c r="K311" s="21" t="n">
        <f aca="false">K310*(1+Assumptions!B30)</f>
        <v>14.5372451375458</v>
      </c>
      <c r="L311" s="16" t="n">
        <f aca="false">ROUND(K311*F311,0)</f>
        <v>15</v>
      </c>
      <c r="M311" s="22" t="n">
        <f aca="false">L311*Assumptions!B31</f>
        <v>4500</v>
      </c>
      <c r="N311" s="22" t="n">
        <f aca="false">J311+M311</f>
        <v>16500</v>
      </c>
      <c r="O311" s="22" t="n">
        <f aca="false">IF(DAY(B311)=1,Assumptions!B38*G311,0)</f>
        <v>0</v>
      </c>
      <c r="P311" s="22" t="n">
        <f aca="false">IF(DAY(B311)=1,Assumptions!B39*G311,0)</f>
        <v>0</v>
      </c>
      <c r="Q311" s="22" t="n">
        <f aca="false">IF(DAY(B311)=1,Assumptions!B40*G311,0)</f>
        <v>0</v>
      </c>
      <c r="R311" s="22" t="n">
        <f aca="false">IF(DAY(B311)=1,Assumptions!B41*G311,0)</f>
        <v>0</v>
      </c>
      <c r="S311" s="22" t="n">
        <f aca="false">IF(AND(DAY(B311)=1,D311&gt;=13),Assumptions!B42*G311,0)</f>
        <v>0</v>
      </c>
      <c r="T311" s="22" t="n">
        <f aca="false">IF(DAY(B311)=1,Assumptions!B43*G311,0)</f>
        <v>0</v>
      </c>
      <c r="U311" s="22" t="n">
        <f aca="false">SUM(O311:T311)</f>
        <v>0</v>
      </c>
      <c r="V311" s="22" t="n">
        <f aca="false">N311-U311</f>
        <v>16500</v>
      </c>
      <c r="W311" s="22" t="n">
        <f aca="false">W310+V311</f>
        <v>-3722100</v>
      </c>
      <c r="X311" s="23" t="str">
        <f aca="false">IF(W311&gt;=0,"YES","No")</f>
        <v>No</v>
      </c>
    </row>
    <row r="312" customFormat="false" ht="15" hidden="false" customHeight="false" outlineLevel="0" collapsed="false">
      <c r="A312" s="16" t="n">
        <v>311</v>
      </c>
      <c r="B312" s="17" t="n">
        <f aca="false">B311+1</f>
        <v>46333</v>
      </c>
      <c r="C312" s="18" t="n">
        <f aca="false">MIN(ROUNDUP(A312/365,0),5)</f>
        <v>1</v>
      </c>
      <c r="D312" s="18" t="n">
        <f aca="false">DATEDIF(Assumptions!B5,B312,"m")+1</f>
        <v>11</v>
      </c>
      <c r="E312" s="18" t="str">
        <f aca="false">TEXT(B312,"ddd")</f>
        <v>Sat</v>
      </c>
      <c r="F312" s="19" t="n">
        <f aca="false">IF(WEEKDAY(B312,2)&gt;=6,Assumptions!B34,Assumptions!B35)</f>
        <v>0.6</v>
      </c>
      <c r="G312" s="20" t="n">
        <f aca="false">IF(D312&gt;=13,(1+Assumptions!B46)^(D312-12),1)</f>
        <v>1</v>
      </c>
      <c r="H312" s="21" t="n">
        <f aca="false">H311*(1+IF(C312=1,Assumptions!B22,Assumptions!B23))</f>
        <v>20.0959820543369</v>
      </c>
      <c r="I312" s="16" t="n">
        <f aca="false">ROUND(H312*F312,0)</f>
        <v>12</v>
      </c>
      <c r="J312" s="22" t="n">
        <f aca="false">I312*Assumptions!B24</f>
        <v>7200</v>
      </c>
      <c r="K312" s="21" t="n">
        <f aca="false">K311*(1+Assumptions!B30)</f>
        <v>14.541997898495</v>
      </c>
      <c r="L312" s="16" t="n">
        <f aca="false">ROUND(K312*F312,0)</f>
        <v>9</v>
      </c>
      <c r="M312" s="22" t="n">
        <f aca="false">L312*Assumptions!B31</f>
        <v>2700</v>
      </c>
      <c r="N312" s="22" t="n">
        <f aca="false">J312+M312</f>
        <v>9900</v>
      </c>
      <c r="O312" s="22" t="n">
        <f aca="false">IF(DAY(B312)=1,Assumptions!B38*G312,0)</f>
        <v>0</v>
      </c>
      <c r="P312" s="22" t="n">
        <f aca="false">IF(DAY(B312)=1,Assumptions!B39*G312,0)</f>
        <v>0</v>
      </c>
      <c r="Q312" s="22" t="n">
        <f aca="false">IF(DAY(B312)=1,Assumptions!B40*G312,0)</f>
        <v>0</v>
      </c>
      <c r="R312" s="22" t="n">
        <f aca="false">IF(DAY(B312)=1,Assumptions!B41*G312,0)</f>
        <v>0</v>
      </c>
      <c r="S312" s="22" t="n">
        <f aca="false">IF(AND(DAY(B312)=1,D312&gt;=13),Assumptions!B42*G312,0)</f>
        <v>0</v>
      </c>
      <c r="T312" s="22" t="n">
        <f aca="false">IF(DAY(B312)=1,Assumptions!B43*G312,0)</f>
        <v>0</v>
      </c>
      <c r="U312" s="22" t="n">
        <f aca="false">SUM(O312:T312)</f>
        <v>0</v>
      </c>
      <c r="V312" s="22" t="n">
        <f aca="false">N312-U312</f>
        <v>9900</v>
      </c>
      <c r="W312" s="22" t="n">
        <f aca="false">W311+V312</f>
        <v>-3712200</v>
      </c>
      <c r="X312" s="23" t="str">
        <f aca="false">IF(W312&gt;=0,"YES","No")</f>
        <v>No</v>
      </c>
    </row>
    <row r="313" customFormat="false" ht="15" hidden="false" customHeight="false" outlineLevel="0" collapsed="false">
      <c r="A313" s="16" t="n">
        <v>312</v>
      </c>
      <c r="B313" s="17" t="n">
        <f aca="false">B312+1</f>
        <v>46334</v>
      </c>
      <c r="C313" s="18" t="n">
        <f aca="false">MIN(ROUNDUP(A313/365,0),5)</f>
        <v>1</v>
      </c>
      <c r="D313" s="18" t="n">
        <f aca="false">DATEDIF(Assumptions!B5,B313,"m")+1</f>
        <v>11</v>
      </c>
      <c r="E313" s="18" t="str">
        <f aca="false">TEXT(B313,"ddd")</f>
        <v>Sun</v>
      </c>
      <c r="F313" s="19" t="n">
        <f aca="false">IF(WEEKDAY(B313,2)&gt;=6,Assumptions!B34,Assumptions!B35)</f>
        <v>0.6</v>
      </c>
      <c r="G313" s="20" t="n">
        <f aca="false">IF(D313&gt;=13,(1+Assumptions!B46)^(D313-12),1)</f>
        <v>1</v>
      </c>
      <c r="H313" s="21" t="n">
        <f aca="false">H312*(1+IF(C313=1,Assumptions!B22,Assumptions!B23))</f>
        <v>20.1090596730734</v>
      </c>
      <c r="I313" s="16" t="n">
        <f aca="false">ROUND(H313*F313,0)</f>
        <v>12</v>
      </c>
      <c r="J313" s="22" t="n">
        <f aca="false">I313*Assumptions!B24</f>
        <v>7200</v>
      </c>
      <c r="K313" s="21" t="n">
        <f aca="false">K312*(1+Assumptions!B30)</f>
        <v>14.5467522132969</v>
      </c>
      <c r="L313" s="16" t="n">
        <f aca="false">ROUND(K313*F313,0)</f>
        <v>9</v>
      </c>
      <c r="M313" s="22" t="n">
        <f aca="false">L313*Assumptions!B31</f>
        <v>2700</v>
      </c>
      <c r="N313" s="22" t="n">
        <f aca="false">J313+M313</f>
        <v>9900</v>
      </c>
      <c r="O313" s="22" t="n">
        <f aca="false">IF(DAY(B313)=1,Assumptions!B38*G313,0)</f>
        <v>0</v>
      </c>
      <c r="P313" s="22" t="n">
        <f aca="false">IF(DAY(B313)=1,Assumptions!B39*G313,0)</f>
        <v>0</v>
      </c>
      <c r="Q313" s="22" t="n">
        <f aca="false">IF(DAY(B313)=1,Assumptions!B40*G313,0)</f>
        <v>0</v>
      </c>
      <c r="R313" s="22" t="n">
        <f aca="false">IF(DAY(B313)=1,Assumptions!B41*G313,0)</f>
        <v>0</v>
      </c>
      <c r="S313" s="22" t="n">
        <f aca="false">IF(AND(DAY(B313)=1,D313&gt;=13),Assumptions!B42*G313,0)</f>
        <v>0</v>
      </c>
      <c r="T313" s="22" t="n">
        <f aca="false">IF(DAY(B313)=1,Assumptions!B43*G313,0)</f>
        <v>0</v>
      </c>
      <c r="U313" s="22" t="n">
        <f aca="false">SUM(O313:T313)</f>
        <v>0</v>
      </c>
      <c r="V313" s="22" t="n">
        <f aca="false">N313-U313</f>
        <v>9900</v>
      </c>
      <c r="W313" s="22" t="n">
        <f aca="false">W312+V313</f>
        <v>-3702300</v>
      </c>
      <c r="X313" s="23" t="str">
        <f aca="false">IF(W313&gt;=0,"YES","No")</f>
        <v>No</v>
      </c>
    </row>
    <row r="314" customFormat="false" ht="15" hidden="false" customHeight="false" outlineLevel="0" collapsed="false">
      <c r="A314" s="16" t="n">
        <v>313</v>
      </c>
      <c r="B314" s="17" t="n">
        <f aca="false">B313+1</f>
        <v>46335</v>
      </c>
      <c r="C314" s="18" t="n">
        <f aca="false">MIN(ROUNDUP(A314/365,0),5)</f>
        <v>1</v>
      </c>
      <c r="D314" s="18" t="n">
        <f aca="false">DATEDIF(Assumptions!B5,B314,"m")+1</f>
        <v>11</v>
      </c>
      <c r="E314" s="18" t="str">
        <f aca="false">TEXT(B314,"ddd")</f>
        <v>Mon</v>
      </c>
      <c r="F314" s="19" t="n">
        <f aca="false">IF(WEEKDAY(B314,2)&gt;=6,Assumptions!B34,Assumptions!B35)</f>
        <v>1</v>
      </c>
      <c r="G314" s="20" t="n">
        <f aca="false">IF(D314&gt;=13,(1+Assumptions!B46)^(D314-12),1)</f>
        <v>1</v>
      </c>
      <c r="H314" s="21" t="n">
        <f aca="false">H313*(1+IF(C314=1,Assumptions!B22,Assumptions!B23))</f>
        <v>20.1221458021733</v>
      </c>
      <c r="I314" s="16" t="n">
        <f aca="false">ROUND(H314*F314,0)</f>
        <v>20</v>
      </c>
      <c r="J314" s="22" t="n">
        <f aca="false">I314*Assumptions!B24</f>
        <v>12000</v>
      </c>
      <c r="K314" s="21" t="n">
        <f aca="false">K313*(1+Assumptions!B30)</f>
        <v>14.5515080824595</v>
      </c>
      <c r="L314" s="16" t="n">
        <f aca="false">ROUND(K314*F314,0)</f>
        <v>15</v>
      </c>
      <c r="M314" s="22" t="n">
        <f aca="false">L314*Assumptions!B31</f>
        <v>4500</v>
      </c>
      <c r="N314" s="22" t="n">
        <f aca="false">J314+M314</f>
        <v>16500</v>
      </c>
      <c r="O314" s="22" t="n">
        <f aca="false">IF(DAY(B314)=1,Assumptions!B38*G314,0)</f>
        <v>0</v>
      </c>
      <c r="P314" s="22" t="n">
        <f aca="false">IF(DAY(B314)=1,Assumptions!B39*G314,0)</f>
        <v>0</v>
      </c>
      <c r="Q314" s="22" t="n">
        <f aca="false">IF(DAY(B314)=1,Assumptions!B40*G314,0)</f>
        <v>0</v>
      </c>
      <c r="R314" s="22" t="n">
        <f aca="false">IF(DAY(B314)=1,Assumptions!B41*G314,0)</f>
        <v>0</v>
      </c>
      <c r="S314" s="22" t="n">
        <f aca="false">IF(AND(DAY(B314)=1,D314&gt;=13),Assumptions!B42*G314,0)</f>
        <v>0</v>
      </c>
      <c r="T314" s="22" t="n">
        <f aca="false">IF(DAY(B314)=1,Assumptions!B43*G314,0)</f>
        <v>0</v>
      </c>
      <c r="U314" s="22" t="n">
        <f aca="false">SUM(O314:T314)</f>
        <v>0</v>
      </c>
      <c r="V314" s="22" t="n">
        <f aca="false">N314-U314</f>
        <v>16500</v>
      </c>
      <c r="W314" s="22" t="n">
        <f aca="false">W313+V314</f>
        <v>-3685800</v>
      </c>
      <c r="X314" s="23" t="str">
        <f aca="false">IF(W314&gt;=0,"YES","No")</f>
        <v>No</v>
      </c>
    </row>
    <row r="315" customFormat="false" ht="15" hidden="false" customHeight="false" outlineLevel="0" collapsed="false">
      <c r="A315" s="16" t="n">
        <v>314</v>
      </c>
      <c r="B315" s="17" t="n">
        <f aca="false">B314+1</f>
        <v>46336</v>
      </c>
      <c r="C315" s="18" t="n">
        <f aca="false">MIN(ROUNDUP(A315/365,0),5)</f>
        <v>1</v>
      </c>
      <c r="D315" s="18" t="n">
        <f aca="false">DATEDIF(Assumptions!B5,B315,"m")+1</f>
        <v>11</v>
      </c>
      <c r="E315" s="18" t="str">
        <f aca="false">TEXT(B315,"ddd")</f>
        <v>Tue</v>
      </c>
      <c r="F315" s="19" t="n">
        <f aca="false">IF(WEEKDAY(B315,2)&gt;=6,Assumptions!B34,Assumptions!B35)</f>
        <v>1</v>
      </c>
      <c r="G315" s="20" t="n">
        <f aca="false">IF(D315&gt;=13,(1+Assumptions!B46)^(D315-12),1)</f>
        <v>1</v>
      </c>
      <c r="H315" s="21" t="n">
        <f aca="false">H314*(1+IF(C315=1,Assumptions!B22,Assumptions!B23))</f>
        <v>20.135240447175</v>
      </c>
      <c r="I315" s="16" t="n">
        <f aca="false">ROUND(H315*F315,0)</f>
        <v>20</v>
      </c>
      <c r="J315" s="22" t="n">
        <f aca="false">I315*Assumptions!B24</f>
        <v>12000</v>
      </c>
      <c r="K315" s="21" t="n">
        <f aca="false">K314*(1+Assumptions!B30)</f>
        <v>14.5562655064909</v>
      </c>
      <c r="L315" s="16" t="n">
        <f aca="false">ROUND(K315*F315,0)</f>
        <v>15</v>
      </c>
      <c r="M315" s="22" t="n">
        <f aca="false">L315*Assumptions!B31</f>
        <v>4500</v>
      </c>
      <c r="N315" s="22" t="n">
        <f aca="false">J315+M315</f>
        <v>16500</v>
      </c>
      <c r="O315" s="22" t="n">
        <f aca="false">IF(DAY(B315)=1,Assumptions!B38*G315,0)</f>
        <v>0</v>
      </c>
      <c r="P315" s="22" t="n">
        <f aca="false">IF(DAY(B315)=1,Assumptions!B39*G315,0)</f>
        <v>0</v>
      </c>
      <c r="Q315" s="22" t="n">
        <f aca="false">IF(DAY(B315)=1,Assumptions!B40*G315,0)</f>
        <v>0</v>
      </c>
      <c r="R315" s="22" t="n">
        <f aca="false">IF(DAY(B315)=1,Assumptions!B41*G315,0)</f>
        <v>0</v>
      </c>
      <c r="S315" s="22" t="n">
        <f aca="false">IF(AND(DAY(B315)=1,D315&gt;=13),Assumptions!B42*G315,0)</f>
        <v>0</v>
      </c>
      <c r="T315" s="22" t="n">
        <f aca="false">IF(DAY(B315)=1,Assumptions!B43*G315,0)</f>
        <v>0</v>
      </c>
      <c r="U315" s="22" t="n">
        <f aca="false">SUM(O315:T315)</f>
        <v>0</v>
      </c>
      <c r="V315" s="22" t="n">
        <f aca="false">N315-U315</f>
        <v>16500</v>
      </c>
      <c r="W315" s="22" t="n">
        <f aca="false">W314+V315</f>
        <v>-3669300</v>
      </c>
      <c r="X315" s="23" t="str">
        <f aca="false">IF(W315&gt;=0,"YES","No")</f>
        <v>No</v>
      </c>
    </row>
    <row r="316" customFormat="false" ht="15" hidden="false" customHeight="false" outlineLevel="0" collapsed="false">
      <c r="A316" s="16" t="n">
        <v>315</v>
      </c>
      <c r="B316" s="17" t="n">
        <f aca="false">B315+1</f>
        <v>46337</v>
      </c>
      <c r="C316" s="18" t="n">
        <f aca="false">MIN(ROUNDUP(A316/365,0),5)</f>
        <v>1</v>
      </c>
      <c r="D316" s="18" t="n">
        <f aca="false">DATEDIF(Assumptions!B5,B316,"m")+1</f>
        <v>11</v>
      </c>
      <c r="E316" s="18" t="str">
        <f aca="false">TEXT(B316,"ddd")</f>
        <v>Wed</v>
      </c>
      <c r="F316" s="19" t="n">
        <f aca="false">IF(WEEKDAY(B316,2)&gt;=6,Assumptions!B34,Assumptions!B35)</f>
        <v>1</v>
      </c>
      <c r="G316" s="20" t="n">
        <f aca="false">IF(D316&gt;=13,(1+Assumptions!B46)^(D316-12),1)</f>
        <v>1</v>
      </c>
      <c r="H316" s="21" t="n">
        <f aca="false">H315*(1+IF(C316=1,Assumptions!B22,Assumptions!B23))</f>
        <v>20.1483436136201</v>
      </c>
      <c r="I316" s="16" t="n">
        <f aca="false">ROUND(H316*F316,0)</f>
        <v>20</v>
      </c>
      <c r="J316" s="22" t="n">
        <f aca="false">I316*Assumptions!B24</f>
        <v>12000</v>
      </c>
      <c r="K316" s="21" t="n">
        <f aca="false">K315*(1+Assumptions!B30)</f>
        <v>14.5610244858994</v>
      </c>
      <c r="L316" s="16" t="n">
        <f aca="false">ROUND(K316*F316,0)</f>
        <v>15</v>
      </c>
      <c r="M316" s="22" t="n">
        <f aca="false">L316*Assumptions!B31</f>
        <v>4500</v>
      </c>
      <c r="N316" s="22" t="n">
        <f aca="false">J316+M316</f>
        <v>16500</v>
      </c>
      <c r="O316" s="22" t="n">
        <f aca="false">IF(DAY(B316)=1,Assumptions!B38*G316,0)</f>
        <v>0</v>
      </c>
      <c r="P316" s="22" t="n">
        <f aca="false">IF(DAY(B316)=1,Assumptions!B39*G316,0)</f>
        <v>0</v>
      </c>
      <c r="Q316" s="22" t="n">
        <f aca="false">IF(DAY(B316)=1,Assumptions!B40*G316,0)</f>
        <v>0</v>
      </c>
      <c r="R316" s="22" t="n">
        <f aca="false">IF(DAY(B316)=1,Assumptions!B41*G316,0)</f>
        <v>0</v>
      </c>
      <c r="S316" s="22" t="n">
        <f aca="false">IF(AND(DAY(B316)=1,D316&gt;=13),Assumptions!B42*G316,0)</f>
        <v>0</v>
      </c>
      <c r="T316" s="22" t="n">
        <f aca="false">IF(DAY(B316)=1,Assumptions!B43*G316,0)</f>
        <v>0</v>
      </c>
      <c r="U316" s="22" t="n">
        <f aca="false">SUM(O316:T316)</f>
        <v>0</v>
      </c>
      <c r="V316" s="22" t="n">
        <f aca="false">N316-U316</f>
        <v>16500</v>
      </c>
      <c r="W316" s="22" t="n">
        <f aca="false">W315+V316</f>
        <v>-3652800</v>
      </c>
      <c r="X316" s="23" t="str">
        <f aca="false">IF(W316&gt;=0,"YES","No")</f>
        <v>No</v>
      </c>
    </row>
    <row r="317" customFormat="false" ht="15" hidden="false" customHeight="false" outlineLevel="0" collapsed="false">
      <c r="A317" s="16" t="n">
        <v>316</v>
      </c>
      <c r="B317" s="17" t="n">
        <f aca="false">B316+1</f>
        <v>46338</v>
      </c>
      <c r="C317" s="18" t="n">
        <f aca="false">MIN(ROUNDUP(A317/365,0),5)</f>
        <v>1</v>
      </c>
      <c r="D317" s="18" t="n">
        <f aca="false">DATEDIF(Assumptions!B5,B317,"m")+1</f>
        <v>11</v>
      </c>
      <c r="E317" s="18" t="str">
        <f aca="false">TEXT(B317,"ddd")</f>
        <v>Thu</v>
      </c>
      <c r="F317" s="19" t="n">
        <f aca="false">IF(WEEKDAY(B317,2)&gt;=6,Assumptions!B34,Assumptions!B35)</f>
        <v>1</v>
      </c>
      <c r="G317" s="20" t="n">
        <f aca="false">IF(D317&gt;=13,(1+Assumptions!B46)^(D317-12),1)</f>
        <v>1</v>
      </c>
      <c r="H317" s="21" t="n">
        <f aca="false">H316*(1+IF(C317=1,Assumptions!B22,Assumptions!B23))</f>
        <v>20.161455307054</v>
      </c>
      <c r="I317" s="16" t="n">
        <f aca="false">ROUND(H317*F317,0)</f>
        <v>20</v>
      </c>
      <c r="J317" s="22" t="n">
        <f aca="false">I317*Assumptions!B24</f>
        <v>12000</v>
      </c>
      <c r="K317" s="21" t="n">
        <f aca="false">K316*(1+Assumptions!B30)</f>
        <v>14.5657850211936</v>
      </c>
      <c r="L317" s="16" t="n">
        <f aca="false">ROUND(K317*F317,0)</f>
        <v>15</v>
      </c>
      <c r="M317" s="22" t="n">
        <f aca="false">L317*Assumptions!B31</f>
        <v>4500</v>
      </c>
      <c r="N317" s="22" t="n">
        <f aca="false">J317+M317</f>
        <v>16500</v>
      </c>
      <c r="O317" s="22" t="n">
        <f aca="false">IF(DAY(B317)=1,Assumptions!B38*G317,0)</f>
        <v>0</v>
      </c>
      <c r="P317" s="22" t="n">
        <f aca="false">IF(DAY(B317)=1,Assumptions!B39*G317,0)</f>
        <v>0</v>
      </c>
      <c r="Q317" s="22" t="n">
        <f aca="false">IF(DAY(B317)=1,Assumptions!B40*G317,0)</f>
        <v>0</v>
      </c>
      <c r="R317" s="22" t="n">
        <f aca="false">IF(DAY(B317)=1,Assumptions!B41*G317,0)</f>
        <v>0</v>
      </c>
      <c r="S317" s="22" t="n">
        <f aca="false">IF(AND(DAY(B317)=1,D317&gt;=13),Assumptions!B42*G317,0)</f>
        <v>0</v>
      </c>
      <c r="T317" s="22" t="n">
        <f aca="false">IF(DAY(B317)=1,Assumptions!B43*G317,0)</f>
        <v>0</v>
      </c>
      <c r="U317" s="22" t="n">
        <f aca="false">SUM(O317:T317)</f>
        <v>0</v>
      </c>
      <c r="V317" s="22" t="n">
        <f aca="false">N317-U317</f>
        <v>16500</v>
      </c>
      <c r="W317" s="22" t="n">
        <f aca="false">W316+V317</f>
        <v>-3636300</v>
      </c>
      <c r="X317" s="23" t="str">
        <f aca="false">IF(W317&gt;=0,"YES","No")</f>
        <v>No</v>
      </c>
    </row>
    <row r="318" customFormat="false" ht="15" hidden="false" customHeight="false" outlineLevel="0" collapsed="false">
      <c r="A318" s="16" t="n">
        <v>317</v>
      </c>
      <c r="B318" s="17" t="n">
        <f aca="false">B317+1</f>
        <v>46339</v>
      </c>
      <c r="C318" s="18" t="n">
        <f aca="false">MIN(ROUNDUP(A318/365,0),5)</f>
        <v>1</v>
      </c>
      <c r="D318" s="18" t="n">
        <f aca="false">DATEDIF(Assumptions!B5,B318,"m")+1</f>
        <v>11</v>
      </c>
      <c r="E318" s="18" t="str">
        <f aca="false">TEXT(B318,"ddd")</f>
        <v>Fri</v>
      </c>
      <c r="F318" s="19" t="n">
        <f aca="false">IF(WEEKDAY(B318,2)&gt;=6,Assumptions!B34,Assumptions!B35)</f>
        <v>1</v>
      </c>
      <c r="G318" s="20" t="n">
        <f aca="false">IF(D318&gt;=13,(1+Assumptions!B46)^(D318-12),1)</f>
        <v>1</v>
      </c>
      <c r="H318" s="21" t="n">
        <f aca="false">H317*(1+IF(C318=1,Assumptions!B22,Assumptions!B23))</f>
        <v>20.1745755330258</v>
      </c>
      <c r="I318" s="16" t="n">
        <f aca="false">ROUND(H318*F318,0)</f>
        <v>20</v>
      </c>
      <c r="J318" s="22" t="n">
        <f aca="false">I318*Assumptions!B24</f>
        <v>12000</v>
      </c>
      <c r="K318" s="21" t="n">
        <f aca="false">K317*(1+Assumptions!B30)</f>
        <v>14.5705471128822</v>
      </c>
      <c r="L318" s="16" t="n">
        <f aca="false">ROUND(K318*F318,0)</f>
        <v>15</v>
      </c>
      <c r="M318" s="22" t="n">
        <f aca="false">L318*Assumptions!B31</f>
        <v>4500</v>
      </c>
      <c r="N318" s="22" t="n">
        <f aca="false">J318+M318</f>
        <v>16500</v>
      </c>
      <c r="O318" s="22" t="n">
        <f aca="false">IF(DAY(B318)=1,Assumptions!B38*G318,0)</f>
        <v>0</v>
      </c>
      <c r="P318" s="22" t="n">
        <f aca="false">IF(DAY(B318)=1,Assumptions!B39*G318,0)</f>
        <v>0</v>
      </c>
      <c r="Q318" s="22" t="n">
        <f aca="false">IF(DAY(B318)=1,Assumptions!B40*G318,0)</f>
        <v>0</v>
      </c>
      <c r="R318" s="22" t="n">
        <f aca="false">IF(DAY(B318)=1,Assumptions!B41*G318,0)</f>
        <v>0</v>
      </c>
      <c r="S318" s="22" t="n">
        <f aca="false">IF(AND(DAY(B318)=1,D318&gt;=13),Assumptions!B42*G318,0)</f>
        <v>0</v>
      </c>
      <c r="T318" s="22" t="n">
        <f aca="false">IF(DAY(B318)=1,Assumptions!B43*G318,0)</f>
        <v>0</v>
      </c>
      <c r="U318" s="22" t="n">
        <f aca="false">SUM(O318:T318)</f>
        <v>0</v>
      </c>
      <c r="V318" s="22" t="n">
        <f aca="false">N318-U318</f>
        <v>16500</v>
      </c>
      <c r="W318" s="22" t="n">
        <f aca="false">W317+V318</f>
        <v>-3619800</v>
      </c>
      <c r="X318" s="23" t="str">
        <f aca="false">IF(W318&gt;=0,"YES","No")</f>
        <v>No</v>
      </c>
    </row>
    <row r="319" customFormat="false" ht="15" hidden="false" customHeight="false" outlineLevel="0" collapsed="false">
      <c r="A319" s="16" t="n">
        <v>318</v>
      </c>
      <c r="B319" s="17" t="n">
        <f aca="false">B318+1</f>
        <v>46340</v>
      </c>
      <c r="C319" s="18" t="n">
        <f aca="false">MIN(ROUNDUP(A319/365,0),5)</f>
        <v>1</v>
      </c>
      <c r="D319" s="18" t="n">
        <f aca="false">DATEDIF(Assumptions!B5,B319,"m")+1</f>
        <v>11</v>
      </c>
      <c r="E319" s="18" t="str">
        <f aca="false">TEXT(B319,"ddd")</f>
        <v>Sat</v>
      </c>
      <c r="F319" s="19" t="n">
        <f aca="false">IF(WEEKDAY(B319,2)&gt;=6,Assumptions!B34,Assumptions!B35)</f>
        <v>0.6</v>
      </c>
      <c r="G319" s="20" t="n">
        <f aca="false">IF(D319&gt;=13,(1+Assumptions!B46)^(D319-12),1)</f>
        <v>1</v>
      </c>
      <c r="H319" s="21" t="n">
        <f aca="false">H318*(1+IF(C319=1,Assumptions!B22,Assumptions!B23))</f>
        <v>20.1877042970881</v>
      </c>
      <c r="I319" s="16" t="n">
        <f aca="false">ROUND(H319*F319,0)</f>
        <v>12</v>
      </c>
      <c r="J319" s="22" t="n">
        <f aca="false">I319*Assumptions!B24</f>
        <v>7200</v>
      </c>
      <c r="K319" s="21" t="n">
        <f aca="false">K318*(1+Assumptions!B30)</f>
        <v>14.575310761474</v>
      </c>
      <c r="L319" s="16" t="n">
        <f aca="false">ROUND(K319*F319,0)</f>
        <v>9</v>
      </c>
      <c r="M319" s="22" t="n">
        <f aca="false">L319*Assumptions!B31</f>
        <v>2700</v>
      </c>
      <c r="N319" s="22" t="n">
        <f aca="false">J319+M319</f>
        <v>9900</v>
      </c>
      <c r="O319" s="22" t="n">
        <f aca="false">IF(DAY(B319)=1,Assumptions!B38*G319,0)</f>
        <v>0</v>
      </c>
      <c r="P319" s="22" t="n">
        <f aca="false">IF(DAY(B319)=1,Assumptions!B39*G319,0)</f>
        <v>0</v>
      </c>
      <c r="Q319" s="22" t="n">
        <f aca="false">IF(DAY(B319)=1,Assumptions!B40*G319,0)</f>
        <v>0</v>
      </c>
      <c r="R319" s="22" t="n">
        <f aca="false">IF(DAY(B319)=1,Assumptions!B41*G319,0)</f>
        <v>0</v>
      </c>
      <c r="S319" s="22" t="n">
        <f aca="false">IF(AND(DAY(B319)=1,D319&gt;=13),Assumptions!B42*G319,0)</f>
        <v>0</v>
      </c>
      <c r="T319" s="22" t="n">
        <f aca="false">IF(DAY(B319)=1,Assumptions!B43*G319,0)</f>
        <v>0</v>
      </c>
      <c r="U319" s="22" t="n">
        <f aca="false">SUM(O319:T319)</f>
        <v>0</v>
      </c>
      <c r="V319" s="22" t="n">
        <f aca="false">N319-U319</f>
        <v>9900</v>
      </c>
      <c r="W319" s="22" t="n">
        <f aca="false">W318+V319</f>
        <v>-3609900</v>
      </c>
      <c r="X319" s="23" t="str">
        <f aca="false">IF(W319&gt;=0,"YES","No")</f>
        <v>No</v>
      </c>
    </row>
    <row r="320" customFormat="false" ht="15" hidden="false" customHeight="false" outlineLevel="0" collapsed="false">
      <c r="A320" s="16" t="n">
        <v>319</v>
      </c>
      <c r="B320" s="17" t="n">
        <f aca="false">B319+1</f>
        <v>46341</v>
      </c>
      <c r="C320" s="18" t="n">
        <f aca="false">MIN(ROUNDUP(A320/365,0),5)</f>
        <v>1</v>
      </c>
      <c r="D320" s="18" t="n">
        <f aca="false">DATEDIF(Assumptions!B5,B320,"m")+1</f>
        <v>11</v>
      </c>
      <c r="E320" s="18" t="str">
        <f aca="false">TEXT(B320,"ddd")</f>
        <v>Sun</v>
      </c>
      <c r="F320" s="19" t="n">
        <f aca="false">IF(WEEKDAY(B320,2)&gt;=6,Assumptions!B34,Assumptions!B35)</f>
        <v>0.6</v>
      </c>
      <c r="G320" s="20" t="n">
        <f aca="false">IF(D320&gt;=13,(1+Assumptions!B46)^(D320-12),1)</f>
        <v>1</v>
      </c>
      <c r="H320" s="21" t="n">
        <f aca="false">H319*(1+IF(C320=1,Assumptions!B22,Assumptions!B23))</f>
        <v>20.200841604797</v>
      </c>
      <c r="I320" s="16" t="n">
        <f aca="false">ROUND(H320*F320,0)</f>
        <v>12</v>
      </c>
      <c r="J320" s="22" t="n">
        <f aca="false">I320*Assumptions!B24</f>
        <v>7200</v>
      </c>
      <c r="K320" s="21" t="n">
        <f aca="false">K319*(1+Assumptions!B30)</f>
        <v>14.5800759674779</v>
      </c>
      <c r="L320" s="16" t="n">
        <f aca="false">ROUND(K320*F320,0)</f>
        <v>9</v>
      </c>
      <c r="M320" s="22" t="n">
        <f aca="false">L320*Assumptions!B31</f>
        <v>2700</v>
      </c>
      <c r="N320" s="22" t="n">
        <f aca="false">J320+M320</f>
        <v>9900</v>
      </c>
      <c r="O320" s="22" t="n">
        <f aca="false">IF(DAY(B320)=1,Assumptions!B38*G320,0)</f>
        <v>0</v>
      </c>
      <c r="P320" s="22" t="n">
        <f aca="false">IF(DAY(B320)=1,Assumptions!B39*G320,0)</f>
        <v>0</v>
      </c>
      <c r="Q320" s="22" t="n">
        <f aca="false">IF(DAY(B320)=1,Assumptions!B40*G320,0)</f>
        <v>0</v>
      </c>
      <c r="R320" s="22" t="n">
        <f aca="false">IF(DAY(B320)=1,Assumptions!B41*G320,0)</f>
        <v>0</v>
      </c>
      <c r="S320" s="22" t="n">
        <f aca="false">IF(AND(DAY(B320)=1,D320&gt;=13),Assumptions!B42*G320,0)</f>
        <v>0</v>
      </c>
      <c r="T320" s="22" t="n">
        <f aca="false">IF(DAY(B320)=1,Assumptions!B43*G320,0)</f>
        <v>0</v>
      </c>
      <c r="U320" s="22" t="n">
        <f aca="false">SUM(O320:T320)</f>
        <v>0</v>
      </c>
      <c r="V320" s="22" t="n">
        <f aca="false">N320-U320</f>
        <v>9900</v>
      </c>
      <c r="W320" s="22" t="n">
        <f aca="false">W319+V320</f>
        <v>-3600000</v>
      </c>
      <c r="X320" s="23" t="str">
        <f aca="false">IF(W320&gt;=0,"YES","No")</f>
        <v>No</v>
      </c>
    </row>
    <row r="321" customFormat="false" ht="15" hidden="false" customHeight="false" outlineLevel="0" collapsed="false">
      <c r="A321" s="16" t="n">
        <v>320</v>
      </c>
      <c r="B321" s="17" t="n">
        <f aca="false">B320+1</f>
        <v>46342</v>
      </c>
      <c r="C321" s="18" t="n">
        <f aca="false">MIN(ROUNDUP(A321/365,0),5)</f>
        <v>1</v>
      </c>
      <c r="D321" s="18" t="n">
        <f aca="false">DATEDIF(Assumptions!B5,B321,"m")+1</f>
        <v>11</v>
      </c>
      <c r="E321" s="18" t="str">
        <f aca="false">TEXT(B321,"ddd")</f>
        <v>Mon</v>
      </c>
      <c r="F321" s="19" t="n">
        <f aca="false">IF(WEEKDAY(B321,2)&gt;=6,Assumptions!B34,Assumptions!B35)</f>
        <v>1</v>
      </c>
      <c r="G321" s="20" t="n">
        <f aca="false">IF(D321&gt;=13,(1+Assumptions!B46)^(D321-12),1)</f>
        <v>1</v>
      </c>
      <c r="H321" s="21" t="n">
        <f aca="false">H320*(1+IF(C321=1,Assumptions!B22,Assumptions!B23))</f>
        <v>20.2139874617126</v>
      </c>
      <c r="I321" s="16" t="n">
        <f aca="false">ROUND(H321*F321,0)</f>
        <v>20</v>
      </c>
      <c r="J321" s="22" t="n">
        <f aca="false">I321*Assumptions!B24</f>
        <v>12000</v>
      </c>
      <c r="K321" s="21" t="n">
        <f aca="false">K320*(1+Assumptions!B30)</f>
        <v>14.5848427314033</v>
      </c>
      <c r="L321" s="16" t="n">
        <f aca="false">ROUND(K321*F321,0)</f>
        <v>15</v>
      </c>
      <c r="M321" s="22" t="n">
        <f aca="false">L321*Assumptions!B31</f>
        <v>4500</v>
      </c>
      <c r="N321" s="22" t="n">
        <f aca="false">J321+M321</f>
        <v>16500</v>
      </c>
      <c r="O321" s="22" t="n">
        <f aca="false">IF(DAY(B321)=1,Assumptions!B38*G321,0)</f>
        <v>0</v>
      </c>
      <c r="P321" s="22" t="n">
        <f aca="false">IF(DAY(B321)=1,Assumptions!B39*G321,0)</f>
        <v>0</v>
      </c>
      <c r="Q321" s="22" t="n">
        <f aca="false">IF(DAY(B321)=1,Assumptions!B40*G321,0)</f>
        <v>0</v>
      </c>
      <c r="R321" s="22" t="n">
        <f aca="false">IF(DAY(B321)=1,Assumptions!B41*G321,0)</f>
        <v>0</v>
      </c>
      <c r="S321" s="22" t="n">
        <f aca="false">IF(AND(DAY(B321)=1,D321&gt;=13),Assumptions!B42*G321,0)</f>
        <v>0</v>
      </c>
      <c r="T321" s="22" t="n">
        <f aca="false">IF(DAY(B321)=1,Assumptions!B43*G321,0)</f>
        <v>0</v>
      </c>
      <c r="U321" s="22" t="n">
        <f aca="false">SUM(O321:T321)</f>
        <v>0</v>
      </c>
      <c r="V321" s="22" t="n">
        <f aca="false">N321-U321</f>
        <v>16500</v>
      </c>
      <c r="W321" s="22" t="n">
        <f aca="false">W320+V321</f>
        <v>-3583500</v>
      </c>
      <c r="X321" s="23" t="str">
        <f aca="false">IF(W321&gt;=0,"YES","No")</f>
        <v>No</v>
      </c>
    </row>
    <row r="322" customFormat="false" ht="15" hidden="false" customHeight="false" outlineLevel="0" collapsed="false">
      <c r="A322" s="16" t="n">
        <v>321</v>
      </c>
      <c r="B322" s="17" t="n">
        <f aca="false">B321+1</f>
        <v>46343</v>
      </c>
      <c r="C322" s="18" t="n">
        <f aca="false">MIN(ROUNDUP(A322/365,0),5)</f>
        <v>1</v>
      </c>
      <c r="D322" s="18" t="n">
        <f aca="false">DATEDIF(Assumptions!B5,B322,"m")+1</f>
        <v>11</v>
      </c>
      <c r="E322" s="18" t="str">
        <f aca="false">TEXT(B322,"ddd")</f>
        <v>Tue</v>
      </c>
      <c r="F322" s="19" t="n">
        <f aca="false">IF(WEEKDAY(B322,2)&gt;=6,Assumptions!B34,Assumptions!B35)</f>
        <v>1</v>
      </c>
      <c r="G322" s="20" t="n">
        <f aca="false">IF(D322&gt;=13,(1+Assumptions!B46)^(D322-12),1)</f>
        <v>1</v>
      </c>
      <c r="H322" s="21" t="n">
        <f aca="false">H321*(1+IF(C322=1,Assumptions!B22,Assumptions!B23))</f>
        <v>20.2271418733981</v>
      </c>
      <c r="I322" s="16" t="n">
        <f aca="false">ROUND(H322*F322,0)</f>
        <v>20</v>
      </c>
      <c r="J322" s="22" t="n">
        <f aca="false">I322*Assumptions!B24</f>
        <v>12000</v>
      </c>
      <c r="K322" s="21" t="n">
        <f aca="false">K321*(1+Assumptions!B30)</f>
        <v>14.5896110537594</v>
      </c>
      <c r="L322" s="16" t="n">
        <f aca="false">ROUND(K322*F322,0)</f>
        <v>15</v>
      </c>
      <c r="M322" s="22" t="n">
        <f aca="false">L322*Assumptions!B31</f>
        <v>4500</v>
      </c>
      <c r="N322" s="22" t="n">
        <f aca="false">J322+M322</f>
        <v>16500</v>
      </c>
      <c r="O322" s="22" t="n">
        <f aca="false">IF(DAY(B322)=1,Assumptions!B38*G322,0)</f>
        <v>0</v>
      </c>
      <c r="P322" s="22" t="n">
        <f aca="false">IF(DAY(B322)=1,Assumptions!B39*G322,0)</f>
        <v>0</v>
      </c>
      <c r="Q322" s="22" t="n">
        <f aca="false">IF(DAY(B322)=1,Assumptions!B40*G322,0)</f>
        <v>0</v>
      </c>
      <c r="R322" s="22" t="n">
        <f aca="false">IF(DAY(B322)=1,Assumptions!B41*G322,0)</f>
        <v>0</v>
      </c>
      <c r="S322" s="22" t="n">
        <f aca="false">IF(AND(DAY(B322)=1,D322&gt;=13),Assumptions!B42*G322,0)</f>
        <v>0</v>
      </c>
      <c r="T322" s="22" t="n">
        <f aca="false">IF(DAY(B322)=1,Assumptions!B43*G322,0)</f>
        <v>0</v>
      </c>
      <c r="U322" s="22" t="n">
        <f aca="false">SUM(O322:T322)</f>
        <v>0</v>
      </c>
      <c r="V322" s="22" t="n">
        <f aca="false">N322-U322</f>
        <v>16500</v>
      </c>
      <c r="W322" s="22" t="n">
        <f aca="false">W321+V322</f>
        <v>-3567000</v>
      </c>
      <c r="X322" s="23" t="str">
        <f aca="false">IF(W322&gt;=0,"YES","No")</f>
        <v>No</v>
      </c>
    </row>
    <row r="323" customFormat="false" ht="15" hidden="false" customHeight="false" outlineLevel="0" collapsed="false">
      <c r="A323" s="16" t="n">
        <v>322</v>
      </c>
      <c r="B323" s="17" t="n">
        <f aca="false">B322+1</f>
        <v>46344</v>
      </c>
      <c r="C323" s="18" t="n">
        <f aca="false">MIN(ROUNDUP(A323/365,0),5)</f>
        <v>1</v>
      </c>
      <c r="D323" s="18" t="n">
        <f aca="false">DATEDIF(Assumptions!B5,B323,"m")+1</f>
        <v>11</v>
      </c>
      <c r="E323" s="18" t="str">
        <f aca="false">TEXT(B323,"ddd")</f>
        <v>Wed</v>
      </c>
      <c r="F323" s="19" t="n">
        <f aca="false">IF(WEEKDAY(B323,2)&gt;=6,Assumptions!B34,Assumptions!B35)</f>
        <v>1</v>
      </c>
      <c r="G323" s="20" t="n">
        <f aca="false">IF(D323&gt;=13,(1+Assumptions!B46)^(D323-12),1)</f>
        <v>1</v>
      </c>
      <c r="H323" s="21" t="n">
        <f aca="false">H322*(1+IF(C323=1,Assumptions!B22,Assumptions!B23))</f>
        <v>20.2403048454208</v>
      </c>
      <c r="I323" s="16" t="n">
        <f aca="false">ROUND(H323*F323,0)</f>
        <v>20</v>
      </c>
      <c r="J323" s="22" t="n">
        <f aca="false">I323*Assumptions!B24</f>
        <v>12000</v>
      </c>
      <c r="K323" s="21" t="n">
        <f aca="false">K322*(1+Assumptions!B30)</f>
        <v>14.5943809350557</v>
      </c>
      <c r="L323" s="16" t="n">
        <f aca="false">ROUND(K323*F323,0)</f>
        <v>15</v>
      </c>
      <c r="M323" s="22" t="n">
        <f aca="false">L323*Assumptions!B31</f>
        <v>4500</v>
      </c>
      <c r="N323" s="22" t="n">
        <f aca="false">J323+M323</f>
        <v>16500</v>
      </c>
      <c r="O323" s="22" t="n">
        <f aca="false">IF(DAY(B323)=1,Assumptions!B38*G323,0)</f>
        <v>0</v>
      </c>
      <c r="P323" s="22" t="n">
        <f aca="false">IF(DAY(B323)=1,Assumptions!B39*G323,0)</f>
        <v>0</v>
      </c>
      <c r="Q323" s="22" t="n">
        <f aca="false">IF(DAY(B323)=1,Assumptions!B40*G323,0)</f>
        <v>0</v>
      </c>
      <c r="R323" s="22" t="n">
        <f aca="false">IF(DAY(B323)=1,Assumptions!B41*G323,0)</f>
        <v>0</v>
      </c>
      <c r="S323" s="22" t="n">
        <f aca="false">IF(AND(DAY(B323)=1,D323&gt;=13),Assumptions!B42*G323,0)</f>
        <v>0</v>
      </c>
      <c r="T323" s="22" t="n">
        <f aca="false">IF(DAY(B323)=1,Assumptions!B43*G323,0)</f>
        <v>0</v>
      </c>
      <c r="U323" s="22" t="n">
        <f aca="false">SUM(O323:T323)</f>
        <v>0</v>
      </c>
      <c r="V323" s="22" t="n">
        <f aca="false">N323-U323</f>
        <v>16500</v>
      </c>
      <c r="W323" s="22" t="n">
        <f aca="false">W322+V323</f>
        <v>-3550500</v>
      </c>
      <c r="X323" s="23" t="str">
        <f aca="false">IF(W323&gt;=0,"YES","No")</f>
        <v>No</v>
      </c>
    </row>
    <row r="324" customFormat="false" ht="15" hidden="false" customHeight="false" outlineLevel="0" collapsed="false">
      <c r="A324" s="16" t="n">
        <v>323</v>
      </c>
      <c r="B324" s="17" t="n">
        <f aca="false">B323+1</f>
        <v>46345</v>
      </c>
      <c r="C324" s="18" t="n">
        <f aca="false">MIN(ROUNDUP(A324/365,0),5)</f>
        <v>1</v>
      </c>
      <c r="D324" s="18" t="n">
        <f aca="false">DATEDIF(Assumptions!B5,B324,"m")+1</f>
        <v>11</v>
      </c>
      <c r="E324" s="18" t="str">
        <f aca="false">TEXT(B324,"ddd")</f>
        <v>Thu</v>
      </c>
      <c r="F324" s="19" t="n">
        <f aca="false">IF(WEEKDAY(B324,2)&gt;=6,Assumptions!B34,Assumptions!B35)</f>
        <v>1</v>
      </c>
      <c r="G324" s="20" t="n">
        <f aca="false">IF(D324&gt;=13,(1+Assumptions!B46)^(D324-12),1)</f>
        <v>1</v>
      </c>
      <c r="H324" s="21" t="n">
        <f aca="false">H323*(1+IF(C324=1,Assumptions!B22,Assumptions!B23))</f>
        <v>20.2534763833512</v>
      </c>
      <c r="I324" s="16" t="n">
        <f aca="false">ROUND(H324*F324,0)</f>
        <v>20</v>
      </c>
      <c r="J324" s="22" t="n">
        <f aca="false">I324*Assumptions!B24</f>
        <v>12000</v>
      </c>
      <c r="K324" s="21" t="n">
        <f aca="false">K323*(1+Assumptions!B30)</f>
        <v>14.5991523758019</v>
      </c>
      <c r="L324" s="16" t="n">
        <f aca="false">ROUND(K324*F324,0)</f>
        <v>15</v>
      </c>
      <c r="M324" s="22" t="n">
        <f aca="false">L324*Assumptions!B31</f>
        <v>4500</v>
      </c>
      <c r="N324" s="22" t="n">
        <f aca="false">J324+M324</f>
        <v>16500</v>
      </c>
      <c r="O324" s="22" t="n">
        <f aca="false">IF(DAY(B324)=1,Assumptions!B38*G324,0)</f>
        <v>0</v>
      </c>
      <c r="P324" s="22" t="n">
        <f aca="false">IF(DAY(B324)=1,Assumptions!B39*G324,0)</f>
        <v>0</v>
      </c>
      <c r="Q324" s="22" t="n">
        <f aca="false">IF(DAY(B324)=1,Assumptions!B40*G324,0)</f>
        <v>0</v>
      </c>
      <c r="R324" s="22" t="n">
        <f aca="false">IF(DAY(B324)=1,Assumptions!B41*G324,0)</f>
        <v>0</v>
      </c>
      <c r="S324" s="22" t="n">
        <f aca="false">IF(AND(DAY(B324)=1,D324&gt;=13),Assumptions!B42*G324,0)</f>
        <v>0</v>
      </c>
      <c r="T324" s="22" t="n">
        <f aca="false">IF(DAY(B324)=1,Assumptions!B43*G324,0)</f>
        <v>0</v>
      </c>
      <c r="U324" s="22" t="n">
        <f aca="false">SUM(O324:T324)</f>
        <v>0</v>
      </c>
      <c r="V324" s="22" t="n">
        <f aca="false">N324-U324</f>
        <v>16500</v>
      </c>
      <c r="W324" s="22" t="n">
        <f aca="false">W323+V324</f>
        <v>-3534000</v>
      </c>
      <c r="X324" s="23" t="str">
        <f aca="false">IF(W324&gt;=0,"YES","No")</f>
        <v>No</v>
      </c>
    </row>
    <row r="325" customFormat="false" ht="15" hidden="false" customHeight="false" outlineLevel="0" collapsed="false">
      <c r="A325" s="16" t="n">
        <v>324</v>
      </c>
      <c r="B325" s="17" t="n">
        <f aca="false">B324+1</f>
        <v>46346</v>
      </c>
      <c r="C325" s="18" t="n">
        <f aca="false">MIN(ROUNDUP(A325/365,0),5)</f>
        <v>1</v>
      </c>
      <c r="D325" s="18" t="n">
        <f aca="false">DATEDIF(Assumptions!B5,B325,"m")+1</f>
        <v>11</v>
      </c>
      <c r="E325" s="18" t="str">
        <f aca="false">TEXT(B325,"ddd")</f>
        <v>Fri</v>
      </c>
      <c r="F325" s="19" t="n">
        <f aca="false">IF(WEEKDAY(B325,2)&gt;=6,Assumptions!B34,Assumptions!B35)</f>
        <v>1</v>
      </c>
      <c r="G325" s="20" t="n">
        <f aca="false">IF(D325&gt;=13,(1+Assumptions!B46)^(D325-12),1)</f>
        <v>1</v>
      </c>
      <c r="H325" s="21" t="n">
        <f aca="false">H324*(1+IF(C325=1,Assumptions!B22,Assumptions!B23))</f>
        <v>20.2666564927638</v>
      </c>
      <c r="I325" s="16" t="n">
        <f aca="false">ROUND(H325*F325,0)</f>
        <v>20</v>
      </c>
      <c r="J325" s="22" t="n">
        <f aca="false">I325*Assumptions!B24</f>
        <v>12000</v>
      </c>
      <c r="K325" s="21" t="n">
        <f aca="false">K324*(1+Assumptions!B30)</f>
        <v>14.6039253765078</v>
      </c>
      <c r="L325" s="16" t="n">
        <f aca="false">ROUND(K325*F325,0)</f>
        <v>15</v>
      </c>
      <c r="M325" s="22" t="n">
        <f aca="false">L325*Assumptions!B31</f>
        <v>4500</v>
      </c>
      <c r="N325" s="22" t="n">
        <f aca="false">J325+M325</f>
        <v>16500</v>
      </c>
      <c r="O325" s="22" t="n">
        <f aca="false">IF(DAY(B325)=1,Assumptions!B38*G325,0)</f>
        <v>0</v>
      </c>
      <c r="P325" s="22" t="n">
        <f aca="false">IF(DAY(B325)=1,Assumptions!B39*G325,0)</f>
        <v>0</v>
      </c>
      <c r="Q325" s="22" t="n">
        <f aca="false">IF(DAY(B325)=1,Assumptions!B40*G325,0)</f>
        <v>0</v>
      </c>
      <c r="R325" s="22" t="n">
        <f aca="false">IF(DAY(B325)=1,Assumptions!B41*G325,0)</f>
        <v>0</v>
      </c>
      <c r="S325" s="22" t="n">
        <f aca="false">IF(AND(DAY(B325)=1,D325&gt;=13),Assumptions!B42*G325,0)</f>
        <v>0</v>
      </c>
      <c r="T325" s="22" t="n">
        <f aca="false">IF(DAY(B325)=1,Assumptions!B43*G325,0)</f>
        <v>0</v>
      </c>
      <c r="U325" s="22" t="n">
        <f aca="false">SUM(O325:T325)</f>
        <v>0</v>
      </c>
      <c r="V325" s="22" t="n">
        <f aca="false">N325-U325</f>
        <v>16500</v>
      </c>
      <c r="W325" s="22" t="n">
        <f aca="false">W324+V325</f>
        <v>-3517500</v>
      </c>
      <c r="X325" s="23" t="str">
        <f aca="false">IF(W325&gt;=0,"YES","No")</f>
        <v>No</v>
      </c>
    </row>
    <row r="326" customFormat="false" ht="15" hidden="false" customHeight="false" outlineLevel="0" collapsed="false">
      <c r="A326" s="16" t="n">
        <v>325</v>
      </c>
      <c r="B326" s="17" t="n">
        <f aca="false">B325+1</f>
        <v>46347</v>
      </c>
      <c r="C326" s="18" t="n">
        <f aca="false">MIN(ROUNDUP(A326/365,0),5)</f>
        <v>1</v>
      </c>
      <c r="D326" s="18" t="n">
        <f aca="false">DATEDIF(Assumptions!B5,B326,"m")+1</f>
        <v>11</v>
      </c>
      <c r="E326" s="18" t="str">
        <f aca="false">TEXT(B326,"ddd")</f>
        <v>Sat</v>
      </c>
      <c r="F326" s="19" t="n">
        <f aca="false">IF(WEEKDAY(B326,2)&gt;=6,Assumptions!B34,Assumptions!B35)</f>
        <v>0.6</v>
      </c>
      <c r="G326" s="20" t="n">
        <f aca="false">IF(D326&gt;=13,(1+Assumptions!B46)^(D326-12),1)</f>
        <v>1</v>
      </c>
      <c r="H326" s="21" t="n">
        <f aca="false">H325*(1+IF(C326=1,Assumptions!B22,Assumptions!B23))</f>
        <v>20.2798451792365</v>
      </c>
      <c r="I326" s="16" t="n">
        <f aca="false">ROUND(H326*F326,0)</f>
        <v>12</v>
      </c>
      <c r="J326" s="22" t="n">
        <f aca="false">I326*Assumptions!B24</f>
        <v>7200</v>
      </c>
      <c r="K326" s="21" t="n">
        <f aca="false">K325*(1+Assumptions!B30)</f>
        <v>14.6086999376836</v>
      </c>
      <c r="L326" s="16" t="n">
        <f aca="false">ROUND(K326*F326,0)</f>
        <v>9</v>
      </c>
      <c r="M326" s="22" t="n">
        <f aca="false">L326*Assumptions!B31</f>
        <v>2700</v>
      </c>
      <c r="N326" s="22" t="n">
        <f aca="false">J326+M326</f>
        <v>9900</v>
      </c>
      <c r="O326" s="22" t="n">
        <f aca="false">IF(DAY(B326)=1,Assumptions!B38*G326,0)</f>
        <v>0</v>
      </c>
      <c r="P326" s="22" t="n">
        <f aca="false">IF(DAY(B326)=1,Assumptions!B39*G326,0)</f>
        <v>0</v>
      </c>
      <c r="Q326" s="22" t="n">
        <f aca="false">IF(DAY(B326)=1,Assumptions!B40*G326,0)</f>
        <v>0</v>
      </c>
      <c r="R326" s="22" t="n">
        <f aca="false">IF(DAY(B326)=1,Assumptions!B41*G326,0)</f>
        <v>0</v>
      </c>
      <c r="S326" s="22" t="n">
        <f aca="false">IF(AND(DAY(B326)=1,D326&gt;=13),Assumptions!B42*G326,0)</f>
        <v>0</v>
      </c>
      <c r="T326" s="22" t="n">
        <f aca="false">IF(DAY(B326)=1,Assumptions!B43*G326,0)</f>
        <v>0</v>
      </c>
      <c r="U326" s="22" t="n">
        <f aca="false">SUM(O326:T326)</f>
        <v>0</v>
      </c>
      <c r="V326" s="22" t="n">
        <f aca="false">N326-U326</f>
        <v>9900</v>
      </c>
      <c r="W326" s="22" t="n">
        <f aca="false">W325+V326</f>
        <v>-3507600</v>
      </c>
      <c r="X326" s="23" t="str">
        <f aca="false">IF(W326&gt;=0,"YES","No")</f>
        <v>No</v>
      </c>
    </row>
    <row r="327" customFormat="false" ht="15" hidden="false" customHeight="false" outlineLevel="0" collapsed="false">
      <c r="A327" s="16" t="n">
        <v>326</v>
      </c>
      <c r="B327" s="17" t="n">
        <f aca="false">B326+1</f>
        <v>46348</v>
      </c>
      <c r="C327" s="18" t="n">
        <f aca="false">MIN(ROUNDUP(A327/365,0),5)</f>
        <v>1</v>
      </c>
      <c r="D327" s="18" t="n">
        <f aca="false">DATEDIF(Assumptions!B5,B327,"m")+1</f>
        <v>11</v>
      </c>
      <c r="E327" s="18" t="str">
        <f aca="false">TEXT(B327,"ddd")</f>
        <v>Sun</v>
      </c>
      <c r="F327" s="19" t="n">
        <f aca="false">IF(WEEKDAY(B327,2)&gt;=6,Assumptions!B34,Assumptions!B35)</f>
        <v>0.6</v>
      </c>
      <c r="G327" s="20" t="n">
        <f aca="false">IF(D327&gt;=13,(1+Assumptions!B46)^(D327-12),1)</f>
        <v>1</v>
      </c>
      <c r="H327" s="21" t="n">
        <f aca="false">H326*(1+IF(C327=1,Assumptions!B22,Assumptions!B23))</f>
        <v>20.2930424483509</v>
      </c>
      <c r="I327" s="16" t="n">
        <f aca="false">ROUND(H327*F327,0)</f>
        <v>12</v>
      </c>
      <c r="J327" s="22" t="n">
        <f aca="false">I327*Assumptions!B24</f>
        <v>7200</v>
      </c>
      <c r="K327" s="21" t="n">
        <f aca="false">K326*(1+Assumptions!B30)</f>
        <v>14.6134760598392</v>
      </c>
      <c r="L327" s="16" t="n">
        <f aca="false">ROUND(K327*F327,0)</f>
        <v>9</v>
      </c>
      <c r="M327" s="22" t="n">
        <f aca="false">L327*Assumptions!B31</f>
        <v>2700</v>
      </c>
      <c r="N327" s="22" t="n">
        <f aca="false">J327+M327</f>
        <v>9900</v>
      </c>
      <c r="O327" s="22" t="n">
        <f aca="false">IF(DAY(B327)=1,Assumptions!B38*G327,0)</f>
        <v>0</v>
      </c>
      <c r="P327" s="22" t="n">
        <f aca="false">IF(DAY(B327)=1,Assumptions!B39*G327,0)</f>
        <v>0</v>
      </c>
      <c r="Q327" s="22" t="n">
        <f aca="false">IF(DAY(B327)=1,Assumptions!B40*G327,0)</f>
        <v>0</v>
      </c>
      <c r="R327" s="22" t="n">
        <f aca="false">IF(DAY(B327)=1,Assumptions!B41*G327,0)</f>
        <v>0</v>
      </c>
      <c r="S327" s="22" t="n">
        <f aca="false">IF(AND(DAY(B327)=1,D327&gt;=13),Assumptions!B42*G327,0)</f>
        <v>0</v>
      </c>
      <c r="T327" s="22" t="n">
        <f aca="false">IF(DAY(B327)=1,Assumptions!B43*G327,0)</f>
        <v>0</v>
      </c>
      <c r="U327" s="22" t="n">
        <f aca="false">SUM(O327:T327)</f>
        <v>0</v>
      </c>
      <c r="V327" s="22" t="n">
        <f aca="false">N327-U327</f>
        <v>9900</v>
      </c>
      <c r="W327" s="22" t="n">
        <f aca="false">W326+V327</f>
        <v>-3497700</v>
      </c>
      <c r="X327" s="23" t="str">
        <f aca="false">IF(W327&gt;=0,"YES","No")</f>
        <v>No</v>
      </c>
    </row>
    <row r="328" customFormat="false" ht="15" hidden="false" customHeight="false" outlineLevel="0" collapsed="false">
      <c r="A328" s="16" t="n">
        <v>327</v>
      </c>
      <c r="B328" s="17" t="n">
        <f aca="false">B327+1</f>
        <v>46349</v>
      </c>
      <c r="C328" s="18" t="n">
        <f aca="false">MIN(ROUNDUP(A328/365,0),5)</f>
        <v>1</v>
      </c>
      <c r="D328" s="18" t="n">
        <f aca="false">DATEDIF(Assumptions!B5,B328,"m")+1</f>
        <v>11</v>
      </c>
      <c r="E328" s="18" t="str">
        <f aca="false">TEXT(B328,"ddd")</f>
        <v>Mon</v>
      </c>
      <c r="F328" s="19" t="n">
        <f aca="false">IF(WEEKDAY(B328,2)&gt;=6,Assumptions!B34,Assumptions!B35)</f>
        <v>1</v>
      </c>
      <c r="G328" s="20" t="n">
        <f aca="false">IF(D328&gt;=13,(1+Assumptions!B46)^(D328-12),1)</f>
        <v>1</v>
      </c>
      <c r="H328" s="21" t="n">
        <f aca="false">H327*(1+IF(C328=1,Assumptions!B22,Assumptions!B23))</f>
        <v>20.3062483056922</v>
      </c>
      <c r="I328" s="16" t="n">
        <f aca="false">ROUND(H328*F328,0)</f>
        <v>20</v>
      </c>
      <c r="J328" s="22" t="n">
        <f aca="false">I328*Assumptions!B24</f>
        <v>12000</v>
      </c>
      <c r="K328" s="21" t="n">
        <f aca="false">K327*(1+Assumptions!B30)</f>
        <v>14.6182537434851</v>
      </c>
      <c r="L328" s="16" t="n">
        <f aca="false">ROUND(K328*F328,0)</f>
        <v>15</v>
      </c>
      <c r="M328" s="22" t="n">
        <f aca="false">L328*Assumptions!B31</f>
        <v>4500</v>
      </c>
      <c r="N328" s="22" t="n">
        <f aca="false">J328+M328</f>
        <v>16500</v>
      </c>
      <c r="O328" s="22" t="n">
        <f aca="false">IF(DAY(B328)=1,Assumptions!B38*G328,0)</f>
        <v>0</v>
      </c>
      <c r="P328" s="22" t="n">
        <f aca="false">IF(DAY(B328)=1,Assumptions!B39*G328,0)</f>
        <v>0</v>
      </c>
      <c r="Q328" s="22" t="n">
        <f aca="false">IF(DAY(B328)=1,Assumptions!B40*G328,0)</f>
        <v>0</v>
      </c>
      <c r="R328" s="22" t="n">
        <f aca="false">IF(DAY(B328)=1,Assumptions!B41*G328,0)</f>
        <v>0</v>
      </c>
      <c r="S328" s="22" t="n">
        <f aca="false">IF(AND(DAY(B328)=1,D328&gt;=13),Assumptions!B42*G328,0)</f>
        <v>0</v>
      </c>
      <c r="T328" s="22" t="n">
        <f aca="false">IF(DAY(B328)=1,Assumptions!B43*G328,0)</f>
        <v>0</v>
      </c>
      <c r="U328" s="22" t="n">
        <f aca="false">SUM(O328:T328)</f>
        <v>0</v>
      </c>
      <c r="V328" s="22" t="n">
        <f aca="false">N328-U328</f>
        <v>16500</v>
      </c>
      <c r="W328" s="22" t="n">
        <f aca="false">W327+V328</f>
        <v>-3481200</v>
      </c>
      <c r="X328" s="23" t="str">
        <f aca="false">IF(W328&gt;=0,"YES","No")</f>
        <v>No</v>
      </c>
    </row>
    <row r="329" customFormat="false" ht="15" hidden="false" customHeight="false" outlineLevel="0" collapsed="false">
      <c r="A329" s="16" t="n">
        <v>328</v>
      </c>
      <c r="B329" s="17" t="n">
        <f aca="false">B328+1</f>
        <v>46350</v>
      </c>
      <c r="C329" s="18" t="n">
        <f aca="false">MIN(ROUNDUP(A329/365,0),5)</f>
        <v>1</v>
      </c>
      <c r="D329" s="18" t="n">
        <f aca="false">DATEDIF(Assumptions!B5,B329,"m")+1</f>
        <v>11</v>
      </c>
      <c r="E329" s="18" t="str">
        <f aca="false">TEXT(B329,"ddd")</f>
        <v>Tue</v>
      </c>
      <c r="F329" s="19" t="n">
        <f aca="false">IF(WEEKDAY(B329,2)&gt;=6,Assumptions!B34,Assumptions!B35)</f>
        <v>1</v>
      </c>
      <c r="G329" s="20" t="n">
        <f aca="false">IF(D329&gt;=13,(1+Assumptions!B46)^(D329-12),1)</f>
        <v>1</v>
      </c>
      <c r="H329" s="21" t="n">
        <f aca="false">H328*(1+IF(C329=1,Assumptions!B22,Assumptions!B23))</f>
        <v>20.3194627568492</v>
      </c>
      <c r="I329" s="16" t="n">
        <f aca="false">ROUND(H329*F329,0)</f>
        <v>20</v>
      </c>
      <c r="J329" s="22" t="n">
        <f aca="false">I329*Assumptions!B24</f>
        <v>12000</v>
      </c>
      <c r="K329" s="21" t="n">
        <f aca="false">K328*(1+Assumptions!B30)</f>
        <v>14.6230329891318</v>
      </c>
      <c r="L329" s="16" t="n">
        <f aca="false">ROUND(K329*F329,0)</f>
        <v>15</v>
      </c>
      <c r="M329" s="22" t="n">
        <f aca="false">L329*Assumptions!B31</f>
        <v>4500</v>
      </c>
      <c r="N329" s="22" t="n">
        <f aca="false">J329+M329</f>
        <v>16500</v>
      </c>
      <c r="O329" s="22" t="n">
        <f aca="false">IF(DAY(B329)=1,Assumptions!B38*G329,0)</f>
        <v>0</v>
      </c>
      <c r="P329" s="22" t="n">
        <f aca="false">IF(DAY(B329)=1,Assumptions!B39*G329,0)</f>
        <v>0</v>
      </c>
      <c r="Q329" s="22" t="n">
        <f aca="false">IF(DAY(B329)=1,Assumptions!B40*G329,0)</f>
        <v>0</v>
      </c>
      <c r="R329" s="22" t="n">
        <f aca="false">IF(DAY(B329)=1,Assumptions!B41*G329,0)</f>
        <v>0</v>
      </c>
      <c r="S329" s="22" t="n">
        <f aca="false">IF(AND(DAY(B329)=1,D329&gt;=13),Assumptions!B42*G329,0)</f>
        <v>0</v>
      </c>
      <c r="T329" s="22" t="n">
        <f aca="false">IF(DAY(B329)=1,Assumptions!B43*G329,0)</f>
        <v>0</v>
      </c>
      <c r="U329" s="22" t="n">
        <f aca="false">SUM(O329:T329)</f>
        <v>0</v>
      </c>
      <c r="V329" s="22" t="n">
        <f aca="false">N329-U329</f>
        <v>16500</v>
      </c>
      <c r="W329" s="22" t="n">
        <f aca="false">W328+V329</f>
        <v>-3464700</v>
      </c>
      <c r="X329" s="23" t="str">
        <f aca="false">IF(W329&gt;=0,"YES","No")</f>
        <v>No</v>
      </c>
    </row>
    <row r="330" customFormat="false" ht="15" hidden="false" customHeight="false" outlineLevel="0" collapsed="false">
      <c r="A330" s="16" t="n">
        <v>329</v>
      </c>
      <c r="B330" s="17" t="n">
        <f aca="false">B329+1</f>
        <v>46351</v>
      </c>
      <c r="C330" s="18" t="n">
        <f aca="false">MIN(ROUNDUP(A330/365,0),5)</f>
        <v>1</v>
      </c>
      <c r="D330" s="18" t="n">
        <f aca="false">DATEDIF(Assumptions!B5,B330,"m")+1</f>
        <v>11</v>
      </c>
      <c r="E330" s="18" t="str">
        <f aca="false">TEXT(B330,"ddd")</f>
        <v>Wed</v>
      </c>
      <c r="F330" s="19" t="n">
        <f aca="false">IF(WEEKDAY(B330,2)&gt;=6,Assumptions!B34,Assumptions!B35)</f>
        <v>1</v>
      </c>
      <c r="G330" s="20" t="n">
        <f aca="false">IF(D330&gt;=13,(1+Assumptions!B46)^(D330-12),1)</f>
        <v>1</v>
      </c>
      <c r="H330" s="21" t="n">
        <f aca="false">H329*(1+IF(C330=1,Assumptions!B22,Assumptions!B23))</f>
        <v>20.3326858074145</v>
      </c>
      <c r="I330" s="16" t="n">
        <f aca="false">ROUND(H330*F330,0)</f>
        <v>20</v>
      </c>
      <c r="J330" s="22" t="n">
        <f aca="false">I330*Assumptions!B24</f>
        <v>12000</v>
      </c>
      <c r="K330" s="21" t="n">
        <f aca="false">K329*(1+Assumptions!B30)</f>
        <v>14.62781379729</v>
      </c>
      <c r="L330" s="16" t="n">
        <f aca="false">ROUND(K330*F330,0)</f>
        <v>15</v>
      </c>
      <c r="M330" s="22" t="n">
        <f aca="false">L330*Assumptions!B31</f>
        <v>4500</v>
      </c>
      <c r="N330" s="22" t="n">
        <f aca="false">J330+M330</f>
        <v>16500</v>
      </c>
      <c r="O330" s="22" t="n">
        <f aca="false">IF(DAY(B330)=1,Assumptions!B38*G330,0)</f>
        <v>0</v>
      </c>
      <c r="P330" s="22" t="n">
        <f aca="false">IF(DAY(B330)=1,Assumptions!B39*G330,0)</f>
        <v>0</v>
      </c>
      <c r="Q330" s="22" t="n">
        <f aca="false">IF(DAY(B330)=1,Assumptions!B40*G330,0)</f>
        <v>0</v>
      </c>
      <c r="R330" s="22" t="n">
        <f aca="false">IF(DAY(B330)=1,Assumptions!B41*G330,0)</f>
        <v>0</v>
      </c>
      <c r="S330" s="22" t="n">
        <f aca="false">IF(AND(DAY(B330)=1,D330&gt;=13),Assumptions!B42*G330,0)</f>
        <v>0</v>
      </c>
      <c r="T330" s="22" t="n">
        <f aca="false">IF(DAY(B330)=1,Assumptions!B43*G330,0)</f>
        <v>0</v>
      </c>
      <c r="U330" s="22" t="n">
        <f aca="false">SUM(O330:T330)</f>
        <v>0</v>
      </c>
      <c r="V330" s="22" t="n">
        <f aca="false">N330-U330</f>
        <v>16500</v>
      </c>
      <c r="W330" s="22" t="n">
        <f aca="false">W329+V330</f>
        <v>-3448200</v>
      </c>
      <c r="X330" s="23" t="str">
        <f aca="false">IF(W330&gt;=0,"YES","No")</f>
        <v>No</v>
      </c>
    </row>
    <row r="331" customFormat="false" ht="15" hidden="false" customHeight="false" outlineLevel="0" collapsed="false">
      <c r="A331" s="16" t="n">
        <v>330</v>
      </c>
      <c r="B331" s="17" t="n">
        <f aca="false">B330+1</f>
        <v>46352</v>
      </c>
      <c r="C331" s="18" t="n">
        <f aca="false">MIN(ROUNDUP(A331/365,0),5)</f>
        <v>1</v>
      </c>
      <c r="D331" s="18" t="n">
        <f aca="false">DATEDIF(Assumptions!B5,B331,"m")+1</f>
        <v>11</v>
      </c>
      <c r="E331" s="18" t="str">
        <f aca="false">TEXT(B331,"ddd")</f>
        <v>Thu</v>
      </c>
      <c r="F331" s="19" t="n">
        <f aca="false">IF(WEEKDAY(B331,2)&gt;=6,Assumptions!B34,Assumptions!B35)</f>
        <v>1</v>
      </c>
      <c r="G331" s="20" t="n">
        <f aca="false">IF(D331&gt;=13,(1+Assumptions!B46)^(D331-12),1)</f>
        <v>1</v>
      </c>
      <c r="H331" s="21" t="n">
        <f aca="false">H330*(1+IF(C331=1,Assumptions!B22,Assumptions!B23))</f>
        <v>20.3459174629842</v>
      </c>
      <c r="I331" s="16" t="n">
        <f aca="false">ROUND(H331*F331,0)</f>
        <v>20</v>
      </c>
      <c r="J331" s="22" t="n">
        <f aca="false">I331*Assumptions!B24</f>
        <v>12000</v>
      </c>
      <c r="K331" s="21" t="n">
        <f aca="false">K330*(1+Assumptions!B30)</f>
        <v>14.6325961684704</v>
      </c>
      <c r="L331" s="16" t="n">
        <f aca="false">ROUND(K331*F331,0)</f>
        <v>15</v>
      </c>
      <c r="M331" s="22" t="n">
        <f aca="false">L331*Assumptions!B31</f>
        <v>4500</v>
      </c>
      <c r="N331" s="22" t="n">
        <f aca="false">J331+M331</f>
        <v>16500</v>
      </c>
      <c r="O331" s="22" t="n">
        <f aca="false">IF(DAY(B331)=1,Assumptions!B38*G331,0)</f>
        <v>0</v>
      </c>
      <c r="P331" s="22" t="n">
        <f aca="false">IF(DAY(B331)=1,Assumptions!B39*G331,0)</f>
        <v>0</v>
      </c>
      <c r="Q331" s="22" t="n">
        <f aca="false">IF(DAY(B331)=1,Assumptions!B40*G331,0)</f>
        <v>0</v>
      </c>
      <c r="R331" s="22" t="n">
        <f aca="false">IF(DAY(B331)=1,Assumptions!B41*G331,0)</f>
        <v>0</v>
      </c>
      <c r="S331" s="22" t="n">
        <f aca="false">IF(AND(DAY(B331)=1,D331&gt;=13),Assumptions!B42*G331,0)</f>
        <v>0</v>
      </c>
      <c r="T331" s="22" t="n">
        <f aca="false">IF(DAY(B331)=1,Assumptions!B43*G331,0)</f>
        <v>0</v>
      </c>
      <c r="U331" s="22" t="n">
        <f aca="false">SUM(O331:T331)</f>
        <v>0</v>
      </c>
      <c r="V331" s="22" t="n">
        <f aca="false">N331-U331</f>
        <v>16500</v>
      </c>
      <c r="W331" s="22" t="n">
        <f aca="false">W330+V331</f>
        <v>-3431700</v>
      </c>
      <c r="X331" s="23" t="str">
        <f aca="false">IF(W331&gt;=0,"YES","No")</f>
        <v>No</v>
      </c>
    </row>
    <row r="332" customFormat="false" ht="15" hidden="false" customHeight="false" outlineLevel="0" collapsed="false">
      <c r="A332" s="16" t="n">
        <v>331</v>
      </c>
      <c r="B332" s="17" t="n">
        <f aca="false">B331+1</f>
        <v>46353</v>
      </c>
      <c r="C332" s="18" t="n">
        <f aca="false">MIN(ROUNDUP(A332/365,0),5)</f>
        <v>1</v>
      </c>
      <c r="D332" s="18" t="n">
        <f aca="false">DATEDIF(Assumptions!B5,B332,"m")+1</f>
        <v>11</v>
      </c>
      <c r="E332" s="18" t="str">
        <f aca="false">TEXT(B332,"ddd")</f>
        <v>Fri</v>
      </c>
      <c r="F332" s="19" t="n">
        <f aca="false">IF(WEEKDAY(B332,2)&gt;=6,Assumptions!B34,Assumptions!B35)</f>
        <v>1</v>
      </c>
      <c r="G332" s="20" t="n">
        <f aca="false">IF(D332&gt;=13,(1+Assumptions!B46)^(D332-12),1)</f>
        <v>1</v>
      </c>
      <c r="H332" s="21" t="n">
        <f aca="false">H331*(1+IF(C332=1,Assumptions!B22,Assumptions!B23))</f>
        <v>20.3591577291581</v>
      </c>
      <c r="I332" s="16" t="n">
        <f aca="false">ROUND(H332*F332,0)</f>
        <v>20</v>
      </c>
      <c r="J332" s="22" t="n">
        <f aca="false">I332*Assumptions!B24</f>
        <v>12000</v>
      </c>
      <c r="K332" s="21" t="n">
        <f aca="false">K331*(1+Assumptions!B30)</f>
        <v>14.6373801031842</v>
      </c>
      <c r="L332" s="16" t="n">
        <f aca="false">ROUND(K332*F332,0)</f>
        <v>15</v>
      </c>
      <c r="M332" s="22" t="n">
        <f aca="false">L332*Assumptions!B31</f>
        <v>4500</v>
      </c>
      <c r="N332" s="22" t="n">
        <f aca="false">J332+M332</f>
        <v>16500</v>
      </c>
      <c r="O332" s="22" t="n">
        <f aca="false">IF(DAY(B332)=1,Assumptions!B38*G332,0)</f>
        <v>0</v>
      </c>
      <c r="P332" s="22" t="n">
        <f aca="false">IF(DAY(B332)=1,Assumptions!B39*G332,0)</f>
        <v>0</v>
      </c>
      <c r="Q332" s="22" t="n">
        <f aca="false">IF(DAY(B332)=1,Assumptions!B40*G332,0)</f>
        <v>0</v>
      </c>
      <c r="R332" s="22" t="n">
        <f aca="false">IF(DAY(B332)=1,Assumptions!B41*G332,0)</f>
        <v>0</v>
      </c>
      <c r="S332" s="22" t="n">
        <f aca="false">IF(AND(DAY(B332)=1,D332&gt;=13),Assumptions!B42*G332,0)</f>
        <v>0</v>
      </c>
      <c r="T332" s="22" t="n">
        <f aca="false">IF(DAY(B332)=1,Assumptions!B43*G332,0)</f>
        <v>0</v>
      </c>
      <c r="U332" s="22" t="n">
        <f aca="false">SUM(O332:T332)</f>
        <v>0</v>
      </c>
      <c r="V332" s="22" t="n">
        <f aca="false">N332-U332</f>
        <v>16500</v>
      </c>
      <c r="W332" s="22" t="n">
        <f aca="false">W331+V332</f>
        <v>-3415200</v>
      </c>
      <c r="X332" s="23" t="str">
        <f aca="false">IF(W332&gt;=0,"YES","No")</f>
        <v>No</v>
      </c>
    </row>
    <row r="333" customFormat="false" ht="15" hidden="false" customHeight="false" outlineLevel="0" collapsed="false">
      <c r="A333" s="16" t="n">
        <v>332</v>
      </c>
      <c r="B333" s="17" t="n">
        <f aca="false">B332+1</f>
        <v>46354</v>
      </c>
      <c r="C333" s="18" t="n">
        <f aca="false">MIN(ROUNDUP(A333/365,0),5)</f>
        <v>1</v>
      </c>
      <c r="D333" s="18" t="n">
        <f aca="false">DATEDIF(Assumptions!B5,B333,"m")+1</f>
        <v>11</v>
      </c>
      <c r="E333" s="18" t="str">
        <f aca="false">TEXT(B333,"ddd")</f>
        <v>Sat</v>
      </c>
      <c r="F333" s="19" t="n">
        <f aca="false">IF(WEEKDAY(B333,2)&gt;=6,Assumptions!B34,Assumptions!B35)</f>
        <v>0.6</v>
      </c>
      <c r="G333" s="20" t="n">
        <f aca="false">IF(D333&gt;=13,(1+Assumptions!B46)^(D333-12),1)</f>
        <v>1</v>
      </c>
      <c r="H333" s="21" t="n">
        <f aca="false">H332*(1+IF(C333=1,Assumptions!B22,Assumptions!B23))</f>
        <v>20.3724066115395</v>
      </c>
      <c r="I333" s="16" t="n">
        <f aca="false">ROUND(H333*F333,0)</f>
        <v>12</v>
      </c>
      <c r="J333" s="22" t="n">
        <f aca="false">I333*Assumptions!B24</f>
        <v>7200</v>
      </c>
      <c r="K333" s="21" t="n">
        <f aca="false">K332*(1+Assumptions!B30)</f>
        <v>14.6421656019424</v>
      </c>
      <c r="L333" s="16" t="n">
        <f aca="false">ROUND(K333*F333,0)</f>
        <v>9</v>
      </c>
      <c r="M333" s="22" t="n">
        <f aca="false">L333*Assumptions!B31</f>
        <v>2700</v>
      </c>
      <c r="N333" s="22" t="n">
        <f aca="false">J333+M333</f>
        <v>9900</v>
      </c>
      <c r="O333" s="22" t="n">
        <f aca="false">IF(DAY(B333)=1,Assumptions!B38*G333,0)</f>
        <v>0</v>
      </c>
      <c r="P333" s="22" t="n">
        <f aca="false">IF(DAY(B333)=1,Assumptions!B39*G333,0)</f>
        <v>0</v>
      </c>
      <c r="Q333" s="22" t="n">
        <f aca="false">IF(DAY(B333)=1,Assumptions!B40*G333,0)</f>
        <v>0</v>
      </c>
      <c r="R333" s="22" t="n">
        <f aca="false">IF(DAY(B333)=1,Assumptions!B41*G333,0)</f>
        <v>0</v>
      </c>
      <c r="S333" s="22" t="n">
        <f aca="false">IF(AND(DAY(B333)=1,D333&gt;=13),Assumptions!B42*G333,0)</f>
        <v>0</v>
      </c>
      <c r="T333" s="22" t="n">
        <f aca="false">IF(DAY(B333)=1,Assumptions!B43*G333,0)</f>
        <v>0</v>
      </c>
      <c r="U333" s="22" t="n">
        <f aca="false">SUM(O333:T333)</f>
        <v>0</v>
      </c>
      <c r="V333" s="22" t="n">
        <f aca="false">N333-U333</f>
        <v>9900</v>
      </c>
      <c r="W333" s="22" t="n">
        <f aca="false">W332+V333</f>
        <v>-3405300</v>
      </c>
      <c r="X333" s="23" t="str">
        <f aca="false">IF(W333&gt;=0,"YES","No")</f>
        <v>No</v>
      </c>
    </row>
    <row r="334" customFormat="false" ht="15" hidden="false" customHeight="false" outlineLevel="0" collapsed="false">
      <c r="A334" s="16" t="n">
        <v>333</v>
      </c>
      <c r="B334" s="17" t="n">
        <f aca="false">B333+1</f>
        <v>46355</v>
      </c>
      <c r="C334" s="18" t="n">
        <f aca="false">MIN(ROUNDUP(A334/365,0),5)</f>
        <v>1</v>
      </c>
      <c r="D334" s="18" t="n">
        <f aca="false">DATEDIF(Assumptions!B5,B334,"m")+1</f>
        <v>11</v>
      </c>
      <c r="E334" s="18" t="str">
        <f aca="false">TEXT(B334,"ddd")</f>
        <v>Sun</v>
      </c>
      <c r="F334" s="19" t="n">
        <f aca="false">IF(WEEKDAY(B334,2)&gt;=6,Assumptions!B34,Assumptions!B35)</f>
        <v>0.6</v>
      </c>
      <c r="G334" s="20" t="n">
        <f aca="false">IF(D334&gt;=13,(1+Assumptions!B46)^(D334-12),1)</f>
        <v>1</v>
      </c>
      <c r="H334" s="21" t="n">
        <f aca="false">H333*(1+IF(C334=1,Assumptions!B22,Assumptions!B23))</f>
        <v>20.3856641157356</v>
      </c>
      <c r="I334" s="16" t="n">
        <f aca="false">ROUND(H334*F334,0)</f>
        <v>12</v>
      </c>
      <c r="J334" s="22" t="n">
        <f aca="false">I334*Assumptions!B24</f>
        <v>7200</v>
      </c>
      <c r="K334" s="21" t="n">
        <f aca="false">K333*(1+Assumptions!B30)</f>
        <v>14.6469526652565</v>
      </c>
      <c r="L334" s="16" t="n">
        <f aca="false">ROUND(K334*F334,0)</f>
        <v>9</v>
      </c>
      <c r="M334" s="22" t="n">
        <f aca="false">L334*Assumptions!B31</f>
        <v>2700</v>
      </c>
      <c r="N334" s="22" t="n">
        <f aca="false">J334+M334</f>
        <v>9900</v>
      </c>
      <c r="O334" s="22" t="n">
        <f aca="false">IF(DAY(B334)=1,Assumptions!B38*G334,0)</f>
        <v>0</v>
      </c>
      <c r="P334" s="22" t="n">
        <f aca="false">IF(DAY(B334)=1,Assumptions!B39*G334,0)</f>
        <v>0</v>
      </c>
      <c r="Q334" s="22" t="n">
        <f aca="false">IF(DAY(B334)=1,Assumptions!B40*G334,0)</f>
        <v>0</v>
      </c>
      <c r="R334" s="22" t="n">
        <f aca="false">IF(DAY(B334)=1,Assumptions!B41*G334,0)</f>
        <v>0</v>
      </c>
      <c r="S334" s="22" t="n">
        <f aca="false">IF(AND(DAY(B334)=1,D334&gt;=13),Assumptions!B42*G334,0)</f>
        <v>0</v>
      </c>
      <c r="T334" s="22" t="n">
        <f aca="false">IF(DAY(B334)=1,Assumptions!B43*G334,0)</f>
        <v>0</v>
      </c>
      <c r="U334" s="22" t="n">
        <f aca="false">SUM(O334:T334)</f>
        <v>0</v>
      </c>
      <c r="V334" s="22" t="n">
        <f aca="false">N334-U334</f>
        <v>9900</v>
      </c>
      <c r="W334" s="22" t="n">
        <f aca="false">W333+V334</f>
        <v>-3395400</v>
      </c>
      <c r="X334" s="23" t="str">
        <f aca="false">IF(W334&gt;=0,"YES","No")</f>
        <v>No</v>
      </c>
    </row>
    <row r="335" customFormat="false" ht="15" hidden="false" customHeight="false" outlineLevel="0" collapsed="false">
      <c r="A335" s="16" t="n">
        <v>334</v>
      </c>
      <c r="B335" s="17" t="n">
        <f aca="false">B334+1</f>
        <v>46356</v>
      </c>
      <c r="C335" s="18" t="n">
        <f aca="false">MIN(ROUNDUP(A335/365,0),5)</f>
        <v>1</v>
      </c>
      <c r="D335" s="18" t="n">
        <f aca="false">DATEDIF(Assumptions!B5,B335,"m")+1</f>
        <v>11</v>
      </c>
      <c r="E335" s="18" t="str">
        <f aca="false">TEXT(B335,"ddd")</f>
        <v>Mon</v>
      </c>
      <c r="F335" s="19" t="n">
        <f aca="false">IF(WEEKDAY(B335,2)&gt;=6,Assumptions!B34,Assumptions!B35)</f>
        <v>1</v>
      </c>
      <c r="G335" s="20" t="n">
        <f aca="false">IF(D335&gt;=13,(1+Assumptions!B46)^(D335-12),1)</f>
        <v>1</v>
      </c>
      <c r="H335" s="21" t="n">
        <f aca="false">H334*(1+IF(C335=1,Assumptions!B22,Assumptions!B23))</f>
        <v>20.3989302473571</v>
      </c>
      <c r="I335" s="16" t="n">
        <f aca="false">ROUND(H335*F335,0)</f>
        <v>20</v>
      </c>
      <c r="J335" s="22" t="n">
        <f aca="false">I335*Assumptions!B24</f>
        <v>12000</v>
      </c>
      <c r="K335" s="21" t="n">
        <f aca="false">K334*(1+Assumptions!B30)</f>
        <v>14.6517412936379</v>
      </c>
      <c r="L335" s="16" t="n">
        <f aca="false">ROUND(K335*F335,0)</f>
        <v>15</v>
      </c>
      <c r="M335" s="22" t="n">
        <f aca="false">L335*Assumptions!B31</f>
        <v>4500</v>
      </c>
      <c r="N335" s="22" t="n">
        <f aca="false">J335+M335</f>
        <v>16500</v>
      </c>
      <c r="O335" s="22" t="n">
        <f aca="false">IF(DAY(B335)=1,Assumptions!B38*G335,0)</f>
        <v>0</v>
      </c>
      <c r="P335" s="22" t="n">
        <f aca="false">IF(DAY(B335)=1,Assumptions!B39*G335,0)</f>
        <v>0</v>
      </c>
      <c r="Q335" s="22" t="n">
        <f aca="false">IF(DAY(B335)=1,Assumptions!B40*G335,0)</f>
        <v>0</v>
      </c>
      <c r="R335" s="22" t="n">
        <f aca="false">IF(DAY(B335)=1,Assumptions!B41*G335,0)</f>
        <v>0</v>
      </c>
      <c r="S335" s="22" t="n">
        <f aca="false">IF(AND(DAY(B335)=1,D335&gt;=13),Assumptions!B42*G335,0)</f>
        <v>0</v>
      </c>
      <c r="T335" s="22" t="n">
        <f aca="false">IF(DAY(B335)=1,Assumptions!B43*G335,0)</f>
        <v>0</v>
      </c>
      <c r="U335" s="22" t="n">
        <f aca="false">SUM(O335:T335)</f>
        <v>0</v>
      </c>
      <c r="V335" s="22" t="n">
        <f aca="false">N335-U335</f>
        <v>16500</v>
      </c>
      <c r="W335" s="22" t="n">
        <f aca="false">W334+V335</f>
        <v>-3378900</v>
      </c>
      <c r="X335" s="23" t="str">
        <f aca="false">IF(W335&gt;=0,"YES","No")</f>
        <v>No</v>
      </c>
    </row>
    <row r="336" customFormat="false" ht="15" hidden="false" customHeight="false" outlineLevel="0" collapsed="false">
      <c r="A336" s="16" t="n">
        <v>335</v>
      </c>
      <c r="B336" s="17" t="n">
        <f aca="false">B335+1</f>
        <v>46357</v>
      </c>
      <c r="C336" s="18" t="n">
        <f aca="false">MIN(ROUNDUP(A336/365,0),5)</f>
        <v>1</v>
      </c>
      <c r="D336" s="18" t="n">
        <f aca="false">DATEDIF(Assumptions!B5,B336,"m")+1</f>
        <v>12</v>
      </c>
      <c r="E336" s="18" t="str">
        <f aca="false">TEXT(B336,"ddd")</f>
        <v>Tue</v>
      </c>
      <c r="F336" s="19" t="n">
        <f aca="false">IF(WEEKDAY(B336,2)&gt;=6,Assumptions!B34,Assumptions!B35)</f>
        <v>1</v>
      </c>
      <c r="G336" s="20" t="n">
        <f aca="false">IF(D336&gt;=13,(1+Assumptions!B46)^(D336-12),1)</f>
        <v>1</v>
      </c>
      <c r="H336" s="21" t="n">
        <f aca="false">H335*(1+IF(C336=1,Assumptions!B22,Assumptions!B23))</f>
        <v>20.4122050120183</v>
      </c>
      <c r="I336" s="16" t="n">
        <f aca="false">ROUND(H336*F336,0)</f>
        <v>20</v>
      </c>
      <c r="J336" s="22" t="n">
        <f aca="false">I336*Assumptions!B24</f>
        <v>12000</v>
      </c>
      <c r="K336" s="21" t="n">
        <f aca="false">K335*(1+Assumptions!B30)</f>
        <v>14.6565314875984</v>
      </c>
      <c r="L336" s="16" t="n">
        <f aca="false">ROUND(K336*F336,0)</f>
        <v>15</v>
      </c>
      <c r="M336" s="22" t="n">
        <f aca="false">L336*Assumptions!B31</f>
        <v>4500</v>
      </c>
      <c r="N336" s="22" t="n">
        <f aca="false">J336+M336</f>
        <v>16500</v>
      </c>
      <c r="O336" s="22" t="n">
        <f aca="false">IF(DAY(B336)=1,Assumptions!B38*G336,0)</f>
        <v>150000</v>
      </c>
      <c r="P336" s="22" t="n">
        <f aca="false">IF(DAY(B336)=1,Assumptions!B39*G336,0)</f>
        <v>40000</v>
      </c>
      <c r="Q336" s="22" t="n">
        <f aca="false">IF(DAY(B336)=1,Assumptions!B40*G336,0)</f>
        <v>30000</v>
      </c>
      <c r="R336" s="22" t="n">
        <f aca="false">IF(DAY(B336)=1,Assumptions!B41*G336,0)</f>
        <v>20000</v>
      </c>
      <c r="S336" s="22" t="n">
        <f aca="false">IF(AND(DAY(B336)=1,D336&gt;=13),Assumptions!B42*G336,0)</f>
        <v>0</v>
      </c>
      <c r="T336" s="22" t="n">
        <f aca="false">IF(DAY(B336)=1,Assumptions!B43*G336,0)</f>
        <v>20000</v>
      </c>
      <c r="U336" s="22" t="n">
        <f aca="false">SUM(O336:T336)</f>
        <v>260000</v>
      </c>
      <c r="V336" s="22" t="n">
        <f aca="false">N336-U336</f>
        <v>-243500</v>
      </c>
      <c r="W336" s="22" t="n">
        <f aca="false">W335+V336</f>
        <v>-3622400</v>
      </c>
      <c r="X336" s="23" t="str">
        <f aca="false">IF(W336&gt;=0,"YES","No")</f>
        <v>No</v>
      </c>
    </row>
    <row r="337" customFormat="false" ht="15" hidden="false" customHeight="false" outlineLevel="0" collapsed="false">
      <c r="A337" s="16" t="n">
        <v>336</v>
      </c>
      <c r="B337" s="17" t="n">
        <f aca="false">B336+1</f>
        <v>46358</v>
      </c>
      <c r="C337" s="18" t="n">
        <f aca="false">MIN(ROUNDUP(A337/365,0),5)</f>
        <v>1</v>
      </c>
      <c r="D337" s="18" t="n">
        <f aca="false">DATEDIF(Assumptions!B5,B337,"m")+1</f>
        <v>12</v>
      </c>
      <c r="E337" s="18" t="str">
        <f aca="false">TEXT(B337,"ddd")</f>
        <v>Wed</v>
      </c>
      <c r="F337" s="19" t="n">
        <f aca="false">IF(WEEKDAY(B337,2)&gt;=6,Assumptions!B34,Assumptions!B35)</f>
        <v>1</v>
      </c>
      <c r="G337" s="20" t="n">
        <f aca="false">IF(D337&gt;=13,(1+Assumptions!B46)^(D337-12),1)</f>
        <v>1</v>
      </c>
      <c r="H337" s="21" t="n">
        <f aca="false">H336*(1+IF(C337=1,Assumptions!B22,Assumptions!B23))</f>
        <v>20.4254884153372</v>
      </c>
      <c r="I337" s="16" t="n">
        <f aca="false">ROUND(H337*F337,0)</f>
        <v>20</v>
      </c>
      <c r="J337" s="22" t="n">
        <f aca="false">I337*Assumptions!B24</f>
        <v>12000</v>
      </c>
      <c r="K337" s="21" t="n">
        <f aca="false">K336*(1+Assumptions!B30)</f>
        <v>14.6613232476497</v>
      </c>
      <c r="L337" s="16" t="n">
        <f aca="false">ROUND(K337*F337,0)</f>
        <v>15</v>
      </c>
      <c r="M337" s="22" t="n">
        <f aca="false">L337*Assumptions!B31</f>
        <v>4500</v>
      </c>
      <c r="N337" s="22" t="n">
        <f aca="false">J337+M337</f>
        <v>16500</v>
      </c>
      <c r="O337" s="22" t="n">
        <f aca="false">IF(DAY(B337)=1,Assumptions!B38*G337,0)</f>
        <v>0</v>
      </c>
      <c r="P337" s="22" t="n">
        <f aca="false">IF(DAY(B337)=1,Assumptions!B39*G337,0)</f>
        <v>0</v>
      </c>
      <c r="Q337" s="22" t="n">
        <f aca="false">IF(DAY(B337)=1,Assumptions!B40*G337,0)</f>
        <v>0</v>
      </c>
      <c r="R337" s="22" t="n">
        <f aca="false">IF(DAY(B337)=1,Assumptions!B41*G337,0)</f>
        <v>0</v>
      </c>
      <c r="S337" s="22" t="n">
        <f aca="false">IF(AND(DAY(B337)=1,D337&gt;=13),Assumptions!B42*G337,0)</f>
        <v>0</v>
      </c>
      <c r="T337" s="22" t="n">
        <f aca="false">IF(DAY(B337)=1,Assumptions!B43*G337,0)</f>
        <v>0</v>
      </c>
      <c r="U337" s="22" t="n">
        <f aca="false">SUM(O337:T337)</f>
        <v>0</v>
      </c>
      <c r="V337" s="22" t="n">
        <f aca="false">N337-U337</f>
        <v>16500</v>
      </c>
      <c r="W337" s="22" t="n">
        <f aca="false">W336+V337</f>
        <v>-3605900</v>
      </c>
      <c r="X337" s="23" t="str">
        <f aca="false">IF(W337&gt;=0,"YES","No")</f>
        <v>No</v>
      </c>
    </row>
    <row r="338" customFormat="false" ht="15" hidden="false" customHeight="false" outlineLevel="0" collapsed="false">
      <c r="A338" s="16" t="n">
        <v>337</v>
      </c>
      <c r="B338" s="17" t="n">
        <f aca="false">B337+1</f>
        <v>46359</v>
      </c>
      <c r="C338" s="18" t="n">
        <f aca="false">MIN(ROUNDUP(A338/365,0),5)</f>
        <v>1</v>
      </c>
      <c r="D338" s="18" t="n">
        <f aca="false">DATEDIF(Assumptions!B5,B338,"m")+1</f>
        <v>12</v>
      </c>
      <c r="E338" s="18" t="str">
        <f aca="false">TEXT(B338,"ddd")</f>
        <v>Thu</v>
      </c>
      <c r="F338" s="19" t="n">
        <f aca="false">IF(WEEKDAY(B338,2)&gt;=6,Assumptions!B34,Assumptions!B35)</f>
        <v>1</v>
      </c>
      <c r="G338" s="20" t="n">
        <f aca="false">IF(D338&gt;=13,(1+Assumptions!B46)^(D338-12),1)</f>
        <v>1</v>
      </c>
      <c r="H338" s="21" t="n">
        <f aca="false">H337*(1+IF(C338=1,Assumptions!B22,Assumptions!B23))</f>
        <v>20.4387804629356</v>
      </c>
      <c r="I338" s="16" t="n">
        <f aca="false">ROUND(H338*F338,0)</f>
        <v>20</v>
      </c>
      <c r="J338" s="22" t="n">
        <f aca="false">I338*Assumptions!B24</f>
        <v>12000</v>
      </c>
      <c r="K338" s="21" t="n">
        <f aca="false">K337*(1+Assumptions!B30)</f>
        <v>14.6661165743038</v>
      </c>
      <c r="L338" s="16" t="n">
        <f aca="false">ROUND(K338*F338,0)</f>
        <v>15</v>
      </c>
      <c r="M338" s="22" t="n">
        <f aca="false">L338*Assumptions!B31</f>
        <v>4500</v>
      </c>
      <c r="N338" s="22" t="n">
        <f aca="false">J338+M338</f>
        <v>16500</v>
      </c>
      <c r="O338" s="22" t="n">
        <f aca="false">IF(DAY(B338)=1,Assumptions!B38*G338,0)</f>
        <v>0</v>
      </c>
      <c r="P338" s="22" t="n">
        <f aca="false">IF(DAY(B338)=1,Assumptions!B39*G338,0)</f>
        <v>0</v>
      </c>
      <c r="Q338" s="22" t="n">
        <f aca="false">IF(DAY(B338)=1,Assumptions!B40*G338,0)</f>
        <v>0</v>
      </c>
      <c r="R338" s="22" t="n">
        <f aca="false">IF(DAY(B338)=1,Assumptions!B41*G338,0)</f>
        <v>0</v>
      </c>
      <c r="S338" s="22" t="n">
        <f aca="false">IF(AND(DAY(B338)=1,D338&gt;=13),Assumptions!B42*G338,0)</f>
        <v>0</v>
      </c>
      <c r="T338" s="22" t="n">
        <f aca="false">IF(DAY(B338)=1,Assumptions!B43*G338,0)</f>
        <v>0</v>
      </c>
      <c r="U338" s="22" t="n">
        <f aca="false">SUM(O338:T338)</f>
        <v>0</v>
      </c>
      <c r="V338" s="22" t="n">
        <f aca="false">N338-U338</f>
        <v>16500</v>
      </c>
      <c r="W338" s="22" t="n">
        <f aca="false">W337+V338</f>
        <v>-3589400</v>
      </c>
      <c r="X338" s="23" t="str">
        <f aca="false">IF(W338&gt;=0,"YES","No")</f>
        <v>No</v>
      </c>
    </row>
    <row r="339" customFormat="false" ht="15" hidden="false" customHeight="false" outlineLevel="0" collapsed="false">
      <c r="A339" s="16" t="n">
        <v>338</v>
      </c>
      <c r="B339" s="17" t="n">
        <f aca="false">B338+1</f>
        <v>46360</v>
      </c>
      <c r="C339" s="18" t="n">
        <f aca="false">MIN(ROUNDUP(A339/365,0),5)</f>
        <v>1</v>
      </c>
      <c r="D339" s="18" t="n">
        <f aca="false">DATEDIF(Assumptions!B5,B339,"m")+1</f>
        <v>12</v>
      </c>
      <c r="E339" s="18" t="str">
        <f aca="false">TEXT(B339,"ddd")</f>
        <v>Fri</v>
      </c>
      <c r="F339" s="19" t="n">
        <f aca="false">IF(WEEKDAY(B339,2)&gt;=6,Assumptions!B34,Assumptions!B35)</f>
        <v>1</v>
      </c>
      <c r="G339" s="20" t="n">
        <f aca="false">IF(D339&gt;=13,(1+Assumptions!B46)^(D339-12),1)</f>
        <v>1</v>
      </c>
      <c r="H339" s="21" t="n">
        <f aca="false">H338*(1+IF(C339=1,Assumptions!B22,Assumptions!B23))</f>
        <v>20.4520811604387</v>
      </c>
      <c r="I339" s="16" t="n">
        <f aca="false">ROUND(H339*F339,0)</f>
        <v>20</v>
      </c>
      <c r="J339" s="22" t="n">
        <f aca="false">I339*Assumptions!B24</f>
        <v>12000</v>
      </c>
      <c r="K339" s="21" t="n">
        <f aca="false">K338*(1+Assumptions!B30)</f>
        <v>14.6709114680731</v>
      </c>
      <c r="L339" s="16" t="n">
        <f aca="false">ROUND(K339*F339,0)</f>
        <v>15</v>
      </c>
      <c r="M339" s="22" t="n">
        <f aca="false">L339*Assumptions!B31</f>
        <v>4500</v>
      </c>
      <c r="N339" s="22" t="n">
        <f aca="false">J339+M339</f>
        <v>16500</v>
      </c>
      <c r="O339" s="22" t="n">
        <f aca="false">IF(DAY(B339)=1,Assumptions!B38*G339,0)</f>
        <v>0</v>
      </c>
      <c r="P339" s="22" t="n">
        <f aca="false">IF(DAY(B339)=1,Assumptions!B39*G339,0)</f>
        <v>0</v>
      </c>
      <c r="Q339" s="22" t="n">
        <f aca="false">IF(DAY(B339)=1,Assumptions!B40*G339,0)</f>
        <v>0</v>
      </c>
      <c r="R339" s="22" t="n">
        <f aca="false">IF(DAY(B339)=1,Assumptions!B41*G339,0)</f>
        <v>0</v>
      </c>
      <c r="S339" s="22" t="n">
        <f aca="false">IF(AND(DAY(B339)=1,D339&gt;=13),Assumptions!B42*G339,0)</f>
        <v>0</v>
      </c>
      <c r="T339" s="22" t="n">
        <f aca="false">IF(DAY(B339)=1,Assumptions!B43*G339,0)</f>
        <v>0</v>
      </c>
      <c r="U339" s="22" t="n">
        <f aca="false">SUM(O339:T339)</f>
        <v>0</v>
      </c>
      <c r="V339" s="22" t="n">
        <f aca="false">N339-U339</f>
        <v>16500</v>
      </c>
      <c r="W339" s="22" t="n">
        <f aca="false">W338+V339</f>
        <v>-3572900</v>
      </c>
      <c r="X339" s="23" t="str">
        <f aca="false">IF(W339&gt;=0,"YES","No")</f>
        <v>No</v>
      </c>
    </row>
    <row r="340" customFormat="false" ht="15" hidden="false" customHeight="false" outlineLevel="0" collapsed="false">
      <c r="A340" s="16" t="n">
        <v>339</v>
      </c>
      <c r="B340" s="17" t="n">
        <f aca="false">B339+1</f>
        <v>46361</v>
      </c>
      <c r="C340" s="18" t="n">
        <f aca="false">MIN(ROUNDUP(A340/365,0),5)</f>
        <v>1</v>
      </c>
      <c r="D340" s="18" t="n">
        <f aca="false">DATEDIF(Assumptions!B5,B340,"m")+1</f>
        <v>12</v>
      </c>
      <c r="E340" s="18" t="str">
        <f aca="false">TEXT(B340,"ddd")</f>
        <v>Sat</v>
      </c>
      <c r="F340" s="19" t="n">
        <f aca="false">IF(WEEKDAY(B340,2)&gt;=6,Assumptions!B34,Assumptions!B35)</f>
        <v>0.6</v>
      </c>
      <c r="G340" s="20" t="n">
        <f aca="false">IF(D340&gt;=13,(1+Assumptions!B46)^(D340-12),1)</f>
        <v>1</v>
      </c>
      <c r="H340" s="21" t="n">
        <f aca="false">H339*(1+IF(C340=1,Assumptions!B22,Assumptions!B23))</f>
        <v>20.4653905134756</v>
      </c>
      <c r="I340" s="16" t="n">
        <f aca="false">ROUND(H340*F340,0)</f>
        <v>12</v>
      </c>
      <c r="J340" s="22" t="n">
        <f aca="false">I340*Assumptions!B24</f>
        <v>7200</v>
      </c>
      <c r="K340" s="21" t="n">
        <f aca="false">K339*(1+Assumptions!B30)</f>
        <v>14.6757079294697</v>
      </c>
      <c r="L340" s="16" t="n">
        <f aca="false">ROUND(K340*F340,0)</f>
        <v>9</v>
      </c>
      <c r="M340" s="22" t="n">
        <f aca="false">L340*Assumptions!B31</f>
        <v>2700</v>
      </c>
      <c r="N340" s="22" t="n">
        <f aca="false">J340+M340</f>
        <v>9900</v>
      </c>
      <c r="O340" s="22" t="n">
        <f aca="false">IF(DAY(B340)=1,Assumptions!B38*G340,0)</f>
        <v>0</v>
      </c>
      <c r="P340" s="22" t="n">
        <f aca="false">IF(DAY(B340)=1,Assumptions!B39*G340,0)</f>
        <v>0</v>
      </c>
      <c r="Q340" s="22" t="n">
        <f aca="false">IF(DAY(B340)=1,Assumptions!B40*G340,0)</f>
        <v>0</v>
      </c>
      <c r="R340" s="22" t="n">
        <f aca="false">IF(DAY(B340)=1,Assumptions!B41*G340,0)</f>
        <v>0</v>
      </c>
      <c r="S340" s="22" t="n">
        <f aca="false">IF(AND(DAY(B340)=1,D340&gt;=13),Assumptions!B42*G340,0)</f>
        <v>0</v>
      </c>
      <c r="T340" s="22" t="n">
        <f aca="false">IF(DAY(B340)=1,Assumptions!B43*G340,0)</f>
        <v>0</v>
      </c>
      <c r="U340" s="22" t="n">
        <f aca="false">SUM(O340:T340)</f>
        <v>0</v>
      </c>
      <c r="V340" s="22" t="n">
        <f aca="false">N340-U340</f>
        <v>9900</v>
      </c>
      <c r="W340" s="22" t="n">
        <f aca="false">W339+V340</f>
        <v>-3563000</v>
      </c>
      <c r="X340" s="23" t="str">
        <f aca="false">IF(W340&gt;=0,"YES","No")</f>
        <v>No</v>
      </c>
    </row>
    <row r="341" customFormat="false" ht="15" hidden="false" customHeight="false" outlineLevel="0" collapsed="false">
      <c r="A341" s="16" t="n">
        <v>340</v>
      </c>
      <c r="B341" s="17" t="n">
        <f aca="false">B340+1</f>
        <v>46362</v>
      </c>
      <c r="C341" s="18" t="n">
        <f aca="false">MIN(ROUNDUP(A341/365,0),5)</f>
        <v>1</v>
      </c>
      <c r="D341" s="18" t="n">
        <f aca="false">DATEDIF(Assumptions!B5,B341,"m")+1</f>
        <v>12</v>
      </c>
      <c r="E341" s="18" t="str">
        <f aca="false">TEXT(B341,"ddd")</f>
        <v>Sun</v>
      </c>
      <c r="F341" s="19" t="n">
        <f aca="false">IF(WEEKDAY(B341,2)&gt;=6,Assumptions!B34,Assumptions!B35)</f>
        <v>0.6</v>
      </c>
      <c r="G341" s="20" t="n">
        <f aca="false">IF(D341&gt;=13,(1+Assumptions!B46)^(D341-12),1)</f>
        <v>1</v>
      </c>
      <c r="H341" s="21" t="n">
        <f aca="false">H340*(1+IF(C341=1,Assumptions!B22,Assumptions!B23))</f>
        <v>20.4787085276788</v>
      </c>
      <c r="I341" s="16" t="n">
        <f aca="false">ROUND(H341*F341,0)</f>
        <v>12</v>
      </c>
      <c r="J341" s="22" t="n">
        <f aca="false">I341*Assumptions!B24</f>
        <v>7200</v>
      </c>
      <c r="K341" s="21" t="n">
        <f aca="false">K340*(1+Assumptions!B30)</f>
        <v>14.6805059590063</v>
      </c>
      <c r="L341" s="16" t="n">
        <f aca="false">ROUND(K341*F341,0)</f>
        <v>9</v>
      </c>
      <c r="M341" s="22" t="n">
        <f aca="false">L341*Assumptions!B31</f>
        <v>2700</v>
      </c>
      <c r="N341" s="22" t="n">
        <f aca="false">J341+M341</f>
        <v>9900</v>
      </c>
      <c r="O341" s="22" t="n">
        <f aca="false">IF(DAY(B341)=1,Assumptions!B38*G341,0)</f>
        <v>0</v>
      </c>
      <c r="P341" s="22" t="n">
        <f aca="false">IF(DAY(B341)=1,Assumptions!B39*G341,0)</f>
        <v>0</v>
      </c>
      <c r="Q341" s="22" t="n">
        <f aca="false">IF(DAY(B341)=1,Assumptions!B40*G341,0)</f>
        <v>0</v>
      </c>
      <c r="R341" s="22" t="n">
        <f aca="false">IF(DAY(B341)=1,Assumptions!B41*G341,0)</f>
        <v>0</v>
      </c>
      <c r="S341" s="22" t="n">
        <f aca="false">IF(AND(DAY(B341)=1,D341&gt;=13),Assumptions!B42*G341,0)</f>
        <v>0</v>
      </c>
      <c r="T341" s="22" t="n">
        <f aca="false">IF(DAY(B341)=1,Assumptions!B43*G341,0)</f>
        <v>0</v>
      </c>
      <c r="U341" s="22" t="n">
        <f aca="false">SUM(O341:T341)</f>
        <v>0</v>
      </c>
      <c r="V341" s="22" t="n">
        <f aca="false">N341-U341</f>
        <v>9900</v>
      </c>
      <c r="W341" s="22" t="n">
        <f aca="false">W340+V341</f>
        <v>-3553100</v>
      </c>
      <c r="X341" s="23" t="str">
        <f aca="false">IF(W341&gt;=0,"YES","No")</f>
        <v>No</v>
      </c>
    </row>
    <row r="342" customFormat="false" ht="15" hidden="false" customHeight="false" outlineLevel="0" collapsed="false">
      <c r="A342" s="16" t="n">
        <v>341</v>
      </c>
      <c r="B342" s="17" t="n">
        <f aca="false">B341+1</f>
        <v>46363</v>
      </c>
      <c r="C342" s="18" t="n">
        <f aca="false">MIN(ROUNDUP(A342/365,0),5)</f>
        <v>1</v>
      </c>
      <c r="D342" s="18" t="n">
        <f aca="false">DATEDIF(Assumptions!B5,B342,"m")+1</f>
        <v>12</v>
      </c>
      <c r="E342" s="18" t="str">
        <f aca="false">TEXT(B342,"ddd")</f>
        <v>Mon</v>
      </c>
      <c r="F342" s="19" t="n">
        <f aca="false">IF(WEEKDAY(B342,2)&gt;=6,Assumptions!B34,Assumptions!B35)</f>
        <v>1</v>
      </c>
      <c r="G342" s="20" t="n">
        <f aca="false">IF(D342&gt;=13,(1+Assumptions!B46)^(D342-12),1)</f>
        <v>1</v>
      </c>
      <c r="H342" s="21" t="n">
        <f aca="false">H341*(1+IF(C342=1,Assumptions!B22,Assumptions!B23))</f>
        <v>20.4920352086848</v>
      </c>
      <c r="I342" s="16" t="n">
        <f aca="false">ROUND(H342*F342,0)</f>
        <v>20</v>
      </c>
      <c r="J342" s="22" t="n">
        <f aca="false">I342*Assumptions!B24</f>
        <v>12000</v>
      </c>
      <c r="K342" s="21" t="n">
        <f aca="false">K341*(1+Assumptions!B30)</f>
        <v>14.6853055571954</v>
      </c>
      <c r="L342" s="16" t="n">
        <f aca="false">ROUND(K342*F342,0)</f>
        <v>15</v>
      </c>
      <c r="M342" s="22" t="n">
        <f aca="false">L342*Assumptions!B31</f>
        <v>4500</v>
      </c>
      <c r="N342" s="22" t="n">
        <f aca="false">J342+M342</f>
        <v>16500</v>
      </c>
      <c r="O342" s="22" t="n">
        <f aca="false">IF(DAY(B342)=1,Assumptions!B38*G342,0)</f>
        <v>0</v>
      </c>
      <c r="P342" s="22" t="n">
        <f aca="false">IF(DAY(B342)=1,Assumptions!B39*G342,0)</f>
        <v>0</v>
      </c>
      <c r="Q342" s="22" t="n">
        <f aca="false">IF(DAY(B342)=1,Assumptions!B40*G342,0)</f>
        <v>0</v>
      </c>
      <c r="R342" s="22" t="n">
        <f aca="false">IF(DAY(B342)=1,Assumptions!B41*G342,0)</f>
        <v>0</v>
      </c>
      <c r="S342" s="22" t="n">
        <f aca="false">IF(AND(DAY(B342)=1,D342&gt;=13),Assumptions!B42*G342,0)</f>
        <v>0</v>
      </c>
      <c r="T342" s="22" t="n">
        <f aca="false">IF(DAY(B342)=1,Assumptions!B43*G342,0)</f>
        <v>0</v>
      </c>
      <c r="U342" s="22" t="n">
        <f aca="false">SUM(O342:T342)</f>
        <v>0</v>
      </c>
      <c r="V342" s="22" t="n">
        <f aca="false">N342-U342</f>
        <v>16500</v>
      </c>
      <c r="W342" s="22" t="n">
        <f aca="false">W341+V342</f>
        <v>-3536600</v>
      </c>
      <c r="X342" s="23" t="str">
        <f aca="false">IF(W342&gt;=0,"YES","No")</f>
        <v>No</v>
      </c>
    </row>
    <row r="343" customFormat="false" ht="15" hidden="false" customHeight="false" outlineLevel="0" collapsed="false">
      <c r="A343" s="16" t="n">
        <v>342</v>
      </c>
      <c r="B343" s="17" t="n">
        <f aca="false">B342+1</f>
        <v>46364</v>
      </c>
      <c r="C343" s="18" t="n">
        <f aca="false">MIN(ROUNDUP(A343/365,0),5)</f>
        <v>1</v>
      </c>
      <c r="D343" s="18" t="n">
        <f aca="false">DATEDIF(Assumptions!B5,B343,"m")+1</f>
        <v>12</v>
      </c>
      <c r="E343" s="18" t="str">
        <f aca="false">TEXT(B343,"ddd")</f>
        <v>Tue</v>
      </c>
      <c r="F343" s="19" t="n">
        <f aca="false">IF(WEEKDAY(B343,2)&gt;=6,Assumptions!B34,Assumptions!B35)</f>
        <v>1</v>
      </c>
      <c r="G343" s="20" t="n">
        <f aca="false">IF(D343&gt;=13,(1+Assumptions!B46)^(D343-12),1)</f>
        <v>1</v>
      </c>
      <c r="H343" s="21" t="n">
        <f aca="false">H342*(1+IF(C343=1,Assumptions!B22,Assumptions!B23))</f>
        <v>20.5053705621335</v>
      </c>
      <c r="I343" s="16" t="n">
        <f aca="false">ROUND(H343*F343,0)</f>
        <v>21</v>
      </c>
      <c r="J343" s="22" t="n">
        <f aca="false">I343*Assumptions!B24</f>
        <v>12600</v>
      </c>
      <c r="K343" s="21" t="n">
        <f aca="false">K342*(1+Assumptions!B30)</f>
        <v>14.69010672455</v>
      </c>
      <c r="L343" s="16" t="n">
        <f aca="false">ROUND(K343*F343,0)</f>
        <v>15</v>
      </c>
      <c r="M343" s="22" t="n">
        <f aca="false">L343*Assumptions!B31</f>
        <v>4500</v>
      </c>
      <c r="N343" s="22" t="n">
        <f aca="false">J343+M343</f>
        <v>17100</v>
      </c>
      <c r="O343" s="22" t="n">
        <f aca="false">IF(DAY(B343)=1,Assumptions!B38*G343,0)</f>
        <v>0</v>
      </c>
      <c r="P343" s="22" t="n">
        <f aca="false">IF(DAY(B343)=1,Assumptions!B39*G343,0)</f>
        <v>0</v>
      </c>
      <c r="Q343" s="22" t="n">
        <f aca="false">IF(DAY(B343)=1,Assumptions!B40*G343,0)</f>
        <v>0</v>
      </c>
      <c r="R343" s="22" t="n">
        <f aca="false">IF(DAY(B343)=1,Assumptions!B41*G343,0)</f>
        <v>0</v>
      </c>
      <c r="S343" s="22" t="n">
        <f aca="false">IF(AND(DAY(B343)=1,D343&gt;=13),Assumptions!B42*G343,0)</f>
        <v>0</v>
      </c>
      <c r="T343" s="22" t="n">
        <f aca="false">IF(DAY(B343)=1,Assumptions!B43*G343,0)</f>
        <v>0</v>
      </c>
      <c r="U343" s="22" t="n">
        <f aca="false">SUM(O343:T343)</f>
        <v>0</v>
      </c>
      <c r="V343" s="22" t="n">
        <f aca="false">N343-U343</f>
        <v>17100</v>
      </c>
      <c r="W343" s="22" t="n">
        <f aca="false">W342+V343</f>
        <v>-3519500</v>
      </c>
      <c r="X343" s="23" t="str">
        <f aca="false">IF(W343&gt;=0,"YES","No")</f>
        <v>No</v>
      </c>
    </row>
    <row r="344" customFormat="false" ht="15" hidden="false" customHeight="false" outlineLevel="0" collapsed="false">
      <c r="A344" s="16" t="n">
        <v>343</v>
      </c>
      <c r="B344" s="17" t="n">
        <f aca="false">B343+1</f>
        <v>46365</v>
      </c>
      <c r="C344" s="18" t="n">
        <f aca="false">MIN(ROUNDUP(A344/365,0),5)</f>
        <v>1</v>
      </c>
      <c r="D344" s="18" t="n">
        <f aca="false">DATEDIF(Assumptions!B5,B344,"m")+1</f>
        <v>12</v>
      </c>
      <c r="E344" s="18" t="str">
        <f aca="false">TEXT(B344,"ddd")</f>
        <v>Wed</v>
      </c>
      <c r="F344" s="19" t="n">
        <f aca="false">IF(WEEKDAY(B344,2)&gt;=6,Assumptions!B34,Assumptions!B35)</f>
        <v>1</v>
      </c>
      <c r="G344" s="20" t="n">
        <f aca="false">IF(D344&gt;=13,(1+Assumptions!B46)^(D344-12),1)</f>
        <v>1</v>
      </c>
      <c r="H344" s="21" t="n">
        <f aca="false">H343*(1+IF(C344=1,Assumptions!B22,Assumptions!B23))</f>
        <v>20.5187145936686</v>
      </c>
      <c r="I344" s="16" t="n">
        <f aca="false">ROUND(H344*F344,0)</f>
        <v>21</v>
      </c>
      <c r="J344" s="22" t="n">
        <f aca="false">I344*Assumptions!B24</f>
        <v>12600</v>
      </c>
      <c r="K344" s="21" t="n">
        <f aca="false">K343*(1+Assumptions!B30)</f>
        <v>14.6949094615831</v>
      </c>
      <c r="L344" s="16" t="n">
        <f aca="false">ROUND(K344*F344,0)</f>
        <v>15</v>
      </c>
      <c r="M344" s="22" t="n">
        <f aca="false">L344*Assumptions!B31</f>
        <v>4500</v>
      </c>
      <c r="N344" s="22" t="n">
        <f aca="false">J344+M344</f>
        <v>17100</v>
      </c>
      <c r="O344" s="22" t="n">
        <f aca="false">IF(DAY(B344)=1,Assumptions!B38*G344,0)</f>
        <v>0</v>
      </c>
      <c r="P344" s="22" t="n">
        <f aca="false">IF(DAY(B344)=1,Assumptions!B39*G344,0)</f>
        <v>0</v>
      </c>
      <c r="Q344" s="22" t="n">
        <f aca="false">IF(DAY(B344)=1,Assumptions!B40*G344,0)</f>
        <v>0</v>
      </c>
      <c r="R344" s="22" t="n">
        <f aca="false">IF(DAY(B344)=1,Assumptions!B41*G344,0)</f>
        <v>0</v>
      </c>
      <c r="S344" s="22" t="n">
        <f aca="false">IF(AND(DAY(B344)=1,D344&gt;=13),Assumptions!B42*G344,0)</f>
        <v>0</v>
      </c>
      <c r="T344" s="22" t="n">
        <f aca="false">IF(DAY(B344)=1,Assumptions!B43*G344,0)</f>
        <v>0</v>
      </c>
      <c r="U344" s="22" t="n">
        <f aca="false">SUM(O344:T344)</f>
        <v>0</v>
      </c>
      <c r="V344" s="22" t="n">
        <f aca="false">N344-U344</f>
        <v>17100</v>
      </c>
      <c r="W344" s="22" t="n">
        <f aca="false">W343+V344</f>
        <v>-3502400</v>
      </c>
      <c r="X344" s="23" t="str">
        <f aca="false">IF(W344&gt;=0,"YES","No")</f>
        <v>No</v>
      </c>
    </row>
    <row r="345" customFormat="false" ht="15" hidden="false" customHeight="false" outlineLevel="0" collapsed="false">
      <c r="A345" s="16" t="n">
        <v>344</v>
      </c>
      <c r="B345" s="17" t="n">
        <f aca="false">B344+1</f>
        <v>46366</v>
      </c>
      <c r="C345" s="18" t="n">
        <f aca="false">MIN(ROUNDUP(A345/365,0),5)</f>
        <v>1</v>
      </c>
      <c r="D345" s="18" t="n">
        <f aca="false">DATEDIF(Assumptions!B5,B345,"m")+1</f>
        <v>12</v>
      </c>
      <c r="E345" s="18" t="str">
        <f aca="false">TEXT(B345,"ddd")</f>
        <v>Thu</v>
      </c>
      <c r="F345" s="19" t="n">
        <f aca="false">IF(WEEKDAY(B345,2)&gt;=6,Assumptions!B34,Assumptions!B35)</f>
        <v>1</v>
      </c>
      <c r="G345" s="20" t="n">
        <f aca="false">IF(D345&gt;=13,(1+Assumptions!B46)^(D345-12),1)</f>
        <v>1</v>
      </c>
      <c r="H345" s="21" t="n">
        <f aca="false">H344*(1+IF(C345=1,Assumptions!B22,Assumptions!B23))</f>
        <v>20.5320673089374</v>
      </c>
      <c r="I345" s="16" t="n">
        <f aca="false">ROUND(H345*F345,0)</f>
        <v>21</v>
      </c>
      <c r="J345" s="22" t="n">
        <f aca="false">I345*Assumptions!B24</f>
        <v>12600</v>
      </c>
      <c r="K345" s="21" t="n">
        <f aca="false">K344*(1+Assumptions!B30)</f>
        <v>14.6997137688079</v>
      </c>
      <c r="L345" s="16" t="n">
        <f aca="false">ROUND(K345*F345,0)</f>
        <v>15</v>
      </c>
      <c r="M345" s="22" t="n">
        <f aca="false">L345*Assumptions!B31</f>
        <v>4500</v>
      </c>
      <c r="N345" s="22" t="n">
        <f aca="false">J345+M345</f>
        <v>17100</v>
      </c>
      <c r="O345" s="22" t="n">
        <f aca="false">IF(DAY(B345)=1,Assumptions!B38*G345,0)</f>
        <v>0</v>
      </c>
      <c r="P345" s="22" t="n">
        <f aca="false">IF(DAY(B345)=1,Assumptions!B39*G345,0)</f>
        <v>0</v>
      </c>
      <c r="Q345" s="22" t="n">
        <f aca="false">IF(DAY(B345)=1,Assumptions!B40*G345,0)</f>
        <v>0</v>
      </c>
      <c r="R345" s="22" t="n">
        <f aca="false">IF(DAY(B345)=1,Assumptions!B41*G345,0)</f>
        <v>0</v>
      </c>
      <c r="S345" s="22" t="n">
        <f aca="false">IF(AND(DAY(B345)=1,D345&gt;=13),Assumptions!B42*G345,0)</f>
        <v>0</v>
      </c>
      <c r="T345" s="22" t="n">
        <f aca="false">IF(DAY(B345)=1,Assumptions!B43*G345,0)</f>
        <v>0</v>
      </c>
      <c r="U345" s="22" t="n">
        <f aca="false">SUM(O345:T345)</f>
        <v>0</v>
      </c>
      <c r="V345" s="22" t="n">
        <f aca="false">N345-U345</f>
        <v>17100</v>
      </c>
      <c r="W345" s="22" t="n">
        <f aca="false">W344+V345</f>
        <v>-3485300</v>
      </c>
      <c r="X345" s="23" t="str">
        <f aca="false">IF(W345&gt;=0,"YES","No")</f>
        <v>No</v>
      </c>
    </row>
    <row r="346" customFormat="false" ht="15" hidden="false" customHeight="false" outlineLevel="0" collapsed="false">
      <c r="A346" s="16" t="n">
        <v>345</v>
      </c>
      <c r="B346" s="17" t="n">
        <f aca="false">B345+1</f>
        <v>46367</v>
      </c>
      <c r="C346" s="18" t="n">
        <f aca="false">MIN(ROUNDUP(A346/365,0),5)</f>
        <v>1</v>
      </c>
      <c r="D346" s="18" t="n">
        <f aca="false">DATEDIF(Assumptions!B5,B346,"m")+1</f>
        <v>12</v>
      </c>
      <c r="E346" s="18" t="str">
        <f aca="false">TEXT(B346,"ddd")</f>
        <v>Fri</v>
      </c>
      <c r="F346" s="19" t="n">
        <f aca="false">IF(WEEKDAY(B346,2)&gt;=6,Assumptions!B34,Assumptions!B35)</f>
        <v>1</v>
      </c>
      <c r="G346" s="20" t="n">
        <f aca="false">IF(D346&gt;=13,(1+Assumptions!B46)^(D346-12),1)</f>
        <v>1</v>
      </c>
      <c r="H346" s="21" t="n">
        <f aca="false">H345*(1+IF(C346=1,Assumptions!B22,Assumptions!B23))</f>
        <v>20.5454287135909</v>
      </c>
      <c r="I346" s="16" t="n">
        <f aca="false">ROUND(H346*F346,0)</f>
        <v>21</v>
      </c>
      <c r="J346" s="22" t="n">
        <f aca="false">I346*Assumptions!B24</f>
        <v>12600</v>
      </c>
      <c r="K346" s="21" t="n">
        <f aca="false">K345*(1+Assumptions!B30)</f>
        <v>14.7045196467376</v>
      </c>
      <c r="L346" s="16" t="n">
        <f aca="false">ROUND(K346*F346,0)</f>
        <v>15</v>
      </c>
      <c r="M346" s="22" t="n">
        <f aca="false">L346*Assumptions!B31</f>
        <v>4500</v>
      </c>
      <c r="N346" s="22" t="n">
        <f aca="false">J346+M346</f>
        <v>17100</v>
      </c>
      <c r="O346" s="22" t="n">
        <f aca="false">IF(DAY(B346)=1,Assumptions!B38*G346,0)</f>
        <v>0</v>
      </c>
      <c r="P346" s="22" t="n">
        <f aca="false">IF(DAY(B346)=1,Assumptions!B39*G346,0)</f>
        <v>0</v>
      </c>
      <c r="Q346" s="22" t="n">
        <f aca="false">IF(DAY(B346)=1,Assumptions!B40*G346,0)</f>
        <v>0</v>
      </c>
      <c r="R346" s="22" t="n">
        <f aca="false">IF(DAY(B346)=1,Assumptions!B41*G346,0)</f>
        <v>0</v>
      </c>
      <c r="S346" s="22" t="n">
        <f aca="false">IF(AND(DAY(B346)=1,D346&gt;=13),Assumptions!B42*G346,0)</f>
        <v>0</v>
      </c>
      <c r="T346" s="22" t="n">
        <f aca="false">IF(DAY(B346)=1,Assumptions!B43*G346,0)</f>
        <v>0</v>
      </c>
      <c r="U346" s="22" t="n">
        <f aca="false">SUM(O346:T346)</f>
        <v>0</v>
      </c>
      <c r="V346" s="22" t="n">
        <f aca="false">N346-U346</f>
        <v>17100</v>
      </c>
      <c r="W346" s="22" t="n">
        <f aca="false">W345+V346</f>
        <v>-3468200</v>
      </c>
      <c r="X346" s="23" t="str">
        <f aca="false">IF(W346&gt;=0,"YES","No")</f>
        <v>No</v>
      </c>
    </row>
    <row r="347" customFormat="false" ht="15" hidden="false" customHeight="false" outlineLevel="0" collapsed="false">
      <c r="A347" s="16" t="n">
        <v>346</v>
      </c>
      <c r="B347" s="17" t="n">
        <f aca="false">B346+1</f>
        <v>46368</v>
      </c>
      <c r="C347" s="18" t="n">
        <f aca="false">MIN(ROUNDUP(A347/365,0),5)</f>
        <v>1</v>
      </c>
      <c r="D347" s="18" t="n">
        <f aca="false">DATEDIF(Assumptions!B5,B347,"m")+1</f>
        <v>12</v>
      </c>
      <c r="E347" s="18" t="str">
        <f aca="false">TEXT(B347,"ddd")</f>
        <v>Sat</v>
      </c>
      <c r="F347" s="19" t="n">
        <f aca="false">IF(WEEKDAY(B347,2)&gt;=6,Assumptions!B34,Assumptions!B35)</f>
        <v>0.6</v>
      </c>
      <c r="G347" s="20" t="n">
        <f aca="false">IF(D347&gt;=13,(1+Assumptions!B46)^(D347-12),1)</f>
        <v>1</v>
      </c>
      <c r="H347" s="21" t="n">
        <f aca="false">H346*(1+IF(C347=1,Assumptions!B22,Assumptions!B23))</f>
        <v>20.5587988132839</v>
      </c>
      <c r="I347" s="16" t="n">
        <f aca="false">ROUND(H347*F347,0)</f>
        <v>12</v>
      </c>
      <c r="J347" s="22" t="n">
        <f aca="false">I347*Assumptions!B24</f>
        <v>7200</v>
      </c>
      <c r="K347" s="21" t="n">
        <f aca="false">K346*(1+Assumptions!B30)</f>
        <v>14.7093270958859</v>
      </c>
      <c r="L347" s="16" t="n">
        <f aca="false">ROUND(K347*F347,0)</f>
        <v>9</v>
      </c>
      <c r="M347" s="22" t="n">
        <f aca="false">L347*Assumptions!B31</f>
        <v>2700</v>
      </c>
      <c r="N347" s="22" t="n">
        <f aca="false">J347+M347</f>
        <v>9900</v>
      </c>
      <c r="O347" s="22" t="n">
        <f aca="false">IF(DAY(B347)=1,Assumptions!B38*G347,0)</f>
        <v>0</v>
      </c>
      <c r="P347" s="22" t="n">
        <f aca="false">IF(DAY(B347)=1,Assumptions!B39*G347,0)</f>
        <v>0</v>
      </c>
      <c r="Q347" s="22" t="n">
        <f aca="false">IF(DAY(B347)=1,Assumptions!B40*G347,0)</f>
        <v>0</v>
      </c>
      <c r="R347" s="22" t="n">
        <f aca="false">IF(DAY(B347)=1,Assumptions!B41*G347,0)</f>
        <v>0</v>
      </c>
      <c r="S347" s="22" t="n">
        <f aca="false">IF(AND(DAY(B347)=1,D347&gt;=13),Assumptions!B42*G347,0)</f>
        <v>0</v>
      </c>
      <c r="T347" s="22" t="n">
        <f aca="false">IF(DAY(B347)=1,Assumptions!B43*G347,0)</f>
        <v>0</v>
      </c>
      <c r="U347" s="22" t="n">
        <f aca="false">SUM(O347:T347)</f>
        <v>0</v>
      </c>
      <c r="V347" s="22" t="n">
        <f aca="false">N347-U347</f>
        <v>9900</v>
      </c>
      <c r="W347" s="22" t="n">
        <f aca="false">W346+V347</f>
        <v>-3458300</v>
      </c>
      <c r="X347" s="23" t="str">
        <f aca="false">IF(W347&gt;=0,"YES","No")</f>
        <v>No</v>
      </c>
    </row>
    <row r="348" customFormat="false" ht="15" hidden="false" customHeight="false" outlineLevel="0" collapsed="false">
      <c r="A348" s="16" t="n">
        <v>347</v>
      </c>
      <c r="B348" s="17" t="n">
        <f aca="false">B347+1</f>
        <v>46369</v>
      </c>
      <c r="C348" s="18" t="n">
        <f aca="false">MIN(ROUNDUP(A348/365,0),5)</f>
        <v>1</v>
      </c>
      <c r="D348" s="18" t="n">
        <f aca="false">DATEDIF(Assumptions!B5,B348,"m")+1</f>
        <v>12</v>
      </c>
      <c r="E348" s="18" t="str">
        <f aca="false">TEXT(B348,"ddd")</f>
        <v>Sun</v>
      </c>
      <c r="F348" s="19" t="n">
        <f aca="false">IF(WEEKDAY(B348,2)&gt;=6,Assumptions!B34,Assumptions!B35)</f>
        <v>0.6</v>
      </c>
      <c r="G348" s="20" t="n">
        <f aca="false">IF(D348&gt;=13,(1+Assumptions!B46)^(D348-12),1)</f>
        <v>1</v>
      </c>
      <c r="H348" s="21" t="n">
        <f aca="false">H347*(1+IF(C348=1,Assumptions!B22,Assumptions!B23))</f>
        <v>20.5721776136746</v>
      </c>
      <c r="I348" s="16" t="n">
        <f aca="false">ROUND(H348*F348,0)</f>
        <v>12</v>
      </c>
      <c r="J348" s="22" t="n">
        <f aca="false">I348*Assumptions!B24</f>
        <v>7200</v>
      </c>
      <c r="K348" s="21" t="n">
        <f aca="false">K347*(1+Assumptions!B30)</f>
        <v>14.7141361167664</v>
      </c>
      <c r="L348" s="16" t="n">
        <f aca="false">ROUND(K348*F348,0)</f>
        <v>9</v>
      </c>
      <c r="M348" s="22" t="n">
        <f aca="false">L348*Assumptions!B31</f>
        <v>2700</v>
      </c>
      <c r="N348" s="22" t="n">
        <f aca="false">J348+M348</f>
        <v>9900</v>
      </c>
      <c r="O348" s="22" t="n">
        <f aca="false">IF(DAY(B348)=1,Assumptions!B38*G348,0)</f>
        <v>0</v>
      </c>
      <c r="P348" s="22" t="n">
        <f aca="false">IF(DAY(B348)=1,Assumptions!B39*G348,0)</f>
        <v>0</v>
      </c>
      <c r="Q348" s="22" t="n">
        <f aca="false">IF(DAY(B348)=1,Assumptions!B40*G348,0)</f>
        <v>0</v>
      </c>
      <c r="R348" s="22" t="n">
        <f aca="false">IF(DAY(B348)=1,Assumptions!B41*G348,0)</f>
        <v>0</v>
      </c>
      <c r="S348" s="22" t="n">
        <f aca="false">IF(AND(DAY(B348)=1,D348&gt;=13),Assumptions!B42*G348,0)</f>
        <v>0</v>
      </c>
      <c r="T348" s="22" t="n">
        <f aca="false">IF(DAY(B348)=1,Assumptions!B43*G348,0)</f>
        <v>0</v>
      </c>
      <c r="U348" s="22" t="n">
        <f aca="false">SUM(O348:T348)</f>
        <v>0</v>
      </c>
      <c r="V348" s="22" t="n">
        <f aca="false">N348-U348</f>
        <v>9900</v>
      </c>
      <c r="W348" s="22" t="n">
        <f aca="false">W347+V348</f>
        <v>-3448400</v>
      </c>
      <c r="X348" s="23" t="str">
        <f aca="false">IF(W348&gt;=0,"YES","No")</f>
        <v>No</v>
      </c>
    </row>
    <row r="349" customFormat="false" ht="15" hidden="false" customHeight="false" outlineLevel="0" collapsed="false">
      <c r="A349" s="16" t="n">
        <v>348</v>
      </c>
      <c r="B349" s="17" t="n">
        <f aca="false">B348+1</f>
        <v>46370</v>
      </c>
      <c r="C349" s="18" t="n">
        <f aca="false">MIN(ROUNDUP(A349/365,0),5)</f>
        <v>1</v>
      </c>
      <c r="D349" s="18" t="n">
        <f aca="false">DATEDIF(Assumptions!B5,B349,"m")+1</f>
        <v>12</v>
      </c>
      <c r="E349" s="18" t="str">
        <f aca="false">TEXT(B349,"ddd")</f>
        <v>Mon</v>
      </c>
      <c r="F349" s="19" t="n">
        <f aca="false">IF(WEEKDAY(B349,2)&gt;=6,Assumptions!B34,Assumptions!B35)</f>
        <v>1</v>
      </c>
      <c r="G349" s="20" t="n">
        <f aca="false">IF(D349&gt;=13,(1+Assumptions!B46)^(D349-12),1)</f>
        <v>1</v>
      </c>
      <c r="H349" s="21" t="n">
        <f aca="false">H348*(1+IF(C349=1,Assumptions!B22,Assumptions!B23))</f>
        <v>20.5855651204251</v>
      </c>
      <c r="I349" s="16" t="n">
        <f aca="false">ROUND(H349*F349,0)</f>
        <v>21</v>
      </c>
      <c r="J349" s="22" t="n">
        <f aca="false">I349*Assumptions!B24</f>
        <v>12600</v>
      </c>
      <c r="K349" s="21" t="n">
        <f aca="false">K348*(1+Assumptions!B30)</f>
        <v>14.718946709893</v>
      </c>
      <c r="L349" s="16" t="n">
        <f aca="false">ROUND(K349*F349,0)</f>
        <v>15</v>
      </c>
      <c r="M349" s="22" t="n">
        <f aca="false">L349*Assumptions!B31</f>
        <v>4500</v>
      </c>
      <c r="N349" s="22" t="n">
        <f aca="false">J349+M349</f>
        <v>17100</v>
      </c>
      <c r="O349" s="22" t="n">
        <f aca="false">IF(DAY(B349)=1,Assumptions!B38*G349,0)</f>
        <v>0</v>
      </c>
      <c r="P349" s="22" t="n">
        <f aca="false">IF(DAY(B349)=1,Assumptions!B39*G349,0)</f>
        <v>0</v>
      </c>
      <c r="Q349" s="22" t="n">
        <f aca="false">IF(DAY(B349)=1,Assumptions!B40*G349,0)</f>
        <v>0</v>
      </c>
      <c r="R349" s="22" t="n">
        <f aca="false">IF(DAY(B349)=1,Assumptions!B41*G349,0)</f>
        <v>0</v>
      </c>
      <c r="S349" s="22" t="n">
        <f aca="false">IF(AND(DAY(B349)=1,D349&gt;=13),Assumptions!B42*G349,0)</f>
        <v>0</v>
      </c>
      <c r="T349" s="22" t="n">
        <f aca="false">IF(DAY(B349)=1,Assumptions!B43*G349,0)</f>
        <v>0</v>
      </c>
      <c r="U349" s="22" t="n">
        <f aca="false">SUM(O349:T349)</f>
        <v>0</v>
      </c>
      <c r="V349" s="22" t="n">
        <f aca="false">N349-U349</f>
        <v>17100</v>
      </c>
      <c r="W349" s="22" t="n">
        <f aca="false">W348+V349</f>
        <v>-3431300</v>
      </c>
      <c r="X349" s="23" t="str">
        <f aca="false">IF(W349&gt;=0,"YES","No")</f>
        <v>No</v>
      </c>
    </row>
    <row r="350" customFormat="false" ht="15" hidden="false" customHeight="false" outlineLevel="0" collapsed="false">
      <c r="A350" s="16" t="n">
        <v>349</v>
      </c>
      <c r="B350" s="17" t="n">
        <f aca="false">B349+1</f>
        <v>46371</v>
      </c>
      <c r="C350" s="18" t="n">
        <f aca="false">MIN(ROUNDUP(A350/365,0),5)</f>
        <v>1</v>
      </c>
      <c r="D350" s="18" t="n">
        <f aca="false">DATEDIF(Assumptions!B5,B350,"m")+1</f>
        <v>12</v>
      </c>
      <c r="E350" s="18" t="str">
        <f aca="false">TEXT(B350,"ddd")</f>
        <v>Tue</v>
      </c>
      <c r="F350" s="19" t="n">
        <f aca="false">IF(WEEKDAY(B350,2)&gt;=6,Assumptions!B34,Assumptions!B35)</f>
        <v>1</v>
      </c>
      <c r="G350" s="20" t="n">
        <f aca="false">IF(D350&gt;=13,(1+Assumptions!B46)^(D350-12),1)</f>
        <v>1</v>
      </c>
      <c r="H350" s="21" t="n">
        <f aca="false">H349*(1+IF(C350=1,Assumptions!B22,Assumptions!B23))</f>
        <v>20.5989613392011</v>
      </c>
      <c r="I350" s="16" t="n">
        <f aca="false">ROUND(H350*F350,0)</f>
        <v>21</v>
      </c>
      <c r="J350" s="22" t="n">
        <f aca="false">I350*Assumptions!B24</f>
        <v>12600</v>
      </c>
      <c r="K350" s="21" t="n">
        <f aca="false">K349*(1+Assumptions!B30)</f>
        <v>14.7237588757797</v>
      </c>
      <c r="L350" s="16" t="n">
        <f aca="false">ROUND(K350*F350,0)</f>
        <v>15</v>
      </c>
      <c r="M350" s="22" t="n">
        <f aca="false">L350*Assumptions!B31</f>
        <v>4500</v>
      </c>
      <c r="N350" s="22" t="n">
        <f aca="false">J350+M350</f>
        <v>17100</v>
      </c>
      <c r="O350" s="22" t="n">
        <f aca="false">IF(DAY(B350)=1,Assumptions!B38*G350,0)</f>
        <v>0</v>
      </c>
      <c r="P350" s="22" t="n">
        <f aca="false">IF(DAY(B350)=1,Assumptions!B39*G350,0)</f>
        <v>0</v>
      </c>
      <c r="Q350" s="22" t="n">
        <f aca="false">IF(DAY(B350)=1,Assumptions!B40*G350,0)</f>
        <v>0</v>
      </c>
      <c r="R350" s="22" t="n">
        <f aca="false">IF(DAY(B350)=1,Assumptions!B41*G350,0)</f>
        <v>0</v>
      </c>
      <c r="S350" s="22" t="n">
        <f aca="false">IF(AND(DAY(B350)=1,D350&gt;=13),Assumptions!B42*G350,0)</f>
        <v>0</v>
      </c>
      <c r="T350" s="22" t="n">
        <f aca="false">IF(DAY(B350)=1,Assumptions!B43*G350,0)</f>
        <v>0</v>
      </c>
      <c r="U350" s="22" t="n">
        <f aca="false">SUM(O350:T350)</f>
        <v>0</v>
      </c>
      <c r="V350" s="22" t="n">
        <f aca="false">N350-U350</f>
        <v>17100</v>
      </c>
      <c r="W350" s="22" t="n">
        <f aca="false">W349+V350</f>
        <v>-3414200</v>
      </c>
      <c r="X350" s="23" t="str">
        <f aca="false">IF(W350&gt;=0,"YES","No")</f>
        <v>No</v>
      </c>
    </row>
    <row r="351" customFormat="false" ht="15" hidden="false" customHeight="false" outlineLevel="0" collapsed="false">
      <c r="A351" s="16" t="n">
        <v>350</v>
      </c>
      <c r="B351" s="17" t="n">
        <f aca="false">B350+1</f>
        <v>46372</v>
      </c>
      <c r="C351" s="18" t="n">
        <f aca="false">MIN(ROUNDUP(A351/365,0),5)</f>
        <v>1</v>
      </c>
      <c r="D351" s="18" t="n">
        <f aca="false">DATEDIF(Assumptions!B5,B351,"m")+1</f>
        <v>12</v>
      </c>
      <c r="E351" s="18" t="str">
        <f aca="false">TEXT(B351,"ddd")</f>
        <v>Wed</v>
      </c>
      <c r="F351" s="19" t="n">
        <f aca="false">IF(WEEKDAY(B351,2)&gt;=6,Assumptions!B34,Assumptions!B35)</f>
        <v>1</v>
      </c>
      <c r="G351" s="20" t="n">
        <f aca="false">IF(D351&gt;=13,(1+Assumptions!B46)^(D351-12),1)</f>
        <v>1</v>
      </c>
      <c r="H351" s="21" t="n">
        <f aca="false">H350*(1+IF(C351=1,Assumptions!B22,Assumptions!B23))</f>
        <v>20.6123662756722</v>
      </c>
      <c r="I351" s="16" t="n">
        <f aca="false">ROUND(H351*F351,0)</f>
        <v>21</v>
      </c>
      <c r="J351" s="22" t="n">
        <f aca="false">I351*Assumptions!B24</f>
        <v>12600</v>
      </c>
      <c r="K351" s="21" t="n">
        <f aca="false">K350*(1+Assumptions!B30)</f>
        <v>14.7285726149406</v>
      </c>
      <c r="L351" s="16" t="n">
        <f aca="false">ROUND(K351*F351,0)</f>
        <v>15</v>
      </c>
      <c r="M351" s="22" t="n">
        <f aca="false">L351*Assumptions!B31</f>
        <v>4500</v>
      </c>
      <c r="N351" s="22" t="n">
        <f aca="false">J351+M351</f>
        <v>17100</v>
      </c>
      <c r="O351" s="22" t="n">
        <f aca="false">IF(DAY(B351)=1,Assumptions!B38*G351,0)</f>
        <v>0</v>
      </c>
      <c r="P351" s="22" t="n">
        <f aca="false">IF(DAY(B351)=1,Assumptions!B39*G351,0)</f>
        <v>0</v>
      </c>
      <c r="Q351" s="22" t="n">
        <f aca="false">IF(DAY(B351)=1,Assumptions!B40*G351,0)</f>
        <v>0</v>
      </c>
      <c r="R351" s="22" t="n">
        <f aca="false">IF(DAY(B351)=1,Assumptions!B41*G351,0)</f>
        <v>0</v>
      </c>
      <c r="S351" s="22" t="n">
        <f aca="false">IF(AND(DAY(B351)=1,D351&gt;=13),Assumptions!B42*G351,0)</f>
        <v>0</v>
      </c>
      <c r="T351" s="22" t="n">
        <f aca="false">IF(DAY(B351)=1,Assumptions!B43*G351,0)</f>
        <v>0</v>
      </c>
      <c r="U351" s="22" t="n">
        <f aca="false">SUM(O351:T351)</f>
        <v>0</v>
      </c>
      <c r="V351" s="22" t="n">
        <f aca="false">N351-U351</f>
        <v>17100</v>
      </c>
      <c r="W351" s="22" t="n">
        <f aca="false">W350+V351</f>
        <v>-3397100</v>
      </c>
      <c r="X351" s="23" t="str">
        <f aca="false">IF(W351&gt;=0,"YES","No")</f>
        <v>No</v>
      </c>
    </row>
    <row r="352" customFormat="false" ht="15" hidden="false" customHeight="false" outlineLevel="0" collapsed="false">
      <c r="A352" s="16" t="n">
        <v>351</v>
      </c>
      <c r="B352" s="17" t="n">
        <f aca="false">B351+1</f>
        <v>46373</v>
      </c>
      <c r="C352" s="18" t="n">
        <f aca="false">MIN(ROUNDUP(A352/365,0),5)</f>
        <v>1</v>
      </c>
      <c r="D352" s="18" t="n">
        <f aca="false">DATEDIF(Assumptions!B5,B352,"m")+1</f>
        <v>12</v>
      </c>
      <c r="E352" s="18" t="str">
        <f aca="false">TEXT(B352,"ddd")</f>
        <v>Thu</v>
      </c>
      <c r="F352" s="19" t="n">
        <f aca="false">IF(WEEKDAY(B352,2)&gt;=6,Assumptions!B34,Assumptions!B35)</f>
        <v>1</v>
      </c>
      <c r="G352" s="20" t="n">
        <f aca="false">IF(D352&gt;=13,(1+Assumptions!B46)^(D352-12),1)</f>
        <v>1</v>
      </c>
      <c r="H352" s="21" t="n">
        <f aca="false">H351*(1+IF(C352=1,Assumptions!B22,Assumptions!B23))</f>
        <v>20.6257799355113</v>
      </c>
      <c r="I352" s="16" t="n">
        <f aca="false">ROUND(H352*F352,0)</f>
        <v>21</v>
      </c>
      <c r="J352" s="22" t="n">
        <f aca="false">I352*Assumptions!B24</f>
        <v>12600</v>
      </c>
      <c r="K352" s="21" t="n">
        <f aca="false">K351*(1+Assumptions!B30)</f>
        <v>14.7333879278903</v>
      </c>
      <c r="L352" s="16" t="n">
        <f aca="false">ROUND(K352*F352,0)</f>
        <v>15</v>
      </c>
      <c r="M352" s="22" t="n">
        <f aca="false">L352*Assumptions!B31</f>
        <v>4500</v>
      </c>
      <c r="N352" s="22" t="n">
        <f aca="false">J352+M352</f>
        <v>17100</v>
      </c>
      <c r="O352" s="22" t="n">
        <f aca="false">IF(DAY(B352)=1,Assumptions!B38*G352,0)</f>
        <v>0</v>
      </c>
      <c r="P352" s="22" t="n">
        <f aca="false">IF(DAY(B352)=1,Assumptions!B39*G352,0)</f>
        <v>0</v>
      </c>
      <c r="Q352" s="22" t="n">
        <f aca="false">IF(DAY(B352)=1,Assumptions!B40*G352,0)</f>
        <v>0</v>
      </c>
      <c r="R352" s="22" t="n">
        <f aca="false">IF(DAY(B352)=1,Assumptions!B41*G352,0)</f>
        <v>0</v>
      </c>
      <c r="S352" s="22" t="n">
        <f aca="false">IF(AND(DAY(B352)=1,D352&gt;=13),Assumptions!B42*G352,0)</f>
        <v>0</v>
      </c>
      <c r="T352" s="22" t="n">
        <f aca="false">IF(DAY(B352)=1,Assumptions!B43*G352,0)</f>
        <v>0</v>
      </c>
      <c r="U352" s="22" t="n">
        <f aca="false">SUM(O352:T352)</f>
        <v>0</v>
      </c>
      <c r="V352" s="22" t="n">
        <f aca="false">N352-U352</f>
        <v>17100</v>
      </c>
      <c r="W352" s="22" t="n">
        <f aca="false">W351+V352</f>
        <v>-3380000</v>
      </c>
      <c r="X352" s="23" t="str">
        <f aca="false">IF(W352&gt;=0,"YES","No")</f>
        <v>No</v>
      </c>
    </row>
    <row r="353" customFormat="false" ht="15" hidden="false" customHeight="false" outlineLevel="0" collapsed="false">
      <c r="A353" s="16" t="n">
        <v>352</v>
      </c>
      <c r="B353" s="17" t="n">
        <f aca="false">B352+1</f>
        <v>46374</v>
      </c>
      <c r="C353" s="18" t="n">
        <f aca="false">MIN(ROUNDUP(A353/365,0),5)</f>
        <v>1</v>
      </c>
      <c r="D353" s="18" t="n">
        <f aca="false">DATEDIF(Assumptions!B5,B353,"m")+1</f>
        <v>12</v>
      </c>
      <c r="E353" s="18" t="str">
        <f aca="false">TEXT(B353,"ddd")</f>
        <v>Fri</v>
      </c>
      <c r="F353" s="19" t="n">
        <f aca="false">IF(WEEKDAY(B353,2)&gt;=6,Assumptions!B34,Assumptions!B35)</f>
        <v>1</v>
      </c>
      <c r="G353" s="20" t="n">
        <f aca="false">IF(D353&gt;=13,(1+Assumptions!B46)^(D353-12),1)</f>
        <v>1</v>
      </c>
      <c r="H353" s="21" t="n">
        <f aca="false">H352*(1+IF(C353=1,Assumptions!B22,Assumptions!B23))</f>
        <v>20.6392023243953</v>
      </c>
      <c r="I353" s="16" t="n">
        <f aca="false">ROUND(H353*F353,0)</f>
        <v>21</v>
      </c>
      <c r="J353" s="22" t="n">
        <f aca="false">I353*Assumptions!B24</f>
        <v>12600</v>
      </c>
      <c r="K353" s="21" t="n">
        <f aca="false">K352*(1+Assumptions!B30)</f>
        <v>14.7382048151431</v>
      </c>
      <c r="L353" s="16" t="n">
        <f aca="false">ROUND(K353*F353,0)</f>
        <v>15</v>
      </c>
      <c r="M353" s="22" t="n">
        <f aca="false">L353*Assumptions!B31</f>
        <v>4500</v>
      </c>
      <c r="N353" s="22" t="n">
        <f aca="false">J353+M353</f>
        <v>17100</v>
      </c>
      <c r="O353" s="22" t="n">
        <f aca="false">IF(DAY(B353)=1,Assumptions!B38*G353,0)</f>
        <v>0</v>
      </c>
      <c r="P353" s="22" t="n">
        <f aca="false">IF(DAY(B353)=1,Assumptions!B39*G353,0)</f>
        <v>0</v>
      </c>
      <c r="Q353" s="22" t="n">
        <f aca="false">IF(DAY(B353)=1,Assumptions!B40*G353,0)</f>
        <v>0</v>
      </c>
      <c r="R353" s="22" t="n">
        <f aca="false">IF(DAY(B353)=1,Assumptions!B41*G353,0)</f>
        <v>0</v>
      </c>
      <c r="S353" s="22" t="n">
        <f aca="false">IF(AND(DAY(B353)=1,D353&gt;=13),Assumptions!B42*G353,0)</f>
        <v>0</v>
      </c>
      <c r="T353" s="22" t="n">
        <f aca="false">IF(DAY(B353)=1,Assumptions!B43*G353,0)</f>
        <v>0</v>
      </c>
      <c r="U353" s="22" t="n">
        <f aca="false">SUM(O353:T353)</f>
        <v>0</v>
      </c>
      <c r="V353" s="22" t="n">
        <f aca="false">N353-U353</f>
        <v>17100</v>
      </c>
      <c r="W353" s="22" t="n">
        <f aca="false">W352+V353</f>
        <v>-3362900</v>
      </c>
      <c r="X353" s="23" t="str">
        <f aca="false">IF(W353&gt;=0,"YES","No")</f>
        <v>No</v>
      </c>
    </row>
    <row r="354" customFormat="false" ht="15" hidden="false" customHeight="false" outlineLevel="0" collapsed="false">
      <c r="A354" s="16" t="n">
        <v>353</v>
      </c>
      <c r="B354" s="17" t="n">
        <f aca="false">B353+1</f>
        <v>46375</v>
      </c>
      <c r="C354" s="18" t="n">
        <f aca="false">MIN(ROUNDUP(A354/365,0),5)</f>
        <v>1</v>
      </c>
      <c r="D354" s="18" t="n">
        <f aca="false">DATEDIF(Assumptions!B5,B354,"m")+1</f>
        <v>12</v>
      </c>
      <c r="E354" s="18" t="str">
        <f aca="false">TEXT(B354,"ddd")</f>
        <v>Sat</v>
      </c>
      <c r="F354" s="19" t="n">
        <f aca="false">IF(WEEKDAY(B354,2)&gt;=6,Assumptions!B34,Assumptions!B35)</f>
        <v>0.6</v>
      </c>
      <c r="G354" s="20" t="n">
        <f aca="false">IF(D354&gt;=13,(1+Assumptions!B46)^(D354-12),1)</f>
        <v>1</v>
      </c>
      <c r="H354" s="21" t="n">
        <f aca="false">H353*(1+IF(C354=1,Assumptions!B22,Assumptions!B23))</f>
        <v>20.6526334480047</v>
      </c>
      <c r="I354" s="16" t="n">
        <f aca="false">ROUND(H354*F354,0)</f>
        <v>12</v>
      </c>
      <c r="J354" s="22" t="n">
        <f aca="false">I354*Assumptions!B24</f>
        <v>7200</v>
      </c>
      <c r="K354" s="21" t="n">
        <f aca="false">K353*(1+Assumptions!B30)</f>
        <v>14.7430232772138</v>
      </c>
      <c r="L354" s="16" t="n">
        <f aca="false">ROUND(K354*F354,0)</f>
        <v>9</v>
      </c>
      <c r="M354" s="22" t="n">
        <f aca="false">L354*Assumptions!B31</f>
        <v>2700</v>
      </c>
      <c r="N354" s="22" t="n">
        <f aca="false">J354+M354</f>
        <v>9900</v>
      </c>
      <c r="O354" s="22" t="n">
        <f aca="false">IF(DAY(B354)=1,Assumptions!B38*G354,0)</f>
        <v>0</v>
      </c>
      <c r="P354" s="22" t="n">
        <f aca="false">IF(DAY(B354)=1,Assumptions!B39*G354,0)</f>
        <v>0</v>
      </c>
      <c r="Q354" s="22" t="n">
        <f aca="false">IF(DAY(B354)=1,Assumptions!B40*G354,0)</f>
        <v>0</v>
      </c>
      <c r="R354" s="22" t="n">
        <f aca="false">IF(DAY(B354)=1,Assumptions!B41*G354,0)</f>
        <v>0</v>
      </c>
      <c r="S354" s="22" t="n">
        <f aca="false">IF(AND(DAY(B354)=1,D354&gt;=13),Assumptions!B42*G354,0)</f>
        <v>0</v>
      </c>
      <c r="T354" s="22" t="n">
        <f aca="false">IF(DAY(B354)=1,Assumptions!B43*G354,0)</f>
        <v>0</v>
      </c>
      <c r="U354" s="22" t="n">
        <f aca="false">SUM(O354:T354)</f>
        <v>0</v>
      </c>
      <c r="V354" s="22" t="n">
        <f aca="false">N354-U354</f>
        <v>9900</v>
      </c>
      <c r="W354" s="22" t="n">
        <f aca="false">W353+V354</f>
        <v>-3353000</v>
      </c>
      <c r="X354" s="23" t="str">
        <f aca="false">IF(W354&gt;=0,"YES","No")</f>
        <v>No</v>
      </c>
    </row>
    <row r="355" customFormat="false" ht="15" hidden="false" customHeight="false" outlineLevel="0" collapsed="false">
      <c r="A355" s="16" t="n">
        <v>354</v>
      </c>
      <c r="B355" s="17" t="n">
        <f aca="false">B354+1</f>
        <v>46376</v>
      </c>
      <c r="C355" s="18" t="n">
        <f aca="false">MIN(ROUNDUP(A355/365,0),5)</f>
        <v>1</v>
      </c>
      <c r="D355" s="18" t="n">
        <f aca="false">DATEDIF(Assumptions!B5,B355,"m")+1</f>
        <v>12</v>
      </c>
      <c r="E355" s="18" t="str">
        <f aca="false">TEXT(B355,"ddd")</f>
        <v>Sun</v>
      </c>
      <c r="F355" s="19" t="n">
        <f aca="false">IF(WEEKDAY(B355,2)&gt;=6,Assumptions!B34,Assumptions!B35)</f>
        <v>0.6</v>
      </c>
      <c r="G355" s="20" t="n">
        <f aca="false">IF(D355&gt;=13,(1+Assumptions!B46)^(D355-12),1)</f>
        <v>1</v>
      </c>
      <c r="H355" s="21" t="n">
        <f aca="false">H354*(1+IF(C355=1,Assumptions!B22,Assumptions!B23))</f>
        <v>20.6660733120236</v>
      </c>
      <c r="I355" s="16" t="n">
        <f aca="false">ROUND(H355*F355,0)</f>
        <v>12</v>
      </c>
      <c r="J355" s="22" t="n">
        <f aca="false">I355*Assumptions!B24</f>
        <v>7200</v>
      </c>
      <c r="K355" s="21" t="n">
        <f aca="false">K354*(1+Assumptions!B30)</f>
        <v>14.7478433146173</v>
      </c>
      <c r="L355" s="16" t="n">
        <f aca="false">ROUND(K355*F355,0)</f>
        <v>9</v>
      </c>
      <c r="M355" s="22" t="n">
        <f aca="false">L355*Assumptions!B31</f>
        <v>2700</v>
      </c>
      <c r="N355" s="22" t="n">
        <f aca="false">J355+M355</f>
        <v>9900</v>
      </c>
      <c r="O355" s="22" t="n">
        <f aca="false">IF(DAY(B355)=1,Assumptions!B38*G355,0)</f>
        <v>0</v>
      </c>
      <c r="P355" s="22" t="n">
        <f aca="false">IF(DAY(B355)=1,Assumptions!B39*G355,0)</f>
        <v>0</v>
      </c>
      <c r="Q355" s="22" t="n">
        <f aca="false">IF(DAY(B355)=1,Assumptions!B40*G355,0)</f>
        <v>0</v>
      </c>
      <c r="R355" s="22" t="n">
        <f aca="false">IF(DAY(B355)=1,Assumptions!B41*G355,0)</f>
        <v>0</v>
      </c>
      <c r="S355" s="22" t="n">
        <f aca="false">IF(AND(DAY(B355)=1,D355&gt;=13),Assumptions!B42*G355,0)</f>
        <v>0</v>
      </c>
      <c r="T355" s="22" t="n">
        <f aca="false">IF(DAY(B355)=1,Assumptions!B43*G355,0)</f>
        <v>0</v>
      </c>
      <c r="U355" s="22" t="n">
        <f aca="false">SUM(O355:T355)</f>
        <v>0</v>
      </c>
      <c r="V355" s="22" t="n">
        <f aca="false">N355-U355</f>
        <v>9900</v>
      </c>
      <c r="W355" s="22" t="n">
        <f aca="false">W354+V355</f>
        <v>-3343100</v>
      </c>
      <c r="X355" s="23" t="str">
        <f aca="false">IF(W355&gt;=0,"YES","No")</f>
        <v>No</v>
      </c>
    </row>
    <row r="356" customFormat="false" ht="15" hidden="false" customHeight="false" outlineLevel="0" collapsed="false">
      <c r="A356" s="16" t="n">
        <v>355</v>
      </c>
      <c r="B356" s="17" t="n">
        <f aca="false">B355+1</f>
        <v>46377</v>
      </c>
      <c r="C356" s="18" t="n">
        <f aca="false">MIN(ROUNDUP(A356/365,0),5)</f>
        <v>1</v>
      </c>
      <c r="D356" s="18" t="n">
        <f aca="false">DATEDIF(Assumptions!B5,B356,"m")+1</f>
        <v>12</v>
      </c>
      <c r="E356" s="18" t="str">
        <f aca="false">TEXT(B356,"ddd")</f>
        <v>Mon</v>
      </c>
      <c r="F356" s="19" t="n">
        <f aca="false">IF(WEEKDAY(B356,2)&gt;=6,Assumptions!B34,Assumptions!B35)</f>
        <v>1</v>
      </c>
      <c r="G356" s="20" t="n">
        <f aca="false">IF(D356&gt;=13,(1+Assumptions!B46)^(D356-12),1)</f>
        <v>1</v>
      </c>
      <c r="H356" s="21" t="n">
        <f aca="false">H355*(1+IF(C356=1,Assumptions!B22,Assumptions!B23))</f>
        <v>20.67952192214</v>
      </c>
      <c r="I356" s="16" t="n">
        <f aca="false">ROUND(H356*F356,0)</f>
        <v>21</v>
      </c>
      <c r="J356" s="22" t="n">
        <f aca="false">I356*Assumptions!B24</f>
        <v>12600</v>
      </c>
      <c r="K356" s="21" t="n">
        <f aca="false">K355*(1+Assumptions!B30)</f>
        <v>14.7526649278685</v>
      </c>
      <c r="L356" s="16" t="n">
        <f aca="false">ROUND(K356*F356,0)</f>
        <v>15</v>
      </c>
      <c r="M356" s="22" t="n">
        <f aca="false">L356*Assumptions!B31</f>
        <v>4500</v>
      </c>
      <c r="N356" s="22" t="n">
        <f aca="false">J356+M356</f>
        <v>17100</v>
      </c>
      <c r="O356" s="22" t="n">
        <f aca="false">IF(DAY(B356)=1,Assumptions!B38*G356,0)</f>
        <v>0</v>
      </c>
      <c r="P356" s="22" t="n">
        <f aca="false">IF(DAY(B356)=1,Assumptions!B39*G356,0)</f>
        <v>0</v>
      </c>
      <c r="Q356" s="22" t="n">
        <f aca="false">IF(DAY(B356)=1,Assumptions!B40*G356,0)</f>
        <v>0</v>
      </c>
      <c r="R356" s="22" t="n">
        <f aca="false">IF(DAY(B356)=1,Assumptions!B41*G356,0)</f>
        <v>0</v>
      </c>
      <c r="S356" s="22" t="n">
        <f aca="false">IF(AND(DAY(B356)=1,D356&gt;=13),Assumptions!B42*G356,0)</f>
        <v>0</v>
      </c>
      <c r="T356" s="22" t="n">
        <f aca="false">IF(DAY(B356)=1,Assumptions!B43*G356,0)</f>
        <v>0</v>
      </c>
      <c r="U356" s="22" t="n">
        <f aca="false">SUM(O356:T356)</f>
        <v>0</v>
      </c>
      <c r="V356" s="22" t="n">
        <f aca="false">N356-U356</f>
        <v>17100</v>
      </c>
      <c r="W356" s="22" t="n">
        <f aca="false">W355+V356</f>
        <v>-3326000</v>
      </c>
      <c r="X356" s="23" t="str">
        <f aca="false">IF(W356&gt;=0,"YES","No")</f>
        <v>No</v>
      </c>
    </row>
    <row r="357" customFormat="false" ht="15" hidden="false" customHeight="false" outlineLevel="0" collapsed="false">
      <c r="A357" s="16" t="n">
        <v>356</v>
      </c>
      <c r="B357" s="17" t="n">
        <f aca="false">B356+1</f>
        <v>46378</v>
      </c>
      <c r="C357" s="18" t="n">
        <f aca="false">MIN(ROUNDUP(A357/365,0),5)</f>
        <v>1</v>
      </c>
      <c r="D357" s="18" t="n">
        <f aca="false">DATEDIF(Assumptions!B5,B357,"m")+1</f>
        <v>12</v>
      </c>
      <c r="E357" s="18" t="str">
        <f aca="false">TEXT(B357,"ddd")</f>
        <v>Tue</v>
      </c>
      <c r="F357" s="19" t="n">
        <f aca="false">IF(WEEKDAY(B357,2)&gt;=6,Assumptions!B34,Assumptions!B35)</f>
        <v>1</v>
      </c>
      <c r="G357" s="20" t="n">
        <f aca="false">IF(D357&gt;=13,(1+Assumptions!B46)^(D357-12),1)</f>
        <v>1</v>
      </c>
      <c r="H357" s="21" t="n">
        <f aca="false">H356*(1+IF(C357=1,Assumptions!B22,Assumptions!B23))</f>
        <v>20.6929792840454</v>
      </c>
      <c r="I357" s="16" t="n">
        <f aca="false">ROUND(H357*F357,0)</f>
        <v>21</v>
      </c>
      <c r="J357" s="22" t="n">
        <f aca="false">I357*Assumptions!B24</f>
        <v>12600</v>
      </c>
      <c r="K357" s="21" t="n">
        <f aca="false">K356*(1+Assumptions!B30)</f>
        <v>14.7574881174827</v>
      </c>
      <c r="L357" s="16" t="n">
        <f aca="false">ROUND(K357*F357,0)</f>
        <v>15</v>
      </c>
      <c r="M357" s="22" t="n">
        <f aca="false">L357*Assumptions!B31</f>
        <v>4500</v>
      </c>
      <c r="N357" s="22" t="n">
        <f aca="false">J357+M357</f>
        <v>17100</v>
      </c>
      <c r="O357" s="22" t="n">
        <f aca="false">IF(DAY(B357)=1,Assumptions!B38*G357,0)</f>
        <v>0</v>
      </c>
      <c r="P357" s="22" t="n">
        <f aca="false">IF(DAY(B357)=1,Assumptions!B39*G357,0)</f>
        <v>0</v>
      </c>
      <c r="Q357" s="22" t="n">
        <f aca="false">IF(DAY(B357)=1,Assumptions!B40*G357,0)</f>
        <v>0</v>
      </c>
      <c r="R357" s="22" t="n">
        <f aca="false">IF(DAY(B357)=1,Assumptions!B41*G357,0)</f>
        <v>0</v>
      </c>
      <c r="S357" s="22" t="n">
        <f aca="false">IF(AND(DAY(B357)=1,D357&gt;=13),Assumptions!B42*G357,0)</f>
        <v>0</v>
      </c>
      <c r="T357" s="22" t="n">
        <f aca="false">IF(DAY(B357)=1,Assumptions!B43*G357,0)</f>
        <v>0</v>
      </c>
      <c r="U357" s="22" t="n">
        <f aca="false">SUM(O357:T357)</f>
        <v>0</v>
      </c>
      <c r="V357" s="22" t="n">
        <f aca="false">N357-U357</f>
        <v>17100</v>
      </c>
      <c r="W357" s="22" t="n">
        <f aca="false">W356+V357</f>
        <v>-3308900</v>
      </c>
      <c r="X357" s="23" t="str">
        <f aca="false">IF(W357&gt;=0,"YES","No")</f>
        <v>No</v>
      </c>
    </row>
    <row r="358" customFormat="false" ht="15" hidden="false" customHeight="false" outlineLevel="0" collapsed="false">
      <c r="A358" s="16" t="n">
        <v>357</v>
      </c>
      <c r="B358" s="17" t="n">
        <f aca="false">B357+1</f>
        <v>46379</v>
      </c>
      <c r="C358" s="18" t="n">
        <f aca="false">MIN(ROUNDUP(A358/365,0),5)</f>
        <v>1</v>
      </c>
      <c r="D358" s="18" t="n">
        <f aca="false">DATEDIF(Assumptions!B5,B358,"m")+1</f>
        <v>12</v>
      </c>
      <c r="E358" s="18" t="str">
        <f aca="false">TEXT(B358,"ddd")</f>
        <v>Wed</v>
      </c>
      <c r="F358" s="19" t="n">
        <f aca="false">IF(WEEKDAY(B358,2)&gt;=6,Assumptions!B34,Assumptions!B35)</f>
        <v>1</v>
      </c>
      <c r="G358" s="20" t="n">
        <f aca="false">IF(D358&gt;=13,(1+Assumptions!B46)^(D358-12),1)</f>
        <v>1</v>
      </c>
      <c r="H358" s="21" t="n">
        <f aca="false">H357*(1+IF(C358=1,Assumptions!B22,Assumptions!B23))</f>
        <v>20.7064454034352</v>
      </c>
      <c r="I358" s="16" t="n">
        <f aca="false">ROUND(H358*F358,0)</f>
        <v>21</v>
      </c>
      <c r="J358" s="22" t="n">
        <f aca="false">I358*Assumptions!B24</f>
        <v>12600</v>
      </c>
      <c r="K358" s="21" t="n">
        <f aca="false">K357*(1+Assumptions!B30)</f>
        <v>14.7623128839753</v>
      </c>
      <c r="L358" s="16" t="n">
        <f aca="false">ROUND(K358*F358,0)</f>
        <v>15</v>
      </c>
      <c r="M358" s="22" t="n">
        <f aca="false">L358*Assumptions!B31</f>
        <v>4500</v>
      </c>
      <c r="N358" s="22" t="n">
        <f aca="false">J358+M358</f>
        <v>17100</v>
      </c>
      <c r="O358" s="22" t="n">
        <f aca="false">IF(DAY(B358)=1,Assumptions!B38*G358,0)</f>
        <v>0</v>
      </c>
      <c r="P358" s="22" t="n">
        <f aca="false">IF(DAY(B358)=1,Assumptions!B39*G358,0)</f>
        <v>0</v>
      </c>
      <c r="Q358" s="22" t="n">
        <f aca="false">IF(DAY(B358)=1,Assumptions!B40*G358,0)</f>
        <v>0</v>
      </c>
      <c r="R358" s="22" t="n">
        <f aca="false">IF(DAY(B358)=1,Assumptions!B41*G358,0)</f>
        <v>0</v>
      </c>
      <c r="S358" s="22" t="n">
        <f aca="false">IF(AND(DAY(B358)=1,D358&gt;=13),Assumptions!B42*G358,0)</f>
        <v>0</v>
      </c>
      <c r="T358" s="22" t="n">
        <f aca="false">IF(DAY(B358)=1,Assumptions!B43*G358,0)</f>
        <v>0</v>
      </c>
      <c r="U358" s="22" t="n">
        <f aca="false">SUM(O358:T358)</f>
        <v>0</v>
      </c>
      <c r="V358" s="22" t="n">
        <f aca="false">N358-U358</f>
        <v>17100</v>
      </c>
      <c r="W358" s="22" t="n">
        <f aca="false">W357+V358</f>
        <v>-3291800</v>
      </c>
      <c r="X358" s="23" t="str">
        <f aca="false">IF(W358&gt;=0,"YES","No")</f>
        <v>No</v>
      </c>
    </row>
    <row r="359" customFormat="false" ht="15" hidden="false" customHeight="false" outlineLevel="0" collapsed="false">
      <c r="A359" s="16" t="n">
        <v>358</v>
      </c>
      <c r="B359" s="17" t="n">
        <f aca="false">B358+1</f>
        <v>46380</v>
      </c>
      <c r="C359" s="18" t="n">
        <f aca="false">MIN(ROUNDUP(A359/365,0),5)</f>
        <v>1</v>
      </c>
      <c r="D359" s="18" t="n">
        <f aca="false">DATEDIF(Assumptions!B5,B359,"m")+1</f>
        <v>12</v>
      </c>
      <c r="E359" s="18" t="str">
        <f aca="false">TEXT(B359,"ddd")</f>
        <v>Thu</v>
      </c>
      <c r="F359" s="19" t="n">
        <f aca="false">IF(WEEKDAY(B359,2)&gt;=6,Assumptions!B34,Assumptions!B35)</f>
        <v>1</v>
      </c>
      <c r="G359" s="20" t="n">
        <f aca="false">IF(D359&gt;=13,(1+Assumptions!B46)^(D359-12),1)</f>
        <v>1</v>
      </c>
      <c r="H359" s="21" t="n">
        <f aca="false">H358*(1+IF(C359=1,Assumptions!B22,Assumptions!B23))</f>
        <v>20.7199202860083</v>
      </c>
      <c r="I359" s="16" t="n">
        <f aca="false">ROUND(H359*F359,0)</f>
        <v>21</v>
      </c>
      <c r="J359" s="22" t="n">
        <f aca="false">I359*Assumptions!B24</f>
        <v>12600</v>
      </c>
      <c r="K359" s="21" t="n">
        <f aca="false">K358*(1+Assumptions!B30)</f>
        <v>14.7671392278618</v>
      </c>
      <c r="L359" s="16" t="n">
        <f aca="false">ROUND(K359*F359,0)</f>
        <v>15</v>
      </c>
      <c r="M359" s="22" t="n">
        <f aca="false">L359*Assumptions!B31</f>
        <v>4500</v>
      </c>
      <c r="N359" s="22" t="n">
        <f aca="false">J359+M359</f>
        <v>17100</v>
      </c>
      <c r="O359" s="22" t="n">
        <f aca="false">IF(DAY(B359)=1,Assumptions!B38*G359,0)</f>
        <v>0</v>
      </c>
      <c r="P359" s="22" t="n">
        <f aca="false">IF(DAY(B359)=1,Assumptions!B39*G359,0)</f>
        <v>0</v>
      </c>
      <c r="Q359" s="22" t="n">
        <f aca="false">IF(DAY(B359)=1,Assumptions!B40*G359,0)</f>
        <v>0</v>
      </c>
      <c r="R359" s="22" t="n">
        <f aca="false">IF(DAY(B359)=1,Assumptions!B41*G359,0)</f>
        <v>0</v>
      </c>
      <c r="S359" s="22" t="n">
        <f aca="false">IF(AND(DAY(B359)=1,D359&gt;=13),Assumptions!B42*G359,0)</f>
        <v>0</v>
      </c>
      <c r="T359" s="22" t="n">
        <f aca="false">IF(DAY(B359)=1,Assumptions!B43*G359,0)</f>
        <v>0</v>
      </c>
      <c r="U359" s="22" t="n">
        <f aca="false">SUM(O359:T359)</f>
        <v>0</v>
      </c>
      <c r="V359" s="22" t="n">
        <f aca="false">N359-U359</f>
        <v>17100</v>
      </c>
      <c r="W359" s="22" t="n">
        <f aca="false">W358+V359</f>
        <v>-3274700</v>
      </c>
      <c r="X359" s="23" t="str">
        <f aca="false">IF(W359&gt;=0,"YES","No")</f>
        <v>No</v>
      </c>
    </row>
    <row r="360" customFormat="false" ht="15" hidden="false" customHeight="false" outlineLevel="0" collapsed="false">
      <c r="A360" s="16" t="n">
        <v>359</v>
      </c>
      <c r="B360" s="17" t="n">
        <f aca="false">B359+1</f>
        <v>46381</v>
      </c>
      <c r="C360" s="18" t="n">
        <f aca="false">MIN(ROUNDUP(A360/365,0),5)</f>
        <v>1</v>
      </c>
      <c r="D360" s="18" t="n">
        <f aca="false">DATEDIF(Assumptions!B5,B360,"m")+1</f>
        <v>12</v>
      </c>
      <c r="E360" s="18" t="str">
        <f aca="false">TEXT(B360,"ddd")</f>
        <v>Fri</v>
      </c>
      <c r="F360" s="19" t="n">
        <f aca="false">IF(WEEKDAY(B360,2)&gt;=6,Assumptions!B34,Assumptions!B35)</f>
        <v>1</v>
      </c>
      <c r="G360" s="20" t="n">
        <f aca="false">IF(D360&gt;=13,(1+Assumptions!B46)^(D360-12),1)</f>
        <v>1</v>
      </c>
      <c r="H360" s="21" t="n">
        <f aca="false">H359*(1+IF(C360=1,Assumptions!B22,Assumptions!B23))</f>
        <v>20.7334039374675</v>
      </c>
      <c r="I360" s="16" t="n">
        <f aca="false">ROUND(H360*F360,0)</f>
        <v>21</v>
      </c>
      <c r="J360" s="22" t="n">
        <f aca="false">I360*Assumptions!B24</f>
        <v>12600</v>
      </c>
      <c r="K360" s="21" t="n">
        <f aca="false">K359*(1+Assumptions!B30)</f>
        <v>14.7719671496579</v>
      </c>
      <c r="L360" s="16" t="n">
        <f aca="false">ROUND(K360*F360,0)</f>
        <v>15</v>
      </c>
      <c r="M360" s="22" t="n">
        <f aca="false">L360*Assumptions!B31</f>
        <v>4500</v>
      </c>
      <c r="N360" s="22" t="n">
        <f aca="false">J360+M360</f>
        <v>17100</v>
      </c>
      <c r="O360" s="22" t="n">
        <f aca="false">IF(DAY(B360)=1,Assumptions!B38*G360,0)</f>
        <v>0</v>
      </c>
      <c r="P360" s="22" t="n">
        <f aca="false">IF(DAY(B360)=1,Assumptions!B39*G360,0)</f>
        <v>0</v>
      </c>
      <c r="Q360" s="22" t="n">
        <f aca="false">IF(DAY(B360)=1,Assumptions!B40*G360,0)</f>
        <v>0</v>
      </c>
      <c r="R360" s="22" t="n">
        <f aca="false">IF(DAY(B360)=1,Assumptions!B41*G360,0)</f>
        <v>0</v>
      </c>
      <c r="S360" s="22" t="n">
        <f aca="false">IF(AND(DAY(B360)=1,D360&gt;=13),Assumptions!B42*G360,0)</f>
        <v>0</v>
      </c>
      <c r="T360" s="22" t="n">
        <f aca="false">IF(DAY(B360)=1,Assumptions!B43*G360,0)</f>
        <v>0</v>
      </c>
      <c r="U360" s="22" t="n">
        <f aca="false">SUM(O360:T360)</f>
        <v>0</v>
      </c>
      <c r="V360" s="22" t="n">
        <f aca="false">N360-U360</f>
        <v>17100</v>
      </c>
      <c r="W360" s="22" t="n">
        <f aca="false">W359+V360</f>
        <v>-3257600</v>
      </c>
      <c r="X360" s="23" t="str">
        <f aca="false">IF(W360&gt;=0,"YES","No")</f>
        <v>No</v>
      </c>
    </row>
    <row r="361" customFormat="false" ht="15" hidden="false" customHeight="false" outlineLevel="0" collapsed="false">
      <c r="A361" s="16" t="n">
        <v>360</v>
      </c>
      <c r="B361" s="17" t="n">
        <f aca="false">B360+1</f>
        <v>46382</v>
      </c>
      <c r="C361" s="18" t="n">
        <f aca="false">MIN(ROUNDUP(A361/365,0),5)</f>
        <v>1</v>
      </c>
      <c r="D361" s="18" t="n">
        <f aca="false">DATEDIF(Assumptions!B5,B361,"m")+1</f>
        <v>12</v>
      </c>
      <c r="E361" s="18" t="str">
        <f aca="false">TEXT(B361,"ddd")</f>
        <v>Sat</v>
      </c>
      <c r="F361" s="19" t="n">
        <f aca="false">IF(WEEKDAY(B361,2)&gt;=6,Assumptions!B34,Assumptions!B35)</f>
        <v>0.6</v>
      </c>
      <c r="G361" s="20" t="n">
        <f aca="false">IF(D361&gt;=13,(1+Assumptions!B46)^(D361-12),1)</f>
        <v>1</v>
      </c>
      <c r="H361" s="21" t="n">
        <f aca="false">H360*(1+IF(C361=1,Assumptions!B22,Assumptions!B23))</f>
        <v>20.7468963635191</v>
      </c>
      <c r="I361" s="16" t="n">
        <f aca="false">ROUND(H361*F361,0)</f>
        <v>12</v>
      </c>
      <c r="J361" s="22" t="n">
        <f aca="false">I361*Assumptions!B24</f>
        <v>7200</v>
      </c>
      <c r="K361" s="21" t="n">
        <f aca="false">K360*(1+Assumptions!B30)</f>
        <v>14.7767966498795</v>
      </c>
      <c r="L361" s="16" t="n">
        <f aca="false">ROUND(K361*F361,0)</f>
        <v>9</v>
      </c>
      <c r="M361" s="22" t="n">
        <f aca="false">L361*Assumptions!B31</f>
        <v>2700</v>
      </c>
      <c r="N361" s="22" t="n">
        <f aca="false">J361+M361</f>
        <v>9900</v>
      </c>
      <c r="O361" s="22" t="n">
        <f aca="false">IF(DAY(B361)=1,Assumptions!B38*G361,0)</f>
        <v>0</v>
      </c>
      <c r="P361" s="22" t="n">
        <f aca="false">IF(DAY(B361)=1,Assumptions!B39*G361,0)</f>
        <v>0</v>
      </c>
      <c r="Q361" s="22" t="n">
        <f aca="false">IF(DAY(B361)=1,Assumptions!B40*G361,0)</f>
        <v>0</v>
      </c>
      <c r="R361" s="22" t="n">
        <f aca="false">IF(DAY(B361)=1,Assumptions!B41*G361,0)</f>
        <v>0</v>
      </c>
      <c r="S361" s="22" t="n">
        <f aca="false">IF(AND(DAY(B361)=1,D361&gt;=13),Assumptions!B42*G361,0)</f>
        <v>0</v>
      </c>
      <c r="T361" s="22" t="n">
        <f aca="false">IF(DAY(B361)=1,Assumptions!B43*G361,0)</f>
        <v>0</v>
      </c>
      <c r="U361" s="22" t="n">
        <f aca="false">SUM(O361:T361)</f>
        <v>0</v>
      </c>
      <c r="V361" s="22" t="n">
        <f aca="false">N361-U361</f>
        <v>9900</v>
      </c>
      <c r="W361" s="22" t="n">
        <f aca="false">W360+V361</f>
        <v>-3247700</v>
      </c>
      <c r="X361" s="23" t="str">
        <f aca="false">IF(W361&gt;=0,"YES","No")</f>
        <v>No</v>
      </c>
    </row>
    <row r="362" customFormat="false" ht="15" hidden="false" customHeight="false" outlineLevel="0" collapsed="false">
      <c r="A362" s="16" t="n">
        <v>361</v>
      </c>
      <c r="B362" s="17" t="n">
        <f aca="false">B361+1</f>
        <v>46383</v>
      </c>
      <c r="C362" s="18" t="n">
        <f aca="false">MIN(ROUNDUP(A362/365,0),5)</f>
        <v>1</v>
      </c>
      <c r="D362" s="18" t="n">
        <f aca="false">DATEDIF(Assumptions!B5,B362,"m")+1</f>
        <v>12</v>
      </c>
      <c r="E362" s="18" t="str">
        <f aca="false">TEXT(B362,"ddd")</f>
        <v>Sun</v>
      </c>
      <c r="F362" s="19" t="n">
        <f aca="false">IF(WEEKDAY(B362,2)&gt;=6,Assumptions!B34,Assumptions!B35)</f>
        <v>0.6</v>
      </c>
      <c r="G362" s="20" t="n">
        <f aca="false">IF(D362&gt;=13,(1+Assumptions!B46)^(D362-12),1)</f>
        <v>1</v>
      </c>
      <c r="H362" s="21" t="n">
        <f aca="false">H361*(1+IF(C362=1,Assumptions!B22,Assumptions!B23))</f>
        <v>20.7603975698734</v>
      </c>
      <c r="I362" s="16" t="n">
        <f aca="false">ROUND(H362*F362,0)</f>
        <v>12</v>
      </c>
      <c r="J362" s="22" t="n">
        <f aca="false">I362*Assumptions!B24</f>
        <v>7200</v>
      </c>
      <c r="K362" s="21" t="n">
        <f aca="false">K361*(1+Assumptions!B30)</f>
        <v>14.7816277290426</v>
      </c>
      <c r="L362" s="16" t="n">
        <f aca="false">ROUND(K362*F362,0)</f>
        <v>9</v>
      </c>
      <c r="M362" s="22" t="n">
        <f aca="false">L362*Assumptions!B31</f>
        <v>2700</v>
      </c>
      <c r="N362" s="22" t="n">
        <f aca="false">J362+M362</f>
        <v>9900</v>
      </c>
      <c r="O362" s="22" t="n">
        <f aca="false">IF(DAY(B362)=1,Assumptions!B38*G362,0)</f>
        <v>0</v>
      </c>
      <c r="P362" s="22" t="n">
        <f aca="false">IF(DAY(B362)=1,Assumptions!B39*G362,0)</f>
        <v>0</v>
      </c>
      <c r="Q362" s="22" t="n">
        <f aca="false">IF(DAY(B362)=1,Assumptions!B40*G362,0)</f>
        <v>0</v>
      </c>
      <c r="R362" s="22" t="n">
        <f aca="false">IF(DAY(B362)=1,Assumptions!B41*G362,0)</f>
        <v>0</v>
      </c>
      <c r="S362" s="22" t="n">
        <f aca="false">IF(AND(DAY(B362)=1,D362&gt;=13),Assumptions!B42*G362,0)</f>
        <v>0</v>
      </c>
      <c r="T362" s="22" t="n">
        <f aca="false">IF(DAY(B362)=1,Assumptions!B43*G362,0)</f>
        <v>0</v>
      </c>
      <c r="U362" s="22" t="n">
        <f aca="false">SUM(O362:T362)</f>
        <v>0</v>
      </c>
      <c r="V362" s="22" t="n">
        <f aca="false">N362-U362</f>
        <v>9900</v>
      </c>
      <c r="W362" s="22" t="n">
        <f aca="false">W361+V362</f>
        <v>-3237800</v>
      </c>
      <c r="X362" s="23" t="str">
        <f aca="false">IF(W362&gt;=0,"YES","No")</f>
        <v>No</v>
      </c>
    </row>
    <row r="363" customFormat="false" ht="15" hidden="false" customHeight="false" outlineLevel="0" collapsed="false">
      <c r="A363" s="16" t="n">
        <v>362</v>
      </c>
      <c r="B363" s="17" t="n">
        <f aca="false">B362+1</f>
        <v>46384</v>
      </c>
      <c r="C363" s="18" t="n">
        <f aca="false">MIN(ROUNDUP(A363/365,0),5)</f>
        <v>1</v>
      </c>
      <c r="D363" s="18" t="n">
        <f aca="false">DATEDIF(Assumptions!B5,B363,"m")+1</f>
        <v>12</v>
      </c>
      <c r="E363" s="18" t="str">
        <f aca="false">TEXT(B363,"ddd")</f>
        <v>Mon</v>
      </c>
      <c r="F363" s="19" t="n">
        <f aca="false">IF(WEEKDAY(B363,2)&gt;=6,Assumptions!B34,Assumptions!B35)</f>
        <v>1</v>
      </c>
      <c r="G363" s="20" t="n">
        <f aca="false">IF(D363&gt;=13,(1+Assumptions!B46)^(D363-12),1)</f>
        <v>1</v>
      </c>
      <c r="H363" s="21" t="n">
        <f aca="false">H362*(1+IF(C363=1,Assumptions!B22,Assumptions!B23))</f>
        <v>20.7739075622441</v>
      </c>
      <c r="I363" s="16" t="n">
        <f aca="false">ROUND(H363*F363,0)</f>
        <v>21</v>
      </c>
      <c r="J363" s="22" t="n">
        <f aca="false">I363*Assumptions!B24</f>
        <v>12600</v>
      </c>
      <c r="K363" s="21" t="n">
        <f aca="false">K362*(1+Assumptions!B30)</f>
        <v>14.7864603876634</v>
      </c>
      <c r="L363" s="16" t="n">
        <f aca="false">ROUND(K363*F363,0)</f>
        <v>15</v>
      </c>
      <c r="M363" s="22" t="n">
        <f aca="false">L363*Assumptions!B31</f>
        <v>4500</v>
      </c>
      <c r="N363" s="22" t="n">
        <f aca="false">J363+M363</f>
        <v>17100</v>
      </c>
      <c r="O363" s="22" t="n">
        <f aca="false">IF(DAY(B363)=1,Assumptions!B38*G363,0)</f>
        <v>0</v>
      </c>
      <c r="P363" s="22" t="n">
        <f aca="false">IF(DAY(B363)=1,Assumptions!B39*G363,0)</f>
        <v>0</v>
      </c>
      <c r="Q363" s="22" t="n">
        <f aca="false">IF(DAY(B363)=1,Assumptions!B40*G363,0)</f>
        <v>0</v>
      </c>
      <c r="R363" s="22" t="n">
        <f aca="false">IF(DAY(B363)=1,Assumptions!B41*G363,0)</f>
        <v>0</v>
      </c>
      <c r="S363" s="22" t="n">
        <f aca="false">IF(AND(DAY(B363)=1,D363&gt;=13),Assumptions!B42*G363,0)</f>
        <v>0</v>
      </c>
      <c r="T363" s="22" t="n">
        <f aca="false">IF(DAY(B363)=1,Assumptions!B43*G363,0)</f>
        <v>0</v>
      </c>
      <c r="U363" s="22" t="n">
        <f aca="false">SUM(O363:T363)</f>
        <v>0</v>
      </c>
      <c r="V363" s="22" t="n">
        <f aca="false">N363-U363</f>
        <v>17100</v>
      </c>
      <c r="W363" s="22" t="n">
        <f aca="false">W362+V363</f>
        <v>-3220700</v>
      </c>
      <c r="X363" s="23" t="str">
        <f aca="false">IF(W363&gt;=0,"YES","No")</f>
        <v>No</v>
      </c>
    </row>
    <row r="364" customFormat="false" ht="15" hidden="false" customHeight="false" outlineLevel="0" collapsed="false">
      <c r="A364" s="16" t="n">
        <v>363</v>
      </c>
      <c r="B364" s="17" t="n">
        <f aca="false">B363+1</f>
        <v>46385</v>
      </c>
      <c r="C364" s="18" t="n">
        <f aca="false">MIN(ROUNDUP(A364/365,0),5)</f>
        <v>1</v>
      </c>
      <c r="D364" s="18" t="n">
        <f aca="false">DATEDIF(Assumptions!B5,B364,"m")+1</f>
        <v>12</v>
      </c>
      <c r="E364" s="18" t="str">
        <f aca="false">TEXT(B364,"ddd")</f>
        <v>Tue</v>
      </c>
      <c r="F364" s="19" t="n">
        <f aca="false">IF(WEEKDAY(B364,2)&gt;=6,Assumptions!B34,Assumptions!B35)</f>
        <v>1</v>
      </c>
      <c r="G364" s="20" t="n">
        <f aca="false">IF(D364&gt;=13,(1+Assumptions!B46)^(D364-12),1)</f>
        <v>1</v>
      </c>
      <c r="H364" s="21" t="n">
        <f aca="false">H363*(1+IF(C364=1,Assumptions!B22,Assumptions!B23))</f>
        <v>20.7874263463489</v>
      </c>
      <c r="I364" s="16" t="n">
        <f aca="false">ROUND(H364*F364,0)</f>
        <v>21</v>
      </c>
      <c r="J364" s="22" t="n">
        <f aca="false">I364*Assumptions!B24</f>
        <v>12600</v>
      </c>
      <c r="K364" s="21" t="n">
        <f aca="false">K363*(1+Assumptions!B30)</f>
        <v>14.7912946262584</v>
      </c>
      <c r="L364" s="16" t="n">
        <f aca="false">ROUND(K364*F364,0)</f>
        <v>15</v>
      </c>
      <c r="M364" s="22" t="n">
        <f aca="false">L364*Assumptions!B31</f>
        <v>4500</v>
      </c>
      <c r="N364" s="22" t="n">
        <f aca="false">J364+M364</f>
        <v>17100</v>
      </c>
      <c r="O364" s="22" t="n">
        <f aca="false">IF(DAY(B364)=1,Assumptions!B38*G364,0)</f>
        <v>0</v>
      </c>
      <c r="P364" s="22" t="n">
        <f aca="false">IF(DAY(B364)=1,Assumptions!B39*G364,0)</f>
        <v>0</v>
      </c>
      <c r="Q364" s="22" t="n">
        <f aca="false">IF(DAY(B364)=1,Assumptions!B40*G364,0)</f>
        <v>0</v>
      </c>
      <c r="R364" s="22" t="n">
        <f aca="false">IF(DAY(B364)=1,Assumptions!B41*G364,0)</f>
        <v>0</v>
      </c>
      <c r="S364" s="22" t="n">
        <f aca="false">IF(AND(DAY(B364)=1,D364&gt;=13),Assumptions!B42*G364,0)</f>
        <v>0</v>
      </c>
      <c r="T364" s="22" t="n">
        <f aca="false">IF(DAY(B364)=1,Assumptions!B43*G364,0)</f>
        <v>0</v>
      </c>
      <c r="U364" s="22" t="n">
        <f aca="false">SUM(O364:T364)</f>
        <v>0</v>
      </c>
      <c r="V364" s="22" t="n">
        <f aca="false">N364-U364</f>
        <v>17100</v>
      </c>
      <c r="W364" s="22" t="n">
        <f aca="false">W363+V364</f>
        <v>-3203600</v>
      </c>
      <c r="X364" s="23" t="str">
        <f aca="false">IF(W364&gt;=0,"YES","No")</f>
        <v>No</v>
      </c>
    </row>
    <row r="365" customFormat="false" ht="15" hidden="false" customHeight="false" outlineLevel="0" collapsed="false">
      <c r="A365" s="16" t="n">
        <v>364</v>
      </c>
      <c r="B365" s="17" t="n">
        <f aca="false">B364+1</f>
        <v>46386</v>
      </c>
      <c r="C365" s="18" t="n">
        <f aca="false">MIN(ROUNDUP(A365/365,0),5)</f>
        <v>1</v>
      </c>
      <c r="D365" s="18" t="n">
        <f aca="false">DATEDIF(Assumptions!B5,B365,"m")+1</f>
        <v>12</v>
      </c>
      <c r="E365" s="18" t="str">
        <f aca="false">TEXT(B365,"ddd")</f>
        <v>Wed</v>
      </c>
      <c r="F365" s="19" t="n">
        <f aca="false">IF(WEEKDAY(B365,2)&gt;=6,Assumptions!B34,Assumptions!B35)</f>
        <v>1</v>
      </c>
      <c r="G365" s="20" t="n">
        <f aca="false">IF(D365&gt;=13,(1+Assumptions!B46)^(D365-12),1)</f>
        <v>1</v>
      </c>
      <c r="H365" s="21" t="n">
        <f aca="false">H364*(1+IF(C365=1,Assumptions!B22,Assumptions!B23))</f>
        <v>20.800953927909</v>
      </c>
      <c r="I365" s="16" t="n">
        <f aca="false">ROUND(H365*F365,0)</f>
        <v>21</v>
      </c>
      <c r="J365" s="22" t="n">
        <f aca="false">I365*Assumptions!B24</f>
        <v>12600</v>
      </c>
      <c r="K365" s="21" t="n">
        <f aca="false">K364*(1+Assumptions!B30)</f>
        <v>14.796130445344</v>
      </c>
      <c r="L365" s="16" t="n">
        <f aca="false">ROUND(K365*F365,0)</f>
        <v>15</v>
      </c>
      <c r="M365" s="22" t="n">
        <f aca="false">L365*Assumptions!B31</f>
        <v>4500</v>
      </c>
      <c r="N365" s="22" t="n">
        <f aca="false">J365+M365</f>
        <v>17100</v>
      </c>
      <c r="O365" s="22" t="n">
        <f aca="false">IF(DAY(B365)=1,Assumptions!B38*G365,0)</f>
        <v>0</v>
      </c>
      <c r="P365" s="22" t="n">
        <f aca="false">IF(DAY(B365)=1,Assumptions!B39*G365,0)</f>
        <v>0</v>
      </c>
      <c r="Q365" s="22" t="n">
        <f aca="false">IF(DAY(B365)=1,Assumptions!B40*G365,0)</f>
        <v>0</v>
      </c>
      <c r="R365" s="22" t="n">
        <f aca="false">IF(DAY(B365)=1,Assumptions!B41*G365,0)</f>
        <v>0</v>
      </c>
      <c r="S365" s="22" t="n">
        <f aca="false">IF(AND(DAY(B365)=1,D365&gt;=13),Assumptions!B42*G365,0)</f>
        <v>0</v>
      </c>
      <c r="T365" s="22" t="n">
        <f aca="false">IF(DAY(B365)=1,Assumptions!B43*G365,0)</f>
        <v>0</v>
      </c>
      <c r="U365" s="22" t="n">
        <f aca="false">SUM(O365:T365)</f>
        <v>0</v>
      </c>
      <c r="V365" s="22" t="n">
        <f aca="false">N365-U365</f>
        <v>17100</v>
      </c>
      <c r="W365" s="22" t="n">
        <f aca="false">W364+V365</f>
        <v>-3186500</v>
      </c>
      <c r="X365" s="23" t="str">
        <f aca="false">IF(W365&gt;=0,"YES","No")</f>
        <v>No</v>
      </c>
    </row>
    <row r="366" customFormat="false" ht="15" hidden="false" customHeight="false" outlineLevel="0" collapsed="false">
      <c r="A366" s="16" t="n">
        <v>365</v>
      </c>
      <c r="B366" s="17" t="n">
        <f aca="false">B365+1</f>
        <v>46387</v>
      </c>
      <c r="C366" s="18" t="n">
        <f aca="false">MIN(ROUNDUP(A366/365,0),5)</f>
        <v>1</v>
      </c>
      <c r="D366" s="18" t="n">
        <f aca="false">DATEDIF(Assumptions!B5,B366,"m")+1</f>
        <v>12</v>
      </c>
      <c r="E366" s="18" t="str">
        <f aca="false">TEXT(B366,"ddd")</f>
        <v>Thu</v>
      </c>
      <c r="F366" s="19" t="n">
        <f aca="false">IF(WEEKDAY(B366,2)&gt;=6,Assumptions!B34,Assumptions!B35)</f>
        <v>1</v>
      </c>
      <c r="G366" s="20" t="n">
        <f aca="false">IF(D366&gt;=13,(1+Assumptions!B46)^(D366-12),1)</f>
        <v>1</v>
      </c>
      <c r="H366" s="21" t="n">
        <f aca="false">H365*(1+IF(C366=1,Assumptions!B22,Assumptions!B23))</f>
        <v>20.8144903126494</v>
      </c>
      <c r="I366" s="16" t="n">
        <f aca="false">ROUND(H366*F366,0)</f>
        <v>21</v>
      </c>
      <c r="J366" s="22" t="n">
        <f aca="false">I366*Assumptions!B24</f>
        <v>12600</v>
      </c>
      <c r="K366" s="21" t="n">
        <f aca="false">K365*(1+Assumptions!B30)</f>
        <v>14.8009678454371</v>
      </c>
      <c r="L366" s="16" t="n">
        <f aca="false">ROUND(K366*F366,0)</f>
        <v>15</v>
      </c>
      <c r="M366" s="22" t="n">
        <f aca="false">L366*Assumptions!B31</f>
        <v>4500</v>
      </c>
      <c r="N366" s="22" t="n">
        <f aca="false">J366+M366</f>
        <v>17100</v>
      </c>
      <c r="O366" s="22" t="n">
        <f aca="false">IF(DAY(B366)=1,Assumptions!B38*G366,0)</f>
        <v>0</v>
      </c>
      <c r="P366" s="22" t="n">
        <f aca="false">IF(DAY(B366)=1,Assumptions!B39*G366,0)</f>
        <v>0</v>
      </c>
      <c r="Q366" s="22" t="n">
        <f aca="false">IF(DAY(B366)=1,Assumptions!B40*G366,0)</f>
        <v>0</v>
      </c>
      <c r="R366" s="22" t="n">
        <f aca="false">IF(DAY(B366)=1,Assumptions!B41*G366,0)</f>
        <v>0</v>
      </c>
      <c r="S366" s="22" t="n">
        <f aca="false">IF(AND(DAY(B366)=1,D366&gt;=13),Assumptions!B42*G366,0)</f>
        <v>0</v>
      </c>
      <c r="T366" s="22" t="n">
        <f aca="false">IF(DAY(B366)=1,Assumptions!B43*G366,0)</f>
        <v>0</v>
      </c>
      <c r="U366" s="22" t="n">
        <f aca="false">SUM(O366:T366)</f>
        <v>0</v>
      </c>
      <c r="V366" s="22" t="n">
        <f aca="false">N366-U366</f>
        <v>17100</v>
      </c>
      <c r="W366" s="22" t="n">
        <f aca="false">W365+V366</f>
        <v>-3169400</v>
      </c>
      <c r="X366" s="23" t="str">
        <f aca="false">IF(W366&gt;=0,"YES","No")</f>
        <v>No</v>
      </c>
    </row>
    <row r="367" customFormat="false" ht="15" hidden="false" customHeight="false" outlineLevel="0" collapsed="false">
      <c r="A367" s="16" t="n">
        <v>366</v>
      </c>
      <c r="B367" s="17" t="n">
        <f aca="false">B366+1</f>
        <v>46388</v>
      </c>
      <c r="C367" s="18" t="n">
        <f aca="false">MIN(ROUNDUP(A367/365,0),5)</f>
        <v>2</v>
      </c>
      <c r="D367" s="18" t="n">
        <f aca="false">DATEDIF(Assumptions!B5,B367,"m")+1</f>
        <v>13</v>
      </c>
      <c r="E367" s="18" t="str">
        <f aca="false">TEXT(B367,"ddd")</f>
        <v>Fri</v>
      </c>
      <c r="F367" s="19" t="n">
        <f aca="false">IF(WEEKDAY(B367,2)&gt;=6,Assumptions!B34,Assumptions!B35)</f>
        <v>1</v>
      </c>
      <c r="G367" s="20" t="n">
        <f aca="false">IF(D367&gt;=13,(1+Assumptions!B46)^(D367-12),1)</f>
        <v>1.003</v>
      </c>
      <c r="H367" s="21" t="n">
        <f aca="false">H366*(1+IF(C367=1,Assumptions!B22,Assumptions!B23))</f>
        <v>20.8179010104067</v>
      </c>
      <c r="I367" s="16" t="n">
        <f aca="false">ROUND(H367*F367,0)</f>
        <v>21</v>
      </c>
      <c r="J367" s="22" t="n">
        <f aca="false">I367*Assumptions!B24</f>
        <v>12600</v>
      </c>
      <c r="K367" s="21" t="n">
        <f aca="false">K366*(1+Assumptions!B30)</f>
        <v>14.8058068270544</v>
      </c>
      <c r="L367" s="16" t="n">
        <f aca="false">ROUND(K367*F367,0)</f>
        <v>15</v>
      </c>
      <c r="M367" s="22" t="n">
        <f aca="false">L367*Assumptions!B31</f>
        <v>4500</v>
      </c>
      <c r="N367" s="22" t="n">
        <f aca="false">J367+M367</f>
        <v>17100</v>
      </c>
      <c r="O367" s="22" t="n">
        <f aca="false">IF(DAY(B367)=1,Assumptions!B38*G367,0)</f>
        <v>150450</v>
      </c>
      <c r="P367" s="22" t="n">
        <f aca="false">IF(DAY(B367)=1,Assumptions!B39*G367,0)</f>
        <v>40120</v>
      </c>
      <c r="Q367" s="22" t="n">
        <f aca="false">IF(DAY(B367)=1,Assumptions!B40*G367,0)</f>
        <v>30090</v>
      </c>
      <c r="R367" s="22" t="n">
        <f aca="false">IF(DAY(B367)=1,Assumptions!B41*G367,0)</f>
        <v>20060</v>
      </c>
      <c r="S367" s="22" t="n">
        <f aca="false">IF(AND(DAY(B367)=1,D367&gt;=13),Assumptions!B42*G367,0)</f>
        <v>150450</v>
      </c>
      <c r="T367" s="22" t="n">
        <f aca="false">IF(DAY(B367)=1,Assumptions!B43*G367,0)</f>
        <v>20060</v>
      </c>
      <c r="U367" s="22" t="n">
        <f aca="false">SUM(O367:T367)</f>
        <v>411230</v>
      </c>
      <c r="V367" s="22" t="n">
        <f aca="false">N367-U367</f>
        <v>-394130</v>
      </c>
      <c r="W367" s="22" t="n">
        <f aca="false">W366+V367</f>
        <v>-3563530</v>
      </c>
      <c r="X367" s="23" t="str">
        <f aca="false">IF(W367&gt;=0,"YES","No")</f>
        <v>No</v>
      </c>
    </row>
    <row r="368" customFormat="false" ht="15" hidden="false" customHeight="false" outlineLevel="0" collapsed="false">
      <c r="A368" s="16" t="n">
        <v>367</v>
      </c>
      <c r="B368" s="17" t="n">
        <f aca="false">B367+1</f>
        <v>46389</v>
      </c>
      <c r="C368" s="18" t="n">
        <f aca="false">MIN(ROUNDUP(A368/365,0),5)</f>
        <v>2</v>
      </c>
      <c r="D368" s="18" t="n">
        <f aca="false">DATEDIF(Assumptions!B5,B368,"m")+1</f>
        <v>13</v>
      </c>
      <c r="E368" s="18" t="str">
        <f aca="false">TEXT(B368,"ddd")</f>
        <v>Sat</v>
      </c>
      <c r="F368" s="19" t="n">
        <f aca="false">IF(WEEKDAY(B368,2)&gt;=6,Assumptions!B34,Assumptions!B35)</f>
        <v>0.6</v>
      </c>
      <c r="G368" s="20" t="n">
        <f aca="false">IF(D368&gt;=13,(1+Assumptions!B46)^(D368-12),1)</f>
        <v>1.003</v>
      </c>
      <c r="H368" s="21" t="n">
        <f aca="false">H367*(1+IF(C368=1,Assumptions!B22,Assumptions!B23))</f>
        <v>20.8213122670467</v>
      </c>
      <c r="I368" s="16" t="n">
        <f aca="false">ROUND(H368*F368,0)</f>
        <v>12</v>
      </c>
      <c r="J368" s="22" t="n">
        <f aca="false">I368*Assumptions!B24</f>
        <v>7200</v>
      </c>
      <c r="K368" s="21" t="n">
        <f aca="false">K367*(1+Assumptions!B30)</f>
        <v>14.8106473907131</v>
      </c>
      <c r="L368" s="16" t="n">
        <f aca="false">ROUND(K368*F368,0)</f>
        <v>9</v>
      </c>
      <c r="M368" s="22" t="n">
        <f aca="false">L368*Assumptions!B31</f>
        <v>2700</v>
      </c>
      <c r="N368" s="22" t="n">
        <f aca="false">J368+M368</f>
        <v>9900</v>
      </c>
      <c r="O368" s="22" t="n">
        <f aca="false">IF(DAY(B368)=1,Assumptions!B38*G368,0)</f>
        <v>0</v>
      </c>
      <c r="P368" s="22" t="n">
        <f aca="false">IF(DAY(B368)=1,Assumptions!B39*G368,0)</f>
        <v>0</v>
      </c>
      <c r="Q368" s="22" t="n">
        <f aca="false">IF(DAY(B368)=1,Assumptions!B40*G368,0)</f>
        <v>0</v>
      </c>
      <c r="R368" s="22" t="n">
        <f aca="false">IF(DAY(B368)=1,Assumptions!B41*G368,0)</f>
        <v>0</v>
      </c>
      <c r="S368" s="22" t="n">
        <f aca="false">IF(AND(DAY(B368)=1,D368&gt;=13),Assumptions!B42*G368,0)</f>
        <v>0</v>
      </c>
      <c r="T368" s="22" t="n">
        <f aca="false">IF(DAY(B368)=1,Assumptions!B43*G368,0)</f>
        <v>0</v>
      </c>
      <c r="U368" s="22" t="n">
        <f aca="false">SUM(O368:T368)</f>
        <v>0</v>
      </c>
      <c r="V368" s="22" t="n">
        <f aca="false">N368-U368</f>
        <v>9900</v>
      </c>
      <c r="W368" s="22" t="n">
        <f aca="false">W367+V368</f>
        <v>-3553630</v>
      </c>
      <c r="X368" s="23" t="str">
        <f aca="false">IF(W368&gt;=0,"YES","No")</f>
        <v>No</v>
      </c>
    </row>
    <row r="369" customFormat="false" ht="15" hidden="false" customHeight="false" outlineLevel="0" collapsed="false">
      <c r="A369" s="16" t="n">
        <v>368</v>
      </c>
      <c r="B369" s="17" t="n">
        <f aca="false">B368+1</f>
        <v>46390</v>
      </c>
      <c r="C369" s="18" t="n">
        <f aca="false">MIN(ROUNDUP(A369/365,0),5)</f>
        <v>2</v>
      </c>
      <c r="D369" s="18" t="n">
        <f aca="false">DATEDIF(Assumptions!B5,B369,"m")+1</f>
        <v>13</v>
      </c>
      <c r="E369" s="18" t="str">
        <f aca="false">TEXT(B369,"ddd")</f>
        <v>Sun</v>
      </c>
      <c r="F369" s="19" t="n">
        <f aca="false">IF(WEEKDAY(B369,2)&gt;=6,Assumptions!B34,Assumptions!B35)</f>
        <v>0.6</v>
      </c>
      <c r="G369" s="20" t="n">
        <f aca="false">IF(D369&gt;=13,(1+Assumptions!B46)^(D369-12),1)</f>
        <v>1.003</v>
      </c>
      <c r="H369" s="21" t="n">
        <f aca="false">H368*(1+IF(C369=1,Assumptions!B22,Assumptions!B23))</f>
        <v>20.824724082661</v>
      </c>
      <c r="I369" s="16" t="n">
        <f aca="false">ROUND(H369*F369,0)</f>
        <v>12</v>
      </c>
      <c r="J369" s="22" t="n">
        <f aca="false">I369*Assumptions!B24</f>
        <v>7200</v>
      </c>
      <c r="K369" s="21" t="n">
        <f aca="false">K368*(1+Assumptions!B30)</f>
        <v>14.8154895369303</v>
      </c>
      <c r="L369" s="16" t="n">
        <f aca="false">ROUND(K369*F369,0)</f>
        <v>9</v>
      </c>
      <c r="M369" s="22" t="n">
        <f aca="false">L369*Assumptions!B31</f>
        <v>2700</v>
      </c>
      <c r="N369" s="22" t="n">
        <f aca="false">J369+M369</f>
        <v>9900</v>
      </c>
      <c r="O369" s="22" t="n">
        <f aca="false">IF(DAY(B369)=1,Assumptions!B38*G369,0)</f>
        <v>0</v>
      </c>
      <c r="P369" s="22" t="n">
        <f aca="false">IF(DAY(B369)=1,Assumptions!B39*G369,0)</f>
        <v>0</v>
      </c>
      <c r="Q369" s="22" t="n">
        <f aca="false">IF(DAY(B369)=1,Assumptions!B40*G369,0)</f>
        <v>0</v>
      </c>
      <c r="R369" s="22" t="n">
        <f aca="false">IF(DAY(B369)=1,Assumptions!B41*G369,0)</f>
        <v>0</v>
      </c>
      <c r="S369" s="22" t="n">
        <f aca="false">IF(AND(DAY(B369)=1,D369&gt;=13),Assumptions!B42*G369,0)</f>
        <v>0</v>
      </c>
      <c r="T369" s="22" t="n">
        <f aca="false">IF(DAY(B369)=1,Assumptions!B43*G369,0)</f>
        <v>0</v>
      </c>
      <c r="U369" s="22" t="n">
        <f aca="false">SUM(O369:T369)</f>
        <v>0</v>
      </c>
      <c r="V369" s="22" t="n">
        <f aca="false">N369-U369</f>
        <v>9900</v>
      </c>
      <c r="W369" s="22" t="n">
        <f aca="false">W368+V369</f>
        <v>-3543730</v>
      </c>
      <c r="X369" s="23" t="str">
        <f aca="false">IF(W369&gt;=0,"YES","No")</f>
        <v>No</v>
      </c>
    </row>
    <row r="370" customFormat="false" ht="15" hidden="false" customHeight="false" outlineLevel="0" collapsed="false">
      <c r="A370" s="16" t="n">
        <v>369</v>
      </c>
      <c r="B370" s="17" t="n">
        <f aca="false">B369+1</f>
        <v>46391</v>
      </c>
      <c r="C370" s="18" t="n">
        <f aca="false">MIN(ROUNDUP(A370/365,0),5)</f>
        <v>2</v>
      </c>
      <c r="D370" s="18" t="n">
        <f aca="false">DATEDIF(Assumptions!B5,B370,"m")+1</f>
        <v>13</v>
      </c>
      <c r="E370" s="18" t="str">
        <f aca="false">TEXT(B370,"ddd")</f>
        <v>Mon</v>
      </c>
      <c r="F370" s="19" t="n">
        <f aca="false">IF(WEEKDAY(B370,2)&gt;=6,Assumptions!B34,Assumptions!B35)</f>
        <v>1</v>
      </c>
      <c r="G370" s="20" t="n">
        <f aca="false">IF(D370&gt;=13,(1+Assumptions!B46)^(D370-12),1)</f>
        <v>1.003</v>
      </c>
      <c r="H370" s="21" t="n">
        <f aca="false">H369*(1+IF(C370=1,Assumptions!B22,Assumptions!B23))</f>
        <v>20.8281364573412</v>
      </c>
      <c r="I370" s="16" t="n">
        <f aca="false">ROUND(H370*F370,0)</f>
        <v>21</v>
      </c>
      <c r="J370" s="22" t="n">
        <f aca="false">I370*Assumptions!B24</f>
        <v>12600</v>
      </c>
      <c r="K370" s="21" t="n">
        <f aca="false">K369*(1+Assumptions!B30)</f>
        <v>14.8203332662235</v>
      </c>
      <c r="L370" s="16" t="n">
        <f aca="false">ROUND(K370*F370,0)</f>
        <v>15</v>
      </c>
      <c r="M370" s="22" t="n">
        <f aca="false">L370*Assumptions!B31</f>
        <v>4500</v>
      </c>
      <c r="N370" s="22" t="n">
        <f aca="false">J370+M370</f>
        <v>17100</v>
      </c>
      <c r="O370" s="22" t="n">
        <f aca="false">IF(DAY(B370)=1,Assumptions!B38*G370,0)</f>
        <v>0</v>
      </c>
      <c r="P370" s="22" t="n">
        <f aca="false">IF(DAY(B370)=1,Assumptions!B39*G370,0)</f>
        <v>0</v>
      </c>
      <c r="Q370" s="22" t="n">
        <f aca="false">IF(DAY(B370)=1,Assumptions!B40*G370,0)</f>
        <v>0</v>
      </c>
      <c r="R370" s="22" t="n">
        <f aca="false">IF(DAY(B370)=1,Assumptions!B41*G370,0)</f>
        <v>0</v>
      </c>
      <c r="S370" s="22" t="n">
        <f aca="false">IF(AND(DAY(B370)=1,D370&gt;=13),Assumptions!B42*G370,0)</f>
        <v>0</v>
      </c>
      <c r="T370" s="22" t="n">
        <f aca="false">IF(DAY(B370)=1,Assumptions!B43*G370,0)</f>
        <v>0</v>
      </c>
      <c r="U370" s="22" t="n">
        <f aca="false">SUM(O370:T370)</f>
        <v>0</v>
      </c>
      <c r="V370" s="22" t="n">
        <f aca="false">N370-U370</f>
        <v>17100</v>
      </c>
      <c r="W370" s="22" t="n">
        <f aca="false">W369+V370</f>
        <v>-3526630</v>
      </c>
      <c r="X370" s="23" t="str">
        <f aca="false">IF(W370&gt;=0,"YES","No")</f>
        <v>No</v>
      </c>
    </row>
    <row r="371" customFormat="false" ht="15" hidden="false" customHeight="false" outlineLevel="0" collapsed="false">
      <c r="A371" s="16" t="n">
        <v>370</v>
      </c>
      <c r="B371" s="17" t="n">
        <f aca="false">B370+1</f>
        <v>46392</v>
      </c>
      <c r="C371" s="18" t="n">
        <f aca="false">MIN(ROUNDUP(A371/365,0),5)</f>
        <v>2</v>
      </c>
      <c r="D371" s="18" t="n">
        <f aca="false">DATEDIF(Assumptions!B5,B371,"m")+1</f>
        <v>13</v>
      </c>
      <c r="E371" s="18" t="str">
        <f aca="false">TEXT(B371,"ddd")</f>
        <v>Tue</v>
      </c>
      <c r="F371" s="19" t="n">
        <f aca="false">IF(WEEKDAY(B371,2)&gt;=6,Assumptions!B34,Assumptions!B35)</f>
        <v>1</v>
      </c>
      <c r="G371" s="20" t="n">
        <f aca="false">IF(D371&gt;=13,(1+Assumptions!B46)^(D371-12),1)</f>
        <v>1.003</v>
      </c>
      <c r="H371" s="21" t="n">
        <f aca="false">H370*(1+IF(C371=1,Assumptions!B22,Assumptions!B23))</f>
        <v>20.8315493911789</v>
      </c>
      <c r="I371" s="16" t="n">
        <f aca="false">ROUND(H371*F371,0)</f>
        <v>21</v>
      </c>
      <c r="J371" s="22" t="n">
        <f aca="false">I371*Assumptions!B24</f>
        <v>12600</v>
      </c>
      <c r="K371" s="21" t="n">
        <f aca="false">K370*(1+Assumptions!B30)</f>
        <v>14.8251785791103</v>
      </c>
      <c r="L371" s="16" t="n">
        <f aca="false">ROUND(K371*F371,0)</f>
        <v>15</v>
      </c>
      <c r="M371" s="22" t="n">
        <f aca="false">L371*Assumptions!B31</f>
        <v>4500</v>
      </c>
      <c r="N371" s="22" t="n">
        <f aca="false">J371+M371</f>
        <v>17100</v>
      </c>
      <c r="O371" s="22" t="n">
        <f aca="false">IF(DAY(B371)=1,Assumptions!B38*G371,0)</f>
        <v>0</v>
      </c>
      <c r="P371" s="22" t="n">
        <f aca="false">IF(DAY(B371)=1,Assumptions!B39*G371,0)</f>
        <v>0</v>
      </c>
      <c r="Q371" s="22" t="n">
        <f aca="false">IF(DAY(B371)=1,Assumptions!B40*G371,0)</f>
        <v>0</v>
      </c>
      <c r="R371" s="22" t="n">
        <f aca="false">IF(DAY(B371)=1,Assumptions!B41*G371,0)</f>
        <v>0</v>
      </c>
      <c r="S371" s="22" t="n">
        <f aca="false">IF(AND(DAY(B371)=1,D371&gt;=13),Assumptions!B42*G371,0)</f>
        <v>0</v>
      </c>
      <c r="T371" s="22" t="n">
        <f aca="false">IF(DAY(B371)=1,Assumptions!B43*G371,0)</f>
        <v>0</v>
      </c>
      <c r="U371" s="22" t="n">
        <f aca="false">SUM(O371:T371)</f>
        <v>0</v>
      </c>
      <c r="V371" s="22" t="n">
        <f aca="false">N371-U371</f>
        <v>17100</v>
      </c>
      <c r="W371" s="22" t="n">
        <f aca="false">W370+V371</f>
        <v>-3509530</v>
      </c>
      <c r="X371" s="23" t="str">
        <f aca="false">IF(W371&gt;=0,"YES","No")</f>
        <v>No</v>
      </c>
    </row>
    <row r="372" customFormat="false" ht="15" hidden="false" customHeight="false" outlineLevel="0" collapsed="false">
      <c r="A372" s="16" t="n">
        <v>371</v>
      </c>
      <c r="B372" s="17" t="n">
        <f aca="false">B371+1</f>
        <v>46393</v>
      </c>
      <c r="C372" s="18" t="n">
        <f aca="false">MIN(ROUNDUP(A372/365,0),5)</f>
        <v>2</v>
      </c>
      <c r="D372" s="18" t="n">
        <f aca="false">DATEDIF(Assumptions!B5,B372,"m")+1</f>
        <v>13</v>
      </c>
      <c r="E372" s="18" t="str">
        <f aca="false">TEXT(B372,"ddd")</f>
        <v>Wed</v>
      </c>
      <c r="F372" s="19" t="n">
        <f aca="false">IF(WEEKDAY(B372,2)&gt;=6,Assumptions!B34,Assumptions!B35)</f>
        <v>1</v>
      </c>
      <c r="G372" s="20" t="n">
        <f aca="false">IF(D372&gt;=13,(1+Assumptions!B46)^(D372-12),1)</f>
        <v>1.003</v>
      </c>
      <c r="H372" s="21" t="n">
        <f aca="false">H371*(1+IF(C372=1,Assumptions!B22,Assumptions!B23))</f>
        <v>20.8349628842658</v>
      </c>
      <c r="I372" s="16" t="n">
        <f aca="false">ROUND(H372*F372,0)</f>
        <v>21</v>
      </c>
      <c r="J372" s="22" t="n">
        <f aca="false">I372*Assumptions!B24</f>
        <v>12600</v>
      </c>
      <c r="K372" s="21" t="n">
        <f aca="false">K371*(1+Assumptions!B30)</f>
        <v>14.8300254761083</v>
      </c>
      <c r="L372" s="16" t="n">
        <f aca="false">ROUND(K372*F372,0)</f>
        <v>15</v>
      </c>
      <c r="M372" s="22" t="n">
        <f aca="false">L372*Assumptions!B31</f>
        <v>4500</v>
      </c>
      <c r="N372" s="22" t="n">
        <f aca="false">J372+M372</f>
        <v>17100</v>
      </c>
      <c r="O372" s="22" t="n">
        <f aca="false">IF(DAY(B372)=1,Assumptions!B38*G372,0)</f>
        <v>0</v>
      </c>
      <c r="P372" s="22" t="n">
        <f aca="false">IF(DAY(B372)=1,Assumptions!B39*G372,0)</f>
        <v>0</v>
      </c>
      <c r="Q372" s="22" t="n">
        <f aca="false">IF(DAY(B372)=1,Assumptions!B40*G372,0)</f>
        <v>0</v>
      </c>
      <c r="R372" s="22" t="n">
        <f aca="false">IF(DAY(B372)=1,Assumptions!B41*G372,0)</f>
        <v>0</v>
      </c>
      <c r="S372" s="22" t="n">
        <f aca="false">IF(AND(DAY(B372)=1,D372&gt;=13),Assumptions!B42*G372,0)</f>
        <v>0</v>
      </c>
      <c r="T372" s="22" t="n">
        <f aca="false">IF(DAY(B372)=1,Assumptions!B43*G372,0)</f>
        <v>0</v>
      </c>
      <c r="U372" s="22" t="n">
        <f aca="false">SUM(O372:T372)</f>
        <v>0</v>
      </c>
      <c r="V372" s="22" t="n">
        <f aca="false">N372-U372</f>
        <v>17100</v>
      </c>
      <c r="W372" s="22" t="n">
        <f aca="false">W371+V372</f>
        <v>-3492430</v>
      </c>
      <c r="X372" s="23" t="str">
        <f aca="false">IF(W372&gt;=0,"YES","No")</f>
        <v>No</v>
      </c>
    </row>
    <row r="373" customFormat="false" ht="15" hidden="false" customHeight="false" outlineLevel="0" collapsed="false">
      <c r="A373" s="16" t="n">
        <v>372</v>
      </c>
      <c r="B373" s="17" t="n">
        <f aca="false">B372+1</f>
        <v>46394</v>
      </c>
      <c r="C373" s="18" t="n">
        <f aca="false">MIN(ROUNDUP(A373/365,0),5)</f>
        <v>2</v>
      </c>
      <c r="D373" s="18" t="n">
        <f aca="false">DATEDIF(Assumptions!B5,B373,"m")+1</f>
        <v>13</v>
      </c>
      <c r="E373" s="18" t="str">
        <f aca="false">TEXT(B373,"ddd")</f>
        <v>Thu</v>
      </c>
      <c r="F373" s="19" t="n">
        <f aca="false">IF(WEEKDAY(B373,2)&gt;=6,Assumptions!B34,Assumptions!B35)</f>
        <v>1</v>
      </c>
      <c r="G373" s="20" t="n">
        <f aca="false">IF(D373&gt;=13,(1+Assumptions!B46)^(D373-12),1)</f>
        <v>1.003</v>
      </c>
      <c r="H373" s="21" t="n">
        <f aca="false">H372*(1+IF(C373=1,Assumptions!B22,Assumptions!B23))</f>
        <v>20.8383769366935</v>
      </c>
      <c r="I373" s="16" t="n">
        <f aca="false">ROUND(H373*F373,0)</f>
        <v>21</v>
      </c>
      <c r="J373" s="22" t="n">
        <f aca="false">I373*Assumptions!B24</f>
        <v>12600</v>
      </c>
      <c r="K373" s="21" t="n">
        <f aca="false">K372*(1+Assumptions!B30)</f>
        <v>14.8348739577355</v>
      </c>
      <c r="L373" s="16" t="n">
        <f aca="false">ROUND(K373*F373,0)</f>
        <v>15</v>
      </c>
      <c r="M373" s="22" t="n">
        <f aca="false">L373*Assumptions!B31</f>
        <v>4500</v>
      </c>
      <c r="N373" s="22" t="n">
        <f aca="false">J373+M373</f>
        <v>17100</v>
      </c>
      <c r="O373" s="22" t="n">
        <f aca="false">IF(DAY(B373)=1,Assumptions!B38*G373,0)</f>
        <v>0</v>
      </c>
      <c r="P373" s="22" t="n">
        <f aca="false">IF(DAY(B373)=1,Assumptions!B39*G373,0)</f>
        <v>0</v>
      </c>
      <c r="Q373" s="22" t="n">
        <f aca="false">IF(DAY(B373)=1,Assumptions!B40*G373,0)</f>
        <v>0</v>
      </c>
      <c r="R373" s="22" t="n">
        <f aca="false">IF(DAY(B373)=1,Assumptions!B41*G373,0)</f>
        <v>0</v>
      </c>
      <c r="S373" s="22" t="n">
        <f aca="false">IF(AND(DAY(B373)=1,D373&gt;=13),Assumptions!B42*G373,0)</f>
        <v>0</v>
      </c>
      <c r="T373" s="22" t="n">
        <f aca="false">IF(DAY(B373)=1,Assumptions!B43*G373,0)</f>
        <v>0</v>
      </c>
      <c r="U373" s="22" t="n">
        <f aca="false">SUM(O373:T373)</f>
        <v>0</v>
      </c>
      <c r="V373" s="22" t="n">
        <f aca="false">N373-U373</f>
        <v>17100</v>
      </c>
      <c r="W373" s="22" t="n">
        <f aca="false">W372+V373</f>
        <v>-3475330</v>
      </c>
      <c r="X373" s="23" t="str">
        <f aca="false">IF(W373&gt;=0,"YES","No")</f>
        <v>No</v>
      </c>
    </row>
    <row r="374" customFormat="false" ht="15" hidden="false" customHeight="false" outlineLevel="0" collapsed="false">
      <c r="A374" s="16" t="n">
        <v>373</v>
      </c>
      <c r="B374" s="17" t="n">
        <f aca="false">B373+1</f>
        <v>46395</v>
      </c>
      <c r="C374" s="18" t="n">
        <f aca="false">MIN(ROUNDUP(A374/365,0),5)</f>
        <v>2</v>
      </c>
      <c r="D374" s="18" t="n">
        <f aca="false">DATEDIF(Assumptions!B5,B374,"m")+1</f>
        <v>13</v>
      </c>
      <c r="E374" s="18" t="str">
        <f aca="false">TEXT(B374,"ddd")</f>
        <v>Fri</v>
      </c>
      <c r="F374" s="19" t="n">
        <f aca="false">IF(WEEKDAY(B374,2)&gt;=6,Assumptions!B34,Assumptions!B35)</f>
        <v>1</v>
      </c>
      <c r="G374" s="20" t="n">
        <f aca="false">IF(D374&gt;=13,(1+Assumptions!B46)^(D374-12),1)</f>
        <v>1.003</v>
      </c>
      <c r="H374" s="21" t="n">
        <f aca="false">H373*(1+IF(C374=1,Assumptions!B22,Assumptions!B23))</f>
        <v>20.8417915485536</v>
      </c>
      <c r="I374" s="16" t="n">
        <f aca="false">ROUND(H374*F374,0)</f>
        <v>21</v>
      </c>
      <c r="J374" s="22" t="n">
        <f aca="false">I374*Assumptions!B24</f>
        <v>12600</v>
      </c>
      <c r="K374" s="21" t="n">
        <f aca="false">K373*(1+Assumptions!B30)</f>
        <v>14.83972402451</v>
      </c>
      <c r="L374" s="16" t="n">
        <f aca="false">ROUND(K374*F374,0)</f>
        <v>15</v>
      </c>
      <c r="M374" s="22" t="n">
        <f aca="false">L374*Assumptions!B31</f>
        <v>4500</v>
      </c>
      <c r="N374" s="22" t="n">
        <f aca="false">J374+M374</f>
        <v>17100</v>
      </c>
      <c r="O374" s="22" t="n">
        <f aca="false">IF(DAY(B374)=1,Assumptions!B38*G374,0)</f>
        <v>0</v>
      </c>
      <c r="P374" s="22" t="n">
        <f aca="false">IF(DAY(B374)=1,Assumptions!B39*G374,0)</f>
        <v>0</v>
      </c>
      <c r="Q374" s="22" t="n">
        <f aca="false">IF(DAY(B374)=1,Assumptions!B40*G374,0)</f>
        <v>0</v>
      </c>
      <c r="R374" s="22" t="n">
        <f aca="false">IF(DAY(B374)=1,Assumptions!B41*G374,0)</f>
        <v>0</v>
      </c>
      <c r="S374" s="22" t="n">
        <f aca="false">IF(AND(DAY(B374)=1,D374&gt;=13),Assumptions!B42*G374,0)</f>
        <v>0</v>
      </c>
      <c r="T374" s="22" t="n">
        <f aca="false">IF(DAY(B374)=1,Assumptions!B43*G374,0)</f>
        <v>0</v>
      </c>
      <c r="U374" s="22" t="n">
        <f aca="false">SUM(O374:T374)</f>
        <v>0</v>
      </c>
      <c r="V374" s="22" t="n">
        <f aca="false">N374-U374</f>
        <v>17100</v>
      </c>
      <c r="W374" s="22" t="n">
        <f aca="false">W373+V374</f>
        <v>-3458230</v>
      </c>
      <c r="X374" s="23" t="str">
        <f aca="false">IF(W374&gt;=0,"YES","No")</f>
        <v>No</v>
      </c>
    </row>
    <row r="375" customFormat="false" ht="15" hidden="false" customHeight="false" outlineLevel="0" collapsed="false">
      <c r="A375" s="16" t="n">
        <v>374</v>
      </c>
      <c r="B375" s="17" t="n">
        <f aca="false">B374+1</f>
        <v>46396</v>
      </c>
      <c r="C375" s="18" t="n">
        <f aca="false">MIN(ROUNDUP(A375/365,0),5)</f>
        <v>2</v>
      </c>
      <c r="D375" s="18" t="n">
        <f aca="false">DATEDIF(Assumptions!B5,B375,"m")+1</f>
        <v>13</v>
      </c>
      <c r="E375" s="18" t="str">
        <f aca="false">TEXT(B375,"ddd")</f>
        <v>Sat</v>
      </c>
      <c r="F375" s="19" t="n">
        <f aca="false">IF(WEEKDAY(B375,2)&gt;=6,Assumptions!B34,Assumptions!B35)</f>
        <v>0.6</v>
      </c>
      <c r="G375" s="20" t="n">
        <f aca="false">IF(D375&gt;=13,(1+Assumptions!B46)^(D375-12),1)</f>
        <v>1.003</v>
      </c>
      <c r="H375" s="21" t="n">
        <f aca="false">H374*(1+IF(C375=1,Assumptions!B22,Assumptions!B23))</f>
        <v>20.8452067199378</v>
      </c>
      <c r="I375" s="16" t="n">
        <f aca="false">ROUND(H375*F375,0)</f>
        <v>13</v>
      </c>
      <c r="J375" s="22" t="n">
        <f aca="false">I375*Assumptions!B24</f>
        <v>7800</v>
      </c>
      <c r="K375" s="21" t="n">
        <f aca="false">K374*(1+Assumptions!B30)</f>
        <v>14.8445756769499</v>
      </c>
      <c r="L375" s="16" t="n">
        <f aca="false">ROUND(K375*F375,0)</f>
        <v>9</v>
      </c>
      <c r="M375" s="22" t="n">
        <f aca="false">L375*Assumptions!B31</f>
        <v>2700</v>
      </c>
      <c r="N375" s="22" t="n">
        <f aca="false">J375+M375</f>
        <v>10500</v>
      </c>
      <c r="O375" s="22" t="n">
        <f aca="false">IF(DAY(B375)=1,Assumptions!B38*G375,0)</f>
        <v>0</v>
      </c>
      <c r="P375" s="22" t="n">
        <f aca="false">IF(DAY(B375)=1,Assumptions!B39*G375,0)</f>
        <v>0</v>
      </c>
      <c r="Q375" s="22" t="n">
        <f aca="false">IF(DAY(B375)=1,Assumptions!B40*G375,0)</f>
        <v>0</v>
      </c>
      <c r="R375" s="22" t="n">
        <f aca="false">IF(DAY(B375)=1,Assumptions!B41*G375,0)</f>
        <v>0</v>
      </c>
      <c r="S375" s="22" t="n">
        <f aca="false">IF(AND(DAY(B375)=1,D375&gt;=13),Assumptions!B42*G375,0)</f>
        <v>0</v>
      </c>
      <c r="T375" s="22" t="n">
        <f aca="false">IF(DAY(B375)=1,Assumptions!B43*G375,0)</f>
        <v>0</v>
      </c>
      <c r="U375" s="22" t="n">
        <f aca="false">SUM(O375:T375)</f>
        <v>0</v>
      </c>
      <c r="V375" s="22" t="n">
        <f aca="false">N375-U375</f>
        <v>10500</v>
      </c>
      <c r="W375" s="22" t="n">
        <f aca="false">W374+V375</f>
        <v>-3447730</v>
      </c>
      <c r="X375" s="23" t="str">
        <f aca="false">IF(W375&gt;=0,"YES","No")</f>
        <v>No</v>
      </c>
    </row>
    <row r="376" customFormat="false" ht="15" hidden="false" customHeight="false" outlineLevel="0" collapsed="false">
      <c r="A376" s="16" t="n">
        <v>375</v>
      </c>
      <c r="B376" s="17" t="n">
        <f aca="false">B375+1</f>
        <v>46397</v>
      </c>
      <c r="C376" s="18" t="n">
        <f aca="false">MIN(ROUNDUP(A376/365,0),5)</f>
        <v>2</v>
      </c>
      <c r="D376" s="18" t="n">
        <f aca="false">DATEDIF(Assumptions!B5,B376,"m")+1</f>
        <v>13</v>
      </c>
      <c r="E376" s="18" t="str">
        <f aca="false">TEXT(B376,"ddd")</f>
        <v>Sun</v>
      </c>
      <c r="F376" s="19" t="n">
        <f aca="false">IF(WEEKDAY(B376,2)&gt;=6,Assumptions!B34,Assumptions!B35)</f>
        <v>0.6</v>
      </c>
      <c r="G376" s="20" t="n">
        <f aca="false">IF(D376&gt;=13,(1+Assumptions!B46)^(D376-12),1)</f>
        <v>1.003</v>
      </c>
      <c r="H376" s="21" t="n">
        <f aca="false">H375*(1+IF(C376=1,Assumptions!B22,Assumptions!B23))</f>
        <v>20.8486224509377</v>
      </c>
      <c r="I376" s="16" t="n">
        <f aca="false">ROUND(H376*F376,0)</f>
        <v>13</v>
      </c>
      <c r="J376" s="22" t="n">
        <f aca="false">I376*Assumptions!B24</f>
        <v>7800</v>
      </c>
      <c r="K376" s="21" t="n">
        <f aca="false">K375*(1+Assumptions!B30)</f>
        <v>14.8494289155738</v>
      </c>
      <c r="L376" s="16" t="n">
        <f aca="false">ROUND(K376*F376,0)</f>
        <v>9</v>
      </c>
      <c r="M376" s="22" t="n">
        <f aca="false">L376*Assumptions!B31</f>
        <v>2700</v>
      </c>
      <c r="N376" s="22" t="n">
        <f aca="false">J376+M376</f>
        <v>10500</v>
      </c>
      <c r="O376" s="22" t="n">
        <f aca="false">IF(DAY(B376)=1,Assumptions!B38*G376,0)</f>
        <v>0</v>
      </c>
      <c r="P376" s="22" t="n">
        <f aca="false">IF(DAY(B376)=1,Assumptions!B39*G376,0)</f>
        <v>0</v>
      </c>
      <c r="Q376" s="22" t="n">
        <f aca="false">IF(DAY(B376)=1,Assumptions!B40*G376,0)</f>
        <v>0</v>
      </c>
      <c r="R376" s="22" t="n">
        <f aca="false">IF(DAY(B376)=1,Assumptions!B41*G376,0)</f>
        <v>0</v>
      </c>
      <c r="S376" s="22" t="n">
        <f aca="false">IF(AND(DAY(B376)=1,D376&gt;=13),Assumptions!B42*G376,0)</f>
        <v>0</v>
      </c>
      <c r="T376" s="22" t="n">
        <f aca="false">IF(DAY(B376)=1,Assumptions!B43*G376,0)</f>
        <v>0</v>
      </c>
      <c r="U376" s="22" t="n">
        <f aca="false">SUM(O376:T376)</f>
        <v>0</v>
      </c>
      <c r="V376" s="22" t="n">
        <f aca="false">N376-U376</f>
        <v>10500</v>
      </c>
      <c r="W376" s="22" t="n">
        <f aca="false">W375+V376</f>
        <v>-3437230</v>
      </c>
      <c r="X376" s="23" t="str">
        <f aca="false">IF(W376&gt;=0,"YES","No")</f>
        <v>No</v>
      </c>
    </row>
    <row r="377" customFormat="false" ht="15" hidden="false" customHeight="false" outlineLevel="0" collapsed="false">
      <c r="A377" s="16" t="n">
        <v>376</v>
      </c>
      <c r="B377" s="17" t="n">
        <f aca="false">B376+1</f>
        <v>46398</v>
      </c>
      <c r="C377" s="18" t="n">
        <f aca="false">MIN(ROUNDUP(A377/365,0),5)</f>
        <v>2</v>
      </c>
      <c r="D377" s="18" t="n">
        <f aca="false">DATEDIF(Assumptions!B5,B377,"m")+1</f>
        <v>13</v>
      </c>
      <c r="E377" s="18" t="str">
        <f aca="false">TEXT(B377,"ddd")</f>
        <v>Mon</v>
      </c>
      <c r="F377" s="19" t="n">
        <f aca="false">IF(WEEKDAY(B377,2)&gt;=6,Assumptions!B34,Assumptions!B35)</f>
        <v>1</v>
      </c>
      <c r="G377" s="20" t="n">
        <f aca="false">IF(D377&gt;=13,(1+Assumptions!B46)^(D377-12),1)</f>
        <v>1.003</v>
      </c>
      <c r="H377" s="21" t="n">
        <f aca="false">H376*(1+IF(C377=1,Assumptions!B22,Assumptions!B23))</f>
        <v>20.8520387416452</v>
      </c>
      <c r="I377" s="16" t="n">
        <f aca="false">ROUND(H377*F377,0)</f>
        <v>21</v>
      </c>
      <c r="J377" s="22" t="n">
        <f aca="false">I377*Assumptions!B24</f>
        <v>12600</v>
      </c>
      <c r="K377" s="21" t="n">
        <f aca="false">K376*(1+Assumptions!B30)</f>
        <v>14.8542837409001</v>
      </c>
      <c r="L377" s="16" t="n">
        <f aca="false">ROUND(K377*F377,0)</f>
        <v>15</v>
      </c>
      <c r="M377" s="22" t="n">
        <f aca="false">L377*Assumptions!B31</f>
        <v>4500</v>
      </c>
      <c r="N377" s="22" t="n">
        <f aca="false">J377+M377</f>
        <v>17100</v>
      </c>
      <c r="O377" s="22" t="n">
        <f aca="false">IF(DAY(B377)=1,Assumptions!B38*G377,0)</f>
        <v>0</v>
      </c>
      <c r="P377" s="22" t="n">
        <f aca="false">IF(DAY(B377)=1,Assumptions!B39*G377,0)</f>
        <v>0</v>
      </c>
      <c r="Q377" s="22" t="n">
        <f aca="false">IF(DAY(B377)=1,Assumptions!B40*G377,0)</f>
        <v>0</v>
      </c>
      <c r="R377" s="22" t="n">
        <f aca="false">IF(DAY(B377)=1,Assumptions!B41*G377,0)</f>
        <v>0</v>
      </c>
      <c r="S377" s="22" t="n">
        <f aca="false">IF(AND(DAY(B377)=1,D377&gt;=13),Assumptions!B42*G377,0)</f>
        <v>0</v>
      </c>
      <c r="T377" s="22" t="n">
        <f aca="false">IF(DAY(B377)=1,Assumptions!B43*G377,0)</f>
        <v>0</v>
      </c>
      <c r="U377" s="22" t="n">
        <f aca="false">SUM(O377:T377)</f>
        <v>0</v>
      </c>
      <c r="V377" s="22" t="n">
        <f aca="false">N377-U377</f>
        <v>17100</v>
      </c>
      <c r="W377" s="22" t="n">
        <f aca="false">W376+V377</f>
        <v>-3420130</v>
      </c>
      <c r="X377" s="23" t="str">
        <f aca="false">IF(W377&gt;=0,"YES","No")</f>
        <v>No</v>
      </c>
    </row>
    <row r="378" customFormat="false" ht="15" hidden="false" customHeight="false" outlineLevel="0" collapsed="false">
      <c r="A378" s="16" t="n">
        <v>377</v>
      </c>
      <c r="B378" s="17" t="n">
        <f aca="false">B377+1</f>
        <v>46399</v>
      </c>
      <c r="C378" s="18" t="n">
        <f aca="false">MIN(ROUNDUP(A378/365,0),5)</f>
        <v>2</v>
      </c>
      <c r="D378" s="18" t="n">
        <f aca="false">DATEDIF(Assumptions!B5,B378,"m")+1</f>
        <v>13</v>
      </c>
      <c r="E378" s="18" t="str">
        <f aca="false">TEXT(B378,"ddd")</f>
        <v>Tue</v>
      </c>
      <c r="F378" s="19" t="n">
        <f aca="false">IF(WEEKDAY(B378,2)&gt;=6,Assumptions!B34,Assumptions!B35)</f>
        <v>1</v>
      </c>
      <c r="G378" s="20" t="n">
        <f aca="false">IF(D378&gt;=13,(1+Assumptions!B46)^(D378-12),1)</f>
        <v>1.003</v>
      </c>
      <c r="H378" s="21" t="n">
        <f aca="false">H377*(1+IF(C378=1,Assumptions!B22,Assumptions!B23))</f>
        <v>20.8554555921519</v>
      </c>
      <c r="I378" s="16" t="n">
        <f aca="false">ROUND(H378*F378,0)</f>
        <v>21</v>
      </c>
      <c r="J378" s="22" t="n">
        <f aca="false">I378*Assumptions!B24</f>
        <v>12600</v>
      </c>
      <c r="K378" s="21" t="n">
        <f aca="false">K377*(1+Assumptions!B30)</f>
        <v>14.8591401534477</v>
      </c>
      <c r="L378" s="16" t="n">
        <f aca="false">ROUND(K378*F378,0)</f>
        <v>15</v>
      </c>
      <c r="M378" s="22" t="n">
        <f aca="false">L378*Assumptions!B31</f>
        <v>4500</v>
      </c>
      <c r="N378" s="22" t="n">
        <f aca="false">J378+M378</f>
        <v>17100</v>
      </c>
      <c r="O378" s="22" t="n">
        <f aca="false">IF(DAY(B378)=1,Assumptions!B38*G378,0)</f>
        <v>0</v>
      </c>
      <c r="P378" s="22" t="n">
        <f aca="false">IF(DAY(B378)=1,Assumptions!B39*G378,0)</f>
        <v>0</v>
      </c>
      <c r="Q378" s="22" t="n">
        <f aca="false">IF(DAY(B378)=1,Assumptions!B40*G378,0)</f>
        <v>0</v>
      </c>
      <c r="R378" s="22" t="n">
        <f aca="false">IF(DAY(B378)=1,Assumptions!B41*G378,0)</f>
        <v>0</v>
      </c>
      <c r="S378" s="22" t="n">
        <f aca="false">IF(AND(DAY(B378)=1,D378&gt;=13),Assumptions!B42*G378,0)</f>
        <v>0</v>
      </c>
      <c r="T378" s="22" t="n">
        <f aca="false">IF(DAY(B378)=1,Assumptions!B43*G378,0)</f>
        <v>0</v>
      </c>
      <c r="U378" s="22" t="n">
        <f aca="false">SUM(O378:T378)</f>
        <v>0</v>
      </c>
      <c r="V378" s="22" t="n">
        <f aca="false">N378-U378</f>
        <v>17100</v>
      </c>
      <c r="W378" s="22" t="n">
        <f aca="false">W377+V378</f>
        <v>-3403030</v>
      </c>
      <c r="X378" s="23" t="str">
        <f aca="false">IF(W378&gt;=0,"YES","No")</f>
        <v>No</v>
      </c>
    </row>
    <row r="379" customFormat="false" ht="15" hidden="false" customHeight="false" outlineLevel="0" collapsed="false">
      <c r="A379" s="16" t="n">
        <v>378</v>
      </c>
      <c r="B379" s="17" t="n">
        <f aca="false">B378+1</f>
        <v>46400</v>
      </c>
      <c r="C379" s="18" t="n">
        <f aca="false">MIN(ROUNDUP(A379/365,0),5)</f>
        <v>2</v>
      </c>
      <c r="D379" s="18" t="n">
        <f aca="false">DATEDIF(Assumptions!B5,B379,"m")+1</f>
        <v>13</v>
      </c>
      <c r="E379" s="18" t="str">
        <f aca="false">TEXT(B379,"ddd")</f>
        <v>Wed</v>
      </c>
      <c r="F379" s="19" t="n">
        <f aca="false">IF(WEEKDAY(B379,2)&gt;=6,Assumptions!B34,Assumptions!B35)</f>
        <v>1</v>
      </c>
      <c r="G379" s="20" t="n">
        <f aca="false">IF(D379&gt;=13,(1+Assumptions!B46)^(D379-12),1)</f>
        <v>1.003</v>
      </c>
      <c r="H379" s="21" t="n">
        <f aca="false">H378*(1+IF(C379=1,Assumptions!B22,Assumptions!B23))</f>
        <v>20.8588730025494</v>
      </c>
      <c r="I379" s="16" t="n">
        <f aca="false">ROUND(H379*F379,0)</f>
        <v>21</v>
      </c>
      <c r="J379" s="22" t="n">
        <f aca="false">I379*Assumptions!B24</f>
        <v>12600</v>
      </c>
      <c r="K379" s="21" t="n">
        <f aca="false">K378*(1+Assumptions!B30)</f>
        <v>14.8639981537354</v>
      </c>
      <c r="L379" s="16" t="n">
        <f aca="false">ROUND(K379*F379,0)</f>
        <v>15</v>
      </c>
      <c r="M379" s="22" t="n">
        <f aca="false">L379*Assumptions!B31</f>
        <v>4500</v>
      </c>
      <c r="N379" s="22" t="n">
        <f aca="false">J379+M379</f>
        <v>17100</v>
      </c>
      <c r="O379" s="22" t="n">
        <f aca="false">IF(DAY(B379)=1,Assumptions!B38*G379,0)</f>
        <v>0</v>
      </c>
      <c r="P379" s="22" t="n">
        <f aca="false">IF(DAY(B379)=1,Assumptions!B39*G379,0)</f>
        <v>0</v>
      </c>
      <c r="Q379" s="22" t="n">
        <f aca="false">IF(DAY(B379)=1,Assumptions!B40*G379,0)</f>
        <v>0</v>
      </c>
      <c r="R379" s="22" t="n">
        <f aca="false">IF(DAY(B379)=1,Assumptions!B41*G379,0)</f>
        <v>0</v>
      </c>
      <c r="S379" s="22" t="n">
        <f aca="false">IF(AND(DAY(B379)=1,D379&gt;=13),Assumptions!B42*G379,0)</f>
        <v>0</v>
      </c>
      <c r="T379" s="22" t="n">
        <f aca="false">IF(DAY(B379)=1,Assumptions!B43*G379,0)</f>
        <v>0</v>
      </c>
      <c r="U379" s="22" t="n">
        <f aca="false">SUM(O379:T379)</f>
        <v>0</v>
      </c>
      <c r="V379" s="22" t="n">
        <f aca="false">N379-U379</f>
        <v>17100</v>
      </c>
      <c r="W379" s="22" t="n">
        <f aca="false">W378+V379</f>
        <v>-3385930</v>
      </c>
      <c r="X379" s="23" t="str">
        <f aca="false">IF(W379&gt;=0,"YES","No")</f>
        <v>No</v>
      </c>
    </row>
    <row r="380" customFormat="false" ht="15" hidden="false" customHeight="false" outlineLevel="0" collapsed="false">
      <c r="A380" s="16" t="n">
        <v>379</v>
      </c>
      <c r="B380" s="17" t="n">
        <f aca="false">B379+1</f>
        <v>46401</v>
      </c>
      <c r="C380" s="18" t="n">
        <f aca="false">MIN(ROUNDUP(A380/365,0),5)</f>
        <v>2</v>
      </c>
      <c r="D380" s="18" t="n">
        <f aca="false">DATEDIF(Assumptions!B5,B380,"m")+1</f>
        <v>13</v>
      </c>
      <c r="E380" s="18" t="str">
        <f aca="false">TEXT(B380,"ddd")</f>
        <v>Thu</v>
      </c>
      <c r="F380" s="19" t="n">
        <f aca="false">IF(WEEKDAY(B380,2)&gt;=6,Assumptions!B34,Assumptions!B35)</f>
        <v>1</v>
      </c>
      <c r="G380" s="20" t="n">
        <f aca="false">IF(D380&gt;=13,(1+Assumptions!B46)^(D380-12),1)</f>
        <v>1.003</v>
      </c>
      <c r="H380" s="21" t="n">
        <f aca="false">H379*(1+IF(C380=1,Assumptions!B22,Assumptions!B23))</f>
        <v>20.8622909729297</v>
      </c>
      <c r="I380" s="16" t="n">
        <f aca="false">ROUND(H380*F380,0)</f>
        <v>21</v>
      </c>
      <c r="J380" s="22" t="n">
        <f aca="false">I380*Assumptions!B24</f>
        <v>12600</v>
      </c>
      <c r="K380" s="21" t="n">
        <f aca="false">K379*(1+Assumptions!B30)</f>
        <v>14.8688577422824</v>
      </c>
      <c r="L380" s="16" t="n">
        <f aca="false">ROUND(K380*F380,0)</f>
        <v>15</v>
      </c>
      <c r="M380" s="22" t="n">
        <f aca="false">L380*Assumptions!B31</f>
        <v>4500</v>
      </c>
      <c r="N380" s="22" t="n">
        <f aca="false">J380+M380</f>
        <v>17100</v>
      </c>
      <c r="O380" s="22" t="n">
        <f aca="false">IF(DAY(B380)=1,Assumptions!B38*G380,0)</f>
        <v>0</v>
      </c>
      <c r="P380" s="22" t="n">
        <f aca="false">IF(DAY(B380)=1,Assumptions!B39*G380,0)</f>
        <v>0</v>
      </c>
      <c r="Q380" s="22" t="n">
        <f aca="false">IF(DAY(B380)=1,Assumptions!B40*G380,0)</f>
        <v>0</v>
      </c>
      <c r="R380" s="22" t="n">
        <f aca="false">IF(DAY(B380)=1,Assumptions!B41*G380,0)</f>
        <v>0</v>
      </c>
      <c r="S380" s="22" t="n">
        <f aca="false">IF(AND(DAY(B380)=1,D380&gt;=13),Assumptions!B42*G380,0)</f>
        <v>0</v>
      </c>
      <c r="T380" s="22" t="n">
        <f aca="false">IF(DAY(B380)=1,Assumptions!B43*G380,0)</f>
        <v>0</v>
      </c>
      <c r="U380" s="22" t="n">
        <f aca="false">SUM(O380:T380)</f>
        <v>0</v>
      </c>
      <c r="V380" s="22" t="n">
        <f aca="false">N380-U380</f>
        <v>17100</v>
      </c>
      <c r="W380" s="22" t="n">
        <f aca="false">W379+V380</f>
        <v>-3368830</v>
      </c>
      <c r="X380" s="23" t="str">
        <f aca="false">IF(W380&gt;=0,"YES","No")</f>
        <v>No</v>
      </c>
    </row>
    <row r="381" customFormat="false" ht="15" hidden="false" customHeight="false" outlineLevel="0" collapsed="false">
      <c r="A381" s="16" t="n">
        <v>380</v>
      </c>
      <c r="B381" s="17" t="n">
        <f aca="false">B380+1</f>
        <v>46402</v>
      </c>
      <c r="C381" s="18" t="n">
        <f aca="false">MIN(ROUNDUP(A381/365,0),5)</f>
        <v>2</v>
      </c>
      <c r="D381" s="18" t="n">
        <f aca="false">DATEDIF(Assumptions!B5,B381,"m")+1</f>
        <v>13</v>
      </c>
      <c r="E381" s="18" t="str">
        <f aca="false">TEXT(B381,"ddd")</f>
        <v>Fri</v>
      </c>
      <c r="F381" s="19" t="n">
        <f aca="false">IF(WEEKDAY(B381,2)&gt;=6,Assumptions!B34,Assumptions!B35)</f>
        <v>1</v>
      </c>
      <c r="G381" s="20" t="n">
        <f aca="false">IF(D381&gt;=13,(1+Assumptions!B46)^(D381-12),1)</f>
        <v>1.003</v>
      </c>
      <c r="H381" s="21" t="n">
        <f aca="false">H380*(1+IF(C381=1,Assumptions!B22,Assumptions!B23))</f>
        <v>20.8657095033844</v>
      </c>
      <c r="I381" s="16" t="n">
        <f aca="false">ROUND(H381*F381,0)</f>
        <v>21</v>
      </c>
      <c r="J381" s="22" t="n">
        <f aca="false">I381*Assumptions!B24</f>
        <v>12600</v>
      </c>
      <c r="K381" s="21" t="n">
        <f aca="false">K380*(1+Assumptions!B30)</f>
        <v>14.8737189196079</v>
      </c>
      <c r="L381" s="16" t="n">
        <f aca="false">ROUND(K381*F381,0)</f>
        <v>15</v>
      </c>
      <c r="M381" s="22" t="n">
        <f aca="false">L381*Assumptions!B31</f>
        <v>4500</v>
      </c>
      <c r="N381" s="22" t="n">
        <f aca="false">J381+M381</f>
        <v>17100</v>
      </c>
      <c r="O381" s="22" t="n">
        <f aca="false">IF(DAY(B381)=1,Assumptions!B38*G381,0)</f>
        <v>0</v>
      </c>
      <c r="P381" s="22" t="n">
        <f aca="false">IF(DAY(B381)=1,Assumptions!B39*G381,0)</f>
        <v>0</v>
      </c>
      <c r="Q381" s="22" t="n">
        <f aca="false">IF(DAY(B381)=1,Assumptions!B40*G381,0)</f>
        <v>0</v>
      </c>
      <c r="R381" s="22" t="n">
        <f aca="false">IF(DAY(B381)=1,Assumptions!B41*G381,0)</f>
        <v>0</v>
      </c>
      <c r="S381" s="22" t="n">
        <f aca="false">IF(AND(DAY(B381)=1,D381&gt;=13),Assumptions!B42*G381,0)</f>
        <v>0</v>
      </c>
      <c r="T381" s="22" t="n">
        <f aca="false">IF(DAY(B381)=1,Assumptions!B43*G381,0)</f>
        <v>0</v>
      </c>
      <c r="U381" s="22" t="n">
        <f aca="false">SUM(O381:T381)</f>
        <v>0</v>
      </c>
      <c r="V381" s="22" t="n">
        <f aca="false">N381-U381</f>
        <v>17100</v>
      </c>
      <c r="W381" s="22" t="n">
        <f aca="false">W380+V381</f>
        <v>-3351730</v>
      </c>
      <c r="X381" s="23" t="str">
        <f aca="false">IF(W381&gt;=0,"YES","No")</f>
        <v>No</v>
      </c>
    </row>
    <row r="382" customFormat="false" ht="15" hidden="false" customHeight="false" outlineLevel="0" collapsed="false">
      <c r="A382" s="16" t="n">
        <v>381</v>
      </c>
      <c r="B382" s="17" t="n">
        <f aca="false">B381+1</f>
        <v>46403</v>
      </c>
      <c r="C382" s="18" t="n">
        <f aca="false">MIN(ROUNDUP(A382/365,0),5)</f>
        <v>2</v>
      </c>
      <c r="D382" s="18" t="n">
        <f aca="false">DATEDIF(Assumptions!B5,B382,"m")+1</f>
        <v>13</v>
      </c>
      <c r="E382" s="18" t="str">
        <f aca="false">TEXT(B382,"ddd")</f>
        <v>Sat</v>
      </c>
      <c r="F382" s="19" t="n">
        <f aca="false">IF(WEEKDAY(B382,2)&gt;=6,Assumptions!B34,Assumptions!B35)</f>
        <v>0.6</v>
      </c>
      <c r="G382" s="20" t="n">
        <f aca="false">IF(D382&gt;=13,(1+Assumptions!B46)^(D382-12),1)</f>
        <v>1.003</v>
      </c>
      <c r="H382" s="21" t="n">
        <f aca="false">H381*(1+IF(C382=1,Assumptions!B22,Assumptions!B23))</f>
        <v>20.8691285940053</v>
      </c>
      <c r="I382" s="16" t="n">
        <f aca="false">ROUND(H382*F382,0)</f>
        <v>13</v>
      </c>
      <c r="J382" s="22" t="n">
        <f aca="false">I382*Assumptions!B24</f>
        <v>7800</v>
      </c>
      <c r="K382" s="21" t="n">
        <f aca="false">K381*(1+Assumptions!B30)</f>
        <v>14.8785816862314</v>
      </c>
      <c r="L382" s="16" t="n">
        <f aca="false">ROUND(K382*F382,0)</f>
        <v>9</v>
      </c>
      <c r="M382" s="22" t="n">
        <f aca="false">L382*Assumptions!B31</f>
        <v>2700</v>
      </c>
      <c r="N382" s="22" t="n">
        <f aca="false">J382+M382</f>
        <v>10500</v>
      </c>
      <c r="O382" s="22" t="n">
        <f aca="false">IF(DAY(B382)=1,Assumptions!B38*G382,0)</f>
        <v>0</v>
      </c>
      <c r="P382" s="22" t="n">
        <f aca="false">IF(DAY(B382)=1,Assumptions!B39*G382,0)</f>
        <v>0</v>
      </c>
      <c r="Q382" s="22" t="n">
        <f aca="false">IF(DAY(B382)=1,Assumptions!B40*G382,0)</f>
        <v>0</v>
      </c>
      <c r="R382" s="22" t="n">
        <f aca="false">IF(DAY(B382)=1,Assumptions!B41*G382,0)</f>
        <v>0</v>
      </c>
      <c r="S382" s="22" t="n">
        <f aca="false">IF(AND(DAY(B382)=1,D382&gt;=13),Assumptions!B42*G382,0)</f>
        <v>0</v>
      </c>
      <c r="T382" s="22" t="n">
        <f aca="false">IF(DAY(B382)=1,Assumptions!B43*G382,0)</f>
        <v>0</v>
      </c>
      <c r="U382" s="22" t="n">
        <f aca="false">SUM(O382:T382)</f>
        <v>0</v>
      </c>
      <c r="V382" s="22" t="n">
        <f aca="false">N382-U382</f>
        <v>10500</v>
      </c>
      <c r="W382" s="22" t="n">
        <f aca="false">W381+V382</f>
        <v>-3341230</v>
      </c>
      <c r="X382" s="23" t="str">
        <f aca="false">IF(W382&gt;=0,"YES","No")</f>
        <v>No</v>
      </c>
    </row>
    <row r="383" customFormat="false" ht="15" hidden="false" customHeight="false" outlineLevel="0" collapsed="false">
      <c r="A383" s="16" t="n">
        <v>382</v>
      </c>
      <c r="B383" s="17" t="n">
        <f aca="false">B382+1</f>
        <v>46404</v>
      </c>
      <c r="C383" s="18" t="n">
        <f aca="false">MIN(ROUNDUP(A383/365,0),5)</f>
        <v>2</v>
      </c>
      <c r="D383" s="18" t="n">
        <f aca="false">DATEDIF(Assumptions!B5,B383,"m")+1</f>
        <v>13</v>
      </c>
      <c r="E383" s="18" t="str">
        <f aca="false">TEXT(B383,"ddd")</f>
        <v>Sun</v>
      </c>
      <c r="F383" s="19" t="n">
        <f aca="false">IF(WEEKDAY(B383,2)&gt;=6,Assumptions!B34,Assumptions!B35)</f>
        <v>0.6</v>
      </c>
      <c r="G383" s="20" t="n">
        <f aca="false">IF(D383&gt;=13,(1+Assumptions!B46)^(D383-12),1)</f>
        <v>1.003</v>
      </c>
      <c r="H383" s="21" t="n">
        <f aca="false">H382*(1+IF(C383=1,Assumptions!B22,Assumptions!B23))</f>
        <v>20.8725482448843</v>
      </c>
      <c r="I383" s="16" t="n">
        <f aca="false">ROUND(H383*F383,0)</f>
        <v>13</v>
      </c>
      <c r="J383" s="22" t="n">
        <f aca="false">I383*Assumptions!B24</f>
        <v>7800</v>
      </c>
      <c r="K383" s="21" t="n">
        <f aca="false">K382*(1+Assumptions!B30)</f>
        <v>14.8834460426723</v>
      </c>
      <c r="L383" s="16" t="n">
        <f aca="false">ROUND(K383*F383,0)</f>
        <v>9</v>
      </c>
      <c r="M383" s="22" t="n">
        <f aca="false">L383*Assumptions!B31</f>
        <v>2700</v>
      </c>
      <c r="N383" s="22" t="n">
        <f aca="false">J383+M383</f>
        <v>10500</v>
      </c>
      <c r="O383" s="22" t="n">
        <f aca="false">IF(DAY(B383)=1,Assumptions!B38*G383,0)</f>
        <v>0</v>
      </c>
      <c r="P383" s="22" t="n">
        <f aca="false">IF(DAY(B383)=1,Assumptions!B39*G383,0)</f>
        <v>0</v>
      </c>
      <c r="Q383" s="22" t="n">
        <f aca="false">IF(DAY(B383)=1,Assumptions!B40*G383,0)</f>
        <v>0</v>
      </c>
      <c r="R383" s="22" t="n">
        <f aca="false">IF(DAY(B383)=1,Assumptions!B41*G383,0)</f>
        <v>0</v>
      </c>
      <c r="S383" s="22" t="n">
        <f aca="false">IF(AND(DAY(B383)=1,D383&gt;=13),Assumptions!B42*G383,0)</f>
        <v>0</v>
      </c>
      <c r="T383" s="22" t="n">
        <f aca="false">IF(DAY(B383)=1,Assumptions!B43*G383,0)</f>
        <v>0</v>
      </c>
      <c r="U383" s="22" t="n">
        <f aca="false">SUM(O383:T383)</f>
        <v>0</v>
      </c>
      <c r="V383" s="22" t="n">
        <f aca="false">N383-U383</f>
        <v>10500</v>
      </c>
      <c r="W383" s="22" t="n">
        <f aca="false">W382+V383</f>
        <v>-3330730</v>
      </c>
      <c r="X383" s="23" t="str">
        <f aca="false">IF(W383&gt;=0,"YES","No")</f>
        <v>No</v>
      </c>
    </row>
    <row r="384" customFormat="false" ht="15" hidden="false" customHeight="false" outlineLevel="0" collapsed="false">
      <c r="A384" s="16" t="n">
        <v>383</v>
      </c>
      <c r="B384" s="17" t="n">
        <f aca="false">B383+1</f>
        <v>46405</v>
      </c>
      <c r="C384" s="18" t="n">
        <f aca="false">MIN(ROUNDUP(A384/365,0),5)</f>
        <v>2</v>
      </c>
      <c r="D384" s="18" t="n">
        <f aca="false">DATEDIF(Assumptions!B5,B384,"m")+1</f>
        <v>13</v>
      </c>
      <c r="E384" s="18" t="str">
        <f aca="false">TEXT(B384,"ddd")</f>
        <v>Mon</v>
      </c>
      <c r="F384" s="19" t="n">
        <f aca="false">IF(WEEKDAY(B384,2)&gt;=6,Assumptions!B34,Assumptions!B35)</f>
        <v>1</v>
      </c>
      <c r="G384" s="20" t="n">
        <f aca="false">IF(D384&gt;=13,(1+Assumptions!B46)^(D384-12),1)</f>
        <v>1.003</v>
      </c>
      <c r="H384" s="21" t="n">
        <f aca="false">H383*(1+IF(C384=1,Assumptions!B22,Assumptions!B23))</f>
        <v>20.875968456113</v>
      </c>
      <c r="I384" s="16" t="n">
        <f aca="false">ROUND(H384*F384,0)</f>
        <v>21</v>
      </c>
      <c r="J384" s="22" t="n">
        <f aca="false">I384*Assumptions!B24</f>
        <v>12600</v>
      </c>
      <c r="K384" s="21" t="n">
        <f aca="false">K383*(1+Assumptions!B30)</f>
        <v>14.8883119894506</v>
      </c>
      <c r="L384" s="16" t="n">
        <f aca="false">ROUND(K384*F384,0)</f>
        <v>15</v>
      </c>
      <c r="M384" s="22" t="n">
        <f aca="false">L384*Assumptions!B31</f>
        <v>4500</v>
      </c>
      <c r="N384" s="22" t="n">
        <f aca="false">J384+M384</f>
        <v>17100</v>
      </c>
      <c r="O384" s="22" t="n">
        <f aca="false">IF(DAY(B384)=1,Assumptions!B38*G384,0)</f>
        <v>0</v>
      </c>
      <c r="P384" s="22" t="n">
        <f aca="false">IF(DAY(B384)=1,Assumptions!B39*G384,0)</f>
        <v>0</v>
      </c>
      <c r="Q384" s="22" t="n">
        <f aca="false">IF(DAY(B384)=1,Assumptions!B40*G384,0)</f>
        <v>0</v>
      </c>
      <c r="R384" s="22" t="n">
        <f aca="false">IF(DAY(B384)=1,Assumptions!B41*G384,0)</f>
        <v>0</v>
      </c>
      <c r="S384" s="22" t="n">
        <f aca="false">IF(AND(DAY(B384)=1,D384&gt;=13),Assumptions!B42*G384,0)</f>
        <v>0</v>
      </c>
      <c r="T384" s="22" t="n">
        <f aca="false">IF(DAY(B384)=1,Assumptions!B43*G384,0)</f>
        <v>0</v>
      </c>
      <c r="U384" s="22" t="n">
        <f aca="false">SUM(O384:T384)</f>
        <v>0</v>
      </c>
      <c r="V384" s="22" t="n">
        <f aca="false">N384-U384</f>
        <v>17100</v>
      </c>
      <c r="W384" s="22" t="n">
        <f aca="false">W383+V384</f>
        <v>-3313630</v>
      </c>
      <c r="X384" s="23" t="str">
        <f aca="false">IF(W384&gt;=0,"YES","No")</f>
        <v>No</v>
      </c>
    </row>
    <row r="385" customFormat="false" ht="15" hidden="false" customHeight="false" outlineLevel="0" collapsed="false">
      <c r="A385" s="16" t="n">
        <v>384</v>
      </c>
      <c r="B385" s="17" t="n">
        <f aca="false">B384+1</f>
        <v>46406</v>
      </c>
      <c r="C385" s="18" t="n">
        <f aca="false">MIN(ROUNDUP(A385/365,0),5)</f>
        <v>2</v>
      </c>
      <c r="D385" s="18" t="n">
        <f aca="false">DATEDIF(Assumptions!B5,B385,"m")+1</f>
        <v>13</v>
      </c>
      <c r="E385" s="18" t="str">
        <f aca="false">TEXT(B385,"ddd")</f>
        <v>Tue</v>
      </c>
      <c r="F385" s="19" t="n">
        <f aca="false">IF(WEEKDAY(B385,2)&gt;=6,Assumptions!B34,Assumptions!B35)</f>
        <v>1</v>
      </c>
      <c r="G385" s="20" t="n">
        <f aca="false">IF(D385&gt;=13,(1+Assumptions!B46)^(D385-12),1)</f>
        <v>1.003</v>
      </c>
      <c r="H385" s="21" t="n">
        <f aca="false">H384*(1+IF(C385=1,Assumptions!B22,Assumptions!B23))</f>
        <v>20.8793892277833</v>
      </c>
      <c r="I385" s="16" t="n">
        <f aca="false">ROUND(H385*F385,0)</f>
        <v>21</v>
      </c>
      <c r="J385" s="22" t="n">
        <f aca="false">I385*Assumptions!B24</f>
        <v>12600</v>
      </c>
      <c r="K385" s="21" t="n">
        <f aca="false">K384*(1+Assumptions!B30)</f>
        <v>14.8931795270862</v>
      </c>
      <c r="L385" s="16" t="n">
        <f aca="false">ROUND(K385*F385,0)</f>
        <v>15</v>
      </c>
      <c r="M385" s="22" t="n">
        <f aca="false">L385*Assumptions!B31</f>
        <v>4500</v>
      </c>
      <c r="N385" s="22" t="n">
        <f aca="false">J385+M385</f>
        <v>17100</v>
      </c>
      <c r="O385" s="22" t="n">
        <f aca="false">IF(DAY(B385)=1,Assumptions!B38*G385,0)</f>
        <v>0</v>
      </c>
      <c r="P385" s="22" t="n">
        <f aca="false">IF(DAY(B385)=1,Assumptions!B39*G385,0)</f>
        <v>0</v>
      </c>
      <c r="Q385" s="22" t="n">
        <f aca="false">IF(DAY(B385)=1,Assumptions!B40*G385,0)</f>
        <v>0</v>
      </c>
      <c r="R385" s="22" t="n">
        <f aca="false">IF(DAY(B385)=1,Assumptions!B41*G385,0)</f>
        <v>0</v>
      </c>
      <c r="S385" s="22" t="n">
        <f aca="false">IF(AND(DAY(B385)=1,D385&gt;=13),Assumptions!B42*G385,0)</f>
        <v>0</v>
      </c>
      <c r="T385" s="22" t="n">
        <f aca="false">IF(DAY(B385)=1,Assumptions!B43*G385,0)</f>
        <v>0</v>
      </c>
      <c r="U385" s="22" t="n">
        <f aca="false">SUM(O385:T385)</f>
        <v>0</v>
      </c>
      <c r="V385" s="22" t="n">
        <f aca="false">N385-U385</f>
        <v>17100</v>
      </c>
      <c r="W385" s="22" t="n">
        <f aca="false">W384+V385</f>
        <v>-3296530</v>
      </c>
      <c r="X385" s="23" t="str">
        <f aca="false">IF(W385&gt;=0,"YES","No")</f>
        <v>No</v>
      </c>
    </row>
    <row r="386" customFormat="false" ht="15" hidden="false" customHeight="false" outlineLevel="0" collapsed="false">
      <c r="A386" s="16" t="n">
        <v>385</v>
      </c>
      <c r="B386" s="17" t="n">
        <f aca="false">B385+1</f>
        <v>46407</v>
      </c>
      <c r="C386" s="18" t="n">
        <f aca="false">MIN(ROUNDUP(A386/365,0),5)</f>
        <v>2</v>
      </c>
      <c r="D386" s="18" t="n">
        <f aca="false">DATEDIF(Assumptions!B5,B386,"m")+1</f>
        <v>13</v>
      </c>
      <c r="E386" s="18" t="str">
        <f aca="false">TEXT(B386,"ddd")</f>
        <v>Wed</v>
      </c>
      <c r="F386" s="19" t="n">
        <f aca="false">IF(WEEKDAY(B386,2)&gt;=6,Assumptions!B34,Assumptions!B35)</f>
        <v>1</v>
      </c>
      <c r="G386" s="20" t="n">
        <f aca="false">IF(D386&gt;=13,(1+Assumptions!B46)^(D386-12),1)</f>
        <v>1.003</v>
      </c>
      <c r="H386" s="21" t="n">
        <f aca="false">H385*(1+IF(C386=1,Assumptions!B22,Assumptions!B23))</f>
        <v>20.8828105599871</v>
      </c>
      <c r="I386" s="16" t="n">
        <f aca="false">ROUND(H386*F386,0)</f>
        <v>21</v>
      </c>
      <c r="J386" s="22" t="n">
        <f aca="false">I386*Assumptions!B24</f>
        <v>12600</v>
      </c>
      <c r="K386" s="21" t="n">
        <f aca="false">K385*(1+Assumptions!B30)</f>
        <v>14.8980486560991</v>
      </c>
      <c r="L386" s="16" t="n">
        <f aca="false">ROUND(K386*F386,0)</f>
        <v>15</v>
      </c>
      <c r="M386" s="22" t="n">
        <f aca="false">L386*Assumptions!B31</f>
        <v>4500</v>
      </c>
      <c r="N386" s="22" t="n">
        <f aca="false">J386+M386</f>
        <v>17100</v>
      </c>
      <c r="O386" s="22" t="n">
        <f aca="false">IF(DAY(B386)=1,Assumptions!B38*G386,0)</f>
        <v>0</v>
      </c>
      <c r="P386" s="22" t="n">
        <f aca="false">IF(DAY(B386)=1,Assumptions!B39*G386,0)</f>
        <v>0</v>
      </c>
      <c r="Q386" s="22" t="n">
        <f aca="false">IF(DAY(B386)=1,Assumptions!B40*G386,0)</f>
        <v>0</v>
      </c>
      <c r="R386" s="22" t="n">
        <f aca="false">IF(DAY(B386)=1,Assumptions!B41*G386,0)</f>
        <v>0</v>
      </c>
      <c r="S386" s="22" t="n">
        <f aca="false">IF(AND(DAY(B386)=1,D386&gt;=13),Assumptions!B42*G386,0)</f>
        <v>0</v>
      </c>
      <c r="T386" s="22" t="n">
        <f aca="false">IF(DAY(B386)=1,Assumptions!B43*G386,0)</f>
        <v>0</v>
      </c>
      <c r="U386" s="22" t="n">
        <f aca="false">SUM(O386:T386)</f>
        <v>0</v>
      </c>
      <c r="V386" s="22" t="n">
        <f aca="false">N386-U386</f>
        <v>17100</v>
      </c>
      <c r="W386" s="22" t="n">
        <f aca="false">W385+V386</f>
        <v>-3279430</v>
      </c>
      <c r="X386" s="23" t="str">
        <f aca="false">IF(W386&gt;=0,"YES","No")</f>
        <v>No</v>
      </c>
    </row>
    <row r="387" customFormat="false" ht="15" hidden="false" customHeight="false" outlineLevel="0" collapsed="false">
      <c r="A387" s="16" t="n">
        <v>386</v>
      </c>
      <c r="B387" s="17" t="n">
        <f aca="false">B386+1</f>
        <v>46408</v>
      </c>
      <c r="C387" s="18" t="n">
        <f aca="false">MIN(ROUNDUP(A387/365,0),5)</f>
        <v>2</v>
      </c>
      <c r="D387" s="18" t="n">
        <f aca="false">DATEDIF(Assumptions!B5,B387,"m")+1</f>
        <v>13</v>
      </c>
      <c r="E387" s="18" t="str">
        <f aca="false">TEXT(B387,"ddd")</f>
        <v>Thu</v>
      </c>
      <c r="F387" s="19" t="n">
        <f aca="false">IF(WEEKDAY(B387,2)&gt;=6,Assumptions!B34,Assumptions!B35)</f>
        <v>1</v>
      </c>
      <c r="G387" s="20" t="n">
        <f aca="false">IF(D387&gt;=13,(1+Assumptions!B46)^(D387-12),1)</f>
        <v>1.003</v>
      </c>
      <c r="H387" s="21" t="n">
        <f aca="false">H386*(1+IF(C387=1,Assumptions!B22,Assumptions!B23))</f>
        <v>20.8862324528163</v>
      </c>
      <c r="I387" s="16" t="n">
        <f aca="false">ROUND(H387*F387,0)</f>
        <v>21</v>
      </c>
      <c r="J387" s="22" t="n">
        <f aca="false">I387*Assumptions!B24</f>
        <v>12600</v>
      </c>
      <c r="K387" s="21" t="n">
        <f aca="false">K386*(1+Assumptions!B30)</f>
        <v>14.9029193770096</v>
      </c>
      <c r="L387" s="16" t="n">
        <f aca="false">ROUND(K387*F387,0)</f>
        <v>15</v>
      </c>
      <c r="M387" s="22" t="n">
        <f aca="false">L387*Assumptions!B31</f>
        <v>4500</v>
      </c>
      <c r="N387" s="22" t="n">
        <f aca="false">J387+M387</f>
        <v>17100</v>
      </c>
      <c r="O387" s="22" t="n">
        <f aca="false">IF(DAY(B387)=1,Assumptions!B38*G387,0)</f>
        <v>0</v>
      </c>
      <c r="P387" s="22" t="n">
        <f aca="false">IF(DAY(B387)=1,Assumptions!B39*G387,0)</f>
        <v>0</v>
      </c>
      <c r="Q387" s="22" t="n">
        <f aca="false">IF(DAY(B387)=1,Assumptions!B40*G387,0)</f>
        <v>0</v>
      </c>
      <c r="R387" s="22" t="n">
        <f aca="false">IF(DAY(B387)=1,Assumptions!B41*G387,0)</f>
        <v>0</v>
      </c>
      <c r="S387" s="22" t="n">
        <f aca="false">IF(AND(DAY(B387)=1,D387&gt;=13),Assumptions!B42*G387,0)</f>
        <v>0</v>
      </c>
      <c r="T387" s="22" t="n">
        <f aca="false">IF(DAY(B387)=1,Assumptions!B43*G387,0)</f>
        <v>0</v>
      </c>
      <c r="U387" s="22" t="n">
        <f aca="false">SUM(O387:T387)</f>
        <v>0</v>
      </c>
      <c r="V387" s="22" t="n">
        <f aca="false">N387-U387</f>
        <v>17100</v>
      </c>
      <c r="W387" s="22" t="n">
        <f aca="false">W386+V387</f>
        <v>-3262330</v>
      </c>
      <c r="X387" s="23" t="str">
        <f aca="false">IF(W387&gt;=0,"YES","No")</f>
        <v>No</v>
      </c>
    </row>
    <row r="388" customFormat="false" ht="15" hidden="false" customHeight="false" outlineLevel="0" collapsed="false">
      <c r="A388" s="16" t="n">
        <v>387</v>
      </c>
      <c r="B388" s="17" t="n">
        <f aca="false">B387+1</f>
        <v>46409</v>
      </c>
      <c r="C388" s="18" t="n">
        <f aca="false">MIN(ROUNDUP(A388/365,0),5)</f>
        <v>2</v>
      </c>
      <c r="D388" s="18" t="n">
        <f aca="false">DATEDIF(Assumptions!B5,B388,"m")+1</f>
        <v>13</v>
      </c>
      <c r="E388" s="18" t="str">
        <f aca="false">TEXT(B388,"ddd")</f>
        <v>Fri</v>
      </c>
      <c r="F388" s="19" t="n">
        <f aca="false">IF(WEEKDAY(B388,2)&gt;=6,Assumptions!B34,Assumptions!B35)</f>
        <v>1</v>
      </c>
      <c r="G388" s="20" t="n">
        <f aca="false">IF(D388&gt;=13,(1+Assumptions!B46)^(D388-12),1)</f>
        <v>1.003</v>
      </c>
      <c r="H388" s="21" t="n">
        <f aca="false">H387*(1+IF(C388=1,Assumptions!B22,Assumptions!B23))</f>
        <v>20.8896549063625</v>
      </c>
      <c r="I388" s="16" t="n">
        <f aca="false">ROUND(H388*F388,0)</f>
        <v>21</v>
      </c>
      <c r="J388" s="22" t="n">
        <f aca="false">I388*Assumptions!B24</f>
        <v>12600</v>
      </c>
      <c r="K388" s="21" t="n">
        <f aca="false">K387*(1+Assumptions!B30)</f>
        <v>14.9077916903382</v>
      </c>
      <c r="L388" s="16" t="n">
        <f aca="false">ROUND(K388*F388,0)</f>
        <v>15</v>
      </c>
      <c r="M388" s="22" t="n">
        <f aca="false">L388*Assumptions!B31</f>
        <v>4500</v>
      </c>
      <c r="N388" s="22" t="n">
        <f aca="false">J388+M388</f>
        <v>17100</v>
      </c>
      <c r="O388" s="22" t="n">
        <f aca="false">IF(DAY(B388)=1,Assumptions!B38*G388,0)</f>
        <v>0</v>
      </c>
      <c r="P388" s="22" t="n">
        <f aca="false">IF(DAY(B388)=1,Assumptions!B39*G388,0)</f>
        <v>0</v>
      </c>
      <c r="Q388" s="22" t="n">
        <f aca="false">IF(DAY(B388)=1,Assumptions!B40*G388,0)</f>
        <v>0</v>
      </c>
      <c r="R388" s="22" t="n">
        <f aca="false">IF(DAY(B388)=1,Assumptions!B41*G388,0)</f>
        <v>0</v>
      </c>
      <c r="S388" s="22" t="n">
        <f aca="false">IF(AND(DAY(B388)=1,D388&gt;=13),Assumptions!B42*G388,0)</f>
        <v>0</v>
      </c>
      <c r="T388" s="22" t="n">
        <f aca="false">IF(DAY(B388)=1,Assumptions!B43*G388,0)</f>
        <v>0</v>
      </c>
      <c r="U388" s="22" t="n">
        <f aca="false">SUM(O388:T388)</f>
        <v>0</v>
      </c>
      <c r="V388" s="22" t="n">
        <f aca="false">N388-U388</f>
        <v>17100</v>
      </c>
      <c r="W388" s="22" t="n">
        <f aca="false">W387+V388</f>
        <v>-3245230</v>
      </c>
      <c r="X388" s="23" t="str">
        <f aca="false">IF(W388&gt;=0,"YES","No")</f>
        <v>No</v>
      </c>
    </row>
    <row r="389" customFormat="false" ht="15" hidden="false" customHeight="false" outlineLevel="0" collapsed="false">
      <c r="A389" s="16" t="n">
        <v>388</v>
      </c>
      <c r="B389" s="17" t="n">
        <f aca="false">B388+1</f>
        <v>46410</v>
      </c>
      <c r="C389" s="18" t="n">
        <f aca="false">MIN(ROUNDUP(A389/365,0),5)</f>
        <v>2</v>
      </c>
      <c r="D389" s="18" t="n">
        <f aca="false">DATEDIF(Assumptions!B5,B389,"m")+1</f>
        <v>13</v>
      </c>
      <c r="E389" s="18" t="str">
        <f aca="false">TEXT(B389,"ddd")</f>
        <v>Sat</v>
      </c>
      <c r="F389" s="19" t="n">
        <f aca="false">IF(WEEKDAY(B389,2)&gt;=6,Assumptions!B34,Assumptions!B35)</f>
        <v>0.6</v>
      </c>
      <c r="G389" s="20" t="n">
        <f aca="false">IF(D389&gt;=13,(1+Assumptions!B46)^(D389-12),1)</f>
        <v>1.003</v>
      </c>
      <c r="H389" s="21" t="n">
        <f aca="false">H388*(1+IF(C389=1,Assumptions!B22,Assumptions!B23))</f>
        <v>20.8930779207179</v>
      </c>
      <c r="I389" s="16" t="n">
        <f aca="false">ROUND(H389*F389,0)</f>
        <v>13</v>
      </c>
      <c r="J389" s="22" t="n">
        <f aca="false">I389*Assumptions!B24</f>
        <v>7800</v>
      </c>
      <c r="K389" s="21" t="n">
        <f aca="false">K388*(1+Assumptions!B30)</f>
        <v>14.9126655966056</v>
      </c>
      <c r="L389" s="16" t="n">
        <f aca="false">ROUND(K389*F389,0)</f>
        <v>9</v>
      </c>
      <c r="M389" s="22" t="n">
        <f aca="false">L389*Assumptions!B31</f>
        <v>2700</v>
      </c>
      <c r="N389" s="22" t="n">
        <f aca="false">J389+M389</f>
        <v>10500</v>
      </c>
      <c r="O389" s="22" t="n">
        <f aca="false">IF(DAY(B389)=1,Assumptions!B38*G389,0)</f>
        <v>0</v>
      </c>
      <c r="P389" s="22" t="n">
        <f aca="false">IF(DAY(B389)=1,Assumptions!B39*G389,0)</f>
        <v>0</v>
      </c>
      <c r="Q389" s="22" t="n">
        <f aca="false">IF(DAY(B389)=1,Assumptions!B40*G389,0)</f>
        <v>0</v>
      </c>
      <c r="R389" s="22" t="n">
        <f aca="false">IF(DAY(B389)=1,Assumptions!B41*G389,0)</f>
        <v>0</v>
      </c>
      <c r="S389" s="22" t="n">
        <f aca="false">IF(AND(DAY(B389)=1,D389&gt;=13),Assumptions!B42*G389,0)</f>
        <v>0</v>
      </c>
      <c r="T389" s="22" t="n">
        <f aca="false">IF(DAY(B389)=1,Assumptions!B43*G389,0)</f>
        <v>0</v>
      </c>
      <c r="U389" s="22" t="n">
        <f aca="false">SUM(O389:T389)</f>
        <v>0</v>
      </c>
      <c r="V389" s="22" t="n">
        <f aca="false">N389-U389</f>
        <v>10500</v>
      </c>
      <c r="W389" s="22" t="n">
        <f aca="false">W388+V389</f>
        <v>-3234730</v>
      </c>
      <c r="X389" s="23" t="str">
        <f aca="false">IF(W389&gt;=0,"YES","No")</f>
        <v>No</v>
      </c>
    </row>
    <row r="390" customFormat="false" ht="15" hidden="false" customHeight="false" outlineLevel="0" collapsed="false">
      <c r="A390" s="16" t="n">
        <v>389</v>
      </c>
      <c r="B390" s="17" t="n">
        <f aca="false">B389+1</f>
        <v>46411</v>
      </c>
      <c r="C390" s="18" t="n">
        <f aca="false">MIN(ROUNDUP(A390/365,0),5)</f>
        <v>2</v>
      </c>
      <c r="D390" s="18" t="n">
        <f aca="false">DATEDIF(Assumptions!B5,B390,"m")+1</f>
        <v>13</v>
      </c>
      <c r="E390" s="18" t="str">
        <f aca="false">TEXT(B390,"ddd")</f>
        <v>Sun</v>
      </c>
      <c r="F390" s="19" t="n">
        <f aca="false">IF(WEEKDAY(B390,2)&gt;=6,Assumptions!B34,Assumptions!B35)</f>
        <v>0.6</v>
      </c>
      <c r="G390" s="20" t="n">
        <f aca="false">IF(D390&gt;=13,(1+Assumptions!B46)^(D390-12),1)</f>
        <v>1.003</v>
      </c>
      <c r="H390" s="21" t="n">
        <f aca="false">H389*(1+IF(C390=1,Assumptions!B22,Assumptions!B23))</f>
        <v>20.8965014959742</v>
      </c>
      <c r="I390" s="16" t="n">
        <f aca="false">ROUND(H390*F390,0)</f>
        <v>13</v>
      </c>
      <c r="J390" s="22" t="n">
        <f aca="false">I390*Assumptions!B24</f>
        <v>7800</v>
      </c>
      <c r="K390" s="21" t="n">
        <f aca="false">K389*(1+Assumptions!B30)</f>
        <v>14.9175410963324</v>
      </c>
      <c r="L390" s="16" t="n">
        <f aca="false">ROUND(K390*F390,0)</f>
        <v>9</v>
      </c>
      <c r="M390" s="22" t="n">
        <f aca="false">L390*Assumptions!B31</f>
        <v>2700</v>
      </c>
      <c r="N390" s="22" t="n">
        <f aca="false">J390+M390</f>
        <v>10500</v>
      </c>
      <c r="O390" s="22" t="n">
        <f aca="false">IF(DAY(B390)=1,Assumptions!B38*G390,0)</f>
        <v>0</v>
      </c>
      <c r="P390" s="22" t="n">
        <f aca="false">IF(DAY(B390)=1,Assumptions!B39*G390,0)</f>
        <v>0</v>
      </c>
      <c r="Q390" s="22" t="n">
        <f aca="false">IF(DAY(B390)=1,Assumptions!B40*G390,0)</f>
        <v>0</v>
      </c>
      <c r="R390" s="22" t="n">
        <f aca="false">IF(DAY(B390)=1,Assumptions!B41*G390,0)</f>
        <v>0</v>
      </c>
      <c r="S390" s="22" t="n">
        <f aca="false">IF(AND(DAY(B390)=1,D390&gt;=13),Assumptions!B42*G390,0)</f>
        <v>0</v>
      </c>
      <c r="T390" s="22" t="n">
        <f aca="false">IF(DAY(B390)=1,Assumptions!B43*G390,0)</f>
        <v>0</v>
      </c>
      <c r="U390" s="22" t="n">
        <f aca="false">SUM(O390:T390)</f>
        <v>0</v>
      </c>
      <c r="V390" s="22" t="n">
        <f aca="false">N390-U390</f>
        <v>10500</v>
      </c>
      <c r="W390" s="22" t="n">
        <f aca="false">W389+V390</f>
        <v>-3224230</v>
      </c>
      <c r="X390" s="23" t="str">
        <f aca="false">IF(W390&gt;=0,"YES","No")</f>
        <v>No</v>
      </c>
    </row>
    <row r="391" customFormat="false" ht="15" hidden="false" customHeight="false" outlineLevel="0" collapsed="false">
      <c r="A391" s="16" t="n">
        <v>390</v>
      </c>
      <c r="B391" s="17" t="n">
        <f aca="false">B390+1</f>
        <v>46412</v>
      </c>
      <c r="C391" s="18" t="n">
        <f aca="false">MIN(ROUNDUP(A391/365,0),5)</f>
        <v>2</v>
      </c>
      <c r="D391" s="18" t="n">
        <f aca="false">DATEDIF(Assumptions!B5,B391,"m")+1</f>
        <v>13</v>
      </c>
      <c r="E391" s="18" t="str">
        <f aca="false">TEXT(B391,"ddd")</f>
        <v>Mon</v>
      </c>
      <c r="F391" s="19" t="n">
        <f aca="false">IF(WEEKDAY(B391,2)&gt;=6,Assumptions!B34,Assumptions!B35)</f>
        <v>1</v>
      </c>
      <c r="G391" s="20" t="n">
        <f aca="false">IF(D391&gt;=13,(1+Assumptions!B46)^(D391-12),1)</f>
        <v>1.003</v>
      </c>
      <c r="H391" s="21" t="n">
        <f aca="false">H390*(1+IF(C391=1,Assumptions!B22,Assumptions!B23))</f>
        <v>20.8999256322233</v>
      </c>
      <c r="I391" s="16" t="n">
        <f aca="false">ROUND(H391*F391,0)</f>
        <v>21</v>
      </c>
      <c r="J391" s="22" t="n">
        <f aca="false">I391*Assumptions!B24</f>
        <v>12600</v>
      </c>
      <c r="K391" s="21" t="n">
        <f aca="false">K390*(1+Assumptions!B30)</f>
        <v>14.9224181900397</v>
      </c>
      <c r="L391" s="16" t="n">
        <f aca="false">ROUND(K391*F391,0)</f>
        <v>15</v>
      </c>
      <c r="M391" s="22" t="n">
        <f aca="false">L391*Assumptions!B31</f>
        <v>4500</v>
      </c>
      <c r="N391" s="22" t="n">
        <f aca="false">J391+M391</f>
        <v>17100</v>
      </c>
      <c r="O391" s="22" t="n">
        <f aca="false">IF(DAY(B391)=1,Assumptions!B38*G391,0)</f>
        <v>0</v>
      </c>
      <c r="P391" s="22" t="n">
        <f aca="false">IF(DAY(B391)=1,Assumptions!B39*G391,0)</f>
        <v>0</v>
      </c>
      <c r="Q391" s="22" t="n">
        <f aca="false">IF(DAY(B391)=1,Assumptions!B40*G391,0)</f>
        <v>0</v>
      </c>
      <c r="R391" s="22" t="n">
        <f aca="false">IF(DAY(B391)=1,Assumptions!B41*G391,0)</f>
        <v>0</v>
      </c>
      <c r="S391" s="22" t="n">
        <f aca="false">IF(AND(DAY(B391)=1,D391&gt;=13),Assumptions!B42*G391,0)</f>
        <v>0</v>
      </c>
      <c r="T391" s="22" t="n">
        <f aca="false">IF(DAY(B391)=1,Assumptions!B43*G391,0)</f>
        <v>0</v>
      </c>
      <c r="U391" s="22" t="n">
        <f aca="false">SUM(O391:T391)</f>
        <v>0</v>
      </c>
      <c r="V391" s="22" t="n">
        <f aca="false">N391-U391</f>
        <v>17100</v>
      </c>
      <c r="W391" s="22" t="n">
        <f aca="false">W390+V391</f>
        <v>-3207130</v>
      </c>
      <c r="X391" s="23" t="str">
        <f aca="false">IF(W391&gt;=0,"YES","No")</f>
        <v>No</v>
      </c>
    </row>
    <row r="392" customFormat="false" ht="15" hidden="false" customHeight="false" outlineLevel="0" collapsed="false">
      <c r="A392" s="16" t="n">
        <v>391</v>
      </c>
      <c r="B392" s="17" t="n">
        <f aca="false">B391+1</f>
        <v>46413</v>
      </c>
      <c r="C392" s="18" t="n">
        <f aca="false">MIN(ROUNDUP(A392/365,0),5)</f>
        <v>2</v>
      </c>
      <c r="D392" s="18" t="n">
        <f aca="false">DATEDIF(Assumptions!B5,B392,"m")+1</f>
        <v>13</v>
      </c>
      <c r="E392" s="18" t="str">
        <f aca="false">TEXT(B392,"ddd")</f>
        <v>Tue</v>
      </c>
      <c r="F392" s="19" t="n">
        <f aca="false">IF(WEEKDAY(B392,2)&gt;=6,Assumptions!B34,Assumptions!B35)</f>
        <v>1</v>
      </c>
      <c r="G392" s="20" t="n">
        <f aca="false">IF(D392&gt;=13,(1+Assumptions!B46)^(D392-12),1)</f>
        <v>1.003</v>
      </c>
      <c r="H392" s="21" t="n">
        <f aca="false">H391*(1+IF(C392=1,Assumptions!B22,Assumptions!B23))</f>
        <v>20.9033503295573</v>
      </c>
      <c r="I392" s="16" t="n">
        <f aca="false">ROUND(H392*F392,0)</f>
        <v>21</v>
      </c>
      <c r="J392" s="22" t="n">
        <f aca="false">I392*Assumptions!B24</f>
        <v>12600</v>
      </c>
      <c r="K392" s="21" t="n">
        <f aca="false">K391*(1+Assumptions!B30)</f>
        <v>14.9272968782486</v>
      </c>
      <c r="L392" s="16" t="n">
        <f aca="false">ROUND(K392*F392,0)</f>
        <v>15</v>
      </c>
      <c r="M392" s="22" t="n">
        <f aca="false">L392*Assumptions!B31</f>
        <v>4500</v>
      </c>
      <c r="N392" s="22" t="n">
        <f aca="false">J392+M392</f>
        <v>17100</v>
      </c>
      <c r="O392" s="22" t="n">
        <f aca="false">IF(DAY(B392)=1,Assumptions!B38*G392,0)</f>
        <v>0</v>
      </c>
      <c r="P392" s="22" t="n">
        <f aca="false">IF(DAY(B392)=1,Assumptions!B39*G392,0)</f>
        <v>0</v>
      </c>
      <c r="Q392" s="22" t="n">
        <f aca="false">IF(DAY(B392)=1,Assumptions!B40*G392,0)</f>
        <v>0</v>
      </c>
      <c r="R392" s="22" t="n">
        <f aca="false">IF(DAY(B392)=1,Assumptions!B41*G392,0)</f>
        <v>0</v>
      </c>
      <c r="S392" s="22" t="n">
        <f aca="false">IF(AND(DAY(B392)=1,D392&gt;=13),Assumptions!B42*G392,0)</f>
        <v>0</v>
      </c>
      <c r="T392" s="22" t="n">
        <f aca="false">IF(DAY(B392)=1,Assumptions!B43*G392,0)</f>
        <v>0</v>
      </c>
      <c r="U392" s="22" t="n">
        <f aca="false">SUM(O392:T392)</f>
        <v>0</v>
      </c>
      <c r="V392" s="22" t="n">
        <f aca="false">N392-U392</f>
        <v>17100</v>
      </c>
      <c r="W392" s="22" t="n">
        <f aca="false">W391+V392</f>
        <v>-3190030</v>
      </c>
      <c r="X392" s="23" t="str">
        <f aca="false">IF(W392&gt;=0,"YES","No")</f>
        <v>No</v>
      </c>
    </row>
    <row r="393" customFormat="false" ht="15" hidden="false" customHeight="false" outlineLevel="0" collapsed="false">
      <c r="A393" s="16" t="n">
        <v>392</v>
      </c>
      <c r="B393" s="17" t="n">
        <f aca="false">B392+1</f>
        <v>46414</v>
      </c>
      <c r="C393" s="18" t="n">
        <f aca="false">MIN(ROUNDUP(A393/365,0),5)</f>
        <v>2</v>
      </c>
      <c r="D393" s="18" t="n">
        <f aca="false">DATEDIF(Assumptions!B5,B393,"m")+1</f>
        <v>13</v>
      </c>
      <c r="E393" s="18" t="str">
        <f aca="false">TEXT(B393,"ddd")</f>
        <v>Wed</v>
      </c>
      <c r="F393" s="19" t="n">
        <f aca="false">IF(WEEKDAY(B393,2)&gt;=6,Assumptions!B34,Assumptions!B35)</f>
        <v>1</v>
      </c>
      <c r="G393" s="20" t="n">
        <f aca="false">IF(D393&gt;=13,(1+Assumptions!B46)^(D393-12),1)</f>
        <v>1.003</v>
      </c>
      <c r="H393" s="21" t="n">
        <f aca="false">H392*(1+IF(C393=1,Assumptions!B22,Assumptions!B23))</f>
        <v>20.9067755880679</v>
      </c>
      <c r="I393" s="16" t="n">
        <f aca="false">ROUND(H393*F393,0)</f>
        <v>21</v>
      </c>
      <c r="J393" s="22" t="n">
        <f aca="false">I393*Assumptions!B24</f>
        <v>12600</v>
      </c>
      <c r="K393" s="21" t="n">
        <f aca="false">K392*(1+Assumptions!B30)</f>
        <v>14.9321771614804</v>
      </c>
      <c r="L393" s="16" t="n">
        <f aca="false">ROUND(K393*F393,0)</f>
        <v>15</v>
      </c>
      <c r="M393" s="22" t="n">
        <f aca="false">L393*Assumptions!B31</f>
        <v>4500</v>
      </c>
      <c r="N393" s="22" t="n">
        <f aca="false">J393+M393</f>
        <v>17100</v>
      </c>
      <c r="O393" s="22" t="n">
        <f aca="false">IF(DAY(B393)=1,Assumptions!B38*G393,0)</f>
        <v>0</v>
      </c>
      <c r="P393" s="22" t="n">
        <f aca="false">IF(DAY(B393)=1,Assumptions!B39*G393,0)</f>
        <v>0</v>
      </c>
      <c r="Q393" s="22" t="n">
        <f aca="false">IF(DAY(B393)=1,Assumptions!B40*G393,0)</f>
        <v>0</v>
      </c>
      <c r="R393" s="22" t="n">
        <f aca="false">IF(DAY(B393)=1,Assumptions!B41*G393,0)</f>
        <v>0</v>
      </c>
      <c r="S393" s="22" t="n">
        <f aca="false">IF(AND(DAY(B393)=1,D393&gt;=13),Assumptions!B42*G393,0)</f>
        <v>0</v>
      </c>
      <c r="T393" s="22" t="n">
        <f aca="false">IF(DAY(B393)=1,Assumptions!B43*G393,0)</f>
        <v>0</v>
      </c>
      <c r="U393" s="22" t="n">
        <f aca="false">SUM(O393:T393)</f>
        <v>0</v>
      </c>
      <c r="V393" s="22" t="n">
        <f aca="false">N393-U393</f>
        <v>17100</v>
      </c>
      <c r="W393" s="22" t="n">
        <f aca="false">W392+V393</f>
        <v>-3172930</v>
      </c>
      <c r="X393" s="23" t="str">
        <f aca="false">IF(W393&gt;=0,"YES","No")</f>
        <v>No</v>
      </c>
    </row>
    <row r="394" customFormat="false" ht="15" hidden="false" customHeight="false" outlineLevel="0" collapsed="false">
      <c r="A394" s="16" t="n">
        <v>393</v>
      </c>
      <c r="B394" s="17" t="n">
        <f aca="false">B393+1</f>
        <v>46415</v>
      </c>
      <c r="C394" s="18" t="n">
        <f aca="false">MIN(ROUNDUP(A394/365,0),5)</f>
        <v>2</v>
      </c>
      <c r="D394" s="18" t="n">
        <f aca="false">DATEDIF(Assumptions!B5,B394,"m")+1</f>
        <v>13</v>
      </c>
      <c r="E394" s="18" t="str">
        <f aca="false">TEXT(B394,"ddd")</f>
        <v>Thu</v>
      </c>
      <c r="F394" s="19" t="n">
        <f aca="false">IF(WEEKDAY(B394,2)&gt;=6,Assumptions!B34,Assumptions!B35)</f>
        <v>1</v>
      </c>
      <c r="G394" s="20" t="n">
        <f aca="false">IF(D394&gt;=13,(1+Assumptions!B46)^(D394-12),1)</f>
        <v>1.003</v>
      </c>
      <c r="H394" s="21" t="n">
        <f aca="false">H393*(1+IF(C394=1,Assumptions!B22,Assumptions!B23))</f>
        <v>20.9102014078473</v>
      </c>
      <c r="I394" s="16" t="n">
        <f aca="false">ROUND(H394*F394,0)</f>
        <v>21</v>
      </c>
      <c r="J394" s="22" t="n">
        <f aca="false">I394*Assumptions!B24</f>
        <v>12600</v>
      </c>
      <c r="K394" s="21" t="n">
        <f aca="false">K393*(1+Assumptions!B30)</f>
        <v>14.9370590402566</v>
      </c>
      <c r="L394" s="16" t="n">
        <f aca="false">ROUND(K394*F394,0)</f>
        <v>15</v>
      </c>
      <c r="M394" s="22" t="n">
        <f aca="false">L394*Assumptions!B31</f>
        <v>4500</v>
      </c>
      <c r="N394" s="22" t="n">
        <f aca="false">J394+M394</f>
        <v>17100</v>
      </c>
      <c r="O394" s="22" t="n">
        <f aca="false">IF(DAY(B394)=1,Assumptions!B38*G394,0)</f>
        <v>0</v>
      </c>
      <c r="P394" s="22" t="n">
        <f aca="false">IF(DAY(B394)=1,Assumptions!B39*G394,0)</f>
        <v>0</v>
      </c>
      <c r="Q394" s="22" t="n">
        <f aca="false">IF(DAY(B394)=1,Assumptions!B40*G394,0)</f>
        <v>0</v>
      </c>
      <c r="R394" s="22" t="n">
        <f aca="false">IF(DAY(B394)=1,Assumptions!B41*G394,0)</f>
        <v>0</v>
      </c>
      <c r="S394" s="22" t="n">
        <f aca="false">IF(AND(DAY(B394)=1,D394&gt;=13),Assumptions!B42*G394,0)</f>
        <v>0</v>
      </c>
      <c r="T394" s="22" t="n">
        <f aca="false">IF(DAY(B394)=1,Assumptions!B43*G394,0)</f>
        <v>0</v>
      </c>
      <c r="U394" s="22" t="n">
        <f aca="false">SUM(O394:T394)</f>
        <v>0</v>
      </c>
      <c r="V394" s="22" t="n">
        <f aca="false">N394-U394</f>
        <v>17100</v>
      </c>
      <c r="W394" s="22" t="n">
        <f aca="false">W393+V394</f>
        <v>-3155830</v>
      </c>
      <c r="X394" s="23" t="str">
        <f aca="false">IF(W394&gt;=0,"YES","No")</f>
        <v>No</v>
      </c>
    </row>
    <row r="395" customFormat="false" ht="15" hidden="false" customHeight="false" outlineLevel="0" collapsed="false">
      <c r="A395" s="16" t="n">
        <v>394</v>
      </c>
      <c r="B395" s="17" t="n">
        <f aca="false">B394+1</f>
        <v>46416</v>
      </c>
      <c r="C395" s="18" t="n">
        <f aca="false">MIN(ROUNDUP(A395/365,0),5)</f>
        <v>2</v>
      </c>
      <c r="D395" s="18" t="n">
        <f aca="false">DATEDIF(Assumptions!B5,B395,"m")+1</f>
        <v>13</v>
      </c>
      <c r="E395" s="18" t="str">
        <f aca="false">TEXT(B395,"ddd")</f>
        <v>Fri</v>
      </c>
      <c r="F395" s="19" t="n">
        <f aca="false">IF(WEEKDAY(B395,2)&gt;=6,Assumptions!B34,Assumptions!B35)</f>
        <v>1</v>
      </c>
      <c r="G395" s="20" t="n">
        <f aca="false">IF(D395&gt;=13,(1+Assumptions!B46)^(D395-12),1)</f>
        <v>1.003</v>
      </c>
      <c r="H395" s="21" t="n">
        <f aca="false">H394*(1+IF(C395=1,Assumptions!B22,Assumptions!B23))</f>
        <v>20.9136277889873</v>
      </c>
      <c r="I395" s="16" t="n">
        <f aca="false">ROUND(H395*F395,0)</f>
        <v>21</v>
      </c>
      <c r="J395" s="22" t="n">
        <f aca="false">I395*Assumptions!B24</f>
        <v>12600</v>
      </c>
      <c r="K395" s="21" t="n">
        <f aca="false">K394*(1+Assumptions!B30)</f>
        <v>14.9419425150987</v>
      </c>
      <c r="L395" s="16" t="n">
        <f aca="false">ROUND(K395*F395,0)</f>
        <v>15</v>
      </c>
      <c r="M395" s="22" t="n">
        <f aca="false">L395*Assumptions!B31</f>
        <v>4500</v>
      </c>
      <c r="N395" s="22" t="n">
        <f aca="false">J395+M395</f>
        <v>17100</v>
      </c>
      <c r="O395" s="22" t="n">
        <f aca="false">IF(DAY(B395)=1,Assumptions!B38*G395,0)</f>
        <v>0</v>
      </c>
      <c r="P395" s="22" t="n">
        <f aca="false">IF(DAY(B395)=1,Assumptions!B39*G395,0)</f>
        <v>0</v>
      </c>
      <c r="Q395" s="22" t="n">
        <f aca="false">IF(DAY(B395)=1,Assumptions!B40*G395,0)</f>
        <v>0</v>
      </c>
      <c r="R395" s="22" t="n">
        <f aca="false">IF(DAY(B395)=1,Assumptions!B41*G395,0)</f>
        <v>0</v>
      </c>
      <c r="S395" s="22" t="n">
        <f aca="false">IF(AND(DAY(B395)=1,D395&gt;=13),Assumptions!B42*G395,0)</f>
        <v>0</v>
      </c>
      <c r="T395" s="22" t="n">
        <f aca="false">IF(DAY(B395)=1,Assumptions!B43*G395,0)</f>
        <v>0</v>
      </c>
      <c r="U395" s="22" t="n">
        <f aca="false">SUM(O395:T395)</f>
        <v>0</v>
      </c>
      <c r="V395" s="22" t="n">
        <f aca="false">N395-U395</f>
        <v>17100</v>
      </c>
      <c r="W395" s="22" t="n">
        <f aca="false">W394+V395</f>
        <v>-3138730</v>
      </c>
      <c r="X395" s="23" t="str">
        <f aca="false">IF(W395&gt;=0,"YES","No")</f>
        <v>No</v>
      </c>
    </row>
    <row r="396" customFormat="false" ht="15" hidden="false" customHeight="false" outlineLevel="0" collapsed="false">
      <c r="A396" s="16" t="n">
        <v>395</v>
      </c>
      <c r="B396" s="17" t="n">
        <f aca="false">B395+1</f>
        <v>46417</v>
      </c>
      <c r="C396" s="18" t="n">
        <f aca="false">MIN(ROUNDUP(A396/365,0),5)</f>
        <v>2</v>
      </c>
      <c r="D396" s="18" t="n">
        <f aca="false">DATEDIF(Assumptions!B5,B396,"m")+1</f>
        <v>13</v>
      </c>
      <c r="E396" s="18" t="str">
        <f aca="false">TEXT(B396,"ddd")</f>
        <v>Sat</v>
      </c>
      <c r="F396" s="19" t="n">
        <f aca="false">IF(WEEKDAY(B396,2)&gt;=6,Assumptions!B34,Assumptions!B35)</f>
        <v>0.6</v>
      </c>
      <c r="G396" s="20" t="n">
        <f aca="false">IF(D396&gt;=13,(1+Assumptions!B46)^(D396-12),1)</f>
        <v>1.003</v>
      </c>
      <c r="H396" s="21" t="n">
        <f aca="false">H395*(1+IF(C396=1,Assumptions!B22,Assumptions!B23))</f>
        <v>20.9170547315799</v>
      </c>
      <c r="I396" s="16" t="n">
        <f aca="false">ROUND(H396*F396,0)</f>
        <v>13</v>
      </c>
      <c r="J396" s="22" t="n">
        <f aca="false">I396*Assumptions!B24</f>
        <v>7800</v>
      </c>
      <c r="K396" s="21" t="n">
        <f aca="false">K395*(1+Assumptions!B30)</f>
        <v>14.9468275865287</v>
      </c>
      <c r="L396" s="16" t="n">
        <f aca="false">ROUND(K396*F396,0)</f>
        <v>9</v>
      </c>
      <c r="M396" s="22" t="n">
        <f aca="false">L396*Assumptions!B31</f>
        <v>2700</v>
      </c>
      <c r="N396" s="22" t="n">
        <f aca="false">J396+M396</f>
        <v>10500</v>
      </c>
      <c r="O396" s="22" t="n">
        <f aca="false">IF(DAY(B396)=1,Assumptions!B38*G396,0)</f>
        <v>0</v>
      </c>
      <c r="P396" s="22" t="n">
        <f aca="false">IF(DAY(B396)=1,Assumptions!B39*G396,0)</f>
        <v>0</v>
      </c>
      <c r="Q396" s="22" t="n">
        <f aca="false">IF(DAY(B396)=1,Assumptions!B40*G396,0)</f>
        <v>0</v>
      </c>
      <c r="R396" s="22" t="n">
        <f aca="false">IF(DAY(B396)=1,Assumptions!B41*G396,0)</f>
        <v>0</v>
      </c>
      <c r="S396" s="22" t="n">
        <f aca="false">IF(AND(DAY(B396)=1,D396&gt;=13),Assumptions!B42*G396,0)</f>
        <v>0</v>
      </c>
      <c r="T396" s="22" t="n">
        <f aca="false">IF(DAY(B396)=1,Assumptions!B43*G396,0)</f>
        <v>0</v>
      </c>
      <c r="U396" s="22" t="n">
        <f aca="false">SUM(O396:T396)</f>
        <v>0</v>
      </c>
      <c r="V396" s="22" t="n">
        <f aca="false">N396-U396</f>
        <v>10500</v>
      </c>
      <c r="W396" s="22" t="n">
        <f aca="false">W395+V396</f>
        <v>-3128230</v>
      </c>
      <c r="X396" s="23" t="str">
        <f aca="false">IF(W396&gt;=0,"YES","No")</f>
        <v>No</v>
      </c>
    </row>
    <row r="397" customFormat="false" ht="15" hidden="false" customHeight="false" outlineLevel="0" collapsed="false">
      <c r="A397" s="16" t="n">
        <v>396</v>
      </c>
      <c r="B397" s="17" t="n">
        <f aca="false">B396+1</f>
        <v>46418</v>
      </c>
      <c r="C397" s="18" t="n">
        <f aca="false">MIN(ROUNDUP(A397/365,0),5)</f>
        <v>2</v>
      </c>
      <c r="D397" s="18" t="n">
        <f aca="false">DATEDIF(Assumptions!B5,B397,"m")+1</f>
        <v>13</v>
      </c>
      <c r="E397" s="18" t="str">
        <f aca="false">TEXT(B397,"ddd")</f>
        <v>Sun</v>
      </c>
      <c r="F397" s="19" t="n">
        <f aca="false">IF(WEEKDAY(B397,2)&gt;=6,Assumptions!B34,Assumptions!B35)</f>
        <v>0.6</v>
      </c>
      <c r="G397" s="20" t="n">
        <f aca="false">IF(D397&gt;=13,(1+Assumptions!B46)^(D397-12),1)</f>
        <v>1.003</v>
      </c>
      <c r="H397" s="21" t="n">
        <f aca="false">H396*(1+IF(C397=1,Assumptions!B22,Assumptions!B23))</f>
        <v>20.9204822357172</v>
      </c>
      <c r="I397" s="16" t="n">
        <f aca="false">ROUND(H397*F397,0)</f>
        <v>13</v>
      </c>
      <c r="J397" s="22" t="n">
        <f aca="false">I397*Assumptions!B24</f>
        <v>7800</v>
      </c>
      <c r="K397" s="21" t="n">
        <f aca="false">K396*(1+Assumptions!B30)</f>
        <v>14.9517142550685</v>
      </c>
      <c r="L397" s="16" t="n">
        <f aca="false">ROUND(K397*F397,0)</f>
        <v>9</v>
      </c>
      <c r="M397" s="22" t="n">
        <f aca="false">L397*Assumptions!B31</f>
        <v>2700</v>
      </c>
      <c r="N397" s="22" t="n">
        <f aca="false">J397+M397</f>
        <v>10500</v>
      </c>
      <c r="O397" s="22" t="n">
        <f aca="false">IF(DAY(B397)=1,Assumptions!B38*G397,0)</f>
        <v>0</v>
      </c>
      <c r="P397" s="22" t="n">
        <f aca="false">IF(DAY(B397)=1,Assumptions!B39*G397,0)</f>
        <v>0</v>
      </c>
      <c r="Q397" s="22" t="n">
        <f aca="false">IF(DAY(B397)=1,Assumptions!B40*G397,0)</f>
        <v>0</v>
      </c>
      <c r="R397" s="22" t="n">
        <f aca="false">IF(DAY(B397)=1,Assumptions!B41*G397,0)</f>
        <v>0</v>
      </c>
      <c r="S397" s="22" t="n">
        <f aca="false">IF(AND(DAY(B397)=1,D397&gt;=13),Assumptions!B42*G397,0)</f>
        <v>0</v>
      </c>
      <c r="T397" s="22" t="n">
        <f aca="false">IF(DAY(B397)=1,Assumptions!B43*G397,0)</f>
        <v>0</v>
      </c>
      <c r="U397" s="22" t="n">
        <f aca="false">SUM(O397:T397)</f>
        <v>0</v>
      </c>
      <c r="V397" s="22" t="n">
        <f aca="false">N397-U397</f>
        <v>10500</v>
      </c>
      <c r="W397" s="22" t="n">
        <f aca="false">W396+V397</f>
        <v>-3117730</v>
      </c>
      <c r="X397" s="23" t="str">
        <f aca="false">IF(W397&gt;=0,"YES","No")</f>
        <v>No</v>
      </c>
    </row>
    <row r="398" customFormat="false" ht="15" hidden="false" customHeight="false" outlineLevel="0" collapsed="false">
      <c r="A398" s="16" t="n">
        <v>397</v>
      </c>
      <c r="B398" s="17" t="n">
        <f aca="false">B397+1</f>
        <v>46419</v>
      </c>
      <c r="C398" s="18" t="n">
        <f aca="false">MIN(ROUNDUP(A398/365,0),5)</f>
        <v>2</v>
      </c>
      <c r="D398" s="18" t="n">
        <f aca="false">DATEDIF(Assumptions!B5,B398,"m")+1</f>
        <v>14</v>
      </c>
      <c r="E398" s="18" t="str">
        <f aca="false">TEXT(B398,"ddd")</f>
        <v>Mon</v>
      </c>
      <c r="F398" s="19" t="n">
        <f aca="false">IF(WEEKDAY(B398,2)&gt;=6,Assumptions!B34,Assumptions!B35)</f>
        <v>1</v>
      </c>
      <c r="G398" s="20" t="n">
        <f aca="false">IF(D398&gt;=13,(1+Assumptions!B46)^(D398-12),1)</f>
        <v>1.006009</v>
      </c>
      <c r="H398" s="21" t="n">
        <f aca="false">H397*(1+IF(C398=1,Assumptions!B22,Assumptions!B23))</f>
        <v>20.9239103014911</v>
      </c>
      <c r="I398" s="16" t="n">
        <f aca="false">ROUND(H398*F398,0)</f>
        <v>21</v>
      </c>
      <c r="J398" s="22" t="n">
        <f aca="false">I398*Assumptions!B24</f>
        <v>12600</v>
      </c>
      <c r="K398" s="21" t="n">
        <f aca="false">K397*(1+Assumptions!B30)</f>
        <v>14.9566025212402</v>
      </c>
      <c r="L398" s="16" t="n">
        <f aca="false">ROUND(K398*F398,0)</f>
        <v>15</v>
      </c>
      <c r="M398" s="22" t="n">
        <f aca="false">L398*Assumptions!B31</f>
        <v>4500</v>
      </c>
      <c r="N398" s="22" t="n">
        <f aca="false">J398+M398</f>
        <v>17100</v>
      </c>
      <c r="O398" s="22" t="n">
        <f aca="false">IF(DAY(B398)=1,Assumptions!B38*G398,0)</f>
        <v>150901.35</v>
      </c>
      <c r="P398" s="22" t="n">
        <f aca="false">IF(DAY(B398)=1,Assumptions!B39*G398,0)</f>
        <v>40240.36</v>
      </c>
      <c r="Q398" s="22" t="n">
        <f aca="false">IF(DAY(B398)=1,Assumptions!B40*G398,0)</f>
        <v>30180.27</v>
      </c>
      <c r="R398" s="22" t="n">
        <f aca="false">IF(DAY(B398)=1,Assumptions!B41*G398,0)</f>
        <v>20120.18</v>
      </c>
      <c r="S398" s="22" t="n">
        <f aca="false">IF(AND(DAY(B398)=1,D398&gt;=13),Assumptions!B42*G398,0)</f>
        <v>150901.35</v>
      </c>
      <c r="T398" s="22" t="n">
        <f aca="false">IF(DAY(B398)=1,Assumptions!B43*G398,0)</f>
        <v>20120.18</v>
      </c>
      <c r="U398" s="22" t="n">
        <f aca="false">SUM(O398:T398)</f>
        <v>412463.69</v>
      </c>
      <c r="V398" s="22" t="n">
        <f aca="false">N398-U398</f>
        <v>-395363.69</v>
      </c>
      <c r="W398" s="22" t="n">
        <f aca="false">W397+V398</f>
        <v>-3513093.69</v>
      </c>
      <c r="X398" s="23" t="str">
        <f aca="false">IF(W398&gt;=0,"YES","No")</f>
        <v>No</v>
      </c>
    </row>
    <row r="399" customFormat="false" ht="15" hidden="false" customHeight="false" outlineLevel="0" collapsed="false">
      <c r="A399" s="16" t="n">
        <v>398</v>
      </c>
      <c r="B399" s="17" t="n">
        <f aca="false">B398+1</f>
        <v>46420</v>
      </c>
      <c r="C399" s="18" t="n">
        <f aca="false">MIN(ROUNDUP(A399/365,0),5)</f>
        <v>2</v>
      </c>
      <c r="D399" s="18" t="n">
        <f aca="false">DATEDIF(Assumptions!B5,B399,"m")+1</f>
        <v>14</v>
      </c>
      <c r="E399" s="18" t="str">
        <f aca="false">TEXT(B399,"ddd")</f>
        <v>Tue</v>
      </c>
      <c r="F399" s="19" t="n">
        <f aca="false">IF(WEEKDAY(B399,2)&gt;=6,Assumptions!B34,Assumptions!B35)</f>
        <v>1</v>
      </c>
      <c r="G399" s="20" t="n">
        <f aca="false">IF(D399&gt;=13,(1+Assumptions!B46)^(D399-12),1)</f>
        <v>1.006009</v>
      </c>
      <c r="H399" s="21" t="n">
        <f aca="false">H398*(1+IF(C399=1,Assumptions!B22,Assumptions!B23))</f>
        <v>20.9273389289937</v>
      </c>
      <c r="I399" s="16" t="n">
        <f aca="false">ROUND(H399*F399,0)</f>
        <v>21</v>
      </c>
      <c r="J399" s="22" t="n">
        <f aca="false">I399*Assumptions!B24</f>
        <v>12600</v>
      </c>
      <c r="K399" s="21" t="n">
        <f aca="false">K398*(1+Assumptions!B30)</f>
        <v>14.9614923855662</v>
      </c>
      <c r="L399" s="16" t="n">
        <f aca="false">ROUND(K399*F399,0)</f>
        <v>15</v>
      </c>
      <c r="M399" s="22" t="n">
        <f aca="false">L399*Assumptions!B31</f>
        <v>4500</v>
      </c>
      <c r="N399" s="22" t="n">
        <f aca="false">J399+M399</f>
        <v>17100</v>
      </c>
      <c r="O399" s="22" t="n">
        <f aca="false">IF(DAY(B399)=1,Assumptions!B38*G399,0)</f>
        <v>0</v>
      </c>
      <c r="P399" s="22" t="n">
        <f aca="false">IF(DAY(B399)=1,Assumptions!B39*G399,0)</f>
        <v>0</v>
      </c>
      <c r="Q399" s="22" t="n">
        <f aca="false">IF(DAY(B399)=1,Assumptions!B40*G399,0)</f>
        <v>0</v>
      </c>
      <c r="R399" s="22" t="n">
        <f aca="false">IF(DAY(B399)=1,Assumptions!B41*G399,0)</f>
        <v>0</v>
      </c>
      <c r="S399" s="22" t="n">
        <f aca="false">IF(AND(DAY(B399)=1,D399&gt;=13),Assumptions!B42*G399,0)</f>
        <v>0</v>
      </c>
      <c r="T399" s="22" t="n">
        <f aca="false">IF(DAY(B399)=1,Assumptions!B43*G399,0)</f>
        <v>0</v>
      </c>
      <c r="U399" s="22" t="n">
        <f aca="false">SUM(O399:T399)</f>
        <v>0</v>
      </c>
      <c r="V399" s="22" t="n">
        <f aca="false">N399-U399</f>
        <v>17100</v>
      </c>
      <c r="W399" s="22" t="n">
        <f aca="false">W398+V399</f>
        <v>-3495993.69</v>
      </c>
      <c r="X399" s="23" t="str">
        <f aca="false">IF(W399&gt;=0,"YES","No")</f>
        <v>No</v>
      </c>
    </row>
    <row r="400" customFormat="false" ht="15" hidden="false" customHeight="false" outlineLevel="0" collapsed="false">
      <c r="A400" s="16" t="n">
        <v>399</v>
      </c>
      <c r="B400" s="17" t="n">
        <f aca="false">B399+1</f>
        <v>46421</v>
      </c>
      <c r="C400" s="18" t="n">
        <f aca="false">MIN(ROUNDUP(A400/365,0),5)</f>
        <v>2</v>
      </c>
      <c r="D400" s="18" t="n">
        <f aca="false">DATEDIF(Assumptions!B5,B400,"m")+1</f>
        <v>14</v>
      </c>
      <c r="E400" s="18" t="str">
        <f aca="false">TEXT(B400,"ddd")</f>
        <v>Wed</v>
      </c>
      <c r="F400" s="19" t="n">
        <f aca="false">IF(WEEKDAY(B400,2)&gt;=6,Assumptions!B34,Assumptions!B35)</f>
        <v>1</v>
      </c>
      <c r="G400" s="20" t="n">
        <f aca="false">IF(D400&gt;=13,(1+Assumptions!B46)^(D400-12),1)</f>
        <v>1.006009</v>
      </c>
      <c r="H400" s="21" t="n">
        <f aca="false">H399*(1+IF(C400=1,Assumptions!B22,Assumptions!B23))</f>
        <v>20.9307681183171</v>
      </c>
      <c r="I400" s="16" t="n">
        <f aca="false">ROUND(H400*F400,0)</f>
        <v>21</v>
      </c>
      <c r="J400" s="22" t="n">
        <f aca="false">I400*Assumptions!B24</f>
        <v>12600</v>
      </c>
      <c r="K400" s="21" t="n">
        <f aca="false">K399*(1+Assumptions!B30)</f>
        <v>14.966383848569</v>
      </c>
      <c r="L400" s="16" t="n">
        <f aca="false">ROUND(K400*F400,0)</f>
        <v>15</v>
      </c>
      <c r="M400" s="22" t="n">
        <f aca="false">L400*Assumptions!B31</f>
        <v>4500</v>
      </c>
      <c r="N400" s="22" t="n">
        <f aca="false">J400+M400</f>
        <v>17100</v>
      </c>
      <c r="O400" s="22" t="n">
        <f aca="false">IF(DAY(B400)=1,Assumptions!B38*G400,0)</f>
        <v>0</v>
      </c>
      <c r="P400" s="22" t="n">
        <f aca="false">IF(DAY(B400)=1,Assumptions!B39*G400,0)</f>
        <v>0</v>
      </c>
      <c r="Q400" s="22" t="n">
        <f aca="false">IF(DAY(B400)=1,Assumptions!B40*G400,0)</f>
        <v>0</v>
      </c>
      <c r="R400" s="22" t="n">
        <f aca="false">IF(DAY(B400)=1,Assumptions!B41*G400,0)</f>
        <v>0</v>
      </c>
      <c r="S400" s="22" t="n">
        <f aca="false">IF(AND(DAY(B400)=1,D400&gt;=13),Assumptions!B42*G400,0)</f>
        <v>0</v>
      </c>
      <c r="T400" s="22" t="n">
        <f aca="false">IF(DAY(B400)=1,Assumptions!B43*G400,0)</f>
        <v>0</v>
      </c>
      <c r="U400" s="22" t="n">
        <f aca="false">SUM(O400:T400)</f>
        <v>0</v>
      </c>
      <c r="V400" s="22" t="n">
        <f aca="false">N400-U400</f>
        <v>17100</v>
      </c>
      <c r="W400" s="22" t="n">
        <f aca="false">W399+V400</f>
        <v>-3478893.69</v>
      </c>
      <c r="X400" s="23" t="str">
        <f aca="false">IF(W400&gt;=0,"YES","No")</f>
        <v>No</v>
      </c>
    </row>
    <row r="401" customFormat="false" ht="15" hidden="false" customHeight="false" outlineLevel="0" collapsed="false">
      <c r="A401" s="16" t="n">
        <v>400</v>
      </c>
      <c r="B401" s="17" t="n">
        <f aca="false">B400+1</f>
        <v>46422</v>
      </c>
      <c r="C401" s="18" t="n">
        <f aca="false">MIN(ROUNDUP(A401/365,0),5)</f>
        <v>2</v>
      </c>
      <c r="D401" s="18" t="n">
        <f aca="false">DATEDIF(Assumptions!B5,B401,"m")+1</f>
        <v>14</v>
      </c>
      <c r="E401" s="18" t="str">
        <f aca="false">TEXT(B401,"ddd")</f>
        <v>Thu</v>
      </c>
      <c r="F401" s="19" t="n">
        <f aca="false">IF(WEEKDAY(B401,2)&gt;=6,Assumptions!B34,Assumptions!B35)</f>
        <v>1</v>
      </c>
      <c r="G401" s="20" t="n">
        <f aca="false">IF(D401&gt;=13,(1+Assumptions!B46)^(D401-12),1)</f>
        <v>1.006009</v>
      </c>
      <c r="H401" s="21" t="n">
        <f aca="false">H400*(1+IF(C401=1,Assumptions!B22,Assumptions!B23))</f>
        <v>20.9341978695532</v>
      </c>
      <c r="I401" s="16" t="n">
        <f aca="false">ROUND(H401*F401,0)</f>
        <v>21</v>
      </c>
      <c r="J401" s="22" t="n">
        <f aca="false">I401*Assumptions!B24</f>
        <v>12600</v>
      </c>
      <c r="K401" s="21" t="n">
        <f aca="false">K400*(1+Assumptions!B30)</f>
        <v>14.9712769107713</v>
      </c>
      <c r="L401" s="16" t="n">
        <f aca="false">ROUND(K401*F401,0)</f>
        <v>15</v>
      </c>
      <c r="M401" s="22" t="n">
        <f aca="false">L401*Assumptions!B31</f>
        <v>4500</v>
      </c>
      <c r="N401" s="22" t="n">
        <f aca="false">J401+M401</f>
        <v>17100</v>
      </c>
      <c r="O401" s="22" t="n">
        <f aca="false">IF(DAY(B401)=1,Assumptions!B38*G401,0)</f>
        <v>0</v>
      </c>
      <c r="P401" s="22" t="n">
        <f aca="false">IF(DAY(B401)=1,Assumptions!B39*G401,0)</f>
        <v>0</v>
      </c>
      <c r="Q401" s="22" t="n">
        <f aca="false">IF(DAY(B401)=1,Assumptions!B40*G401,0)</f>
        <v>0</v>
      </c>
      <c r="R401" s="22" t="n">
        <f aca="false">IF(DAY(B401)=1,Assumptions!B41*G401,0)</f>
        <v>0</v>
      </c>
      <c r="S401" s="22" t="n">
        <f aca="false">IF(AND(DAY(B401)=1,D401&gt;=13),Assumptions!B42*G401,0)</f>
        <v>0</v>
      </c>
      <c r="T401" s="22" t="n">
        <f aca="false">IF(DAY(B401)=1,Assumptions!B43*G401,0)</f>
        <v>0</v>
      </c>
      <c r="U401" s="22" t="n">
        <f aca="false">SUM(O401:T401)</f>
        <v>0</v>
      </c>
      <c r="V401" s="22" t="n">
        <f aca="false">N401-U401</f>
        <v>17100</v>
      </c>
      <c r="W401" s="22" t="n">
        <f aca="false">W400+V401</f>
        <v>-3461793.69</v>
      </c>
      <c r="X401" s="23" t="str">
        <f aca="false">IF(W401&gt;=0,"YES","No")</f>
        <v>No</v>
      </c>
    </row>
    <row r="402" customFormat="false" ht="15" hidden="false" customHeight="false" outlineLevel="0" collapsed="false">
      <c r="A402" s="16" t="n">
        <v>401</v>
      </c>
      <c r="B402" s="17" t="n">
        <f aca="false">B401+1</f>
        <v>46423</v>
      </c>
      <c r="C402" s="18" t="n">
        <f aca="false">MIN(ROUNDUP(A402/365,0),5)</f>
        <v>2</v>
      </c>
      <c r="D402" s="18" t="n">
        <f aca="false">DATEDIF(Assumptions!B5,B402,"m")+1</f>
        <v>14</v>
      </c>
      <c r="E402" s="18" t="str">
        <f aca="false">TEXT(B402,"ddd")</f>
        <v>Fri</v>
      </c>
      <c r="F402" s="19" t="n">
        <f aca="false">IF(WEEKDAY(B402,2)&gt;=6,Assumptions!B34,Assumptions!B35)</f>
        <v>1</v>
      </c>
      <c r="G402" s="20" t="n">
        <f aca="false">IF(D402&gt;=13,(1+Assumptions!B46)^(D402-12),1)</f>
        <v>1.006009</v>
      </c>
      <c r="H402" s="21" t="n">
        <f aca="false">H401*(1+IF(C402=1,Assumptions!B22,Assumptions!B23))</f>
        <v>20.9376281827942</v>
      </c>
      <c r="I402" s="16" t="n">
        <f aca="false">ROUND(H402*F402,0)</f>
        <v>21</v>
      </c>
      <c r="J402" s="22" t="n">
        <f aca="false">I402*Assumptions!B24</f>
        <v>12600</v>
      </c>
      <c r="K402" s="21" t="n">
        <f aca="false">K401*(1+Assumptions!B30)</f>
        <v>14.9761715726958</v>
      </c>
      <c r="L402" s="16" t="n">
        <f aca="false">ROUND(K402*F402,0)</f>
        <v>15</v>
      </c>
      <c r="M402" s="22" t="n">
        <f aca="false">L402*Assumptions!B31</f>
        <v>4500</v>
      </c>
      <c r="N402" s="22" t="n">
        <f aca="false">J402+M402</f>
        <v>17100</v>
      </c>
      <c r="O402" s="22" t="n">
        <f aca="false">IF(DAY(B402)=1,Assumptions!B38*G402,0)</f>
        <v>0</v>
      </c>
      <c r="P402" s="22" t="n">
        <f aca="false">IF(DAY(B402)=1,Assumptions!B39*G402,0)</f>
        <v>0</v>
      </c>
      <c r="Q402" s="22" t="n">
        <f aca="false">IF(DAY(B402)=1,Assumptions!B40*G402,0)</f>
        <v>0</v>
      </c>
      <c r="R402" s="22" t="n">
        <f aca="false">IF(DAY(B402)=1,Assumptions!B41*G402,0)</f>
        <v>0</v>
      </c>
      <c r="S402" s="22" t="n">
        <f aca="false">IF(AND(DAY(B402)=1,D402&gt;=13),Assumptions!B42*G402,0)</f>
        <v>0</v>
      </c>
      <c r="T402" s="22" t="n">
        <f aca="false">IF(DAY(B402)=1,Assumptions!B43*G402,0)</f>
        <v>0</v>
      </c>
      <c r="U402" s="22" t="n">
        <f aca="false">SUM(O402:T402)</f>
        <v>0</v>
      </c>
      <c r="V402" s="22" t="n">
        <f aca="false">N402-U402</f>
        <v>17100</v>
      </c>
      <c r="W402" s="22" t="n">
        <f aca="false">W401+V402</f>
        <v>-3444693.69</v>
      </c>
      <c r="X402" s="23" t="str">
        <f aca="false">IF(W402&gt;=0,"YES","No")</f>
        <v>No</v>
      </c>
    </row>
    <row r="403" customFormat="false" ht="15" hidden="false" customHeight="false" outlineLevel="0" collapsed="false">
      <c r="A403" s="16" t="n">
        <v>402</v>
      </c>
      <c r="B403" s="17" t="n">
        <f aca="false">B402+1</f>
        <v>46424</v>
      </c>
      <c r="C403" s="18" t="n">
        <f aca="false">MIN(ROUNDUP(A403/365,0),5)</f>
        <v>2</v>
      </c>
      <c r="D403" s="18" t="n">
        <f aca="false">DATEDIF(Assumptions!B5,B403,"m")+1</f>
        <v>14</v>
      </c>
      <c r="E403" s="18" t="str">
        <f aca="false">TEXT(B403,"ddd")</f>
        <v>Sat</v>
      </c>
      <c r="F403" s="19" t="n">
        <f aca="false">IF(WEEKDAY(B403,2)&gt;=6,Assumptions!B34,Assumptions!B35)</f>
        <v>0.6</v>
      </c>
      <c r="G403" s="20" t="n">
        <f aca="false">IF(D403&gt;=13,(1+Assumptions!B46)^(D403-12),1)</f>
        <v>1.006009</v>
      </c>
      <c r="H403" s="21" t="n">
        <f aca="false">H402*(1+IF(C403=1,Assumptions!B22,Assumptions!B23))</f>
        <v>20.9410590581321</v>
      </c>
      <c r="I403" s="16" t="n">
        <f aca="false">ROUND(H403*F403,0)</f>
        <v>13</v>
      </c>
      <c r="J403" s="22" t="n">
        <f aca="false">I403*Assumptions!B24</f>
        <v>7800</v>
      </c>
      <c r="K403" s="21" t="n">
        <f aca="false">K402*(1+Assumptions!B30)</f>
        <v>14.9810678348656</v>
      </c>
      <c r="L403" s="16" t="n">
        <f aca="false">ROUND(K403*F403,0)</f>
        <v>9</v>
      </c>
      <c r="M403" s="22" t="n">
        <f aca="false">L403*Assumptions!B31</f>
        <v>2700</v>
      </c>
      <c r="N403" s="22" t="n">
        <f aca="false">J403+M403</f>
        <v>10500</v>
      </c>
      <c r="O403" s="22" t="n">
        <f aca="false">IF(DAY(B403)=1,Assumptions!B38*G403,0)</f>
        <v>0</v>
      </c>
      <c r="P403" s="22" t="n">
        <f aca="false">IF(DAY(B403)=1,Assumptions!B39*G403,0)</f>
        <v>0</v>
      </c>
      <c r="Q403" s="22" t="n">
        <f aca="false">IF(DAY(B403)=1,Assumptions!B40*G403,0)</f>
        <v>0</v>
      </c>
      <c r="R403" s="22" t="n">
        <f aca="false">IF(DAY(B403)=1,Assumptions!B41*G403,0)</f>
        <v>0</v>
      </c>
      <c r="S403" s="22" t="n">
        <f aca="false">IF(AND(DAY(B403)=1,D403&gt;=13),Assumptions!B42*G403,0)</f>
        <v>0</v>
      </c>
      <c r="T403" s="22" t="n">
        <f aca="false">IF(DAY(B403)=1,Assumptions!B43*G403,0)</f>
        <v>0</v>
      </c>
      <c r="U403" s="22" t="n">
        <f aca="false">SUM(O403:T403)</f>
        <v>0</v>
      </c>
      <c r="V403" s="22" t="n">
        <f aca="false">N403-U403</f>
        <v>10500</v>
      </c>
      <c r="W403" s="22" t="n">
        <f aca="false">W402+V403</f>
        <v>-3434193.69</v>
      </c>
      <c r="X403" s="23" t="str">
        <f aca="false">IF(W403&gt;=0,"YES","No")</f>
        <v>No</v>
      </c>
    </row>
    <row r="404" customFormat="false" ht="15" hidden="false" customHeight="false" outlineLevel="0" collapsed="false">
      <c r="A404" s="16" t="n">
        <v>403</v>
      </c>
      <c r="B404" s="17" t="n">
        <f aca="false">B403+1</f>
        <v>46425</v>
      </c>
      <c r="C404" s="18" t="n">
        <f aca="false">MIN(ROUNDUP(A404/365,0),5)</f>
        <v>2</v>
      </c>
      <c r="D404" s="18" t="n">
        <f aca="false">DATEDIF(Assumptions!B5,B404,"m")+1</f>
        <v>14</v>
      </c>
      <c r="E404" s="18" t="str">
        <f aca="false">TEXT(B404,"ddd")</f>
        <v>Sun</v>
      </c>
      <c r="F404" s="19" t="n">
        <f aca="false">IF(WEEKDAY(B404,2)&gt;=6,Assumptions!B34,Assumptions!B35)</f>
        <v>0.6</v>
      </c>
      <c r="G404" s="20" t="n">
        <f aca="false">IF(D404&gt;=13,(1+Assumptions!B46)^(D404-12),1)</f>
        <v>1.006009</v>
      </c>
      <c r="H404" s="21" t="n">
        <f aca="false">H403*(1+IF(C404=1,Assumptions!B22,Assumptions!B23))</f>
        <v>20.9444904956592</v>
      </c>
      <c r="I404" s="16" t="n">
        <f aca="false">ROUND(H404*F404,0)</f>
        <v>13</v>
      </c>
      <c r="J404" s="22" t="n">
        <f aca="false">I404*Assumptions!B24</f>
        <v>7800</v>
      </c>
      <c r="K404" s="21" t="n">
        <f aca="false">K403*(1+Assumptions!B30)</f>
        <v>14.9859656978039</v>
      </c>
      <c r="L404" s="16" t="n">
        <f aca="false">ROUND(K404*F404,0)</f>
        <v>9</v>
      </c>
      <c r="M404" s="22" t="n">
        <f aca="false">L404*Assumptions!B31</f>
        <v>2700</v>
      </c>
      <c r="N404" s="22" t="n">
        <f aca="false">J404+M404</f>
        <v>10500</v>
      </c>
      <c r="O404" s="22" t="n">
        <f aca="false">IF(DAY(B404)=1,Assumptions!B38*G404,0)</f>
        <v>0</v>
      </c>
      <c r="P404" s="22" t="n">
        <f aca="false">IF(DAY(B404)=1,Assumptions!B39*G404,0)</f>
        <v>0</v>
      </c>
      <c r="Q404" s="22" t="n">
        <f aca="false">IF(DAY(B404)=1,Assumptions!B40*G404,0)</f>
        <v>0</v>
      </c>
      <c r="R404" s="22" t="n">
        <f aca="false">IF(DAY(B404)=1,Assumptions!B41*G404,0)</f>
        <v>0</v>
      </c>
      <c r="S404" s="22" t="n">
        <f aca="false">IF(AND(DAY(B404)=1,D404&gt;=13),Assumptions!B42*G404,0)</f>
        <v>0</v>
      </c>
      <c r="T404" s="22" t="n">
        <f aca="false">IF(DAY(B404)=1,Assumptions!B43*G404,0)</f>
        <v>0</v>
      </c>
      <c r="U404" s="22" t="n">
        <f aca="false">SUM(O404:T404)</f>
        <v>0</v>
      </c>
      <c r="V404" s="22" t="n">
        <f aca="false">N404-U404</f>
        <v>10500</v>
      </c>
      <c r="W404" s="22" t="n">
        <f aca="false">W403+V404</f>
        <v>-3423693.69</v>
      </c>
      <c r="X404" s="23" t="str">
        <f aca="false">IF(W404&gt;=0,"YES","No")</f>
        <v>No</v>
      </c>
    </row>
    <row r="405" customFormat="false" ht="15" hidden="false" customHeight="false" outlineLevel="0" collapsed="false">
      <c r="A405" s="16" t="n">
        <v>404</v>
      </c>
      <c r="B405" s="17" t="n">
        <f aca="false">B404+1</f>
        <v>46426</v>
      </c>
      <c r="C405" s="18" t="n">
        <f aca="false">MIN(ROUNDUP(A405/365,0),5)</f>
        <v>2</v>
      </c>
      <c r="D405" s="18" t="n">
        <f aca="false">DATEDIF(Assumptions!B5,B405,"m")+1</f>
        <v>14</v>
      </c>
      <c r="E405" s="18" t="str">
        <f aca="false">TEXT(B405,"ddd")</f>
        <v>Mon</v>
      </c>
      <c r="F405" s="19" t="n">
        <f aca="false">IF(WEEKDAY(B405,2)&gt;=6,Assumptions!B34,Assumptions!B35)</f>
        <v>1</v>
      </c>
      <c r="G405" s="20" t="n">
        <f aca="false">IF(D405&gt;=13,(1+Assumptions!B46)^(D405-12),1)</f>
        <v>1.006009</v>
      </c>
      <c r="H405" s="21" t="n">
        <f aca="false">H404*(1+IF(C405=1,Assumptions!B22,Assumptions!B23))</f>
        <v>20.9479224954674</v>
      </c>
      <c r="I405" s="16" t="n">
        <f aca="false">ROUND(H405*F405,0)</f>
        <v>21</v>
      </c>
      <c r="J405" s="22" t="n">
        <f aca="false">I405*Assumptions!B24</f>
        <v>12600</v>
      </c>
      <c r="K405" s="21" t="n">
        <f aca="false">K404*(1+Assumptions!B30)</f>
        <v>14.990865162034</v>
      </c>
      <c r="L405" s="16" t="n">
        <f aca="false">ROUND(K405*F405,0)</f>
        <v>15</v>
      </c>
      <c r="M405" s="22" t="n">
        <f aca="false">L405*Assumptions!B31</f>
        <v>4500</v>
      </c>
      <c r="N405" s="22" t="n">
        <f aca="false">J405+M405</f>
        <v>17100</v>
      </c>
      <c r="O405" s="22" t="n">
        <f aca="false">IF(DAY(B405)=1,Assumptions!B38*G405,0)</f>
        <v>0</v>
      </c>
      <c r="P405" s="22" t="n">
        <f aca="false">IF(DAY(B405)=1,Assumptions!B39*G405,0)</f>
        <v>0</v>
      </c>
      <c r="Q405" s="22" t="n">
        <f aca="false">IF(DAY(B405)=1,Assumptions!B40*G405,0)</f>
        <v>0</v>
      </c>
      <c r="R405" s="22" t="n">
        <f aca="false">IF(DAY(B405)=1,Assumptions!B41*G405,0)</f>
        <v>0</v>
      </c>
      <c r="S405" s="22" t="n">
        <f aca="false">IF(AND(DAY(B405)=1,D405&gt;=13),Assumptions!B42*G405,0)</f>
        <v>0</v>
      </c>
      <c r="T405" s="22" t="n">
        <f aca="false">IF(DAY(B405)=1,Assumptions!B43*G405,0)</f>
        <v>0</v>
      </c>
      <c r="U405" s="22" t="n">
        <f aca="false">SUM(O405:T405)</f>
        <v>0</v>
      </c>
      <c r="V405" s="22" t="n">
        <f aca="false">N405-U405</f>
        <v>17100</v>
      </c>
      <c r="W405" s="22" t="n">
        <f aca="false">W404+V405</f>
        <v>-3406593.69</v>
      </c>
      <c r="X405" s="23" t="str">
        <f aca="false">IF(W405&gt;=0,"YES","No")</f>
        <v>No</v>
      </c>
    </row>
    <row r="406" customFormat="false" ht="15" hidden="false" customHeight="false" outlineLevel="0" collapsed="false">
      <c r="A406" s="16" t="n">
        <v>405</v>
      </c>
      <c r="B406" s="17" t="n">
        <f aca="false">B405+1</f>
        <v>46427</v>
      </c>
      <c r="C406" s="18" t="n">
        <f aca="false">MIN(ROUNDUP(A406/365,0),5)</f>
        <v>2</v>
      </c>
      <c r="D406" s="18" t="n">
        <f aca="false">DATEDIF(Assumptions!B5,B406,"m")+1</f>
        <v>14</v>
      </c>
      <c r="E406" s="18" t="str">
        <f aca="false">TEXT(B406,"ddd")</f>
        <v>Tue</v>
      </c>
      <c r="F406" s="19" t="n">
        <f aca="false">IF(WEEKDAY(B406,2)&gt;=6,Assumptions!B34,Assumptions!B35)</f>
        <v>1</v>
      </c>
      <c r="G406" s="20" t="n">
        <f aca="false">IF(D406&gt;=13,(1+Assumptions!B46)^(D406-12),1)</f>
        <v>1.006009</v>
      </c>
      <c r="H406" s="21" t="n">
        <f aca="false">H405*(1+IF(C406=1,Assumptions!B22,Assumptions!B23))</f>
        <v>20.9513550576489</v>
      </c>
      <c r="I406" s="16" t="n">
        <f aca="false">ROUND(H406*F406,0)</f>
        <v>21</v>
      </c>
      <c r="J406" s="22" t="n">
        <f aca="false">I406*Assumptions!B24</f>
        <v>12600</v>
      </c>
      <c r="K406" s="21" t="n">
        <f aca="false">K405*(1+Assumptions!B30)</f>
        <v>14.9957662280795</v>
      </c>
      <c r="L406" s="16" t="n">
        <f aca="false">ROUND(K406*F406,0)</f>
        <v>15</v>
      </c>
      <c r="M406" s="22" t="n">
        <f aca="false">L406*Assumptions!B31</f>
        <v>4500</v>
      </c>
      <c r="N406" s="22" t="n">
        <f aca="false">J406+M406</f>
        <v>17100</v>
      </c>
      <c r="O406" s="22" t="n">
        <f aca="false">IF(DAY(B406)=1,Assumptions!B38*G406,0)</f>
        <v>0</v>
      </c>
      <c r="P406" s="22" t="n">
        <f aca="false">IF(DAY(B406)=1,Assumptions!B39*G406,0)</f>
        <v>0</v>
      </c>
      <c r="Q406" s="22" t="n">
        <f aca="false">IF(DAY(B406)=1,Assumptions!B40*G406,0)</f>
        <v>0</v>
      </c>
      <c r="R406" s="22" t="n">
        <f aca="false">IF(DAY(B406)=1,Assumptions!B41*G406,0)</f>
        <v>0</v>
      </c>
      <c r="S406" s="22" t="n">
        <f aca="false">IF(AND(DAY(B406)=1,D406&gt;=13),Assumptions!B42*G406,0)</f>
        <v>0</v>
      </c>
      <c r="T406" s="22" t="n">
        <f aca="false">IF(DAY(B406)=1,Assumptions!B43*G406,0)</f>
        <v>0</v>
      </c>
      <c r="U406" s="22" t="n">
        <f aca="false">SUM(O406:T406)</f>
        <v>0</v>
      </c>
      <c r="V406" s="22" t="n">
        <f aca="false">N406-U406</f>
        <v>17100</v>
      </c>
      <c r="W406" s="22" t="n">
        <f aca="false">W405+V406</f>
        <v>-3389493.69</v>
      </c>
      <c r="X406" s="23" t="str">
        <f aca="false">IF(W406&gt;=0,"YES","No")</f>
        <v>No</v>
      </c>
    </row>
    <row r="407" customFormat="false" ht="15" hidden="false" customHeight="false" outlineLevel="0" collapsed="false">
      <c r="A407" s="16" t="n">
        <v>406</v>
      </c>
      <c r="B407" s="17" t="n">
        <f aca="false">B406+1</f>
        <v>46428</v>
      </c>
      <c r="C407" s="18" t="n">
        <f aca="false">MIN(ROUNDUP(A407/365,0),5)</f>
        <v>2</v>
      </c>
      <c r="D407" s="18" t="n">
        <f aca="false">DATEDIF(Assumptions!B5,B407,"m")+1</f>
        <v>14</v>
      </c>
      <c r="E407" s="18" t="str">
        <f aca="false">TEXT(B407,"ddd")</f>
        <v>Wed</v>
      </c>
      <c r="F407" s="19" t="n">
        <f aca="false">IF(WEEKDAY(B407,2)&gt;=6,Assumptions!B34,Assumptions!B35)</f>
        <v>1</v>
      </c>
      <c r="G407" s="20" t="n">
        <f aca="false">IF(D407&gt;=13,(1+Assumptions!B46)^(D407-12),1)</f>
        <v>1.006009</v>
      </c>
      <c r="H407" s="21" t="n">
        <f aca="false">H406*(1+IF(C407=1,Assumptions!B22,Assumptions!B23))</f>
        <v>20.9547881822959</v>
      </c>
      <c r="I407" s="16" t="n">
        <f aca="false">ROUND(H407*F407,0)</f>
        <v>21</v>
      </c>
      <c r="J407" s="22" t="n">
        <f aca="false">I407*Assumptions!B24</f>
        <v>12600</v>
      </c>
      <c r="K407" s="21" t="n">
        <f aca="false">K406*(1+Assumptions!B30)</f>
        <v>15.0006688964639</v>
      </c>
      <c r="L407" s="16" t="n">
        <f aca="false">ROUND(K407*F407,0)</f>
        <v>15</v>
      </c>
      <c r="M407" s="22" t="n">
        <f aca="false">L407*Assumptions!B31</f>
        <v>4500</v>
      </c>
      <c r="N407" s="22" t="n">
        <f aca="false">J407+M407</f>
        <v>17100</v>
      </c>
      <c r="O407" s="22" t="n">
        <f aca="false">IF(DAY(B407)=1,Assumptions!B38*G407,0)</f>
        <v>0</v>
      </c>
      <c r="P407" s="22" t="n">
        <f aca="false">IF(DAY(B407)=1,Assumptions!B39*G407,0)</f>
        <v>0</v>
      </c>
      <c r="Q407" s="22" t="n">
        <f aca="false">IF(DAY(B407)=1,Assumptions!B40*G407,0)</f>
        <v>0</v>
      </c>
      <c r="R407" s="22" t="n">
        <f aca="false">IF(DAY(B407)=1,Assumptions!B41*G407,0)</f>
        <v>0</v>
      </c>
      <c r="S407" s="22" t="n">
        <f aca="false">IF(AND(DAY(B407)=1,D407&gt;=13),Assumptions!B42*G407,0)</f>
        <v>0</v>
      </c>
      <c r="T407" s="22" t="n">
        <f aca="false">IF(DAY(B407)=1,Assumptions!B43*G407,0)</f>
        <v>0</v>
      </c>
      <c r="U407" s="22" t="n">
        <f aca="false">SUM(O407:T407)</f>
        <v>0</v>
      </c>
      <c r="V407" s="22" t="n">
        <f aca="false">N407-U407</f>
        <v>17100</v>
      </c>
      <c r="W407" s="22" t="n">
        <f aca="false">W406+V407</f>
        <v>-3372393.69</v>
      </c>
      <c r="X407" s="23" t="str">
        <f aca="false">IF(W407&gt;=0,"YES","No")</f>
        <v>No</v>
      </c>
    </row>
    <row r="408" customFormat="false" ht="15" hidden="false" customHeight="false" outlineLevel="0" collapsed="false">
      <c r="A408" s="16" t="n">
        <v>407</v>
      </c>
      <c r="B408" s="17" t="n">
        <f aca="false">B407+1</f>
        <v>46429</v>
      </c>
      <c r="C408" s="18" t="n">
        <f aca="false">MIN(ROUNDUP(A408/365,0),5)</f>
        <v>2</v>
      </c>
      <c r="D408" s="18" t="n">
        <f aca="false">DATEDIF(Assumptions!B5,B408,"m")+1</f>
        <v>14</v>
      </c>
      <c r="E408" s="18" t="str">
        <f aca="false">TEXT(B408,"ddd")</f>
        <v>Thu</v>
      </c>
      <c r="F408" s="19" t="n">
        <f aca="false">IF(WEEKDAY(B408,2)&gt;=6,Assumptions!B34,Assumptions!B35)</f>
        <v>1</v>
      </c>
      <c r="G408" s="20" t="n">
        <f aca="false">IF(D408&gt;=13,(1+Assumptions!B46)^(D408-12),1)</f>
        <v>1.006009</v>
      </c>
      <c r="H408" s="21" t="n">
        <f aca="false">H407*(1+IF(C408=1,Assumptions!B22,Assumptions!B23))</f>
        <v>20.9582218695005</v>
      </c>
      <c r="I408" s="16" t="n">
        <f aca="false">ROUND(H408*F408,0)</f>
        <v>21</v>
      </c>
      <c r="J408" s="22" t="n">
        <f aca="false">I408*Assumptions!B24</f>
        <v>12600</v>
      </c>
      <c r="K408" s="21" t="n">
        <f aca="false">K407*(1+Assumptions!B30)</f>
        <v>15.0055731677113</v>
      </c>
      <c r="L408" s="16" t="n">
        <f aca="false">ROUND(K408*F408,0)</f>
        <v>15</v>
      </c>
      <c r="M408" s="22" t="n">
        <f aca="false">L408*Assumptions!B31</f>
        <v>4500</v>
      </c>
      <c r="N408" s="22" t="n">
        <f aca="false">J408+M408</f>
        <v>17100</v>
      </c>
      <c r="O408" s="22" t="n">
        <f aca="false">IF(DAY(B408)=1,Assumptions!B38*G408,0)</f>
        <v>0</v>
      </c>
      <c r="P408" s="22" t="n">
        <f aca="false">IF(DAY(B408)=1,Assumptions!B39*G408,0)</f>
        <v>0</v>
      </c>
      <c r="Q408" s="22" t="n">
        <f aca="false">IF(DAY(B408)=1,Assumptions!B40*G408,0)</f>
        <v>0</v>
      </c>
      <c r="R408" s="22" t="n">
        <f aca="false">IF(DAY(B408)=1,Assumptions!B41*G408,0)</f>
        <v>0</v>
      </c>
      <c r="S408" s="22" t="n">
        <f aca="false">IF(AND(DAY(B408)=1,D408&gt;=13),Assumptions!B42*G408,0)</f>
        <v>0</v>
      </c>
      <c r="T408" s="22" t="n">
        <f aca="false">IF(DAY(B408)=1,Assumptions!B43*G408,0)</f>
        <v>0</v>
      </c>
      <c r="U408" s="22" t="n">
        <f aca="false">SUM(O408:T408)</f>
        <v>0</v>
      </c>
      <c r="V408" s="22" t="n">
        <f aca="false">N408-U408</f>
        <v>17100</v>
      </c>
      <c r="W408" s="22" t="n">
        <f aca="false">W407+V408</f>
        <v>-3355293.69</v>
      </c>
      <c r="X408" s="23" t="str">
        <f aca="false">IF(W408&gt;=0,"YES","No")</f>
        <v>No</v>
      </c>
    </row>
    <row r="409" customFormat="false" ht="15" hidden="false" customHeight="false" outlineLevel="0" collapsed="false">
      <c r="A409" s="16" t="n">
        <v>408</v>
      </c>
      <c r="B409" s="17" t="n">
        <f aca="false">B408+1</f>
        <v>46430</v>
      </c>
      <c r="C409" s="18" t="n">
        <f aca="false">MIN(ROUNDUP(A409/365,0),5)</f>
        <v>2</v>
      </c>
      <c r="D409" s="18" t="n">
        <f aca="false">DATEDIF(Assumptions!B5,B409,"m")+1</f>
        <v>14</v>
      </c>
      <c r="E409" s="18" t="str">
        <f aca="false">TEXT(B409,"ddd")</f>
        <v>Fri</v>
      </c>
      <c r="F409" s="19" t="n">
        <f aca="false">IF(WEEKDAY(B409,2)&gt;=6,Assumptions!B34,Assumptions!B35)</f>
        <v>1</v>
      </c>
      <c r="G409" s="20" t="n">
        <f aca="false">IF(D409&gt;=13,(1+Assumptions!B46)^(D409-12),1)</f>
        <v>1.006009</v>
      </c>
      <c r="H409" s="21" t="n">
        <f aca="false">H408*(1+IF(C409=1,Assumptions!B22,Assumptions!B23))</f>
        <v>20.961656119355</v>
      </c>
      <c r="I409" s="16" t="n">
        <f aca="false">ROUND(H409*F409,0)</f>
        <v>21</v>
      </c>
      <c r="J409" s="22" t="n">
        <f aca="false">I409*Assumptions!B24</f>
        <v>12600</v>
      </c>
      <c r="K409" s="21" t="n">
        <f aca="false">K408*(1+Assumptions!B30)</f>
        <v>15.0104790423456</v>
      </c>
      <c r="L409" s="16" t="n">
        <f aca="false">ROUND(K409*F409,0)</f>
        <v>15</v>
      </c>
      <c r="M409" s="22" t="n">
        <f aca="false">L409*Assumptions!B31</f>
        <v>4500</v>
      </c>
      <c r="N409" s="22" t="n">
        <f aca="false">J409+M409</f>
        <v>17100</v>
      </c>
      <c r="O409" s="22" t="n">
        <f aca="false">IF(DAY(B409)=1,Assumptions!B38*G409,0)</f>
        <v>0</v>
      </c>
      <c r="P409" s="22" t="n">
        <f aca="false">IF(DAY(B409)=1,Assumptions!B39*G409,0)</f>
        <v>0</v>
      </c>
      <c r="Q409" s="22" t="n">
        <f aca="false">IF(DAY(B409)=1,Assumptions!B40*G409,0)</f>
        <v>0</v>
      </c>
      <c r="R409" s="22" t="n">
        <f aca="false">IF(DAY(B409)=1,Assumptions!B41*G409,0)</f>
        <v>0</v>
      </c>
      <c r="S409" s="22" t="n">
        <f aca="false">IF(AND(DAY(B409)=1,D409&gt;=13),Assumptions!B42*G409,0)</f>
        <v>0</v>
      </c>
      <c r="T409" s="22" t="n">
        <f aca="false">IF(DAY(B409)=1,Assumptions!B43*G409,0)</f>
        <v>0</v>
      </c>
      <c r="U409" s="22" t="n">
        <f aca="false">SUM(O409:T409)</f>
        <v>0</v>
      </c>
      <c r="V409" s="22" t="n">
        <f aca="false">N409-U409</f>
        <v>17100</v>
      </c>
      <c r="W409" s="22" t="n">
        <f aca="false">W408+V409</f>
        <v>-3338193.69</v>
      </c>
      <c r="X409" s="23" t="str">
        <f aca="false">IF(W409&gt;=0,"YES","No")</f>
        <v>No</v>
      </c>
    </row>
    <row r="410" customFormat="false" ht="15" hidden="false" customHeight="false" outlineLevel="0" collapsed="false">
      <c r="A410" s="16" t="n">
        <v>409</v>
      </c>
      <c r="B410" s="17" t="n">
        <f aca="false">B409+1</f>
        <v>46431</v>
      </c>
      <c r="C410" s="18" t="n">
        <f aca="false">MIN(ROUNDUP(A410/365,0),5)</f>
        <v>2</v>
      </c>
      <c r="D410" s="18" t="n">
        <f aca="false">DATEDIF(Assumptions!B5,B410,"m")+1</f>
        <v>14</v>
      </c>
      <c r="E410" s="18" t="str">
        <f aca="false">TEXT(B410,"ddd")</f>
        <v>Sat</v>
      </c>
      <c r="F410" s="19" t="n">
        <f aca="false">IF(WEEKDAY(B410,2)&gt;=6,Assumptions!B34,Assumptions!B35)</f>
        <v>0.6</v>
      </c>
      <c r="G410" s="20" t="n">
        <f aca="false">IF(D410&gt;=13,(1+Assumptions!B46)^(D410-12),1)</f>
        <v>1.006009</v>
      </c>
      <c r="H410" s="21" t="n">
        <f aca="false">H409*(1+IF(C410=1,Assumptions!B22,Assumptions!B23))</f>
        <v>20.9650909319514</v>
      </c>
      <c r="I410" s="16" t="n">
        <f aca="false">ROUND(H410*F410,0)</f>
        <v>13</v>
      </c>
      <c r="J410" s="22" t="n">
        <f aca="false">I410*Assumptions!B24</f>
        <v>7800</v>
      </c>
      <c r="K410" s="21" t="n">
        <f aca="false">K409*(1+Assumptions!B30)</f>
        <v>15.0153865208911</v>
      </c>
      <c r="L410" s="16" t="n">
        <f aca="false">ROUND(K410*F410,0)</f>
        <v>9</v>
      </c>
      <c r="M410" s="22" t="n">
        <f aca="false">L410*Assumptions!B31</f>
        <v>2700</v>
      </c>
      <c r="N410" s="22" t="n">
        <f aca="false">J410+M410</f>
        <v>10500</v>
      </c>
      <c r="O410" s="22" t="n">
        <f aca="false">IF(DAY(B410)=1,Assumptions!B38*G410,0)</f>
        <v>0</v>
      </c>
      <c r="P410" s="22" t="n">
        <f aca="false">IF(DAY(B410)=1,Assumptions!B39*G410,0)</f>
        <v>0</v>
      </c>
      <c r="Q410" s="22" t="n">
        <f aca="false">IF(DAY(B410)=1,Assumptions!B40*G410,0)</f>
        <v>0</v>
      </c>
      <c r="R410" s="22" t="n">
        <f aca="false">IF(DAY(B410)=1,Assumptions!B41*G410,0)</f>
        <v>0</v>
      </c>
      <c r="S410" s="22" t="n">
        <f aca="false">IF(AND(DAY(B410)=1,D410&gt;=13),Assumptions!B42*G410,0)</f>
        <v>0</v>
      </c>
      <c r="T410" s="22" t="n">
        <f aca="false">IF(DAY(B410)=1,Assumptions!B43*G410,0)</f>
        <v>0</v>
      </c>
      <c r="U410" s="22" t="n">
        <f aca="false">SUM(O410:T410)</f>
        <v>0</v>
      </c>
      <c r="V410" s="22" t="n">
        <f aca="false">N410-U410</f>
        <v>10500</v>
      </c>
      <c r="W410" s="22" t="n">
        <f aca="false">W409+V410</f>
        <v>-3327693.69</v>
      </c>
      <c r="X410" s="23" t="str">
        <f aca="false">IF(W410&gt;=0,"YES","No")</f>
        <v>No</v>
      </c>
    </row>
    <row r="411" customFormat="false" ht="15" hidden="false" customHeight="false" outlineLevel="0" collapsed="false">
      <c r="A411" s="16" t="n">
        <v>410</v>
      </c>
      <c r="B411" s="17" t="n">
        <f aca="false">B410+1</f>
        <v>46432</v>
      </c>
      <c r="C411" s="18" t="n">
        <f aca="false">MIN(ROUNDUP(A411/365,0),5)</f>
        <v>2</v>
      </c>
      <c r="D411" s="18" t="n">
        <f aca="false">DATEDIF(Assumptions!B5,B411,"m")+1</f>
        <v>14</v>
      </c>
      <c r="E411" s="18" t="str">
        <f aca="false">TEXT(B411,"ddd")</f>
        <v>Sun</v>
      </c>
      <c r="F411" s="19" t="n">
        <f aca="false">IF(WEEKDAY(B411,2)&gt;=6,Assumptions!B34,Assumptions!B35)</f>
        <v>0.6</v>
      </c>
      <c r="G411" s="20" t="n">
        <f aca="false">IF(D411&gt;=13,(1+Assumptions!B46)^(D411-12),1)</f>
        <v>1.006009</v>
      </c>
      <c r="H411" s="21" t="n">
        <f aca="false">H410*(1+IF(C411=1,Assumptions!B22,Assumptions!B23))</f>
        <v>20.9685263073821</v>
      </c>
      <c r="I411" s="16" t="n">
        <f aca="false">ROUND(H411*F411,0)</f>
        <v>13</v>
      </c>
      <c r="J411" s="22" t="n">
        <f aca="false">I411*Assumptions!B24</f>
        <v>7800</v>
      </c>
      <c r="K411" s="21" t="n">
        <f aca="false">K410*(1+Assumptions!B30)</f>
        <v>15.020295603872</v>
      </c>
      <c r="L411" s="16" t="n">
        <f aca="false">ROUND(K411*F411,0)</f>
        <v>9</v>
      </c>
      <c r="M411" s="22" t="n">
        <f aca="false">L411*Assumptions!B31</f>
        <v>2700</v>
      </c>
      <c r="N411" s="22" t="n">
        <f aca="false">J411+M411</f>
        <v>10500</v>
      </c>
      <c r="O411" s="22" t="n">
        <f aca="false">IF(DAY(B411)=1,Assumptions!B38*G411,0)</f>
        <v>0</v>
      </c>
      <c r="P411" s="22" t="n">
        <f aca="false">IF(DAY(B411)=1,Assumptions!B39*G411,0)</f>
        <v>0</v>
      </c>
      <c r="Q411" s="22" t="n">
        <f aca="false">IF(DAY(B411)=1,Assumptions!B40*G411,0)</f>
        <v>0</v>
      </c>
      <c r="R411" s="22" t="n">
        <f aca="false">IF(DAY(B411)=1,Assumptions!B41*G411,0)</f>
        <v>0</v>
      </c>
      <c r="S411" s="22" t="n">
        <f aca="false">IF(AND(DAY(B411)=1,D411&gt;=13),Assumptions!B42*G411,0)</f>
        <v>0</v>
      </c>
      <c r="T411" s="22" t="n">
        <f aca="false">IF(DAY(B411)=1,Assumptions!B43*G411,0)</f>
        <v>0</v>
      </c>
      <c r="U411" s="22" t="n">
        <f aca="false">SUM(O411:T411)</f>
        <v>0</v>
      </c>
      <c r="V411" s="22" t="n">
        <f aca="false">N411-U411</f>
        <v>10500</v>
      </c>
      <c r="W411" s="22" t="n">
        <f aca="false">W410+V411</f>
        <v>-3317193.69</v>
      </c>
      <c r="X411" s="23" t="str">
        <f aca="false">IF(W411&gt;=0,"YES","No")</f>
        <v>No</v>
      </c>
    </row>
    <row r="412" customFormat="false" ht="15" hidden="false" customHeight="false" outlineLevel="0" collapsed="false">
      <c r="A412" s="16" t="n">
        <v>411</v>
      </c>
      <c r="B412" s="17" t="n">
        <f aca="false">B411+1</f>
        <v>46433</v>
      </c>
      <c r="C412" s="18" t="n">
        <f aca="false">MIN(ROUNDUP(A412/365,0),5)</f>
        <v>2</v>
      </c>
      <c r="D412" s="18" t="n">
        <f aca="false">DATEDIF(Assumptions!B5,B412,"m")+1</f>
        <v>14</v>
      </c>
      <c r="E412" s="18" t="str">
        <f aca="false">TEXT(B412,"ddd")</f>
        <v>Mon</v>
      </c>
      <c r="F412" s="19" t="n">
        <f aca="false">IF(WEEKDAY(B412,2)&gt;=6,Assumptions!B34,Assumptions!B35)</f>
        <v>1</v>
      </c>
      <c r="G412" s="20" t="n">
        <f aca="false">IF(D412&gt;=13,(1+Assumptions!B46)^(D412-12),1)</f>
        <v>1.006009</v>
      </c>
      <c r="H412" s="21" t="n">
        <f aca="false">H411*(1+IF(C412=1,Assumptions!B22,Assumptions!B23))</f>
        <v>20.9719622457393</v>
      </c>
      <c r="I412" s="16" t="n">
        <f aca="false">ROUND(H412*F412,0)</f>
        <v>21</v>
      </c>
      <c r="J412" s="22" t="n">
        <f aca="false">I412*Assumptions!B24</f>
        <v>12600</v>
      </c>
      <c r="K412" s="21" t="n">
        <f aca="false">K411*(1+Assumptions!B30)</f>
        <v>15.025206291813</v>
      </c>
      <c r="L412" s="16" t="n">
        <f aca="false">ROUND(K412*F412,0)</f>
        <v>15</v>
      </c>
      <c r="M412" s="22" t="n">
        <f aca="false">L412*Assumptions!B31</f>
        <v>4500</v>
      </c>
      <c r="N412" s="22" t="n">
        <f aca="false">J412+M412</f>
        <v>17100</v>
      </c>
      <c r="O412" s="22" t="n">
        <f aca="false">IF(DAY(B412)=1,Assumptions!B38*G412,0)</f>
        <v>0</v>
      </c>
      <c r="P412" s="22" t="n">
        <f aca="false">IF(DAY(B412)=1,Assumptions!B39*G412,0)</f>
        <v>0</v>
      </c>
      <c r="Q412" s="22" t="n">
        <f aca="false">IF(DAY(B412)=1,Assumptions!B40*G412,0)</f>
        <v>0</v>
      </c>
      <c r="R412" s="22" t="n">
        <f aca="false">IF(DAY(B412)=1,Assumptions!B41*G412,0)</f>
        <v>0</v>
      </c>
      <c r="S412" s="22" t="n">
        <f aca="false">IF(AND(DAY(B412)=1,D412&gt;=13),Assumptions!B42*G412,0)</f>
        <v>0</v>
      </c>
      <c r="T412" s="22" t="n">
        <f aca="false">IF(DAY(B412)=1,Assumptions!B43*G412,0)</f>
        <v>0</v>
      </c>
      <c r="U412" s="22" t="n">
        <f aca="false">SUM(O412:T412)</f>
        <v>0</v>
      </c>
      <c r="V412" s="22" t="n">
        <f aca="false">N412-U412</f>
        <v>17100</v>
      </c>
      <c r="W412" s="22" t="n">
        <f aca="false">W411+V412</f>
        <v>-3300093.69</v>
      </c>
      <c r="X412" s="23" t="str">
        <f aca="false">IF(W412&gt;=0,"YES","No")</f>
        <v>No</v>
      </c>
    </row>
    <row r="413" customFormat="false" ht="15" hidden="false" customHeight="false" outlineLevel="0" collapsed="false">
      <c r="A413" s="16" t="n">
        <v>412</v>
      </c>
      <c r="B413" s="17" t="n">
        <f aca="false">B412+1</f>
        <v>46434</v>
      </c>
      <c r="C413" s="18" t="n">
        <f aca="false">MIN(ROUNDUP(A413/365,0),5)</f>
        <v>2</v>
      </c>
      <c r="D413" s="18" t="n">
        <f aca="false">DATEDIF(Assumptions!B5,B413,"m")+1</f>
        <v>14</v>
      </c>
      <c r="E413" s="18" t="str">
        <f aca="false">TEXT(B413,"ddd")</f>
        <v>Tue</v>
      </c>
      <c r="F413" s="19" t="n">
        <f aca="false">IF(WEEKDAY(B413,2)&gt;=6,Assumptions!B34,Assumptions!B35)</f>
        <v>1</v>
      </c>
      <c r="G413" s="20" t="n">
        <f aca="false">IF(D413&gt;=13,(1+Assumptions!B46)^(D413-12),1)</f>
        <v>1.006009</v>
      </c>
      <c r="H413" s="21" t="n">
        <f aca="false">H412*(1+IF(C413=1,Assumptions!B22,Assumptions!B23))</f>
        <v>20.9753987471152</v>
      </c>
      <c r="I413" s="16" t="n">
        <f aca="false">ROUND(H413*F413,0)</f>
        <v>21</v>
      </c>
      <c r="J413" s="22" t="n">
        <f aca="false">I413*Assumptions!B24</f>
        <v>12600</v>
      </c>
      <c r="K413" s="21" t="n">
        <f aca="false">K412*(1+Assumptions!B30)</f>
        <v>15.0301185852389</v>
      </c>
      <c r="L413" s="16" t="n">
        <f aca="false">ROUND(K413*F413,0)</f>
        <v>15</v>
      </c>
      <c r="M413" s="22" t="n">
        <f aca="false">L413*Assumptions!B31</f>
        <v>4500</v>
      </c>
      <c r="N413" s="22" t="n">
        <f aca="false">J413+M413</f>
        <v>17100</v>
      </c>
      <c r="O413" s="22" t="n">
        <f aca="false">IF(DAY(B413)=1,Assumptions!B38*G413,0)</f>
        <v>0</v>
      </c>
      <c r="P413" s="22" t="n">
        <f aca="false">IF(DAY(B413)=1,Assumptions!B39*G413,0)</f>
        <v>0</v>
      </c>
      <c r="Q413" s="22" t="n">
        <f aca="false">IF(DAY(B413)=1,Assumptions!B40*G413,0)</f>
        <v>0</v>
      </c>
      <c r="R413" s="22" t="n">
        <f aca="false">IF(DAY(B413)=1,Assumptions!B41*G413,0)</f>
        <v>0</v>
      </c>
      <c r="S413" s="22" t="n">
        <f aca="false">IF(AND(DAY(B413)=1,D413&gt;=13),Assumptions!B42*G413,0)</f>
        <v>0</v>
      </c>
      <c r="T413" s="22" t="n">
        <f aca="false">IF(DAY(B413)=1,Assumptions!B43*G413,0)</f>
        <v>0</v>
      </c>
      <c r="U413" s="22" t="n">
        <f aca="false">SUM(O413:T413)</f>
        <v>0</v>
      </c>
      <c r="V413" s="22" t="n">
        <f aca="false">N413-U413</f>
        <v>17100</v>
      </c>
      <c r="W413" s="22" t="n">
        <f aca="false">W412+V413</f>
        <v>-3282993.69</v>
      </c>
      <c r="X413" s="23" t="str">
        <f aca="false">IF(W413&gt;=0,"YES","No")</f>
        <v>No</v>
      </c>
    </row>
    <row r="414" customFormat="false" ht="15" hidden="false" customHeight="false" outlineLevel="0" collapsed="false">
      <c r="A414" s="16" t="n">
        <v>413</v>
      </c>
      <c r="B414" s="17" t="n">
        <f aca="false">B413+1</f>
        <v>46435</v>
      </c>
      <c r="C414" s="18" t="n">
        <f aca="false">MIN(ROUNDUP(A414/365,0),5)</f>
        <v>2</v>
      </c>
      <c r="D414" s="18" t="n">
        <f aca="false">DATEDIF(Assumptions!B5,B414,"m")+1</f>
        <v>14</v>
      </c>
      <c r="E414" s="18" t="str">
        <f aca="false">TEXT(B414,"ddd")</f>
        <v>Wed</v>
      </c>
      <c r="F414" s="19" t="n">
        <f aca="false">IF(WEEKDAY(B414,2)&gt;=6,Assumptions!B34,Assumptions!B35)</f>
        <v>1</v>
      </c>
      <c r="G414" s="20" t="n">
        <f aca="false">IF(D414&gt;=13,(1+Assumptions!B46)^(D414-12),1)</f>
        <v>1.006009</v>
      </c>
      <c r="H414" s="21" t="n">
        <f aca="false">H413*(1+IF(C414=1,Assumptions!B22,Assumptions!B23))</f>
        <v>20.978835811602</v>
      </c>
      <c r="I414" s="16" t="n">
        <f aca="false">ROUND(H414*F414,0)</f>
        <v>21</v>
      </c>
      <c r="J414" s="22" t="n">
        <f aca="false">I414*Assumptions!B24</f>
        <v>12600</v>
      </c>
      <c r="K414" s="21" t="n">
        <f aca="false">K413*(1+Assumptions!B30)</f>
        <v>15.0350324846743</v>
      </c>
      <c r="L414" s="16" t="n">
        <f aca="false">ROUND(K414*F414,0)</f>
        <v>15</v>
      </c>
      <c r="M414" s="22" t="n">
        <f aca="false">L414*Assumptions!B31</f>
        <v>4500</v>
      </c>
      <c r="N414" s="22" t="n">
        <f aca="false">J414+M414</f>
        <v>17100</v>
      </c>
      <c r="O414" s="22" t="n">
        <f aca="false">IF(DAY(B414)=1,Assumptions!B38*G414,0)</f>
        <v>0</v>
      </c>
      <c r="P414" s="22" t="n">
        <f aca="false">IF(DAY(B414)=1,Assumptions!B39*G414,0)</f>
        <v>0</v>
      </c>
      <c r="Q414" s="22" t="n">
        <f aca="false">IF(DAY(B414)=1,Assumptions!B40*G414,0)</f>
        <v>0</v>
      </c>
      <c r="R414" s="22" t="n">
        <f aca="false">IF(DAY(B414)=1,Assumptions!B41*G414,0)</f>
        <v>0</v>
      </c>
      <c r="S414" s="22" t="n">
        <f aca="false">IF(AND(DAY(B414)=1,D414&gt;=13),Assumptions!B42*G414,0)</f>
        <v>0</v>
      </c>
      <c r="T414" s="22" t="n">
        <f aca="false">IF(DAY(B414)=1,Assumptions!B43*G414,0)</f>
        <v>0</v>
      </c>
      <c r="U414" s="22" t="n">
        <f aca="false">SUM(O414:T414)</f>
        <v>0</v>
      </c>
      <c r="V414" s="22" t="n">
        <f aca="false">N414-U414</f>
        <v>17100</v>
      </c>
      <c r="W414" s="22" t="n">
        <f aca="false">W413+V414</f>
        <v>-3265893.69</v>
      </c>
      <c r="X414" s="23" t="str">
        <f aca="false">IF(W414&gt;=0,"YES","No")</f>
        <v>No</v>
      </c>
    </row>
    <row r="415" customFormat="false" ht="15" hidden="false" customHeight="false" outlineLevel="0" collapsed="false">
      <c r="A415" s="16" t="n">
        <v>414</v>
      </c>
      <c r="B415" s="17" t="n">
        <f aca="false">B414+1</f>
        <v>46436</v>
      </c>
      <c r="C415" s="18" t="n">
        <f aca="false">MIN(ROUNDUP(A415/365,0),5)</f>
        <v>2</v>
      </c>
      <c r="D415" s="18" t="n">
        <f aca="false">DATEDIF(Assumptions!B5,B415,"m")+1</f>
        <v>14</v>
      </c>
      <c r="E415" s="18" t="str">
        <f aca="false">TEXT(B415,"ddd")</f>
        <v>Thu</v>
      </c>
      <c r="F415" s="19" t="n">
        <f aca="false">IF(WEEKDAY(B415,2)&gt;=6,Assumptions!B34,Assumptions!B35)</f>
        <v>1</v>
      </c>
      <c r="G415" s="20" t="n">
        <f aca="false">IF(D415&gt;=13,(1+Assumptions!B46)^(D415-12),1)</f>
        <v>1.006009</v>
      </c>
      <c r="H415" s="21" t="n">
        <f aca="false">H414*(1+IF(C415=1,Assumptions!B22,Assumptions!B23))</f>
        <v>20.982273439292</v>
      </c>
      <c r="I415" s="16" t="n">
        <f aca="false">ROUND(H415*F415,0)</f>
        <v>21</v>
      </c>
      <c r="J415" s="22" t="n">
        <f aca="false">I415*Assumptions!B24</f>
        <v>12600</v>
      </c>
      <c r="K415" s="21" t="n">
        <f aca="false">K414*(1+Assumptions!B30)</f>
        <v>15.0399479906446</v>
      </c>
      <c r="L415" s="16" t="n">
        <f aca="false">ROUND(K415*F415,0)</f>
        <v>15</v>
      </c>
      <c r="M415" s="22" t="n">
        <f aca="false">L415*Assumptions!B31</f>
        <v>4500</v>
      </c>
      <c r="N415" s="22" t="n">
        <f aca="false">J415+M415</f>
        <v>17100</v>
      </c>
      <c r="O415" s="22" t="n">
        <f aca="false">IF(DAY(B415)=1,Assumptions!B38*G415,0)</f>
        <v>0</v>
      </c>
      <c r="P415" s="22" t="n">
        <f aca="false">IF(DAY(B415)=1,Assumptions!B39*G415,0)</f>
        <v>0</v>
      </c>
      <c r="Q415" s="22" t="n">
        <f aca="false">IF(DAY(B415)=1,Assumptions!B40*G415,0)</f>
        <v>0</v>
      </c>
      <c r="R415" s="22" t="n">
        <f aca="false">IF(DAY(B415)=1,Assumptions!B41*G415,0)</f>
        <v>0</v>
      </c>
      <c r="S415" s="22" t="n">
        <f aca="false">IF(AND(DAY(B415)=1,D415&gt;=13),Assumptions!B42*G415,0)</f>
        <v>0</v>
      </c>
      <c r="T415" s="22" t="n">
        <f aca="false">IF(DAY(B415)=1,Assumptions!B43*G415,0)</f>
        <v>0</v>
      </c>
      <c r="U415" s="22" t="n">
        <f aca="false">SUM(O415:T415)</f>
        <v>0</v>
      </c>
      <c r="V415" s="22" t="n">
        <f aca="false">N415-U415</f>
        <v>17100</v>
      </c>
      <c r="W415" s="22" t="n">
        <f aca="false">W414+V415</f>
        <v>-3248793.69</v>
      </c>
      <c r="X415" s="23" t="str">
        <f aca="false">IF(W415&gt;=0,"YES","No")</f>
        <v>No</v>
      </c>
    </row>
    <row r="416" customFormat="false" ht="15" hidden="false" customHeight="false" outlineLevel="0" collapsed="false">
      <c r="A416" s="16" t="n">
        <v>415</v>
      </c>
      <c r="B416" s="17" t="n">
        <f aca="false">B415+1</f>
        <v>46437</v>
      </c>
      <c r="C416" s="18" t="n">
        <f aca="false">MIN(ROUNDUP(A416/365,0),5)</f>
        <v>2</v>
      </c>
      <c r="D416" s="18" t="n">
        <f aca="false">DATEDIF(Assumptions!B5,B416,"m")+1</f>
        <v>14</v>
      </c>
      <c r="E416" s="18" t="str">
        <f aca="false">TEXT(B416,"ddd")</f>
        <v>Fri</v>
      </c>
      <c r="F416" s="19" t="n">
        <f aca="false">IF(WEEKDAY(B416,2)&gt;=6,Assumptions!B34,Assumptions!B35)</f>
        <v>1</v>
      </c>
      <c r="G416" s="20" t="n">
        <f aca="false">IF(D416&gt;=13,(1+Assumptions!B46)^(D416-12),1)</f>
        <v>1.006009</v>
      </c>
      <c r="H416" s="21" t="n">
        <f aca="false">H415*(1+IF(C416=1,Assumptions!B22,Assumptions!B23))</f>
        <v>20.9857116302776</v>
      </c>
      <c r="I416" s="16" t="n">
        <f aca="false">ROUND(H416*F416,0)</f>
        <v>21</v>
      </c>
      <c r="J416" s="22" t="n">
        <f aca="false">I416*Assumptions!B24</f>
        <v>12600</v>
      </c>
      <c r="K416" s="21" t="n">
        <f aca="false">K415*(1+Assumptions!B30)</f>
        <v>15.0448651036748</v>
      </c>
      <c r="L416" s="16" t="n">
        <f aca="false">ROUND(K416*F416,0)</f>
        <v>15</v>
      </c>
      <c r="M416" s="22" t="n">
        <f aca="false">L416*Assumptions!B31</f>
        <v>4500</v>
      </c>
      <c r="N416" s="22" t="n">
        <f aca="false">J416+M416</f>
        <v>17100</v>
      </c>
      <c r="O416" s="22" t="n">
        <f aca="false">IF(DAY(B416)=1,Assumptions!B38*G416,0)</f>
        <v>0</v>
      </c>
      <c r="P416" s="22" t="n">
        <f aca="false">IF(DAY(B416)=1,Assumptions!B39*G416,0)</f>
        <v>0</v>
      </c>
      <c r="Q416" s="22" t="n">
        <f aca="false">IF(DAY(B416)=1,Assumptions!B40*G416,0)</f>
        <v>0</v>
      </c>
      <c r="R416" s="22" t="n">
        <f aca="false">IF(DAY(B416)=1,Assumptions!B41*G416,0)</f>
        <v>0</v>
      </c>
      <c r="S416" s="22" t="n">
        <f aca="false">IF(AND(DAY(B416)=1,D416&gt;=13),Assumptions!B42*G416,0)</f>
        <v>0</v>
      </c>
      <c r="T416" s="22" t="n">
        <f aca="false">IF(DAY(B416)=1,Assumptions!B43*G416,0)</f>
        <v>0</v>
      </c>
      <c r="U416" s="22" t="n">
        <f aca="false">SUM(O416:T416)</f>
        <v>0</v>
      </c>
      <c r="V416" s="22" t="n">
        <f aca="false">N416-U416</f>
        <v>17100</v>
      </c>
      <c r="W416" s="22" t="n">
        <f aca="false">W415+V416</f>
        <v>-3231693.69</v>
      </c>
      <c r="X416" s="23" t="str">
        <f aca="false">IF(W416&gt;=0,"YES","No")</f>
        <v>No</v>
      </c>
    </row>
    <row r="417" customFormat="false" ht="15" hidden="false" customHeight="false" outlineLevel="0" collapsed="false">
      <c r="A417" s="16" t="n">
        <v>416</v>
      </c>
      <c r="B417" s="17" t="n">
        <f aca="false">B416+1</f>
        <v>46438</v>
      </c>
      <c r="C417" s="18" t="n">
        <f aca="false">MIN(ROUNDUP(A417/365,0),5)</f>
        <v>2</v>
      </c>
      <c r="D417" s="18" t="n">
        <f aca="false">DATEDIF(Assumptions!B5,B417,"m")+1</f>
        <v>14</v>
      </c>
      <c r="E417" s="18" t="str">
        <f aca="false">TEXT(B417,"ddd")</f>
        <v>Sat</v>
      </c>
      <c r="F417" s="19" t="n">
        <f aca="false">IF(WEEKDAY(B417,2)&gt;=6,Assumptions!B34,Assumptions!B35)</f>
        <v>0.6</v>
      </c>
      <c r="G417" s="20" t="n">
        <f aca="false">IF(D417&gt;=13,(1+Assumptions!B46)^(D417-12),1)</f>
        <v>1.006009</v>
      </c>
      <c r="H417" s="21" t="n">
        <f aca="false">H416*(1+IF(C417=1,Assumptions!B22,Assumptions!B23))</f>
        <v>20.9891503846509</v>
      </c>
      <c r="I417" s="16" t="n">
        <f aca="false">ROUND(H417*F417,0)</f>
        <v>13</v>
      </c>
      <c r="J417" s="22" t="n">
        <f aca="false">I417*Assumptions!B24</f>
        <v>7800</v>
      </c>
      <c r="K417" s="21" t="n">
        <f aca="false">K416*(1+Assumptions!B30)</f>
        <v>15.0497838242903</v>
      </c>
      <c r="L417" s="16" t="n">
        <f aca="false">ROUND(K417*F417,0)</f>
        <v>9</v>
      </c>
      <c r="M417" s="22" t="n">
        <f aca="false">L417*Assumptions!B31</f>
        <v>2700</v>
      </c>
      <c r="N417" s="22" t="n">
        <f aca="false">J417+M417</f>
        <v>10500</v>
      </c>
      <c r="O417" s="22" t="n">
        <f aca="false">IF(DAY(B417)=1,Assumptions!B38*G417,0)</f>
        <v>0</v>
      </c>
      <c r="P417" s="22" t="n">
        <f aca="false">IF(DAY(B417)=1,Assumptions!B39*G417,0)</f>
        <v>0</v>
      </c>
      <c r="Q417" s="22" t="n">
        <f aca="false">IF(DAY(B417)=1,Assumptions!B40*G417,0)</f>
        <v>0</v>
      </c>
      <c r="R417" s="22" t="n">
        <f aca="false">IF(DAY(B417)=1,Assumptions!B41*G417,0)</f>
        <v>0</v>
      </c>
      <c r="S417" s="22" t="n">
        <f aca="false">IF(AND(DAY(B417)=1,D417&gt;=13),Assumptions!B42*G417,0)</f>
        <v>0</v>
      </c>
      <c r="T417" s="22" t="n">
        <f aca="false">IF(DAY(B417)=1,Assumptions!B43*G417,0)</f>
        <v>0</v>
      </c>
      <c r="U417" s="22" t="n">
        <f aca="false">SUM(O417:T417)</f>
        <v>0</v>
      </c>
      <c r="V417" s="22" t="n">
        <f aca="false">N417-U417</f>
        <v>10500</v>
      </c>
      <c r="W417" s="22" t="n">
        <f aca="false">W416+V417</f>
        <v>-3221193.69</v>
      </c>
      <c r="X417" s="23" t="str">
        <f aca="false">IF(W417&gt;=0,"YES","No")</f>
        <v>No</v>
      </c>
    </row>
    <row r="418" customFormat="false" ht="15" hidden="false" customHeight="false" outlineLevel="0" collapsed="false">
      <c r="A418" s="16" t="n">
        <v>417</v>
      </c>
      <c r="B418" s="17" t="n">
        <f aca="false">B417+1</f>
        <v>46439</v>
      </c>
      <c r="C418" s="18" t="n">
        <f aca="false">MIN(ROUNDUP(A418/365,0),5)</f>
        <v>2</v>
      </c>
      <c r="D418" s="18" t="n">
        <f aca="false">DATEDIF(Assumptions!B5,B418,"m")+1</f>
        <v>14</v>
      </c>
      <c r="E418" s="18" t="str">
        <f aca="false">TEXT(B418,"ddd")</f>
        <v>Sun</v>
      </c>
      <c r="F418" s="19" t="n">
        <f aca="false">IF(WEEKDAY(B418,2)&gt;=6,Assumptions!B34,Assumptions!B35)</f>
        <v>0.6</v>
      </c>
      <c r="G418" s="20" t="n">
        <f aca="false">IF(D418&gt;=13,(1+Assumptions!B46)^(D418-12),1)</f>
        <v>1.006009</v>
      </c>
      <c r="H418" s="21" t="n">
        <f aca="false">H417*(1+IF(C418=1,Assumptions!B22,Assumptions!B23))</f>
        <v>20.9925897025045</v>
      </c>
      <c r="I418" s="16" t="n">
        <f aca="false">ROUND(H418*F418,0)</f>
        <v>13</v>
      </c>
      <c r="J418" s="22" t="n">
        <f aca="false">I418*Assumptions!B24</f>
        <v>7800</v>
      </c>
      <c r="K418" s="21" t="n">
        <f aca="false">K417*(1+Assumptions!B30)</f>
        <v>15.0547041530169</v>
      </c>
      <c r="L418" s="16" t="n">
        <f aca="false">ROUND(K418*F418,0)</f>
        <v>9</v>
      </c>
      <c r="M418" s="22" t="n">
        <f aca="false">L418*Assumptions!B31</f>
        <v>2700</v>
      </c>
      <c r="N418" s="22" t="n">
        <f aca="false">J418+M418</f>
        <v>10500</v>
      </c>
      <c r="O418" s="22" t="n">
        <f aca="false">IF(DAY(B418)=1,Assumptions!B38*G418,0)</f>
        <v>0</v>
      </c>
      <c r="P418" s="22" t="n">
        <f aca="false">IF(DAY(B418)=1,Assumptions!B39*G418,0)</f>
        <v>0</v>
      </c>
      <c r="Q418" s="22" t="n">
        <f aca="false">IF(DAY(B418)=1,Assumptions!B40*G418,0)</f>
        <v>0</v>
      </c>
      <c r="R418" s="22" t="n">
        <f aca="false">IF(DAY(B418)=1,Assumptions!B41*G418,0)</f>
        <v>0</v>
      </c>
      <c r="S418" s="22" t="n">
        <f aca="false">IF(AND(DAY(B418)=1,D418&gt;=13),Assumptions!B42*G418,0)</f>
        <v>0</v>
      </c>
      <c r="T418" s="22" t="n">
        <f aca="false">IF(DAY(B418)=1,Assumptions!B43*G418,0)</f>
        <v>0</v>
      </c>
      <c r="U418" s="22" t="n">
        <f aca="false">SUM(O418:T418)</f>
        <v>0</v>
      </c>
      <c r="V418" s="22" t="n">
        <f aca="false">N418-U418</f>
        <v>10500</v>
      </c>
      <c r="W418" s="22" t="n">
        <f aca="false">W417+V418</f>
        <v>-3210693.69</v>
      </c>
      <c r="X418" s="23" t="str">
        <f aca="false">IF(W418&gt;=0,"YES","No")</f>
        <v>No</v>
      </c>
    </row>
    <row r="419" customFormat="false" ht="15" hidden="false" customHeight="false" outlineLevel="0" collapsed="false">
      <c r="A419" s="16" t="n">
        <v>418</v>
      </c>
      <c r="B419" s="17" t="n">
        <f aca="false">B418+1</f>
        <v>46440</v>
      </c>
      <c r="C419" s="18" t="n">
        <f aca="false">MIN(ROUNDUP(A419/365,0),5)</f>
        <v>2</v>
      </c>
      <c r="D419" s="18" t="n">
        <f aca="false">DATEDIF(Assumptions!B5,B419,"m")+1</f>
        <v>14</v>
      </c>
      <c r="E419" s="18" t="str">
        <f aca="false">TEXT(B419,"ddd")</f>
        <v>Mon</v>
      </c>
      <c r="F419" s="19" t="n">
        <f aca="false">IF(WEEKDAY(B419,2)&gt;=6,Assumptions!B34,Assumptions!B35)</f>
        <v>1</v>
      </c>
      <c r="G419" s="20" t="n">
        <f aca="false">IF(D419&gt;=13,(1+Assumptions!B46)^(D419-12),1)</f>
        <v>1.006009</v>
      </c>
      <c r="H419" s="21" t="n">
        <f aca="false">H418*(1+IF(C419=1,Assumptions!B22,Assumptions!B23))</f>
        <v>20.9960295839304</v>
      </c>
      <c r="I419" s="16" t="n">
        <f aca="false">ROUND(H419*F419,0)</f>
        <v>21</v>
      </c>
      <c r="J419" s="22" t="n">
        <f aca="false">I419*Assumptions!B24</f>
        <v>12600</v>
      </c>
      <c r="K419" s="21" t="n">
        <f aca="false">K418*(1+Assumptions!B30)</f>
        <v>15.0596260903801</v>
      </c>
      <c r="L419" s="16" t="n">
        <f aca="false">ROUND(K419*F419,0)</f>
        <v>15</v>
      </c>
      <c r="M419" s="22" t="n">
        <f aca="false">L419*Assumptions!B31</f>
        <v>4500</v>
      </c>
      <c r="N419" s="22" t="n">
        <f aca="false">J419+M419</f>
        <v>17100</v>
      </c>
      <c r="O419" s="22" t="n">
        <f aca="false">IF(DAY(B419)=1,Assumptions!B38*G419,0)</f>
        <v>0</v>
      </c>
      <c r="P419" s="22" t="n">
        <f aca="false">IF(DAY(B419)=1,Assumptions!B39*G419,0)</f>
        <v>0</v>
      </c>
      <c r="Q419" s="22" t="n">
        <f aca="false">IF(DAY(B419)=1,Assumptions!B40*G419,0)</f>
        <v>0</v>
      </c>
      <c r="R419" s="22" t="n">
        <f aca="false">IF(DAY(B419)=1,Assumptions!B41*G419,0)</f>
        <v>0</v>
      </c>
      <c r="S419" s="22" t="n">
        <f aca="false">IF(AND(DAY(B419)=1,D419&gt;=13),Assumptions!B42*G419,0)</f>
        <v>0</v>
      </c>
      <c r="T419" s="22" t="n">
        <f aca="false">IF(DAY(B419)=1,Assumptions!B43*G419,0)</f>
        <v>0</v>
      </c>
      <c r="U419" s="22" t="n">
        <f aca="false">SUM(O419:T419)</f>
        <v>0</v>
      </c>
      <c r="V419" s="22" t="n">
        <f aca="false">N419-U419</f>
        <v>17100</v>
      </c>
      <c r="W419" s="22" t="n">
        <f aca="false">W418+V419</f>
        <v>-3193593.69</v>
      </c>
      <c r="X419" s="23" t="str">
        <f aca="false">IF(W419&gt;=0,"YES","No")</f>
        <v>No</v>
      </c>
    </row>
    <row r="420" customFormat="false" ht="15" hidden="false" customHeight="false" outlineLevel="0" collapsed="false">
      <c r="A420" s="16" t="n">
        <v>419</v>
      </c>
      <c r="B420" s="17" t="n">
        <f aca="false">B419+1</f>
        <v>46441</v>
      </c>
      <c r="C420" s="18" t="n">
        <f aca="false">MIN(ROUNDUP(A420/365,0),5)</f>
        <v>2</v>
      </c>
      <c r="D420" s="18" t="n">
        <f aca="false">DATEDIF(Assumptions!B5,B420,"m")+1</f>
        <v>14</v>
      </c>
      <c r="E420" s="18" t="str">
        <f aca="false">TEXT(B420,"ddd")</f>
        <v>Tue</v>
      </c>
      <c r="F420" s="19" t="n">
        <f aca="false">IF(WEEKDAY(B420,2)&gt;=6,Assumptions!B34,Assumptions!B35)</f>
        <v>1</v>
      </c>
      <c r="G420" s="20" t="n">
        <f aca="false">IF(D420&gt;=13,(1+Assumptions!B46)^(D420-12),1)</f>
        <v>1.006009</v>
      </c>
      <c r="H420" s="21" t="n">
        <f aca="false">H419*(1+IF(C420=1,Assumptions!B22,Assumptions!B23))</f>
        <v>20.9994700290212</v>
      </c>
      <c r="I420" s="16" t="n">
        <f aca="false">ROUND(H420*F420,0)</f>
        <v>21</v>
      </c>
      <c r="J420" s="22" t="n">
        <f aca="false">I420*Assumptions!B24</f>
        <v>12600</v>
      </c>
      <c r="K420" s="21" t="n">
        <f aca="false">K419*(1+Assumptions!B30)</f>
        <v>15.064549636906</v>
      </c>
      <c r="L420" s="16" t="n">
        <f aca="false">ROUND(K420*F420,0)</f>
        <v>15</v>
      </c>
      <c r="M420" s="22" t="n">
        <f aca="false">L420*Assumptions!B31</f>
        <v>4500</v>
      </c>
      <c r="N420" s="22" t="n">
        <f aca="false">J420+M420</f>
        <v>17100</v>
      </c>
      <c r="O420" s="22" t="n">
        <f aca="false">IF(DAY(B420)=1,Assumptions!B38*G420,0)</f>
        <v>0</v>
      </c>
      <c r="P420" s="22" t="n">
        <f aca="false">IF(DAY(B420)=1,Assumptions!B39*G420,0)</f>
        <v>0</v>
      </c>
      <c r="Q420" s="22" t="n">
        <f aca="false">IF(DAY(B420)=1,Assumptions!B40*G420,0)</f>
        <v>0</v>
      </c>
      <c r="R420" s="22" t="n">
        <f aca="false">IF(DAY(B420)=1,Assumptions!B41*G420,0)</f>
        <v>0</v>
      </c>
      <c r="S420" s="22" t="n">
        <f aca="false">IF(AND(DAY(B420)=1,D420&gt;=13),Assumptions!B42*G420,0)</f>
        <v>0</v>
      </c>
      <c r="T420" s="22" t="n">
        <f aca="false">IF(DAY(B420)=1,Assumptions!B43*G420,0)</f>
        <v>0</v>
      </c>
      <c r="U420" s="22" t="n">
        <f aca="false">SUM(O420:T420)</f>
        <v>0</v>
      </c>
      <c r="V420" s="22" t="n">
        <f aca="false">N420-U420</f>
        <v>17100</v>
      </c>
      <c r="W420" s="22" t="n">
        <f aca="false">W419+V420</f>
        <v>-3176493.69</v>
      </c>
      <c r="X420" s="23" t="str">
        <f aca="false">IF(W420&gt;=0,"YES","No")</f>
        <v>No</v>
      </c>
    </row>
    <row r="421" customFormat="false" ht="15" hidden="false" customHeight="false" outlineLevel="0" collapsed="false">
      <c r="A421" s="16" t="n">
        <v>420</v>
      </c>
      <c r="B421" s="17" t="n">
        <f aca="false">B420+1</f>
        <v>46442</v>
      </c>
      <c r="C421" s="18" t="n">
        <f aca="false">MIN(ROUNDUP(A421/365,0),5)</f>
        <v>2</v>
      </c>
      <c r="D421" s="18" t="n">
        <f aca="false">DATEDIF(Assumptions!B5,B421,"m")+1</f>
        <v>14</v>
      </c>
      <c r="E421" s="18" t="str">
        <f aca="false">TEXT(B421,"ddd")</f>
        <v>Wed</v>
      </c>
      <c r="F421" s="19" t="n">
        <f aca="false">IF(WEEKDAY(B421,2)&gt;=6,Assumptions!B34,Assumptions!B35)</f>
        <v>1</v>
      </c>
      <c r="G421" s="20" t="n">
        <f aca="false">IF(D421&gt;=13,(1+Assumptions!B46)^(D421-12),1)</f>
        <v>1.006009</v>
      </c>
      <c r="H421" s="21" t="n">
        <f aca="false">H420*(1+IF(C421=1,Assumptions!B22,Assumptions!B23))</f>
        <v>21.0029110378692</v>
      </c>
      <c r="I421" s="16" t="n">
        <f aca="false">ROUND(H421*F421,0)</f>
        <v>21</v>
      </c>
      <c r="J421" s="22" t="n">
        <f aca="false">I421*Assumptions!B24</f>
        <v>12600</v>
      </c>
      <c r="K421" s="21" t="n">
        <f aca="false">K420*(1+Assumptions!B30)</f>
        <v>15.0694747931207</v>
      </c>
      <c r="L421" s="16" t="n">
        <f aca="false">ROUND(K421*F421,0)</f>
        <v>15</v>
      </c>
      <c r="M421" s="22" t="n">
        <f aca="false">L421*Assumptions!B31</f>
        <v>4500</v>
      </c>
      <c r="N421" s="22" t="n">
        <f aca="false">J421+M421</f>
        <v>17100</v>
      </c>
      <c r="O421" s="22" t="n">
        <f aca="false">IF(DAY(B421)=1,Assumptions!B38*G421,0)</f>
        <v>0</v>
      </c>
      <c r="P421" s="22" t="n">
        <f aca="false">IF(DAY(B421)=1,Assumptions!B39*G421,0)</f>
        <v>0</v>
      </c>
      <c r="Q421" s="22" t="n">
        <f aca="false">IF(DAY(B421)=1,Assumptions!B40*G421,0)</f>
        <v>0</v>
      </c>
      <c r="R421" s="22" t="n">
        <f aca="false">IF(DAY(B421)=1,Assumptions!B41*G421,0)</f>
        <v>0</v>
      </c>
      <c r="S421" s="22" t="n">
        <f aca="false">IF(AND(DAY(B421)=1,D421&gt;=13),Assumptions!B42*G421,0)</f>
        <v>0</v>
      </c>
      <c r="T421" s="22" t="n">
        <f aca="false">IF(DAY(B421)=1,Assumptions!B43*G421,0)</f>
        <v>0</v>
      </c>
      <c r="U421" s="22" t="n">
        <f aca="false">SUM(O421:T421)</f>
        <v>0</v>
      </c>
      <c r="V421" s="22" t="n">
        <f aca="false">N421-U421</f>
        <v>17100</v>
      </c>
      <c r="W421" s="22" t="n">
        <f aca="false">W420+V421</f>
        <v>-3159393.69</v>
      </c>
      <c r="X421" s="23" t="str">
        <f aca="false">IF(W421&gt;=0,"YES","No")</f>
        <v>No</v>
      </c>
    </row>
    <row r="422" customFormat="false" ht="15" hidden="false" customHeight="false" outlineLevel="0" collapsed="false">
      <c r="A422" s="16" t="n">
        <v>421</v>
      </c>
      <c r="B422" s="17" t="n">
        <f aca="false">B421+1</f>
        <v>46443</v>
      </c>
      <c r="C422" s="18" t="n">
        <f aca="false">MIN(ROUNDUP(A422/365,0),5)</f>
        <v>2</v>
      </c>
      <c r="D422" s="18" t="n">
        <f aca="false">DATEDIF(Assumptions!B5,B422,"m")+1</f>
        <v>14</v>
      </c>
      <c r="E422" s="18" t="str">
        <f aca="false">TEXT(B422,"ddd")</f>
        <v>Thu</v>
      </c>
      <c r="F422" s="19" t="n">
        <f aca="false">IF(WEEKDAY(B422,2)&gt;=6,Assumptions!B34,Assumptions!B35)</f>
        <v>1</v>
      </c>
      <c r="G422" s="20" t="n">
        <f aca="false">IF(D422&gt;=13,(1+Assumptions!B46)^(D422-12),1)</f>
        <v>1.006009</v>
      </c>
      <c r="H422" s="21" t="n">
        <f aca="false">H421*(1+IF(C422=1,Assumptions!B22,Assumptions!B23))</f>
        <v>21.0063526105667</v>
      </c>
      <c r="I422" s="16" t="n">
        <f aca="false">ROUND(H422*F422,0)</f>
        <v>21</v>
      </c>
      <c r="J422" s="22" t="n">
        <f aca="false">I422*Assumptions!B24</f>
        <v>12600</v>
      </c>
      <c r="K422" s="21" t="n">
        <f aca="false">K421*(1+Assumptions!B30)</f>
        <v>15.0744015595503</v>
      </c>
      <c r="L422" s="16" t="n">
        <f aca="false">ROUND(K422*F422,0)</f>
        <v>15</v>
      </c>
      <c r="M422" s="22" t="n">
        <f aca="false">L422*Assumptions!B31</f>
        <v>4500</v>
      </c>
      <c r="N422" s="22" t="n">
        <f aca="false">J422+M422</f>
        <v>17100</v>
      </c>
      <c r="O422" s="22" t="n">
        <f aca="false">IF(DAY(B422)=1,Assumptions!B38*G422,0)</f>
        <v>0</v>
      </c>
      <c r="P422" s="22" t="n">
        <f aca="false">IF(DAY(B422)=1,Assumptions!B39*G422,0)</f>
        <v>0</v>
      </c>
      <c r="Q422" s="22" t="n">
        <f aca="false">IF(DAY(B422)=1,Assumptions!B40*G422,0)</f>
        <v>0</v>
      </c>
      <c r="R422" s="22" t="n">
        <f aca="false">IF(DAY(B422)=1,Assumptions!B41*G422,0)</f>
        <v>0</v>
      </c>
      <c r="S422" s="22" t="n">
        <f aca="false">IF(AND(DAY(B422)=1,D422&gt;=13),Assumptions!B42*G422,0)</f>
        <v>0</v>
      </c>
      <c r="T422" s="22" t="n">
        <f aca="false">IF(DAY(B422)=1,Assumptions!B43*G422,0)</f>
        <v>0</v>
      </c>
      <c r="U422" s="22" t="n">
        <f aca="false">SUM(O422:T422)</f>
        <v>0</v>
      </c>
      <c r="V422" s="22" t="n">
        <f aca="false">N422-U422</f>
        <v>17100</v>
      </c>
      <c r="W422" s="22" t="n">
        <f aca="false">W421+V422</f>
        <v>-3142293.69</v>
      </c>
      <c r="X422" s="23" t="str">
        <f aca="false">IF(W422&gt;=0,"YES","No")</f>
        <v>No</v>
      </c>
    </row>
    <row r="423" customFormat="false" ht="15" hidden="false" customHeight="false" outlineLevel="0" collapsed="false">
      <c r="A423" s="16" t="n">
        <v>422</v>
      </c>
      <c r="B423" s="17" t="n">
        <f aca="false">B422+1</f>
        <v>46444</v>
      </c>
      <c r="C423" s="18" t="n">
        <f aca="false">MIN(ROUNDUP(A423/365,0),5)</f>
        <v>2</v>
      </c>
      <c r="D423" s="18" t="n">
        <f aca="false">DATEDIF(Assumptions!B5,B423,"m")+1</f>
        <v>14</v>
      </c>
      <c r="E423" s="18" t="str">
        <f aca="false">TEXT(B423,"ddd")</f>
        <v>Fri</v>
      </c>
      <c r="F423" s="19" t="n">
        <f aca="false">IF(WEEKDAY(B423,2)&gt;=6,Assumptions!B34,Assumptions!B35)</f>
        <v>1</v>
      </c>
      <c r="G423" s="20" t="n">
        <f aca="false">IF(D423&gt;=13,(1+Assumptions!B46)^(D423-12),1)</f>
        <v>1.006009</v>
      </c>
      <c r="H423" s="21" t="n">
        <f aca="false">H422*(1+IF(C423=1,Assumptions!B22,Assumptions!B23))</f>
        <v>21.0097947472062</v>
      </c>
      <c r="I423" s="16" t="n">
        <f aca="false">ROUND(H423*F423,0)</f>
        <v>21</v>
      </c>
      <c r="J423" s="22" t="n">
        <f aca="false">I423*Assumptions!B24</f>
        <v>12600</v>
      </c>
      <c r="K423" s="21" t="n">
        <f aca="false">K422*(1+Assumptions!B30)</f>
        <v>15.0793299367213</v>
      </c>
      <c r="L423" s="16" t="n">
        <f aca="false">ROUND(K423*F423,0)</f>
        <v>15</v>
      </c>
      <c r="M423" s="22" t="n">
        <f aca="false">L423*Assumptions!B31</f>
        <v>4500</v>
      </c>
      <c r="N423" s="22" t="n">
        <f aca="false">J423+M423</f>
        <v>17100</v>
      </c>
      <c r="O423" s="22" t="n">
        <f aca="false">IF(DAY(B423)=1,Assumptions!B38*G423,0)</f>
        <v>0</v>
      </c>
      <c r="P423" s="22" t="n">
        <f aca="false">IF(DAY(B423)=1,Assumptions!B39*G423,0)</f>
        <v>0</v>
      </c>
      <c r="Q423" s="22" t="n">
        <f aca="false">IF(DAY(B423)=1,Assumptions!B40*G423,0)</f>
        <v>0</v>
      </c>
      <c r="R423" s="22" t="n">
        <f aca="false">IF(DAY(B423)=1,Assumptions!B41*G423,0)</f>
        <v>0</v>
      </c>
      <c r="S423" s="22" t="n">
        <f aca="false">IF(AND(DAY(B423)=1,D423&gt;=13),Assumptions!B42*G423,0)</f>
        <v>0</v>
      </c>
      <c r="T423" s="22" t="n">
        <f aca="false">IF(DAY(B423)=1,Assumptions!B43*G423,0)</f>
        <v>0</v>
      </c>
      <c r="U423" s="22" t="n">
        <f aca="false">SUM(O423:T423)</f>
        <v>0</v>
      </c>
      <c r="V423" s="22" t="n">
        <f aca="false">N423-U423</f>
        <v>17100</v>
      </c>
      <c r="W423" s="22" t="n">
        <f aca="false">W422+V423</f>
        <v>-3125193.69</v>
      </c>
      <c r="X423" s="23" t="str">
        <f aca="false">IF(W423&gt;=0,"YES","No")</f>
        <v>No</v>
      </c>
    </row>
    <row r="424" customFormat="false" ht="15" hidden="false" customHeight="false" outlineLevel="0" collapsed="false">
      <c r="A424" s="16" t="n">
        <v>423</v>
      </c>
      <c r="B424" s="17" t="n">
        <f aca="false">B423+1</f>
        <v>46445</v>
      </c>
      <c r="C424" s="18" t="n">
        <f aca="false">MIN(ROUNDUP(A424/365,0),5)</f>
        <v>2</v>
      </c>
      <c r="D424" s="18" t="n">
        <f aca="false">DATEDIF(Assumptions!B5,B424,"m")+1</f>
        <v>14</v>
      </c>
      <c r="E424" s="18" t="str">
        <f aca="false">TEXT(B424,"ddd")</f>
        <v>Sat</v>
      </c>
      <c r="F424" s="19" t="n">
        <f aca="false">IF(WEEKDAY(B424,2)&gt;=6,Assumptions!B34,Assumptions!B35)</f>
        <v>0.6</v>
      </c>
      <c r="G424" s="20" t="n">
        <f aca="false">IF(D424&gt;=13,(1+Assumptions!B46)^(D424-12),1)</f>
        <v>1.006009</v>
      </c>
      <c r="H424" s="21" t="n">
        <f aca="false">H423*(1+IF(C424=1,Assumptions!B22,Assumptions!B23))</f>
        <v>21.0132374478801</v>
      </c>
      <c r="I424" s="16" t="n">
        <f aca="false">ROUND(H424*F424,0)</f>
        <v>13</v>
      </c>
      <c r="J424" s="22" t="n">
        <f aca="false">I424*Assumptions!B24</f>
        <v>7800</v>
      </c>
      <c r="K424" s="21" t="n">
        <f aca="false">K423*(1+Assumptions!B30)</f>
        <v>15.0842599251604</v>
      </c>
      <c r="L424" s="16" t="n">
        <f aca="false">ROUND(K424*F424,0)</f>
        <v>9</v>
      </c>
      <c r="M424" s="22" t="n">
        <f aca="false">L424*Assumptions!B31</f>
        <v>2700</v>
      </c>
      <c r="N424" s="22" t="n">
        <f aca="false">J424+M424</f>
        <v>10500</v>
      </c>
      <c r="O424" s="22" t="n">
        <f aca="false">IF(DAY(B424)=1,Assumptions!B38*G424,0)</f>
        <v>0</v>
      </c>
      <c r="P424" s="22" t="n">
        <f aca="false">IF(DAY(B424)=1,Assumptions!B39*G424,0)</f>
        <v>0</v>
      </c>
      <c r="Q424" s="22" t="n">
        <f aca="false">IF(DAY(B424)=1,Assumptions!B40*G424,0)</f>
        <v>0</v>
      </c>
      <c r="R424" s="22" t="n">
        <f aca="false">IF(DAY(B424)=1,Assumptions!B41*G424,0)</f>
        <v>0</v>
      </c>
      <c r="S424" s="22" t="n">
        <f aca="false">IF(AND(DAY(B424)=1,D424&gt;=13),Assumptions!B42*G424,0)</f>
        <v>0</v>
      </c>
      <c r="T424" s="22" t="n">
        <f aca="false">IF(DAY(B424)=1,Assumptions!B43*G424,0)</f>
        <v>0</v>
      </c>
      <c r="U424" s="22" t="n">
        <f aca="false">SUM(O424:T424)</f>
        <v>0</v>
      </c>
      <c r="V424" s="22" t="n">
        <f aca="false">N424-U424</f>
        <v>10500</v>
      </c>
      <c r="W424" s="22" t="n">
        <f aca="false">W423+V424</f>
        <v>-3114693.69</v>
      </c>
      <c r="X424" s="23" t="str">
        <f aca="false">IF(W424&gt;=0,"YES","No")</f>
        <v>No</v>
      </c>
    </row>
    <row r="425" customFormat="false" ht="15" hidden="false" customHeight="false" outlineLevel="0" collapsed="false">
      <c r="A425" s="16" t="n">
        <v>424</v>
      </c>
      <c r="B425" s="17" t="n">
        <f aca="false">B424+1</f>
        <v>46446</v>
      </c>
      <c r="C425" s="18" t="n">
        <f aca="false">MIN(ROUNDUP(A425/365,0),5)</f>
        <v>2</v>
      </c>
      <c r="D425" s="18" t="n">
        <f aca="false">DATEDIF(Assumptions!B5,B425,"m")+1</f>
        <v>14</v>
      </c>
      <c r="E425" s="18" t="str">
        <f aca="false">TEXT(B425,"ddd")</f>
        <v>Sun</v>
      </c>
      <c r="F425" s="19" t="n">
        <f aca="false">IF(WEEKDAY(B425,2)&gt;=6,Assumptions!B34,Assumptions!B35)</f>
        <v>0.6</v>
      </c>
      <c r="G425" s="20" t="n">
        <f aca="false">IF(D425&gt;=13,(1+Assumptions!B46)^(D425-12),1)</f>
        <v>1.006009</v>
      </c>
      <c r="H425" s="21" t="n">
        <f aca="false">H424*(1+IF(C425=1,Assumptions!B22,Assumptions!B23))</f>
        <v>21.0166807126807</v>
      </c>
      <c r="I425" s="16" t="n">
        <f aca="false">ROUND(H425*F425,0)</f>
        <v>13</v>
      </c>
      <c r="J425" s="22" t="n">
        <f aca="false">I425*Assumptions!B24</f>
        <v>7800</v>
      </c>
      <c r="K425" s="21" t="n">
        <f aca="false">K424*(1+Assumptions!B30)</f>
        <v>15.0891915253944</v>
      </c>
      <c r="L425" s="16" t="n">
        <f aca="false">ROUND(K425*F425,0)</f>
        <v>9</v>
      </c>
      <c r="M425" s="22" t="n">
        <f aca="false">L425*Assumptions!B31</f>
        <v>2700</v>
      </c>
      <c r="N425" s="22" t="n">
        <f aca="false">J425+M425</f>
        <v>10500</v>
      </c>
      <c r="O425" s="22" t="n">
        <f aca="false">IF(DAY(B425)=1,Assumptions!B38*G425,0)</f>
        <v>0</v>
      </c>
      <c r="P425" s="22" t="n">
        <f aca="false">IF(DAY(B425)=1,Assumptions!B39*G425,0)</f>
        <v>0</v>
      </c>
      <c r="Q425" s="22" t="n">
        <f aca="false">IF(DAY(B425)=1,Assumptions!B40*G425,0)</f>
        <v>0</v>
      </c>
      <c r="R425" s="22" t="n">
        <f aca="false">IF(DAY(B425)=1,Assumptions!B41*G425,0)</f>
        <v>0</v>
      </c>
      <c r="S425" s="22" t="n">
        <f aca="false">IF(AND(DAY(B425)=1,D425&gt;=13),Assumptions!B42*G425,0)</f>
        <v>0</v>
      </c>
      <c r="T425" s="22" t="n">
        <f aca="false">IF(DAY(B425)=1,Assumptions!B43*G425,0)</f>
        <v>0</v>
      </c>
      <c r="U425" s="22" t="n">
        <f aca="false">SUM(O425:T425)</f>
        <v>0</v>
      </c>
      <c r="V425" s="22" t="n">
        <f aca="false">N425-U425</f>
        <v>10500</v>
      </c>
      <c r="W425" s="22" t="n">
        <f aca="false">W424+V425</f>
        <v>-3104193.69</v>
      </c>
      <c r="X425" s="23" t="str">
        <f aca="false">IF(W425&gt;=0,"YES","No")</f>
        <v>No</v>
      </c>
    </row>
    <row r="426" customFormat="false" ht="15" hidden="false" customHeight="false" outlineLevel="0" collapsed="false">
      <c r="A426" s="16" t="n">
        <v>425</v>
      </c>
      <c r="B426" s="17" t="n">
        <f aca="false">B425+1</f>
        <v>46447</v>
      </c>
      <c r="C426" s="18" t="n">
        <f aca="false">MIN(ROUNDUP(A426/365,0),5)</f>
        <v>2</v>
      </c>
      <c r="D426" s="18" t="n">
        <f aca="false">DATEDIF(Assumptions!B5,B426,"m")+1</f>
        <v>15</v>
      </c>
      <c r="E426" s="18" t="str">
        <f aca="false">TEXT(B426,"ddd")</f>
        <v>Mon</v>
      </c>
      <c r="F426" s="19" t="n">
        <f aca="false">IF(WEEKDAY(B426,2)&gt;=6,Assumptions!B34,Assumptions!B35)</f>
        <v>1</v>
      </c>
      <c r="G426" s="20" t="n">
        <f aca="false">IF(D426&gt;=13,(1+Assumptions!B46)^(D426-12),1)</f>
        <v>1.009027027</v>
      </c>
      <c r="H426" s="21" t="n">
        <f aca="false">H425*(1+IF(C426=1,Assumptions!B22,Assumptions!B23))</f>
        <v>21.0201245417006</v>
      </c>
      <c r="I426" s="16" t="n">
        <f aca="false">ROUND(H426*F426,0)</f>
        <v>21</v>
      </c>
      <c r="J426" s="22" t="n">
        <f aca="false">I426*Assumptions!B24</f>
        <v>12600</v>
      </c>
      <c r="K426" s="21" t="n">
        <f aca="false">K425*(1+Assumptions!B30)</f>
        <v>15.0941247379501</v>
      </c>
      <c r="L426" s="16" t="n">
        <f aca="false">ROUND(K426*F426,0)</f>
        <v>15</v>
      </c>
      <c r="M426" s="22" t="n">
        <f aca="false">L426*Assumptions!B31</f>
        <v>4500</v>
      </c>
      <c r="N426" s="22" t="n">
        <f aca="false">J426+M426</f>
        <v>17100</v>
      </c>
      <c r="O426" s="22" t="n">
        <f aca="false">IF(DAY(B426)=1,Assumptions!B38*G426,0)</f>
        <v>151354.05405</v>
      </c>
      <c r="P426" s="22" t="n">
        <f aca="false">IF(DAY(B426)=1,Assumptions!B39*G426,0)</f>
        <v>40361.08108</v>
      </c>
      <c r="Q426" s="22" t="n">
        <f aca="false">IF(DAY(B426)=1,Assumptions!B40*G426,0)</f>
        <v>30270.81081</v>
      </c>
      <c r="R426" s="22" t="n">
        <f aca="false">IF(DAY(B426)=1,Assumptions!B41*G426,0)</f>
        <v>20180.54054</v>
      </c>
      <c r="S426" s="22" t="n">
        <f aca="false">IF(AND(DAY(B426)=1,D426&gt;=13),Assumptions!B42*G426,0)</f>
        <v>151354.05405</v>
      </c>
      <c r="T426" s="22" t="n">
        <f aca="false">IF(DAY(B426)=1,Assumptions!B43*G426,0)</f>
        <v>20180.54054</v>
      </c>
      <c r="U426" s="22" t="n">
        <f aca="false">SUM(O426:T426)</f>
        <v>413701.08107</v>
      </c>
      <c r="V426" s="22" t="n">
        <f aca="false">N426-U426</f>
        <v>-396601.08107</v>
      </c>
      <c r="W426" s="22" t="n">
        <f aca="false">W425+V426</f>
        <v>-3500794.77107</v>
      </c>
      <c r="X426" s="23" t="str">
        <f aca="false">IF(W426&gt;=0,"YES","No")</f>
        <v>No</v>
      </c>
    </row>
    <row r="427" customFormat="false" ht="15" hidden="false" customHeight="false" outlineLevel="0" collapsed="false">
      <c r="A427" s="16" t="n">
        <v>426</v>
      </c>
      <c r="B427" s="17" t="n">
        <f aca="false">B426+1</f>
        <v>46448</v>
      </c>
      <c r="C427" s="18" t="n">
        <f aca="false">MIN(ROUNDUP(A427/365,0),5)</f>
        <v>2</v>
      </c>
      <c r="D427" s="18" t="n">
        <f aca="false">DATEDIF(Assumptions!B5,B427,"m")+1</f>
        <v>15</v>
      </c>
      <c r="E427" s="18" t="str">
        <f aca="false">TEXT(B427,"ddd")</f>
        <v>Tue</v>
      </c>
      <c r="F427" s="19" t="n">
        <f aca="false">IF(WEEKDAY(B427,2)&gt;=6,Assumptions!B34,Assumptions!B35)</f>
        <v>1</v>
      </c>
      <c r="G427" s="20" t="n">
        <f aca="false">IF(D427&gt;=13,(1+Assumptions!B46)^(D427-12),1)</f>
        <v>1.009027027</v>
      </c>
      <c r="H427" s="21" t="n">
        <f aca="false">H426*(1+IF(C427=1,Assumptions!B22,Assumptions!B23))</f>
        <v>21.0235689350321</v>
      </c>
      <c r="I427" s="16" t="n">
        <f aca="false">ROUND(H427*F427,0)</f>
        <v>21</v>
      </c>
      <c r="J427" s="22" t="n">
        <f aca="false">I427*Assumptions!B24</f>
        <v>12600</v>
      </c>
      <c r="K427" s="21" t="n">
        <f aca="false">K426*(1+Assumptions!B30)</f>
        <v>15.0990595633547</v>
      </c>
      <c r="L427" s="16" t="n">
        <f aca="false">ROUND(K427*F427,0)</f>
        <v>15</v>
      </c>
      <c r="M427" s="22" t="n">
        <f aca="false">L427*Assumptions!B31</f>
        <v>4500</v>
      </c>
      <c r="N427" s="22" t="n">
        <f aca="false">J427+M427</f>
        <v>17100</v>
      </c>
      <c r="O427" s="22" t="n">
        <f aca="false">IF(DAY(B427)=1,Assumptions!B38*G427,0)</f>
        <v>0</v>
      </c>
      <c r="P427" s="22" t="n">
        <f aca="false">IF(DAY(B427)=1,Assumptions!B39*G427,0)</f>
        <v>0</v>
      </c>
      <c r="Q427" s="22" t="n">
        <f aca="false">IF(DAY(B427)=1,Assumptions!B40*G427,0)</f>
        <v>0</v>
      </c>
      <c r="R427" s="22" t="n">
        <f aca="false">IF(DAY(B427)=1,Assumptions!B41*G427,0)</f>
        <v>0</v>
      </c>
      <c r="S427" s="22" t="n">
        <f aca="false">IF(AND(DAY(B427)=1,D427&gt;=13),Assumptions!B42*G427,0)</f>
        <v>0</v>
      </c>
      <c r="T427" s="22" t="n">
        <f aca="false">IF(DAY(B427)=1,Assumptions!B43*G427,0)</f>
        <v>0</v>
      </c>
      <c r="U427" s="22" t="n">
        <f aca="false">SUM(O427:T427)</f>
        <v>0</v>
      </c>
      <c r="V427" s="22" t="n">
        <f aca="false">N427-U427</f>
        <v>17100</v>
      </c>
      <c r="W427" s="22" t="n">
        <f aca="false">W426+V427</f>
        <v>-3483694.77107</v>
      </c>
      <c r="X427" s="23" t="str">
        <f aca="false">IF(W427&gt;=0,"YES","No")</f>
        <v>No</v>
      </c>
    </row>
    <row r="428" customFormat="false" ht="15" hidden="false" customHeight="false" outlineLevel="0" collapsed="false">
      <c r="A428" s="16" t="n">
        <v>427</v>
      </c>
      <c r="B428" s="17" t="n">
        <f aca="false">B427+1</f>
        <v>46449</v>
      </c>
      <c r="C428" s="18" t="n">
        <f aca="false">MIN(ROUNDUP(A428/365,0),5)</f>
        <v>2</v>
      </c>
      <c r="D428" s="18" t="n">
        <f aca="false">DATEDIF(Assumptions!B5,B428,"m")+1</f>
        <v>15</v>
      </c>
      <c r="E428" s="18" t="str">
        <f aca="false">TEXT(B428,"ddd")</f>
        <v>Wed</v>
      </c>
      <c r="F428" s="19" t="n">
        <f aca="false">IF(WEEKDAY(B428,2)&gt;=6,Assumptions!B34,Assumptions!B35)</f>
        <v>1</v>
      </c>
      <c r="G428" s="20" t="n">
        <f aca="false">IF(D428&gt;=13,(1+Assumptions!B46)^(D428-12),1)</f>
        <v>1.009027027</v>
      </c>
      <c r="H428" s="21" t="n">
        <f aca="false">H427*(1+IF(C428=1,Assumptions!B22,Assumptions!B23))</f>
        <v>21.0270138927678</v>
      </c>
      <c r="I428" s="16" t="n">
        <f aca="false">ROUND(H428*F428,0)</f>
        <v>21</v>
      </c>
      <c r="J428" s="22" t="n">
        <f aca="false">I428*Assumptions!B24</f>
        <v>12600</v>
      </c>
      <c r="K428" s="21" t="n">
        <f aca="false">K427*(1+Assumptions!B30)</f>
        <v>15.1039960021355</v>
      </c>
      <c r="L428" s="16" t="n">
        <f aca="false">ROUND(K428*F428,0)</f>
        <v>15</v>
      </c>
      <c r="M428" s="22" t="n">
        <f aca="false">L428*Assumptions!B31</f>
        <v>4500</v>
      </c>
      <c r="N428" s="22" t="n">
        <f aca="false">J428+M428</f>
        <v>17100</v>
      </c>
      <c r="O428" s="22" t="n">
        <f aca="false">IF(DAY(B428)=1,Assumptions!B38*G428,0)</f>
        <v>0</v>
      </c>
      <c r="P428" s="22" t="n">
        <f aca="false">IF(DAY(B428)=1,Assumptions!B39*G428,0)</f>
        <v>0</v>
      </c>
      <c r="Q428" s="22" t="n">
        <f aca="false">IF(DAY(B428)=1,Assumptions!B40*G428,0)</f>
        <v>0</v>
      </c>
      <c r="R428" s="22" t="n">
        <f aca="false">IF(DAY(B428)=1,Assumptions!B41*G428,0)</f>
        <v>0</v>
      </c>
      <c r="S428" s="22" t="n">
        <f aca="false">IF(AND(DAY(B428)=1,D428&gt;=13),Assumptions!B42*G428,0)</f>
        <v>0</v>
      </c>
      <c r="T428" s="22" t="n">
        <f aca="false">IF(DAY(B428)=1,Assumptions!B43*G428,0)</f>
        <v>0</v>
      </c>
      <c r="U428" s="22" t="n">
        <f aca="false">SUM(O428:T428)</f>
        <v>0</v>
      </c>
      <c r="V428" s="22" t="n">
        <f aca="false">N428-U428</f>
        <v>17100</v>
      </c>
      <c r="W428" s="22" t="n">
        <f aca="false">W427+V428</f>
        <v>-3466594.77107</v>
      </c>
      <c r="X428" s="23" t="str">
        <f aca="false">IF(W428&gt;=0,"YES","No")</f>
        <v>No</v>
      </c>
    </row>
    <row r="429" customFormat="false" ht="15" hidden="false" customHeight="false" outlineLevel="0" collapsed="false">
      <c r="A429" s="16" t="n">
        <v>428</v>
      </c>
      <c r="B429" s="17" t="n">
        <f aca="false">B428+1</f>
        <v>46450</v>
      </c>
      <c r="C429" s="18" t="n">
        <f aca="false">MIN(ROUNDUP(A429/365,0),5)</f>
        <v>2</v>
      </c>
      <c r="D429" s="18" t="n">
        <f aca="false">DATEDIF(Assumptions!B5,B429,"m")+1</f>
        <v>15</v>
      </c>
      <c r="E429" s="18" t="str">
        <f aca="false">TEXT(B429,"ddd")</f>
        <v>Thu</v>
      </c>
      <c r="F429" s="19" t="n">
        <f aca="false">IF(WEEKDAY(B429,2)&gt;=6,Assumptions!B34,Assumptions!B35)</f>
        <v>1</v>
      </c>
      <c r="G429" s="20" t="n">
        <f aca="false">IF(D429&gt;=13,(1+Assumptions!B46)^(D429-12),1)</f>
        <v>1.009027027</v>
      </c>
      <c r="H429" s="21" t="n">
        <f aca="false">H428*(1+IF(C429=1,Assumptions!B22,Assumptions!B23))</f>
        <v>21.0304594150001</v>
      </c>
      <c r="I429" s="16" t="n">
        <f aca="false">ROUND(H429*F429,0)</f>
        <v>21</v>
      </c>
      <c r="J429" s="22" t="n">
        <f aca="false">I429*Assumptions!B24</f>
        <v>12600</v>
      </c>
      <c r="K429" s="21" t="n">
        <f aca="false">K428*(1+Assumptions!B30)</f>
        <v>15.10893405482</v>
      </c>
      <c r="L429" s="16" t="n">
        <f aca="false">ROUND(K429*F429,0)</f>
        <v>15</v>
      </c>
      <c r="M429" s="22" t="n">
        <f aca="false">L429*Assumptions!B31</f>
        <v>4500</v>
      </c>
      <c r="N429" s="22" t="n">
        <f aca="false">J429+M429</f>
        <v>17100</v>
      </c>
      <c r="O429" s="22" t="n">
        <f aca="false">IF(DAY(B429)=1,Assumptions!B38*G429,0)</f>
        <v>0</v>
      </c>
      <c r="P429" s="22" t="n">
        <f aca="false">IF(DAY(B429)=1,Assumptions!B39*G429,0)</f>
        <v>0</v>
      </c>
      <c r="Q429" s="22" t="n">
        <f aca="false">IF(DAY(B429)=1,Assumptions!B40*G429,0)</f>
        <v>0</v>
      </c>
      <c r="R429" s="22" t="n">
        <f aca="false">IF(DAY(B429)=1,Assumptions!B41*G429,0)</f>
        <v>0</v>
      </c>
      <c r="S429" s="22" t="n">
        <f aca="false">IF(AND(DAY(B429)=1,D429&gt;=13),Assumptions!B42*G429,0)</f>
        <v>0</v>
      </c>
      <c r="T429" s="22" t="n">
        <f aca="false">IF(DAY(B429)=1,Assumptions!B43*G429,0)</f>
        <v>0</v>
      </c>
      <c r="U429" s="22" t="n">
        <f aca="false">SUM(O429:T429)</f>
        <v>0</v>
      </c>
      <c r="V429" s="22" t="n">
        <f aca="false">N429-U429</f>
        <v>17100</v>
      </c>
      <c r="W429" s="22" t="n">
        <f aca="false">W428+V429</f>
        <v>-3449494.77107</v>
      </c>
      <c r="X429" s="23" t="str">
        <f aca="false">IF(W429&gt;=0,"YES","No")</f>
        <v>No</v>
      </c>
    </row>
    <row r="430" customFormat="false" ht="15" hidden="false" customHeight="false" outlineLevel="0" collapsed="false">
      <c r="A430" s="16" t="n">
        <v>429</v>
      </c>
      <c r="B430" s="17" t="n">
        <f aca="false">B429+1</f>
        <v>46451</v>
      </c>
      <c r="C430" s="18" t="n">
        <f aca="false">MIN(ROUNDUP(A430/365,0),5)</f>
        <v>2</v>
      </c>
      <c r="D430" s="18" t="n">
        <f aca="false">DATEDIF(Assumptions!B5,B430,"m")+1</f>
        <v>15</v>
      </c>
      <c r="E430" s="18" t="str">
        <f aca="false">TEXT(B430,"ddd")</f>
        <v>Fri</v>
      </c>
      <c r="F430" s="19" t="n">
        <f aca="false">IF(WEEKDAY(B430,2)&gt;=6,Assumptions!B34,Assumptions!B35)</f>
        <v>1</v>
      </c>
      <c r="G430" s="20" t="n">
        <f aca="false">IF(D430&gt;=13,(1+Assumptions!B46)^(D430-12),1)</f>
        <v>1.009027027</v>
      </c>
      <c r="H430" s="21" t="n">
        <f aca="false">H429*(1+IF(C430=1,Assumptions!B22,Assumptions!B23))</f>
        <v>21.0339055018215</v>
      </c>
      <c r="I430" s="16" t="n">
        <f aca="false">ROUND(H430*F430,0)</f>
        <v>21</v>
      </c>
      <c r="J430" s="22" t="n">
        <f aca="false">I430*Assumptions!B24</f>
        <v>12600</v>
      </c>
      <c r="K430" s="21" t="n">
        <f aca="false">K429*(1+Assumptions!B30)</f>
        <v>15.1138737219359</v>
      </c>
      <c r="L430" s="16" t="n">
        <f aca="false">ROUND(K430*F430,0)</f>
        <v>15</v>
      </c>
      <c r="M430" s="22" t="n">
        <f aca="false">L430*Assumptions!B31</f>
        <v>4500</v>
      </c>
      <c r="N430" s="22" t="n">
        <f aca="false">J430+M430</f>
        <v>17100</v>
      </c>
      <c r="O430" s="22" t="n">
        <f aca="false">IF(DAY(B430)=1,Assumptions!B38*G430,0)</f>
        <v>0</v>
      </c>
      <c r="P430" s="22" t="n">
        <f aca="false">IF(DAY(B430)=1,Assumptions!B39*G430,0)</f>
        <v>0</v>
      </c>
      <c r="Q430" s="22" t="n">
        <f aca="false">IF(DAY(B430)=1,Assumptions!B40*G430,0)</f>
        <v>0</v>
      </c>
      <c r="R430" s="22" t="n">
        <f aca="false">IF(DAY(B430)=1,Assumptions!B41*G430,0)</f>
        <v>0</v>
      </c>
      <c r="S430" s="22" t="n">
        <f aca="false">IF(AND(DAY(B430)=1,D430&gt;=13),Assumptions!B42*G430,0)</f>
        <v>0</v>
      </c>
      <c r="T430" s="22" t="n">
        <f aca="false">IF(DAY(B430)=1,Assumptions!B43*G430,0)</f>
        <v>0</v>
      </c>
      <c r="U430" s="22" t="n">
        <f aca="false">SUM(O430:T430)</f>
        <v>0</v>
      </c>
      <c r="V430" s="22" t="n">
        <f aca="false">N430-U430</f>
        <v>17100</v>
      </c>
      <c r="W430" s="22" t="n">
        <f aca="false">W429+V430</f>
        <v>-3432394.77107</v>
      </c>
      <c r="X430" s="23" t="str">
        <f aca="false">IF(W430&gt;=0,"YES","No")</f>
        <v>No</v>
      </c>
    </row>
    <row r="431" customFormat="false" ht="15" hidden="false" customHeight="false" outlineLevel="0" collapsed="false">
      <c r="A431" s="16" t="n">
        <v>430</v>
      </c>
      <c r="B431" s="17" t="n">
        <f aca="false">B430+1</f>
        <v>46452</v>
      </c>
      <c r="C431" s="18" t="n">
        <f aca="false">MIN(ROUNDUP(A431/365,0),5)</f>
        <v>2</v>
      </c>
      <c r="D431" s="18" t="n">
        <f aca="false">DATEDIF(Assumptions!B5,B431,"m")+1</f>
        <v>15</v>
      </c>
      <c r="E431" s="18" t="str">
        <f aca="false">TEXT(B431,"ddd")</f>
        <v>Sat</v>
      </c>
      <c r="F431" s="19" t="n">
        <f aca="false">IF(WEEKDAY(B431,2)&gt;=6,Assumptions!B34,Assumptions!B35)</f>
        <v>0.6</v>
      </c>
      <c r="G431" s="20" t="n">
        <f aca="false">IF(D431&gt;=13,(1+Assumptions!B46)^(D431-12),1)</f>
        <v>1.009027027</v>
      </c>
      <c r="H431" s="21" t="n">
        <f aca="false">H430*(1+IF(C431=1,Assumptions!B22,Assumptions!B23))</f>
        <v>21.0373521533246</v>
      </c>
      <c r="I431" s="16" t="n">
        <f aca="false">ROUND(H431*F431,0)</f>
        <v>13</v>
      </c>
      <c r="J431" s="22" t="n">
        <f aca="false">I431*Assumptions!B24</f>
        <v>7800</v>
      </c>
      <c r="K431" s="21" t="n">
        <f aca="false">K430*(1+Assumptions!B30)</f>
        <v>15.1188150040109</v>
      </c>
      <c r="L431" s="16" t="n">
        <f aca="false">ROUND(K431*F431,0)</f>
        <v>9</v>
      </c>
      <c r="M431" s="22" t="n">
        <f aca="false">L431*Assumptions!B31</f>
        <v>2700</v>
      </c>
      <c r="N431" s="22" t="n">
        <f aca="false">J431+M431</f>
        <v>10500</v>
      </c>
      <c r="O431" s="22" t="n">
        <f aca="false">IF(DAY(B431)=1,Assumptions!B38*G431,0)</f>
        <v>0</v>
      </c>
      <c r="P431" s="22" t="n">
        <f aca="false">IF(DAY(B431)=1,Assumptions!B39*G431,0)</f>
        <v>0</v>
      </c>
      <c r="Q431" s="22" t="n">
        <f aca="false">IF(DAY(B431)=1,Assumptions!B40*G431,0)</f>
        <v>0</v>
      </c>
      <c r="R431" s="22" t="n">
        <f aca="false">IF(DAY(B431)=1,Assumptions!B41*G431,0)</f>
        <v>0</v>
      </c>
      <c r="S431" s="22" t="n">
        <f aca="false">IF(AND(DAY(B431)=1,D431&gt;=13),Assumptions!B42*G431,0)</f>
        <v>0</v>
      </c>
      <c r="T431" s="22" t="n">
        <f aca="false">IF(DAY(B431)=1,Assumptions!B43*G431,0)</f>
        <v>0</v>
      </c>
      <c r="U431" s="22" t="n">
        <f aca="false">SUM(O431:T431)</f>
        <v>0</v>
      </c>
      <c r="V431" s="22" t="n">
        <f aca="false">N431-U431</f>
        <v>10500</v>
      </c>
      <c r="W431" s="22" t="n">
        <f aca="false">W430+V431</f>
        <v>-3421894.77107</v>
      </c>
      <c r="X431" s="23" t="str">
        <f aca="false">IF(W431&gt;=0,"YES","No")</f>
        <v>No</v>
      </c>
    </row>
    <row r="432" customFormat="false" ht="15" hidden="false" customHeight="false" outlineLevel="0" collapsed="false">
      <c r="A432" s="16" t="n">
        <v>431</v>
      </c>
      <c r="B432" s="17" t="n">
        <f aca="false">B431+1</f>
        <v>46453</v>
      </c>
      <c r="C432" s="18" t="n">
        <f aca="false">MIN(ROUNDUP(A432/365,0),5)</f>
        <v>2</v>
      </c>
      <c r="D432" s="18" t="n">
        <f aca="false">DATEDIF(Assumptions!B5,B432,"m")+1</f>
        <v>15</v>
      </c>
      <c r="E432" s="18" t="str">
        <f aca="false">TEXT(B432,"ddd")</f>
        <v>Sun</v>
      </c>
      <c r="F432" s="19" t="n">
        <f aca="false">IF(WEEKDAY(B432,2)&gt;=6,Assumptions!B34,Assumptions!B35)</f>
        <v>0.6</v>
      </c>
      <c r="G432" s="20" t="n">
        <f aca="false">IF(D432&gt;=13,(1+Assumptions!B46)^(D432-12),1)</f>
        <v>1.009027027</v>
      </c>
      <c r="H432" s="21" t="n">
        <f aca="false">H431*(1+IF(C432=1,Assumptions!B22,Assumptions!B23))</f>
        <v>21.0407993696018</v>
      </c>
      <c r="I432" s="16" t="n">
        <f aca="false">ROUND(H432*F432,0)</f>
        <v>13</v>
      </c>
      <c r="J432" s="22" t="n">
        <f aca="false">I432*Assumptions!B24</f>
        <v>7800</v>
      </c>
      <c r="K432" s="21" t="n">
        <f aca="false">K431*(1+Assumptions!B30)</f>
        <v>15.123757901573</v>
      </c>
      <c r="L432" s="16" t="n">
        <f aca="false">ROUND(K432*F432,0)</f>
        <v>9</v>
      </c>
      <c r="M432" s="22" t="n">
        <f aca="false">L432*Assumptions!B31</f>
        <v>2700</v>
      </c>
      <c r="N432" s="22" t="n">
        <f aca="false">J432+M432</f>
        <v>10500</v>
      </c>
      <c r="O432" s="22" t="n">
        <f aca="false">IF(DAY(B432)=1,Assumptions!B38*G432,0)</f>
        <v>0</v>
      </c>
      <c r="P432" s="22" t="n">
        <f aca="false">IF(DAY(B432)=1,Assumptions!B39*G432,0)</f>
        <v>0</v>
      </c>
      <c r="Q432" s="22" t="n">
        <f aca="false">IF(DAY(B432)=1,Assumptions!B40*G432,0)</f>
        <v>0</v>
      </c>
      <c r="R432" s="22" t="n">
        <f aca="false">IF(DAY(B432)=1,Assumptions!B41*G432,0)</f>
        <v>0</v>
      </c>
      <c r="S432" s="22" t="n">
        <f aca="false">IF(AND(DAY(B432)=1,D432&gt;=13),Assumptions!B42*G432,0)</f>
        <v>0</v>
      </c>
      <c r="T432" s="22" t="n">
        <f aca="false">IF(DAY(B432)=1,Assumptions!B43*G432,0)</f>
        <v>0</v>
      </c>
      <c r="U432" s="22" t="n">
        <f aca="false">SUM(O432:T432)</f>
        <v>0</v>
      </c>
      <c r="V432" s="22" t="n">
        <f aca="false">N432-U432</f>
        <v>10500</v>
      </c>
      <c r="W432" s="22" t="n">
        <f aca="false">W431+V432</f>
        <v>-3411394.77107</v>
      </c>
      <c r="X432" s="23" t="str">
        <f aca="false">IF(W432&gt;=0,"YES","No")</f>
        <v>No</v>
      </c>
    </row>
    <row r="433" customFormat="false" ht="15" hidden="false" customHeight="false" outlineLevel="0" collapsed="false">
      <c r="A433" s="16" t="n">
        <v>432</v>
      </c>
      <c r="B433" s="17" t="n">
        <f aca="false">B432+1</f>
        <v>46454</v>
      </c>
      <c r="C433" s="18" t="n">
        <f aca="false">MIN(ROUNDUP(A433/365,0),5)</f>
        <v>2</v>
      </c>
      <c r="D433" s="18" t="n">
        <f aca="false">DATEDIF(Assumptions!B5,B433,"m")+1</f>
        <v>15</v>
      </c>
      <c r="E433" s="18" t="str">
        <f aca="false">TEXT(B433,"ddd")</f>
        <v>Mon</v>
      </c>
      <c r="F433" s="19" t="n">
        <f aca="false">IF(WEEKDAY(B433,2)&gt;=6,Assumptions!B34,Assumptions!B35)</f>
        <v>1</v>
      </c>
      <c r="G433" s="20" t="n">
        <f aca="false">IF(D433&gt;=13,(1+Assumptions!B46)^(D433-12),1)</f>
        <v>1.009027027</v>
      </c>
      <c r="H433" s="21" t="n">
        <f aca="false">H432*(1+IF(C433=1,Assumptions!B22,Assumptions!B23))</f>
        <v>21.0442471507458</v>
      </c>
      <c r="I433" s="16" t="n">
        <f aca="false">ROUND(H433*F433,0)</f>
        <v>21</v>
      </c>
      <c r="J433" s="22" t="n">
        <f aca="false">I433*Assumptions!B24</f>
        <v>12600</v>
      </c>
      <c r="K433" s="21" t="n">
        <f aca="false">K432*(1+Assumptions!B30)</f>
        <v>15.1287024151504</v>
      </c>
      <c r="L433" s="16" t="n">
        <f aca="false">ROUND(K433*F433,0)</f>
        <v>15</v>
      </c>
      <c r="M433" s="22" t="n">
        <f aca="false">L433*Assumptions!B31</f>
        <v>4500</v>
      </c>
      <c r="N433" s="22" t="n">
        <f aca="false">J433+M433</f>
        <v>17100</v>
      </c>
      <c r="O433" s="22" t="n">
        <f aca="false">IF(DAY(B433)=1,Assumptions!B38*G433,0)</f>
        <v>0</v>
      </c>
      <c r="P433" s="22" t="n">
        <f aca="false">IF(DAY(B433)=1,Assumptions!B39*G433,0)</f>
        <v>0</v>
      </c>
      <c r="Q433" s="22" t="n">
        <f aca="false">IF(DAY(B433)=1,Assumptions!B40*G433,0)</f>
        <v>0</v>
      </c>
      <c r="R433" s="22" t="n">
        <f aca="false">IF(DAY(B433)=1,Assumptions!B41*G433,0)</f>
        <v>0</v>
      </c>
      <c r="S433" s="22" t="n">
        <f aca="false">IF(AND(DAY(B433)=1,D433&gt;=13),Assumptions!B42*G433,0)</f>
        <v>0</v>
      </c>
      <c r="T433" s="22" t="n">
        <f aca="false">IF(DAY(B433)=1,Assumptions!B43*G433,0)</f>
        <v>0</v>
      </c>
      <c r="U433" s="22" t="n">
        <f aca="false">SUM(O433:T433)</f>
        <v>0</v>
      </c>
      <c r="V433" s="22" t="n">
        <f aca="false">N433-U433</f>
        <v>17100</v>
      </c>
      <c r="W433" s="22" t="n">
        <f aca="false">W432+V433</f>
        <v>-3394294.77107</v>
      </c>
      <c r="X433" s="23" t="str">
        <f aca="false">IF(W433&gt;=0,"YES","No")</f>
        <v>No</v>
      </c>
    </row>
    <row r="434" customFormat="false" ht="15" hidden="false" customHeight="false" outlineLevel="0" collapsed="false">
      <c r="A434" s="16" t="n">
        <v>433</v>
      </c>
      <c r="B434" s="17" t="n">
        <f aca="false">B433+1</f>
        <v>46455</v>
      </c>
      <c r="C434" s="18" t="n">
        <f aca="false">MIN(ROUNDUP(A434/365,0),5)</f>
        <v>2</v>
      </c>
      <c r="D434" s="18" t="n">
        <f aca="false">DATEDIF(Assumptions!B5,B434,"m")+1</f>
        <v>15</v>
      </c>
      <c r="E434" s="18" t="str">
        <f aca="false">TEXT(B434,"ddd")</f>
        <v>Tue</v>
      </c>
      <c r="F434" s="19" t="n">
        <f aca="false">IF(WEEKDAY(B434,2)&gt;=6,Assumptions!B34,Assumptions!B35)</f>
        <v>1</v>
      </c>
      <c r="G434" s="20" t="n">
        <f aca="false">IF(D434&gt;=13,(1+Assumptions!B46)^(D434-12),1)</f>
        <v>1.009027027</v>
      </c>
      <c r="H434" s="21" t="n">
        <f aca="false">H433*(1+IF(C434=1,Assumptions!B22,Assumptions!B23))</f>
        <v>21.047695496849</v>
      </c>
      <c r="I434" s="16" t="n">
        <f aca="false">ROUND(H434*F434,0)</f>
        <v>21</v>
      </c>
      <c r="J434" s="22" t="n">
        <f aca="false">I434*Assumptions!B24</f>
        <v>12600</v>
      </c>
      <c r="K434" s="21" t="n">
        <f aca="false">K433*(1+Assumptions!B30)</f>
        <v>15.1336485452715</v>
      </c>
      <c r="L434" s="16" t="n">
        <f aca="false">ROUND(K434*F434,0)</f>
        <v>15</v>
      </c>
      <c r="M434" s="22" t="n">
        <f aca="false">L434*Assumptions!B31</f>
        <v>4500</v>
      </c>
      <c r="N434" s="22" t="n">
        <f aca="false">J434+M434</f>
        <v>17100</v>
      </c>
      <c r="O434" s="22" t="n">
        <f aca="false">IF(DAY(B434)=1,Assumptions!B38*G434,0)</f>
        <v>0</v>
      </c>
      <c r="P434" s="22" t="n">
        <f aca="false">IF(DAY(B434)=1,Assumptions!B39*G434,0)</f>
        <v>0</v>
      </c>
      <c r="Q434" s="22" t="n">
        <f aca="false">IF(DAY(B434)=1,Assumptions!B40*G434,0)</f>
        <v>0</v>
      </c>
      <c r="R434" s="22" t="n">
        <f aca="false">IF(DAY(B434)=1,Assumptions!B41*G434,0)</f>
        <v>0</v>
      </c>
      <c r="S434" s="22" t="n">
        <f aca="false">IF(AND(DAY(B434)=1,D434&gt;=13),Assumptions!B42*G434,0)</f>
        <v>0</v>
      </c>
      <c r="T434" s="22" t="n">
        <f aca="false">IF(DAY(B434)=1,Assumptions!B43*G434,0)</f>
        <v>0</v>
      </c>
      <c r="U434" s="22" t="n">
        <f aca="false">SUM(O434:T434)</f>
        <v>0</v>
      </c>
      <c r="V434" s="22" t="n">
        <f aca="false">N434-U434</f>
        <v>17100</v>
      </c>
      <c r="W434" s="22" t="n">
        <f aca="false">W433+V434</f>
        <v>-3377194.77107</v>
      </c>
      <c r="X434" s="23" t="str">
        <f aca="false">IF(W434&gt;=0,"YES","No")</f>
        <v>No</v>
      </c>
    </row>
    <row r="435" customFormat="false" ht="15" hidden="false" customHeight="false" outlineLevel="0" collapsed="false">
      <c r="A435" s="16" t="n">
        <v>434</v>
      </c>
      <c r="B435" s="17" t="n">
        <f aca="false">B434+1</f>
        <v>46456</v>
      </c>
      <c r="C435" s="18" t="n">
        <f aca="false">MIN(ROUNDUP(A435/365,0),5)</f>
        <v>2</v>
      </c>
      <c r="D435" s="18" t="n">
        <f aca="false">DATEDIF(Assumptions!B5,B435,"m")+1</f>
        <v>15</v>
      </c>
      <c r="E435" s="18" t="str">
        <f aca="false">TEXT(B435,"ddd")</f>
        <v>Wed</v>
      </c>
      <c r="F435" s="19" t="n">
        <f aca="false">IF(WEEKDAY(B435,2)&gt;=6,Assumptions!B34,Assumptions!B35)</f>
        <v>1</v>
      </c>
      <c r="G435" s="20" t="n">
        <f aca="false">IF(D435&gt;=13,(1+Assumptions!B46)^(D435-12),1)</f>
        <v>1.009027027</v>
      </c>
      <c r="H435" s="21" t="n">
        <f aca="false">H434*(1+IF(C435=1,Assumptions!B22,Assumptions!B23))</f>
        <v>21.0511444080041</v>
      </c>
      <c r="I435" s="16" t="n">
        <f aca="false">ROUND(H435*F435,0)</f>
        <v>21</v>
      </c>
      <c r="J435" s="22" t="n">
        <f aca="false">I435*Assumptions!B24</f>
        <v>12600</v>
      </c>
      <c r="K435" s="21" t="n">
        <f aca="false">K434*(1+Assumptions!B30)</f>
        <v>15.1385962924647</v>
      </c>
      <c r="L435" s="16" t="n">
        <f aca="false">ROUND(K435*F435,0)</f>
        <v>15</v>
      </c>
      <c r="M435" s="22" t="n">
        <f aca="false">L435*Assumptions!B31</f>
        <v>4500</v>
      </c>
      <c r="N435" s="22" t="n">
        <f aca="false">J435+M435</f>
        <v>17100</v>
      </c>
      <c r="O435" s="22" t="n">
        <f aca="false">IF(DAY(B435)=1,Assumptions!B38*G435,0)</f>
        <v>0</v>
      </c>
      <c r="P435" s="22" t="n">
        <f aca="false">IF(DAY(B435)=1,Assumptions!B39*G435,0)</f>
        <v>0</v>
      </c>
      <c r="Q435" s="22" t="n">
        <f aca="false">IF(DAY(B435)=1,Assumptions!B40*G435,0)</f>
        <v>0</v>
      </c>
      <c r="R435" s="22" t="n">
        <f aca="false">IF(DAY(B435)=1,Assumptions!B41*G435,0)</f>
        <v>0</v>
      </c>
      <c r="S435" s="22" t="n">
        <f aca="false">IF(AND(DAY(B435)=1,D435&gt;=13),Assumptions!B42*G435,0)</f>
        <v>0</v>
      </c>
      <c r="T435" s="22" t="n">
        <f aca="false">IF(DAY(B435)=1,Assumptions!B43*G435,0)</f>
        <v>0</v>
      </c>
      <c r="U435" s="22" t="n">
        <f aca="false">SUM(O435:T435)</f>
        <v>0</v>
      </c>
      <c r="V435" s="22" t="n">
        <f aca="false">N435-U435</f>
        <v>17100</v>
      </c>
      <c r="W435" s="22" t="n">
        <f aca="false">W434+V435</f>
        <v>-3360094.77107</v>
      </c>
      <c r="X435" s="23" t="str">
        <f aca="false">IF(W435&gt;=0,"YES","No")</f>
        <v>No</v>
      </c>
    </row>
    <row r="436" customFormat="false" ht="15" hidden="false" customHeight="false" outlineLevel="0" collapsed="false">
      <c r="A436" s="16" t="n">
        <v>435</v>
      </c>
      <c r="B436" s="17" t="n">
        <f aca="false">B435+1</f>
        <v>46457</v>
      </c>
      <c r="C436" s="18" t="n">
        <f aca="false">MIN(ROUNDUP(A436/365,0),5)</f>
        <v>2</v>
      </c>
      <c r="D436" s="18" t="n">
        <f aca="false">DATEDIF(Assumptions!B5,B436,"m")+1</f>
        <v>15</v>
      </c>
      <c r="E436" s="18" t="str">
        <f aca="false">TEXT(B436,"ddd")</f>
        <v>Thu</v>
      </c>
      <c r="F436" s="19" t="n">
        <f aca="false">IF(WEEKDAY(B436,2)&gt;=6,Assumptions!B34,Assumptions!B35)</f>
        <v>1</v>
      </c>
      <c r="G436" s="20" t="n">
        <f aca="false">IF(D436&gt;=13,(1+Assumptions!B46)^(D436-12),1)</f>
        <v>1.009027027</v>
      </c>
      <c r="H436" s="21" t="n">
        <f aca="false">H435*(1+IF(C436=1,Assumptions!B22,Assumptions!B23))</f>
        <v>21.0545938843037</v>
      </c>
      <c r="I436" s="16" t="n">
        <f aca="false">ROUND(H436*F436,0)</f>
        <v>21</v>
      </c>
      <c r="J436" s="22" t="n">
        <f aca="false">I436*Assumptions!B24</f>
        <v>12600</v>
      </c>
      <c r="K436" s="21" t="n">
        <f aca="false">K435*(1+Assumptions!B30)</f>
        <v>15.1435456572587</v>
      </c>
      <c r="L436" s="16" t="n">
        <f aca="false">ROUND(K436*F436,0)</f>
        <v>15</v>
      </c>
      <c r="M436" s="22" t="n">
        <f aca="false">L436*Assumptions!B31</f>
        <v>4500</v>
      </c>
      <c r="N436" s="22" t="n">
        <f aca="false">J436+M436</f>
        <v>17100</v>
      </c>
      <c r="O436" s="22" t="n">
        <f aca="false">IF(DAY(B436)=1,Assumptions!B38*G436,0)</f>
        <v>0</v>
      </c>
      <c r="P436" s="22" t="n">
        <f aca="false">IF(DAY(B436)=1,Assumptions!B39*G436,0)</f>
        <v>0</v>
      </c>
      <c r="Q436" s="22" t="n">
        <f aca="false">IF(DAY(B436)=1,Assumptions!B40*G436,0)</f>
        <v>0</v>
      </c>
      <c r="R436" s="22" t="n">
        <f aca="false">IF(DAY(B436)=1,Assumptions!B41*G436,0)</f>
        <v>0</v>
      </c>
      <c r="S436" s="22" t="n">
        <f aca="false">IF(AND(DAY(B436)=1,D436&gt;=13),Assumptions!B42*G436,0)</f>
        <v>0</v>
      </c>
      <c r="T436" s="22" t="n">
        <f aca="false">IF(DAY(B436)=1,Assumptions!B43*G436,0)</f>
        <v>0</v>
      </c>
      <c r="U436" s="22" t="n">
        <f aca="false">SUM(O436:T436)</f>
        <v>0</v>
      </c>
      <c r="V436" s="22" t="n">
        <f aca="false">N436-U436</f>
        <v>17100</v>
      </c>
      <c r="W436" s="22" t="n">
        <f aca="false">W435+V436</f>
        <v>-3342994.77107</v>
      </c>
      <c r="X436" s="23" t="str">
        <f aca="false">IF(W436&gt;=0,"YES","No")</f>
        <v>No</v>
      </c>
    </row>
    <row r="437" customFormat="false" ht="15" hidden="false" customHeight="false" outlineLevel="0" collapsed="false">
      <c r="A437" s="16" t="n">
        <v>436</v>
      </c>
      <c r="B437" s="17" t="n">
        <f aca="false">B436+1</f>
        <v>46458</v>
      </c>
      <c r="C437" s="18" t="n">
        <f aca="false">MIN(ROUNDUP(A437/365,0),5)</f>
        <v>2</v>
      </c>
      <c r="D437" s="18" t="n">
        <f aca="false">DATEDIF(Assumptions!B5,B437,"m")+1</f>
        <v>15</v>
      </c>
      <c r="E437" s="18" t="str">
        <f aca="false">TEXT(B437,"ddd")</f>
        <v>Fri</v>
      </c>
      <c r="F437" s="19" t="n">
        <f aca="false">IF(WEEKDAY(B437,2)&gt;=6,Assumptions!B34,Assumptions!B35)</f>
        <v>1</v>
      </c>
      <c r="G437" s="20" t="n">
        <f aca="false">IF(D437&gt;=13,(1+Assumptions!B46)^(D437-12),1)</f>
        <v>1.009027027</v>
      </c>
      <c r="H437" s="21" t="n">
        <f aca="false">H436*(1+IF(C437=1,Assumptions!B22,Assumptions!B23))</f>
        <v>21.0580439258402</v>
      </c>
      <c r="I437" s="16" t="n">
        <f aca="false">ROUND(H437*F437,0)</f>
        <v>21</v>
      </c>
      <c r="J437" s="22" t="n">
        <f aca="false">I437*Assumptions!B24</f>
        <v>12600</v>
      </c>
      <c r="K437" s="21" t="n">
        <f aca="false">K436*(1+Assumptions!B30)</f>
        <v>15.1484966401823</v>
      </c>
      <c r="L437" s="16" t="n">
        <f aca="false">ROUND(K437*F437,0)</f>
        <v>15</v>
      </c>
      <c r="M437" s="22" t="n">
        <f aca="false">L437*Assumptions!B31</f>
        <v>4500</v>
      </c>
      <c r="N437" s="22" t="n">
        <f aca="false">J437+M437</f>
        <v>17100</v>
      </c>
      <c r="O437" s="22" t="n">
        <f aca="false">IF(DAY(B437)=1,Assumptions!B38*G437,0)</f>
        <v>0</v>
      </c>
      <c r="P437" s="22" t="n">
        <f aca="false">IF(DAY(B437)=1,Assumptions!B39*G437,0)</f>
        <v>0</v>
      </c>
      <c r="Q437" s="22" t="n">
        <f aca="false">IF(DAY(B437)=1,Assumptions!B40*G437,0)</f>
        <v>0</v>
      </c>
      <c r="R437" s="22" t="n">
        <f aca="false">IF(DAY(B437)=1,Assumptions!B41*G437,0)</f>
        <v>0</v>
      </c>
      <c r="S437" s="22" t="n">
        <f aca="false">IF(AND(DAY(B437)=1,D437&gt;=13),Assumptions!B42*G437,0)</f>
        <v>0</v>
      </c>
      <c r="T437" s="22" t="n">
        <f aca="false">IF(DAY(B437)=1,Assumptions!B43*G437,0)</f>
        <v>0</v>
      </c>
      <c r="U437" s="22" t="n">
        <f aca="false">SUM(O437:T437)</f>
        <v>0</v>
      </c>
      <c r="V437" s="22" t="n">
        <f aca="false">N437-U437</f>
        <v>17100</v>
      </c>
      <c r="W437" s="22" t="n">
        <f aca="false">W436+V437</f>
        <v>-3325894.77107</v>
      </c>
      <c r="X437" s="23" t="str">
        <f aca="false">IF(W437&gt;=0,"YES","No")</f>
        <v>No</v>
      </c>
    </row>
    <row r="438" customFormat="false" ht="15" hidden="false" customHeight="false" outlineLevel="0" collapsed="false">
      <c r="A438" s="16" t="n">
        <v>437</v>
      </c>
      <c r="B438" s="17" t="n">
        <f aca="false">B437+1</f>
        <v>46459</v>
      </c>
      <c r="C438" s="18" t="n">
        <f aca="false">MIN(ROUNDUP(A438/365,0),5)</f>
        <v>2</v>
      </c>
      <c r="D438" s="18" t="n">
        <f aca="false">DATEDIF(Assumptions!B5,B438,"m")+1</f>
        <v>15</v>
      </c>
      <c r="E438" s="18" t="str">
        <f aca="false">TEXT(B438,"ddd")</f>
        <v>Sat</v>
      </c>
      <c r="F438" s="19" t="n">
        <f aca="false">IF(WEEKDAY(B438,2)&gt;=6,Assumptions!B34,Assumptions!B35)</f>
        <v>0.6</v>
      </c>
      <c r="G438" s="20" t="n">
        <f aca="false">IF(D438&gt;=13,(1+Assumptions!B46)^(D438-12),1)</f>
        <v>1.009027027</v>
      </c>
      <c r="H438" s="21" t="n">
        <f aca="false">H437*(1+IF(C438=1,Assumptions!B22,Assumptions!B23))</f>
        <v>21.0614945327065</v>
      </c>
      <c r="I438" s="16" t="n">
        <f aca="false">ROUND(H438*F438,0)</f>
        <v>13</v>
      </c>
      <c r="J438" s="22" t="n">
        <f aca="false">I438*Assumptions!B24</f>
        <v>7800</v>
      </c>
      <c r="K438" s="21" t="n">
        <f aca="false">K437*(1+Assumptions!B30)</f>
        <v>15.1534492417647</v>
      </c>
      <c r="L438" s="16" t="n">
        <f aca="false">ROUND(K438*F438,0)</f>
        <v>9</v>
      </c>
      <c r="M438" s="22" t="n">
        <f aca="false">L438*Assumptions!B31</f>
        <v>2700</v>
      </c>
      <c r="N438" s="22" t="n">
        <f aca="false">J438+M438</f>
        <v>10500</v>
      </c>
      <c r="O438" s="22" t="n">
        <f aca="false">IF(DAY(B438)=1,Assumptions!B38*G438,0)</f>
        <v>0</v>
      </c>
      <c r="P438" s="22" t="n">
        <f aca="false">IF(DAY(B438)=1,Assumptions!B39*G438,0)</f>
        <v>0</v>
      </c>
      <c r="Q438" s="22" t="n">
        <f aca="false">IF(DAY(B438)=1,Assumptions!B40*G438,0)</f>
        <v>0</v>
      </c>
      <c r="R438" s="22" t="n">
        <f aca="false">IF(DAY(B438)=1,Assumptions!B41*G438,0)</f>
        <v>0</v>
      </c>
      <c r="S438" s="22" t="n">
        <f aca="false">IF(AND(DAY(B438)=1,D438&gt;=13),Assumptions!B42*G438,0)</f>
        <v>0</v>
      </c>
      <c r="T438" s="22" t="n">
        <f aca="false">IF(DAY(B438)=1,Assumptions!B43*G438,0)</f>
        <v>0</v>
      </c>
      <c r="U438" s="22" t="n">
        <f aca="false">SUM(O438:T438)</f>
        <v>0</v>
      </c>
      <c r="V438" s="22" t="n">
        <f aca="false">N438-U438</f>
        <v>10500</v>
      </c>
      <c r="W438" s="22" t="n">
        <f aca="false">W437+V438</f>
        <v>-3315394.77107</v>
      </c>
      <c r="X438" s="23" t="str">
        <f aca="false">IF(W438&gt;=0,"YES","No")</f>
        <v>No</v>
      </c>
    </row>
    <row r="439" customFormat="false" ht="15" hidden="false" customHeight="false" outlineLevel="0" collapsed="false">
      <c r="A439" s="16" t="n">
        <v>438</v>
      </c>
      <c r="B439" s="17" t="n">
        <f aca="false">B438+1</f>
        <v>46460</v>
      </c>
      <c r="C439" s="18" t="n">
        <f aca="false">MIN(ROUNDUP(A439/365,0),5)</f>
        <v>2</v>
      </c>
      <c r="D439" s="18" t="n">
        <f aca="false">DATEDIF(Assumptions!B5,B439,"m")+1</f>
        <v>15</v>
      </c>
      <c r="E439" s="18" t="str">
        <f aca="false">TEXT(B439,"ddd")</f>
        <v>Sun</v>
      </c>
      <c r="F439" s="19" t="n">
        <f aca="false">IF(WEEKDAY(B439,2)&gt;=6,Assumptions!B34,Assumptions!B35)</f>
        <v>0.6</v>
      </c>
      <c r="G439" s="20" t="n">
        <f aca="false">IF(D439&gt;=13,(1+Assumptions!B46)^(D439-12),1)</f>
        <v>1.009027027</v>
      </c>
      <c r="H439" s="21" t="n">
        <f aca="false">H438*(1+IF(C439=1,Assumptions!B22,Assumptions!B23))</f>
        <v>21.0649457049951</v>
      </c>
      <c r="I439" s="16" t="n">
        <f aca="false">ROUND(H439*F439,0)</f>
        <v>13</v>
      </c>
      <c r="J439" s="22" t="n">
        <f aca="false">I439*Assumptions!B24</f>
        <v>7800</v>
      </c>
      <c r="K439" s="21" t="n">
        <f aca="false">K438*(1+Assumptions!B30)</f>
        <v>15.158403462535</v>
      </c>
      <c r="L439" s="16" t="n">
        <f aca="false">ROUND(K439*F439,0)</f>
        <v>9</v>
      </c>
      <c r="M439" s="22" t="n">
        <f aca="false">L439*Assumptions!B31</f>
        <v>2700</v>
      </c>
      <c r="N439" s="22" t="n">
        <f aca="false">J439+M439</f>
        <v>10500</v>
      </c>
      <c r="O439" s="22" t="n">
        <f aca="false">IF(DAY(B439)=1,Assumptions!B38*G439,0)</f>
        <v>0</v>
      </c>
      <c r="P439" s="22" t="n">
        <f aca="false">IF(DAY(B439)=1,Assumptions!B39*G439,0)</f>
        <v>0</v>
      </c>
      <c r="Q439" s="22" t="n">
        <f aca="false">IF(DAY(B439)=1,Assumptions!B40*G439,0)</f>
        <v>0</v>
      </c>
      <c r="R439" s="22" t="n">
        <f aca="false">IF(DAY(B439)=1,Assumptions!B41*G439,0)</f>
        <v>0</v>
      </c>
      <c r="S439" s="22" t="n">
        <f aca="false">IF(AND(DAY(B439)=1,D439&gt;=13),Assumptions!B42*G439,0)</f>
        <v>0</v>
      </c>
      <c r="T439" s="22" t="n">
        <f aca="false">IF(DAY(B439)=1,Assumptions!B43*G439,0)</f>
        <v>0</v>
      </c>
      <c r="U439" s="22" t="n">
        <f aca="false">SUM(O439:T439)</f>
        <v>0</v>
      </c>
      <c r="V439" s="22" t="n">
        <f aca="false">N439-U439</f>
        <v>10500</v>
      </c>
      <c r="W439" s="22" t="n">
        <f aca="false">W438+V439</f>
        <v>-3304894.77107</v>
      </c>
      <c r="X439" s="23" t="str">
        <f aca="false">IF(W439&gt;=0,"YES","No")</f>
        <v>No</v>
      </c>
    </row>
    <row r="440" customFormat="false" ht="15" hidden="false" customHeight="false" outlineLevel="0" collapsed="false">
      <c r="A440" s="16" t="n">
        <v>439</v>
      </c>
      <c r="B440" s="17" t="n">
        <f aca="false">B439+1</f>
        <v>46461</v>
      </c>
      <c r="C440" s="18" t="n">
        <f aca="false">MIN(ROUNDUP(A440/365,0),5)</f>
        <v>2</v>
      </c>
      <c r="D440" s="18" t="n">
        <f aca="false">DATEDIF(Assumptions!B5,B440,"m")+1</f>
        <v>15</v>
      </c>
      <c r="E440" s="18" t="str">
        <f aca="false">TEXT(B440,"ddd")</f>
        <v>Mon</v>
      </c>
      <c r="F440" s="19" t="n">
        <f aca="false">IF(WEEKDAY(B440,2)&gt;=6,Assumptions!B34,Assumptions!B35)</f>
        <v>1</v>
      </c>
      <c r="G440" s="20" t="n">
        <f aca="false">IF(D440&gt;=13,(1+Assumptions!B46)^(D440-12),1)</f>
        <v>1.009027027</v>
      </c>
      <c r="H440" s="21" t="n">
        <f aca="false">H439*(1+IF(C440=1,Assumptions!B22,Assumptions!B23))</f>
        <v>21.0683974427986</v>
      </c>
      <c r="I440" s="16" t="n">
        <f aca="false">ROUND(H440*F440,0)</f>
        <v>21</v>
      </c>
      <c r="J440" s="22" t="n">
        <f aca="false">I440*Assumptions!B24</f>
        <v>12600</v>
      </c>
      <c r="K440" s="21" t="n">
        <f aca="false">K439*(1+Assumptions!B30)</f>
        <v>15.1633593030226</v>
      </c>
      <c r="L440" s="16" t="n">
        <f aca="false">ROUND(K440*F440,0)</f>
        <v>15</v>
      </c>
      <c r="M440" s="22" t="n">
        <f aca="false">L440*Assumptions!B31</f>
        <v>4500</v>
      </c>
      <c r="N440" s="22" t="n">
        <f aca="false">J440+M440</f>
        <v>17100</v>
      </c>
      <c r="O440" s="22" t="n">
        <f aca="false">IF(DAY(B440)=1,Assumptions!B38*G440,0)</f>
        <v>0</v>
      </c>
      <c r="P440" s="22" t="n">
        <f aca="false">IF(DAY(B440)=1,Assumptions!B39*G440,0)</f>
        <v>0</v>
      </c>
      <c r="Q440" s="22" t="n">
        <f aca="false">IF(DAY(B440)=1,Assumptions!B40*G440,0)</f>
        <v>0</v>
      </c>
      <c r="R440" s="22" t="n">
        <f aca="false">IF(DAY(B440)=1,Assumptions!B41*G440,0)</f>
        <v>0</v>
      </c>
      <c r="S440" s="22" t="n">
        <f aca="false">IF(AND(DAY(B440)=1,D440&gt;=13),Assumptions!B42*G440,0)</f>
        <v>0</v>
      </c>
      <c r="T440" s="22" t="n">
        <f aca="false">IF(DAY(B440)=1,Assumptions!B43*G440,0)</f>
        <v>0</v>
      </c>
      <c r="U440" s="22" t="n">
        <f aca="false">SUM(O440:T440)</f>
        <v>0</v>
      </c>
      <c r="V440" s="22" t="n">
        <f aca="false">N440-U440</f>
        <v>17100</v>
      </c>
      <c r="W440" s="22" t="n">
        <f aca="false">W439+V440</f>
        <v>-3287794.77107</v>
      </c>
      <c r="X440" s="23" t="str">
        <f aca="false">IF(W440&gt;=0,"YES","No")</f>
        <v>No</v>
      </c>
    </row>
    <row r="441" customFormat="false" ht="15" hidden="false" customHeight="false" outlineLevel="0" collapsed="false">
      <c r="A441" s="16" t="n">
        <v>440</v>
      </c>
      <c r="B441" s="17" t="n">
        <f aca="false">B440+1</f>
        <v>46462</v>
      </c>
      <c r="C441" s="18" t="n">
        <f aca="false">MIN(ROUNDUP(A441/365,0),5)</f>
        <v>2</v>
      </c>
      <c r="D441" s="18" t="n">
        <f aca="false">DATEDIF(Assumptions!B5,B441,"m")+1</f>
        <v>15</v>
      </c>
      <c r="E441" s="18" t="str">
        <f aca="false">TEXT(B441,"ddd")</f>
        <v>Tue</v>
      </c>
      <c r="F441" s="19" t="n">
        <f aca="false">IF(WEEKDAY(B441,2)&gt;=6,Assumptions!B34,Assumptions!B35)</f>
        <v>1</v>
      </c>
      <c r="G441" s="20" t="n">
        <f aca="false">IF(D441&gt;=13,(1+Assumptions!B46)^(D441-12),1)</f>
        <v>1.009027027</v>
      </c>
      <c r="H441" s="21" t="n">
        <f aca="false">H440*(1+IF(C441=1,Assumptions!B22,Assumptions!B23))</f>
        <v>21.0718497462097</v>
      </c>
      <c r="I441" s="16" t="n">
        <f aca="false">ROUND(H441*F441,0)</f>
        <v>21</v>
      </c>
      <c r="J441" s="22" t="n">
        <f aca="false">I441*Assumptions!B24</f>
        <v>12600</v>
      </c>
      <c r="K441" s="21" t="n">
        <f aca="false">K440*(1+Assumptions!B30)</f>
        <v>15.1683167637569</v>
      </c>
      <c r="L441" s="16" t="n">
        <f aca="false">ROUND(K441*F441,0)</f>
        <v>15</v>
      </c>
      <c r="M441" s="22" t="n">
        <f aca="false">L441*Assumptions!B31</f>
        <v>4500</v>
      </c>
      <c r="N441" s="22" t="n">
        <f aca="false">J441+M441</f>
        <v>17100</v>
      </c>
      <c r="O441" s="22" t="n">
        <f aca="false">IF(DAY(B441)=1,Assumptions!B38*G441,0)</f>
        <v>0</v>
      </c>
      <c r="P441" s="22" t="n">
        <f aca="false">IF(DAY(B441)=1,Assumptions!B39*G441,0)</f>
        <v>0</v>
      </c>
      <c r="Q441" s="22" t="n">
        <f aca="false">IF(DAY(B441)=1,Assumptions!B40*G441,0)</f>
        <v>0</v>
      </c>
      <c r="R441" s="22" t="n">
        <f aca="false">IF(DAY(B441)=1,Assumptions!B41*G441,0)</f>
        <v>0</v>
      </c>
      <c r="S441" s="22" t="n">
        <f aca="false">IF(AND(DAY(B441)=1,D441&gt;=13),Assumptions!B42*G441,0)</f>
        <v>0</v>
      </c>
      <c r="T441" s="22" t="n">
        <f aca="false">IF(DAY(B441)=1,Assumptions!B43*G441,0)</f>
        <v>0</v>
      </c>
      <c r="U441" s="22" t="n">
        <f aca="false">SUM(O441:T441)</f>
        <v>0</v>
      </c>
      <c r="V441" s="22" t="n">
        <f aca="false">N441-U441</f>
        <v>17100</v>
      </c>
      <c r="W441" s="22" t="n">
        <f aca="false">W440+V441</f>
        <v>-3270694.77107</v>
      </c>
      <c r="X441" s="23" t="str">
        <f aca="false">IF(W441&gt;=0,"YES","No")</f>
        <v>No</v>
      </c>
    </row>
    <row r="442" customFormat="false" ht="15" hidden="false" customHeight="false" outlineLevel="0" collapsed="false">
      <c r="A442" s="16" t="n">
        <v>441</v>
      </c>
      <c r="B442" s="17" t="n">
        <f aca="false">B441+1</f>
        <v>46463</v>
      </c>
      <c r="C442" s="18" t="n">
        <f aca="false">MIN(ROUNDUP(A442/365,0),5)</f>
        <v>2</v>
      </c>
      <c r="D442" s="18" t="n">
        <f aca="false">DATEDIF(Assumptions!B5,B442,"m")+1</f>
        <v>15</v>
      </c>
      <c r="E442" s="18" t="str">
        <f aca="false">TEXT(B442,"ddd")</f>
        <v>Wed</v>
      </c>
      <c r="F442" s="19" t="n">
        <f aca="false">IF(WEEKDAY(B442,2)&gt;=6,Assumptions!B34,Assumptions!B35)</f>
        <v>1</v>
      </c>
      <c r="G442" s="20" t="n">
        <f aca="false">IF(D442&gt;=13,(1+Assumptions!B46)^(D442-12),1)</f>
        <v>1.009027027</v>
      </c>
      <c r="H442" s="21" t="n">
        <f aca="false">H441*(1+IF(C442=1,Assumptions!B22,Assumptions!B23))</f>
        <v>21.0753026153212</v>
      </c>
      <c r="I442" s="16" t="n">
        <f aca="false">ROUND(H442*F442,0)</f>
        <v>21</v>
      </c>
      <c r="J442" s="22" t="n">
        <f aca="false">I442*Assumptions!B24</f>
        <v>12600</v>
      </c>
      <c r="K442" s="21" t="n">
        <f aca="false">K441*(1+Assumptions!B30)</f>
        <v>15.1732758452678</v>
      </c>
      <c r="L442" s="16" t="n">
        <f aca="false">ROUND(K442*F442,0)</f>
        <v>15</v>
      </c>
      <c r="M442" s="22" t="n">
        <f aca="false">L442*Assumptions!B31</f>
        <v>4500</v>
      </c>
      <c r="N442" s="22" t="n">
        <f aca="false">J442+M442</f>
        <v>17100</v>
      </c>
      <c r="O442" s="22" t="n">
        <f aca="false">IF(DAY(B442)=1,Assumptions!B38*G442,0)</f>
        <v>0</v>
      </c>
      <c r="P442" s="22" t="n">
        <f aca="false">IF(DAY(B442)=1,Assumptions!B39*G442,0)</f>
        <v>0</v>
      </c>
      <c r="Q442" s="22" t="n">
        <f aca="false">IF(DAY(B442)=1,Assumptions!B40*G442,0)</f>
        <v>0</v>
      </c>
      <c r="R442" s="22" t="n">
        <f aca="false">IF(DAY(B442)=1,Assumptions!B41*G442,0)</f>
        <v>0</v>
      </c>
      <c r="S442" s="22" t="n">
        <f aca="false">IF(AND(DAY(B442)=1,D442&gt;=13),Assumptions!B42*G442,0)</f>
        <v>0</v>
      </c>
      <c r="T442" s="22" t="n">
        <f aca="false">IF(DAY(B442)=1,Assumptions!B43*G442,0)</f>
        <v>0</v>
      </c>
      <c r="U442" s="22" t="n">
        <f aca="false">SUM(O442:T442)</f>
        <v>0</v>
      </c>
      <c r="V442" s="22" t="n">
        <f aca="false">N442-U442</f>
        <v>17100</v>
      </c>
      <c r="W442" s="22" t="n">
        <f aca="false">W441+V442</f>
        <v>-3253594.77107</v>
      </c>
      <c r="X442" s="23" t="str">
        <f aca="false">IF(W442&gt;=0,"YES","No")</f>
        <v>No</v>
      </c>
    </row>
    <row r="443" customFormat="false" ht="15" hidden="false" customHeight="false" outlineLevel="0" collapsed="false">
      <c r="A443" s="16" t="n">
        <v>442</v>
      </c>
      <c r="B443" s="17" t="n">
        <f aca="false">B442+1</f>
        <v>46464</v>
      </c>
      <c r="C443" s="18" t="n">
        <f aca="false">MIN(ROUNDUP(A443/365,0),5)</f>
        <v>2</v>
      </c>
      <c r="D443" s="18" t="n">
        <f aca="false">DATEDIF(Assumptions!B5,B443,"m")+1</f>
        <v>15</v>
      </c>
      <c r="E443" s="18" t="str">
        <f aca="false">TEXT(B443,"ddd")</f>
        <v>Thu</v>
      </c>
      <c r="F443" s="19" t="n">
        <f aca="false">IF(WEEKDAY(B443,2)&gt;=6,Assumptions!B34,Assumptions!B35)</f>
        <v>1</v>
      </c>
      <c r="G443" s="20" t="n">
        <f aca="false">IF(D443&gt;=13,(1+Assumptions!B46)^(D443-12),1)</f>
        <v>1.009027027</v>
      </c>
      <c r="H443" s="21" t="n">
        <f aca="false">H442*(1+IF(C443=1,Assumptions!B22,Assumptions!B23))</f>
        <v>21.0787560502256</v>
      </c>
      <c r="I443" s="16" t="n">
        <f aca="false">ROUND(H443*F443,0)</f>
        <v>21</v>
      </c>
      <c r="J443" s="22" t="n">
        <f aca="false">I443*Assumptions!B24</f>
        <v>12600</v>
      </c>
      <c r="K443" s="21" t="n">
        <f aca="false">K442*(1+Assumptions!B30)</f>
        <v>15.1782365480851</v>
      </c>
      <c r="L443" s="16" t="n">
        <f aca="false">ROUND(K443*F443,0)</f>
        <v>15</v>
      </c>
      <c r="M443" s="22" t="n">
        <f aca="false">L443*Assumptions!B31</f>
        <v>4500</v>
      </c>
      <c r="N443" s="22" t="n">
        <f aca="false">J443+M443</f>
        <v>17100</v>
      </c>
      <c r="O443" s="22" t="n">
        <f aca="false">IF(DAY(B443)=1,Assumptions!B38*G443,0)</f>
        <v>0</v>
      </c>
      <c r="P443" s="22" t="n">
        <f aca="false">IF(DAY(B443)=1,Assumptions!B39*G443,0)</f>
        <v>0</v>
      </c>
      <c r="Q443" s="22" t="n">
        <f aca="false">IF(DAY(B443)=1,Assumptions!B40*G443,0)</f>
        <v>0</v>
      </c>
      <c r="R443" s="22" t="n">
        <f aca="false">IF(DAY(B443)=1,Assumptions!B41*G443,0)</f>
        <v>0</v>
      </c>
      <c r="S443" s="22" t="n">
        <f aca="false">IF(AND(DAY(B443)=1,D443&gt;=13),Assumptions!B42*G443,0)</f>
        <v>0</v>
      </c>
      <c r="T443" s="22" t="n">
        <f aca="false">IF(DAY(B443)=1,Assumptions!B43*G443,0)</f>
        <v>0</v>
      </c>
      <c r="U443" s="22" t="n">
        <f aca="false">SUM(O443:T443)</f>
        <v>0</v>
      </c>
      <c r="V443" s="22" t="n">
        <f aca="false">N443-U443</f>
        <v>17100</v>
      </c>
      <c r="W443" s="22" t="n">
        <f aca="false">W442+V443</f>
        <v>-3236494.77107</v>
      </c>
      <c r="X443" s="23" t="str">
        <f aca="false">IF(W443&gt;=0,"YES","No")</f>
        <v>No</v>
      </c>
    </row>
    <row r="444" customFormat="false" ht="15" hidden="false" customHeight="false" outlineLevel="0" collapsed="false">
      <c r="A444" s="16" t="n">
        <v>443</v>
      </c>
      <c r="B444" s="17" t="n">
        <f aca="false">B443+1</f>
        <v>46465</v>
      </c>
      <c r="C444" s="18" t="n">
        <f aca="false">MIN(ROUNDUP(A444/365,0),5)</f>
        <v>2</v>
      </c>
      <c r="D444" s="18" t="n">
        <f aca="false">DATEDIF(Assumptions!B5,B444,"m")+1</f>
        <v>15</v>
      </c>
      <c r="E444" s="18" t="str">
        <f aca="false">TEXT(B444,"ddd")</f>
        <v>Fri</v>
      </c>
      <c r="F444" s="19" t="n">
        <f aca="false">IF(WEEKDAY(B444,2)&gt;=6,Assumptions!B34,Assumptions!B35)</f>
        <v>1</v>
      </c>
      <c r="G444" s="20" t="n">
        <f aca="false">IF(D444&gt;=13,(1+Assumptions!B46)^(D444-12),1)</f>
        <v>1.009027027</v>
      </c>
      <c r="H444" s="21" t="n">
        <f aca="false">H443*(1+IF(C444=1,Assumptions!B22,Assumptions!B23))</f>
        <v>21.0822100510158</v>
      </c>
      <c r="I444" s="16" t="n">
        <f aca="false">ROUND(H444*F444,0)</f>
        <v>21</v>
      </c>
      <c r="J444" s="22" t="n">
        <f aca="false">I444*Assumptions!B24</f>
        <v>12600</v>
      </c>
      <c r="K444" s="21" t="n">
        <f aca="false">K443*(1+Assumptions!B30)</f>
        <v>15.1831988727389</v>
      </c>
      <c r="L444" s="16" t="n">
        <f aca="false">ROUND(K444*F444,0)</f>
        <v>15</v>
      </c>
      <c r="M444" s="22" t="n">
        <f aca="false">L444*Assumptions!B31</f>
        <v>4500</v>
      </c>
      <c r="N444" s="22" t="n">
        <f aca="false">J444+M444</f>
        <v>17100</v>
      </c>
      <c r="O444" s="22" t="n">
        <f aca="false">IF(DAY(B444)=1,Assumptions!B38*G444,0)</f>
        <v>0</v>
      </c>
      <c r="P444" s="22" t="n">
        <f aca="false">IF(DAY(B444)=1,Assumptions!B39*G444,0)</f>
        <v>0</v>
      </c>
      <c r="Q444" s="22" t="n">
        <f aca="false">IF(DAY(B444)=1,Assumptions!B40*G444,0)</f>
        <v>0</v>
      </c>
      <c r="R444" s="22" t="n">
        <f aca="false">IF(DAY(B444)=1,Assumptions!B41*G444,0)</f>
        <v>0</v>
      </c>
      <c r="S444" s="22" t="n">
        <f aca="false">IF(AND(DAY(B444)=1,D444&gt;=13),Assumptions!B42*G444,0)</f>
        <v>0</v>
      </c>
      <c r="T444" s="22" t="n">
        <f aca="false">IF(DAY(B444)=1,Assumptions!B43*G444,0)</f>
        <v>0</v>
      </c>
      <c r="U444" s="22" t="n">
        <f aca="false">SUM(O444:T444)</f>
        <v>0</v>
      </c>
      <c r="V444" s="22" t="n">
        <f aca="false">N444-U444</f>
        <v>17100</v>
      </c>
      <c r="W444" s="22" t="n">
        <f aca="false">W443+V444</f>
        <v>-3219394.77107</v>
      </c>
      <c r="X444" s="23" t="str">
        <f aca="false">IF(W444&gt;=0,"YES","No")</f>
        <v>No</v>
      </c>
    </row>
    <row r="445" customFormat="false" ht="15" hidden="false" customHeight="false" outlineLevel="0" collapsed="false">
      <c r="A445" s="16" t="n">
        <v>444</v>
      </c>
      <c r="B445" s="17" t="n">
        <f aca="false">B444+1</f>
        <v>46466</v>
      </c>
      <c r="C445" s="18" t="n">
        <f aca="false">MIN(ROUNDUP(A445/365,0),5)</f>
        <v>2</v>
      </c>
      <c r="D445" s="18" t="n">
        <f aca="false">DATEDIF(Assumptions!B5,B445,"m")+1</f>
        <v>15</v>
      </c>
      <c r="E445" s="18" t="str">
        <f aca="false">TEXT(B445,"ddd")</f>
        <v>Sat</v>
      </c>
      <c r="F445" s="19" t="n">
        <f aca="false">IF(WEEKDAY(B445,2)&gt;=6,Assumptions!B34,Assumptions!B35)</f>
        <v>0.6</v>
      </c>
      <c r="G445" s="20" t="n">
        <f aca="false">IF(D445&gt;=13,(1+Assumptions!B46)^(D445-12),1)</f>
        <v>1.009027027</v>
      </c>
      <c r="H445" s="21" t="n">
        <f aca="false">H444*(1+IF(C445=1,Assumptions!B22,Assumptions!B23))</f>
        <v>21.0856646177844</v>
      </c>
      <c r="I445" s="16" t="n">
        <f aca="false">ROUND(H445*F445,0)</f>
        <v>13</v>
      </c>
      <c r="J445" s="22" t="n">
        <f aca="false">I445*Assumptions!B24</f>
        <v>7800</v>
      </c>
      <c r="K445" s="21" t="n">
        <f aca="false">K444*(1+Assumptions!B30)</f>
        <v>15.1881628197595</v>
      </c>
      <c r="L445" s="16" t="n">
        <f aca="false">ROUND(K445*F445,0)</f>
        <v>9</v>
      </c>
      <c r="M445" s="22" t="n">
        <f aca="false">L445*Assumptions!B31</f>
        <v>2700</v>
      </c>
      <c r="N445" s="22" t="n">
        <f aca="false">J445+M445</f>
        <v>10500</v>
      </c>
      <c r="O445" s="22" t="n">
        <f aca="false">IF(DAY(B445)=1,Assumptions!B38*G445,0)</f>
        <v>0</v>
      </c>
      <c r="P445" s="22" t="n">
        <f aca="false">IF(DAY(B445)=1,Assumptions!B39*G445,0)</f>
        <v>0</v>
      </c>
      <c r="Q445" s="22" t="n">
        <f aca="false">IF(DAY(B445)=1,Assumptions!B40*G445,0)</f>
        <v>0</v>
      </c>
      <c r="R445" s="22" t="n">
        <f aca="false">IF(DAY(B445)=1,Assumptions!B41*G445,0)</f>
        <v>0</v>
      </c>
      <c r="S445" s="22" t="n">
        <f aca="false">IF(AND(DAY(B445)=1,D445&gt;=13),Assumptions!B42*G445,0)</f>
        <v>0</v>
      </c>
      <c r="T445" s="22" t="n">
        <f aca="false">IF(DAY(B445)=1,Assumptions!B43*G445,0)</f>
        <v>0</v>
      </c>
      <c r="U445" s="22" t="n">
        <f aca="false">SUM(O445:T445)</f>
        <v>0</v>
      </c>
      <c r="V445" s="22" t="n">
        <f aca="false">N445-U445</f>
        <v>10500</v>
      </c>
      <c r="W445" s="22" t="n">
        <f aca="false">W444+V445</f>
        <v>-3208894.77107</v>
      </c>
      <c r="X445" s="23" t="str">
        <f aca="false">IF(W445&gt;=0,"YES","No")</f>
        <v>No</v>
      </c>
    </row>
    <row r="446" customFormat="false" ht="15" hidden="false" customHeight="false" outlineLevel="0" collapsed="false">
      <c r="A446" s="16" t="n">
        <v>445</v>
      </c>
      <c r="B446" s="17" t="n">
        <f aca="false">B445+1</f>
        <v>46467</v>
      </c>
      <c r="C446" s="18" t="n">
        <f aca="false">MIN(ROUNDUP(A446/365,0),5)</f>
        <v>2</v>
      </c>
      <c r="D446" s="18" t="n">
        <f aca="false">DATEDIF(Assumptions!B5,B446,"m")+1</f>
        <v>15</v>
      </c>
      <c r="E446" s="18" t="str">
        <f aca="false">TEXT(B446,"ddd")</f>
        <v>Sun</v>
      </c>
      <c r="F446" s="19" t="n">
        <f aca="false">IF(WEEKDAY(B446,2)&gt;=6,Assumptions!B34,Assumptions!B35)</f>
        <v>0.6</v>
      </c>
      <c r="G446" s="20" t="n">
        <f aca="false">IF(D446&gt;=13,(1+Assumptions!B46)^(D446-12),1)</f>
        <v>1.009027027</v>
      </c>
      <c r="H446" s="21" t="n">
        <f aca="false">H445*(1+IF(C446=1,Assumptions!B22,Assumptions!B23))</f>
        <v>21.0891197506242</v>
      </c>
      <c r="I446" s="16" t="n">
        <f aca="false">ROUND(H446*F446,0)</f>
        <v>13</v>
      </c>
      <c r="J446" s="22" t="n">
        <f aca="false">I446*Assumptions!B24</f>
        <v>7800</v>
      </c>
      <c r="K446" s="21" t="n">
        <f aca="false">K445*(1+Assumptions!B30)</f>
        <v>15.1931283896772</v>
      </c>
      <c r="L446" s="16" t="n">
        <f aca="false">ROUND(K446*F446,0)</f>
        <v>9</v>
      </c>
      <c r="M446" s="22" t="n">
        <f aca="false">L446*Assumptions!B31</f>
        <v>2700</v>
      </c>
      <c r="N446" s="22" t="n">
        <f aca="false">J446+M446</f>
        <v>10500</v>
      </c>
      <c r="O446" s="22" t="n">
        <f aca="false">IF(DAY(B446)=1,Assumptions!B38*G446,0)</f>
        <v>0</v>
      </c>
      <c r="P446" s="22" t="n">
        <f aca="false">IF(DAY(B446)=1,Assumptions!B39*G446,0)</f>
        <v>0</v>
      </c>
      <c r="Q446" s="22" t="n">
        <f aca="false">IF(DAY(B446)=1,Assumptions!B40*G446,0)</f>
        <v>0</v>
      </c>
      <c r="R446" s="22" t="n">
        <f aca="false">IF(DAY(B446)=1,Assumptions!B41*G446,0)</f>
        <v>0</v>
      </c>
      <c r="S446" s="22" t="n">
        <f aca="false">IF(AND(DAY(B446)=1,D446&gt;=13),Assumptions!B42*G446,0)</f>
        <v>0</v>
      </c>
      <c r="T446" s="22" t="n">
        <f aca="false">IF(DAY(B446)=1,Assumptions!B43*G446,0)</f>
        <v>0</v>
      </c>
      <c r="U446" s="22" t="n">
        <f aca="false">SUM(O446:T446)</f>
        <v>0</v>
      </c>
      <c r="V446" s="22" t="n">
        <f aca="false">N446-U446</f>
        <v>10500</v>
      </c>
      <c r="W446" s="22" t="n">
        <f aca="false">W445+V446</f>
        <v>-3198394.77107</v>
      </c>
      <c r="X446" s="23" t="str">
        <f aca="false">IF(W446&gt;=0,"YES","No")</f>
        <v>No</v>
      </c>
    </row>
    <row r="447" customFormat="false" ht="15" hidden="false" customHeight="false" outlineLevel="0" collapsed="false">
      <c r="A447" s="16" t="n">
        <v>446</v>
      </c>
      <c r="B447" s="17" t="n">
        <f aca="false">B446+1</f>
        <v>46468</v>
      </c>
      <c r="C447" s="18" t="n">
        <f aca="false">MIN(ROUNDUP(A447/365,0),5)</f>
        <v>2</v>
      </c>
      <c r="D447" s="18" t="n">
        <f aca="false">DATEDIF(Assumptions!B5,B447,"m")+1</f>
        <v>15</v>
      </c>
      <c r="E447" s="18" t="str">
        <f aca="false">TEXT(B447,"ddd")</f>
        <v>Mon</v>
      </c>
      <c r="F447" s="19" t="n">
        <f aca="false">IF(WEEKDAY(B447,2)&gt;=6,Assumptions!B34,Assumptions!B35)</f>
        <v>1</v>
      </c>
      <c r="G447" s="20" t="n">
        <f aca="false">IF(D447&gt;=13,(1+Assumptions!B46)^(D447-12),1)</f>
        <v>1.009027027</v>
      </c>
      <c r="H447" s="21" t="n">
        <f aca="false">H446*(1+IF(C447=1,Assumptions!B22,Assumptions!B23))</f>
        <v>21.0925754496279</v>
      </c>
      <c r="I447" s="16" t="n">
        <f aca="false">ROUND(H447*F447,0)</f>
        <v>21</v>
      </c>
      <c r="J447" s="22" t="n">
        <f aca="false">I447*Assumptions!B24</f>
        <v>12600</v>
      </c>
      <c r="K447" s="21" t="n">
        <f aca="false">K446*(1+Assumptions!B30)</f>
        <v>15.1980955830226</v>
      </c>
      <c r="L447" s="16" t="n">
        <f aca="false">ROUND(K447*F447,0)</f>
        <v>15</v>
      </c>
      <c r="M447" s="22" t="n">
        <f aca="false">L447*Assumptions!B31</f>
        <v>4500</v>
      </c>
      <c r="N447" s="22" t="n">
        <f aca="false">J447+M447</f>
        <v>17100</v>
      </c>
      <c r="O447" s="22" t="n">
        <f aca="false">IF(DAY(B447)=1,Assumptions!B38*G447,0)</f>
        <v>0</v>
      </c>
      <c r="P447" s="22" t="n">
        <f aca="false">IF(DAY(B447)=1,Assumptions!B39*G447,0)</f>
        <v>0</v>
      </c>
      <c r="Q447" s="22" t="n">
        <f aca="false">IF(DAY(B447)=1,Assumptions!B40*G447,0)</f>
        <v>0</v>
      </c>
      <c r="R447" s="22" t="n">
        <f aca="false">IF(DAY(B447)=1,Assumptions!B41*G447,0)</f>
        <v>0</v>
      </c>
      <c r="S447" s="22" t="n">
        <f aca="false">IF(AND(DAY(B447)=1,D447&gt;=13),Assumptions!B42*G447,0)</f>
        <v>0</v>
      </c>
      <c r="T447" s="22" t="n">
        <f aca="false">IF(DAY(B447)=1,Assumptions!B43*G447,0)</f>
        <v>0</v>
      </c>
      <c r="U447" s="22" t="n">
        <f aca="false">SUM(O447:T447)</f>
        <v>0</v>
      </c>
      <c r="V447" s="22" t="n">
        <f aca="false">N447-U447</f>
        <v>17100</v>
      </c>
      <c r="W447" s="22" t="n">
        <f aca="false">W446+V447</f>
        <v>-3181294.77107</v>
      </c>
      <c r="X447" s="23" t="str">
        <f aca="false">IF(W447&gt;=0,"YES","No")</f>
        <v>No</v>
      </c>
    </row>
    <row r="448" customFormat="false" ht="15" hidden="false" customHeight="false" outlineLevel="0" collapsed="false">
      <c r="A448" s="16" t="n">
        <v>447</v>
      </c>
      <c r="B448" s="17" t="n">
        <f aca="false">B447+1</f>
        <v>46469</v>
      </c>
      <c r="C448" s="18" t="n">
        <f aca="false">MIN(ROUNDUP(A448/365,0),5)</f>
        <v>2</v>
      </c>
      <c r="D448" s="18" t="n">
        <f aca="false">DATEDIF(Assumptions!B5,B448,"m")+1</f>
        <v>15</v>
      </c>
      <c r="E448" s="18" t="str">
        <f aca="false">TEXT(B448,"ddd")</f>
        <v>Tue</v>
      </c>
      <c r="F448" s="19" t="n">
        <f aca="false">IF(WEEKDAY(B448,2)&gt;=6,Assumptions!B34,Assumptions!B35)</f>
        <v>1</v>
      </c>
      <c r="G448" s="20" t="n">
        <f aca="false">IF(D448&gt;=13,(1+Assumptions!B46)^(D448-12),1)</f>
        <v>1.009027027</v>
      </c>
      <c r="H448" s="21" t="n">
        <f aca="false">H447*(1+IF(C448=1,Assumptions!B22,Assumptions!B23))</f>
        <v>21.0960317148883</v>
      </c>
      <c r="I448" s="16" t="n">
        <f aca="false">ROUND(H448*F448,0)</f>
        <v>21</v>
      </c>
      <c r="J448" s="22" t="n">
        <f aca="false">I448*Assumptions!B24</f>
        <v>12600</v>
      </c>
      <c r="K448" s="21" t="n">
        <f aca="false">K447*(1+Assumptions!B30)</f>
        <v>15.2030644003265</v>
      </c>
      <c r="L448" s="16" t="n">
        <f aca="false">ROUND(K448*F448,0)</f>
        <v>15</v>
      </c>
      <c r="M448" s="22" t="n">
        <f aca="false">L448*Assumptions!B31</f>
        <v>4500</v>
      </c>
      <c r="N448" s="22" t="n">
        <f aca="false">J448+M448</f>
        <v>17100</v>
      </c>
      <c r="O448" s="22" t="n">
        <f aca="false">IF(DAY(B448)=1,Assumptions!B38*G448,0)</f>
        <v>0</v>
      </c>
      <c r="P448" s="22" t="n">
        <f aca="false">IF(DAY(B448)=1,Assumptions!B39*G448,0)</f>
        <v>0</v>
      </c>
      <c r="Q448" s="22" t="n">
        <f aca="false">IF(DAY(B448)=1,Assumptions!B40*G448,0)</f>
        <v>0</v>
      </c>
      <c r="R448" s="22" t="n">
        <f aca="false">IF(DAY(B448)=1,Assumptions!B41*G448,0)</f>
        <v>0</v>
      </c>
      <c r="S448" s="22" t="n">
        <f aca="false">IF(AND(DAY(B448)=1,D448&gt;=13),Assumptions!B42*G448,0)</f>
        <v>0</v>
      </c>
      <c r="T448" s="22" t="n">
        <f aca="false">IF(DAY(B448)=1,Assumptions!B43*G448,0)</f>
        <v>0</v>
      </c>
      <c r="U448" s="22" t="n">
        <f aca="false">SUM(O448:T448)</f>
        <v>0</v>
      </c>
      <c r="V448" s="22" t="n">
        <f aca="false">N448-U448</f>
        <v>17100</v>
      </c>
      <c r="W448" s="22" t="n">
        <f aca="false">W447+V448</f>
        <v>-3164194.77107</v>
      </c>
      <c r="X448" s="23" t="str">
        <f aca="false">IF(W448&gt;=0,"YES","No")</f>
        <v>No</v>
      </c>
    </row>
    <row r="449" customFormat="false" ht="15" hidden="false" customHeight="false" outlineLevel="0" collapsed="false">
      <c r="A449" s="16" t="n">
        <v>448</v>
      </c>
      <c r="B449" s="17" t="n">
        <f aca="false">B448+1</f>
        <v>46470</v>
      </c>
      <c r="C449" s="18" t="n">
        <f aca="false">MIN(ROUNDUP(A449/365,0),5)</f>
        <v>2</v>
      </c>
      <c r="D449" s="18" t="n">
        <f aca="false">DATEDIF(Assumptions!B5,B449,"m")+1</f>
        <v>15</v>
      </c>
      <c r="E449" s="18" t="str">
        <f aca="false">TEXT(B449,"ddd")</f>
        <v>Wed</v>
      </c>
      <c r="F449" s="19" t="n">
        <f aca="false">IF(WEEKDAY(B449,2)&gt;=6,Assumptions!B34,Assumptions!B35)</f>
        <v>1</v>
      </c>
      <c r="G449" s="20" t="n">
        <f aca="false">IF(D449&gt;=13,(1+Assumptions!B46)^(D449-12),1)</f>
        <v>1.009027027</v>
      </c>
      <c r="H449" s="21" t="n">
        <f aca="false">H448*(1+IF(C449=1,Assumptions!B22,Assumptions!B23))</f>
        <v>21.0994885464982</v>
      </c>
      <c r="I449" s="16" t="n">
        <f aca="false">ROUND(H449*F449,0)</f>
        <v>21</v>
      </c>
      <c r="J449" s="22" t="n">
        <f aca="false">I449*Assumptions!B24</f>
        <v>12600</v>
      </c>
      <c r="K449" s="21" t="n">
        <f aca="false">K448*(1+Assumptions!B30)</f>
        <v>15.2080348421198</v>
      </c>
      <c r="L449" s="16" t="n">
        <f aca="false">ROUND(K449*F449,0)</f>
        <v>15</v>
      </c>
      <c r="M449" s="22" t="n">
        <f aca="false">L449*Assumptions!B31</f>
        <v>4500</v>
      </c>
      <c r="N449" s="22" t="n">
        <f aca="false">J449+M449</f>
        <v>17100</v>
      </c>
      <c r="O449" s="22" t="n">
        <f aca="false">IF(DAY(B449)=1,Assumptions!B38*G449,0)</f>
        <v>0</v>
      </c>
      <c r="P449" s="22" t="n">
        <f aca="false">IF(DAY(B449)=1,Assumptions!B39*G449,0)</f>
        <v>0</v>
      </c>
      <c r="Q449" s="22" t="n">
        <f aca="false">IF(DAY(B449)=1,Assumptions!B40*G449,0)</f>
        <v>0</v>
      </c>
      <c r="R449" s="22" t="n">
        <f aca="false">IF(DAY(B449)=1,Assumptions!B41*G449,0)</f>
        <v>0</v>
      </c>
      <c r="S449" s="22" t="n">
        <f aca="false">IF(AND(DAY(B449)=1,D449&gt;=13),Assumptions!B42*G449,0)</f>
        <v>0</v>
      </c>
      <c r="T449" s="22" t="n">
        <f aca="false">IF(DAY(B449)=1,Assumptions!B43*G449,0)</f>
        <v>0</v>
      </c>
      <c r="U449" s="22" t="n">
        <f aca="false">SUM(O449:T449)</f>
        <v>0</v>
      </c>
      <c r="V449" s="22" t="n">
        <f aca="false">N449-U449</f>
        <v>17100</v>
      </c>
      <c r="W449" s="22" t="n">
        <f aca="false">W448+V449</f>
        <v>-3147094.77107</v>
      </c>
      <c r="X449" s="23" t="str">
        <f aca="false">IF(W449&gt;=0,"YES","No")</f>
        <v>No</v>
      </c>
    </row>
    <row r="450" customFormat="false" ht="15" hidden="false" customHeight="false" outlineLevel="0" collapsed="false">
      <c r="A450" s="16" t="n">
        <v>449</v>
      </c>
      <c r="B450" s="17" t="n">
        <f aca="false">B449+1</f>
        <v>46471</v>
      </c>
      <c r="C450" s="18" t="n">
        <f aca="false">MIN(ROUNDUP(A450/365,0),5)</f>
        <v>2</v>
      </c>
      <c r="D450" s="18" t="n">
        <f aca="false">DATEDIF(Assumptions!B5,B450,"m")+1</f>
        <v>15</v>
      </c>
      <c r="E450" s="18" t="str">
        <f aca="false">TEXT(B450,"ddd")</f>
        <v>Thu</v>
      </c>
      <c r="F450" s="19" t="n">
        <f aca="false">IF(WEEKDAY(B450,2)&gt;=6,Assumptions!B34,Assumptions!B35)</f>
        <v>1</v>
      </c>
      <c r="G450" s="20" t="n">
        <f aca="false">IF(D450&gt;=13,(1+Assumptions!B46)^(D450-12),1)</f>
        <v>1.009027027</v>
      </c>
      <c r="H450" s="21" t="n">
        <f aca="false">H449*(1+IF(C450=1,Assumptions!B22,Assumptions!B23))</f>
        <v>21.1029459445505</v>
      </c>
      <c r="I450" s="16" t="n">
        <f aca="false">ROUND(H450*F450,0)</f>
        <v>21</v>
      </c>
      <c r="J450" s="22" t="n">
        <f aca="false">I450*Assumptions!B24</f>
        <v>12600</v>
      </c>
      <c r="K450" s="21" t="n">
        <f aca="false">K449*(1+Assumptions!B30)</f>
        <v>15.2130069089336</v>
      </c>
      <c r="L450" s="16" t="n">
        <f aca="false">ROUND(K450*F450,0)</f>
        <v>15</v>
      </c>
      <c r="M450" s="22" t="n">
        <f aca="false">L450*Assumptions!B31</f>
        <v>4500</v>
      </c>
      <c r="N450" s="22" t="n">
        <f aca="false">J450+M450</f>
        <v>17100</v>
      </c>
      <c r="O450" s="22" t="n">
        <f aca="false">IF(DAY(B450)=1,Assumptions!B38*G450,0)</f>
        <v>0</v>
      </c>
      <c r="P450" s="22" t="n">
        <f aca="false">IF(DAY(B450)=1,Assumptions!B39*G450,0)</f>
        <v>0</v>
      </c>
      <c r="Q450" s="22" t="n">
        <f aca="false">IF(DAY(B450)=1,Assumptions!B40*G450,0)</f>
        <v>0</v>
      </c>
      <c r="R450" s="22" t="n">
        <f aca="false">IF(DAY(B450)=1,Assumptions!B41*G450,0)</f>
        <v>0</v>
      </c>
      <c r="S450" s="22" t="n">
        <f aca="false">IF(AND(DAY(B450)=1,D450&gt;=13),Assumptions!B42*G450,0)</f>
        <v>0</v>
      </c>
      <c r="T450" s="22" t="n">
        <f aca="false">IF(DAY(B450)=1,Assumptions!B43*G450,0)</f>
        <v>0</v>
      </c>
      <c r="U450" s="22" t="n">
        <f aca="false">SUM(O450:T450)</f>
        <v>0</v>
      </c>
      <c r="V450" s="22" t="n">
        <f aca="false">N450-U450</f>
        <v>17100</v>
      </c>
      <c r="W450" s="22" t="n">
        <f aca="false">W449+V450</f>
        <v>-3129994.77107</v>
      </c>
      <c r="X450" s="23" t="str">
        <f aca="false">IF(W450&gt;=0,"YES","No")</f>
        <v>No</v>
      </c>
    </row>
    <row r="451" customFormat="false" ht="15" hidden="false" customHeight="false" outlineLevel="0" collapsed="false">
      <c r="A451" s="16" t="n">
        <v>450</v>
      </c>
      <c r="B451" s="17" t="n">
        <f aca="false">B450+1</f>
        <v>46472</v>
      </c>
      <c r="C451" s="18" t="n">
        <f aca="false">MIN(ROUNDUP(A451/365,0),5)</f>
        <v>2</v>
      </c>
      <c r="D451" s="18" t="n">
        <f aca="false">DATEDIF(Assumptions!B5,B451,"m")+1</f>
        <v>15</v>
      </c>
      <c r="E451" s="18" t="str">
        <f aca="false">TEXT(B451,"ddd")</f>
        <v>Fri</v>
      </c>
      <c r="F451" s="19" t="n">
        <f aca="false">IF(WEEKDAY(B451,2)&gt;=6,Assumptions!B34,Assumptions!B35)</f>
        <v>1</v>
      </c>
      <c r="G451" s="20" t="n">
        <f aca="false">IF(D451&gt;=13,(1+Assumptions!B46)^(D451-12),1)</f>
        <v>1.009027027</v>
      </c>
      <c r="H451" s="21" t="n">
        <f aca="false">H450*(1+IF(C451=1,Assumptions!B22,Assumptions!B23))</f>
        <v>21.1064039091378</v>
      </c>
      <c r="I451" s="16" t="n">
        <f aca="false">ROUND(H451*F451,0)</f>
        <v>21</v>
      </c>
      <c r="J451" s="22" t="n">
        <f aca="false">I451*Assumptions!B24</f>
        <v>12600</v>
      </c>
      <c r="K451" s="21" t="n">
        <f aca="false">K450*(1+Assumptions!B30)</f>
        <v>15.2179806012992</v>
      </c>
      <c r="L451" s="16" t="n">
        <f aca="false">ROUND(K451*F451,0)</f>
        <v>15</v>
      </c>
      <c r="M451" s="22" t="n">
        <f aca="false">L451*Assumptions!B31</f>
        <v>4500</v>
      </c>
      <c r="N451" s="22" t="n">
        <f aca="false">J451+M451</f>
        <v>17100</v>
      </c>
      <c r="O451" s="22" t="n">
        <f aca="false">IF(DAY(B451)=1,Assumptions!B38*G451,0)</f>
        <v>0</v>
      </c>
      <c r="P451" s="22" t="n">
        <f aca="false">IF(DAY(B451)=1,Assumptions!B39*G451,0)</f>
        <v>0</v>
      </c>
      <c r="Q451" s="22" t="n">
        <f aca="false">IF(DAY(B451)=1,Assumptions!B40*G451,0)</f>
        <v>0</v>
      </c>
      <c r="R451" s="22" t="n">
        <f aca="false">IF(DAY(B451)=1,Assumptions!B41*G451,0)</f>
        <v>0</v>
      </c>
      <c r="S451" s="22" t="n">
        <f aca="false">IF(AND(DAY(B451)=1,D451&gt;=13),Assumptions!B42*G451,0)</f>
        <v>0</v>
      </c>
      <c r="T451" s="22" t="n">
        <f aca="false">IF(DAY(B451)=1,Assumptions!B43*G451,0)</f>
        <v>0</v>
      </c>
      <c r="U451" s="22" t="n">
        <f aca="false">SUM(O451:T451)</f>
        <v>0</v>
      </c>
      <c r="V451" s="22" t="n">
        <f aca="false">N451-U451</f>
        <v>17100</v>
      </c>
      <c r="W451" s="22" t="n">
        <f aca="false">W450+V451</f>
        <v>-3112894.77107</v>
      </c>
      <c r="X451" s="23" t="str">
        <f aca="false">IF(W451&gt;=0,"YES","No")</f>
        <v>No</v>
      </c>
    </row>
    <row r="452" customFormat="false" ht="15" hidden="false" customHeight="false" outlineLevel="0" collapsed="false">
      <c r="A452" s="16" t="n">
        <v>451</v>
      </c>
      <c r="B452" s="17" t="n">
        <f aca="false">B451+1</f>
        <v>46473</v>
      </c>
      <c r="C452" s="18" t="n">
        <f aca="false">MIN(ROUNDUP(A452/365,0),5)</f>
        <v>2</v>
      </c>
      <c r="D452" s="18" t="n">
        <f aca="false">DATEDIF(Assumptions!B5,B452,"m")+1</f>
        <v>15</v>
      </c>
      <c r="E452" s="18" t="str">
        <f aca="false">TEXT(B452,"ddd")</f>
        <v>Sat</v>
      </c>
      <c r="F452" s="19" t="n">
        <f aca="false">IF(WEEKDAY(B452,2)&gt;=6,Assumptions!B34,Assumptions!B35)</f>
        <v>0.6</v>
      </c>
      <c r="G452" s="20" t="n">
        <f aca="false">IF(D452&gt;=13,(1+Assumptions!B46)^(D452-12),1)</f>
        <v>1.009027027</v>
      </c>
      <c r="H452" s="21" t="n">
        <f aca="false">H451*(1+IF(C452=1,Assumptions!B22,Assumptions!B23))</f>
        <v>21.1098624403531</v>
      </c>
      <c r="I452" s="16" t="n">
        <f aca="false">ROUND(H452*F452,0)</f>
        <v>13</v>
      </c>
      <c r="J452" s="22" t="n">
        <f aca="false">I452*Assumptions!B24</f>
        <v>7800</v>
      </c>
      <c r="K452" s="21" t="n">
        <f aca="false">K451*(1+Assumptions!B30)</f>
        <v>15.2229559197481</v>
      </c>
      <c r="L452" s="16" t="n">
        <f aca="false">ROUND(K452*F452,0)</f>
        <v>9</v>
      </c>
      <c r="M452" s="22" t="n">
        <f aca="false">L452*Assumptions!B31</f>
        <v>2700</v>
      </c>
      <c r="N452" s="22" t="n">
        <f aca="false">J452+M452</f>
        <v>10500</v>
      </c>
      <c r="O452" s="22" t="n">
        <f aca="false">IF(DAY(B452)=1,Assumptions!B38*G452,0)</f>
        <v>0</v>
      </c>
      <c r="P452" s="22" t="n">
        <f aca="false">IF(DAY(B452)=1,Assumptions!B39*G452,0)</f>
        <v>0</v>
      </c>
      <c r="Q452" s="22" t="n">
        <f aca="false">IF(DAY(B452)=1,Assumptions!B40*G452,0)</f>
        <v>0</v>
      </c>
      <c r="R452" s="22" t="n">
        <f aca="false">IF(DAY(B452)=1,Assumptions!B41*G452,0)</f>
        <v>0</v>
      </c>
      <c r="S452" s="22" t="n">
        <f aca="false">IF(AND(DAY(B452)=1,D452&gt;=13),Assumptions!B42*G452,0)</f>
        <v>0</v>
      </c>
      <c r="T452" s="22" t="n">
        <f aca="false">IF(DAY(B452)=1,Assumptions!B43*G452,0)</f>
        <v>0</v>
      </c>
      <c r="U452" s="22" t="n">
        <f aca="false">SUM(O452:T452)</f>
        <v>0</v>
      </c>
      <c r="V452" s="22" t="n">
        <f aca="false">N452-U452</f>
        <v>10500</v>
      </c>
      <c r="W452" s="22" t="n">
        <f aca="false">W451+V452</f>
        <v>-3102394.77107</v>
      </c>
      <c r="X452" s="23" t="str">
        <f aca="false">IF(W452&gt;=0,"YES","No")</f>
        <v>No</v>
      </c>
    </row>
    <row r="453" customFormat="false" ht="15" hidden="false" customHeight="false" outlineLevel="0" collapsed="false">
      <c r="A453" s="16" t="n">
        <v>452</v>
      </c>
      <c r="B453" s="17" t="n">
        <f aca="false">B452+1</f>
        <v>46474</v>
      </c>
      <c r="C453" s="18" t="n">
        <f aca="false">MIN(ROUNDUP(A453/365,0),5)</f>
        <v>2</v>
      </c>
      <c r="D453" s="18" t="n">
        <f aca="false">DATEDIF(Assumptions!B5,B453,"m")+1</f>
        <v>15</v>
      </c>
      <c r="E453" s="18" t="str">
        <f aca="false">TEXT(B453,"ddd")</f>
        <v>Sun</v>
      </c>
      <c r="F453" s="19" t="n">
        <f aca="false">IF(WEEKDAY(B453,2)&gt;=6,Assumptions!B34,Assumptions!B35)</f>
        <v>0.6</v>
      </c>
      <c r="G453" s="20" t="n">
        <f aca="false">IF(D453&gt;=13,(1+Assumptions!B46)^(D453-12),1)</f>
        <v>1.009027027</v>
      </c>
      <c r="H453" s="21" t="n">
        <f aca="false">H452*(1+IF(C453=1,Assumptions!B22,Assumptions!B23))</f>
        <v>21.1133215382892</v>
      </c>
      <c r="I453" s="16" t="n">
        <f aca="false">ROUND(H453*F453,0)</f>
        <v>13</v>
      </c>
      <c r="J453" s="22" t="n">
        <f aca="false">I453*Assumptions!B24</f>
        <v>7800</v>
      </c>
      <c r="K453" s="21" t="n">
        <f aca="false">K452*(1+Assumptions!B30)</f>
        <v>15.2279328648118</v>
      </c>
      <c r="L453" s="16" t="n">
        <f aca="false">ROUND(K453*F453,0)</f>
        <v>9</v>
      </c>
      <c r="M453" s="22" t="n">
        <f aca="false">L453*Assumptions!B31</f>
        <v>2700</v>
      </c>
      <c r="N453" s="22" t="n">
        <f aca="false">J453+M453</f>
        <v>10500</v>
      </c>
      <c r="O453" s="22" t="n">
        <f aca="false">IF(DAY(B453)=1,Assumptions!B38*G453,0)</f>
        <v>0</v>
      </c>
      <c r="P453" s="22" t="n">
        <f aca="false">IF(DAY(B453)=1,Assumptions!B39*G453,0)</f>
        <v>0</v>
      </c>
      <c r="Q453" s="22" t="n">
        <f aca="false">IF(DAY(B453)=1,Assumptions!B40*G453,0)</f>
        <v>0</v>
      </c>
      <c r="R453" s="22" t="n">
        <f aca="false">IF(DAY(B453)=1,Assumptions!B41*G453,0)</f>
        <v>0</v>
      </c>
      <c r="S453" s="22" t="n">
        <f aca="false">IF(AND(DAY(B453)=1,D453&gt;=13),Assumptions!B42*G453,0)</f>
        <v>0</v>
      </c>
      <c r="T453" s="22" t="n">
        <f aca="false">IF(DAY(B453)=1,Assumptions!B43*G453,0)</f>
        <v>0</v>
      </c>
      <c r="U453" s="22" t="n">
        <f aca="false">SUM(O453:T453)</f>
        <v>0</v>
      </c>
      <c r="V453" s="22" t="n">
        <f aca="false">N453-U453</f>
        <v>10500</v>
      </c>
      <c r="W453" s="22" t="n">
        <f aca="false">W452+V453</f>
        <v>-3091894.77107</v>
      </c>
      <c r="X453" s="23" t="str">
        <f aca="false">IF(W453&gt;=0,"YES","No")</f>
        <v>No</v>
      </c>
    </row>
    <row r="454" customFormat="false" ht="15" hidden="false" customHeight="false" outlineLevel="0" collapsed="false">
      <c r="A454" s="16" t="n">
        <v>453</v>
      </c>
      <c r="B454" s="17" t="n">
        <f aca="false">B453+1</f>
        <v>46475</v>
      </c>
      <c r="C454" s="18" t="n">
        <f aca="false">MIN(ROUNDUP(A454/365,0),5)</f>
        <v>2</v>
      </c>
      <c r="D454" s="18" t="n">
        <f aca="false">DATEDIF(Assumptions!B5,B454,"m")+1</f>
        <v>15</v>
      </c>
      <c r="E454" s="18" t="str">
        <f aca="false">TEXT(B454,"ddd")</f>
        <v>Mon</v>
      </c>
      <c r="F454" s="19" t="n">
        <f aca="false">IF(WEEKDAY(B454,2)&gt;=6,Assumptions!B34,Assumptions!B35)</f>
        <v>1</v>
      </c>
      <c r="G454" s="20" t="n">
        <f aca="false">IF(D454&gt;=13,(1+Assumptions!B46)^(D454-12),1)</f>
        <v>1.009027027</v>
      </c>
      <c r="H454" s="21" t="n">
        <f aca="false">H453*(1+IF(C454=1,Assumptions!B22,Assumptions!B23))</f>
        <v>21.116781203039</v>
      </c>
      <c r="I454" s="16" t="n">
        <f aca="false">ROUND(H454*F454,0)</f>
        <v>21</v>
      </c>
      <c r="J454" s="22" t="n">
        <f aca="false">I454*Assumptions!B24</f>
        <v>12600</v>
      </c>
      <c r="K454" s="21" t="n">
        <f aca="false">K453*(1+Assumptions!B30)</f>
        <v>15.2329114370223</v>
      </c>
      <c r="L454" s="16" t="n">
        <f aca="false">ROUND(K454*F454,0)</f>
        <v>15</v>
      </c>
      <c r="M454" s="22" t="n">
        <f aca="false">L454*Assumptions!B31</f>
        <v>4500</v>
      </c>
      <c r="N454" s="22" t="n">
        <f aca="false">J454+M454</f>
        <v>17100</v>
      </c>
      <c r="O454" s="22" t="n">
        <f aca="false">IF(DAY(B454)=1,Assumptions!B38*G454,0)</f>
        <v>0</v>
      </c>
      <c r="P454" s="22" t="n">
        <f aca="false">IF(DAY(B454)=1,Assumptions!B39*G454,0)</f>
        <v>0</v>
      </c>
      <c r="Q454" s="22" t="n">
        <f aca="false">IF(DAY(B454)=1,Assumptions!B40*G454,0)</f>
        <v>0</v>
      </c>
      <c r="R454" s="22" t="n">
        <f aca="false">IF(DAY(B454)=1,Assumptions!B41*G454,0)</f>
        <v>0</v>
      </c>
      <c r="S454" s="22" t="n">
        <f aca="false">IF(AND(DAY(B454)=1,D454&gt;=13),Assumptions!B42*G454,0)</f>
        <v>0</v>
      </c>
      <c r="T454" s="22" t="n">
        <f aca="false">IF(DAY(B454)=1,Assumptions!B43*G454,0)</f>
        <v>0</v>
      </c>
      <c r="U454" s="22" t="n">
        <f aca="false">SUM(O454:T454)</f>
        <v>0</v>
      </c>
      <c r="V454" s="22" t="n">
        <f aca="false">N454-U454</f>
        <v>17100</v>
      </c>
      <c r="W454" s="22" t="n">
        <f aca="false">W453+V454</f>
        <v>-3074794.77107</v>
      </c>
      <c r="X454" s="23" t="str">
        <f aca="false">IF(W454&gt;=0,"YES","No")</f>
        <v>No</v>
      </c>
    </row>
    <row r="455" customFormat="false" ht="15" hidden="false" customHeight="false" outlineLevel="0" collapsed="false">
      <c r="A455" s="16" t="n">
        <v>454</v>
      </c>
      <c r="B455" s="17" t="n">
        <f aca="false">B454+1</f>
        <v>46476</v>
      </c>
      <c r="C455" s="18" t="n">
        <f aca="false">MIN(ROUNDUP(A455/365,0),5)</f>
        <v>2</v>
      </c>
      <c r="D455" s="18" t="n">
        <f aca="false">DATEDIF(Assumptions!B5,B455,"m")+1</f>
        <v>15</v>
      </c>
      <c r="E455" s="18" t="str">
        <f aca="false">TEXT(B455,"ddd")</f>
        <v>Tue</v>
      </c>
      <c r="F455" s="19" t="n">
        <f aca="false">IF(WEEKDAY(B455,2)&gt;=6,Assumptions!B34,Assumptions!B35)</f>
        <v>1</v>
      </c>
      <c r="G455" s="20" t="n">
        <f aca="false">IF(D455&gt;=13,(1+Assumptions!B46)^(D455-12),1)</f>
        <v>1.009027027</v>
      </c>
      <c r="H455" s="21" t="n">
        <f aca="false">H454*(1+IF(C455=1,Assumptions!B22,Assumptions!B23))</f>
        <v>21.1202414346953</v>
      </c>
      <c r="I455" s="16" t="n">
        <f aca="false">ROUND(H455*F455,0)</f>
        <v>21</v>
      </c>
      <c r="J455" s="22" t="n">
        <f aca="false">I455*Assumptions!B24</f>
        <v>12600</v>
      </c>
      <c r="K455" s="21" t="n">
        <f aca="false">K454*(1+Assumptions!B30)</f>
        <v>15.2378916369114</v>
      </c>
      <c r="L455" s="16" t="n">
        <f aca="false">ROUND(K455*F455,0)</f>
        <v>15</v>
      </c>
      <c r="M455" s="22" t="n">
        <f aca="false">L455*Assumptions!B31</f>
        <v>4500</v>
      </c>
      <c r="N455" s="22" t="n">
        <f aca="false">J455+M455</f>
        <v>17100</v>
      </c>
      <c r="O455" s="22" t="n">
        <f aca="false">IF(DAY(B455)=1,Assumptions!B38*G455,0)</f>
        <v>0</v>
      </c>
      <c r="P455" s="22" t="n">
        <f aca="false">IF(DAY(B455)=1,Assumptions!B39*G455,0)</f>
        <v>0</v>
      </c>
      <c r="Q455" s="22" t="n">
        <f aca="false">IF(DAY(B455)=1,Assumptions!B40*G455,0)</f>
        <v>0</v>
      </c>
      <c r="R455" s="22" t="n">
        <f aca="false">IF(DAY(B455)=1,Assumptions!B41*G455,0)</f>
        <v>0</v>
      </c>
      <c r="S455" s="22" t="n">
        <f aca="false">IF(AND(DAY(B455)=1,D455&gt;=13),Assumptions!B42*G455,0)</f>
        <v>0</v>
      </c>
      <c r="T455" s="22" t="n">
        <f aca="false">IF(DAY(B455)=1,Assumptions!B43*G455,0)</f>
        <v>0</v>
      </c>
      <c r="U455" s="22" t="n">
        <f aca="false">SUM(O455:T455)</f>
        <v>0</v>
      </c>
      <c r="V455" s="22" t="n">
        <f aca="false">N455-U455</f>
        <v>17100</v>
      </c>
      <c r="W455" s="22" t="n">
        <f aca="false">W454+V455</f>
        <v>-3057694.77107</v>
      </c>
      <c r="X455" s="23" t="str">
        <f aca="false">IF(W455&gt;=0,"YES","No")</f>
        <v>No</v>
      </c>
    </row>
    <row r="456" customFormat="false" ht="15" hidden="false" customHeight="false" outlineLevel="0" collapsed="false">
      <c r="A456" s="16" t="n">
        <v>455</v>
      </c>
      <c r="B456" s="17" t="n">
        <f aca="false">B455+1</f>
        <v>46477</v>
      </c>
      <c r="C456" s="18" t="n">
        <f aca="false">MIN(ROUNDUP(A456/365,0),5)</f>
        <v>2</v>
      </c>
      <c r="D456" s="18" t="n">
        <f aca="false">DATEDIF(Assumptions!B5,B456,"m")+1</f>
        <v>15</v>
      </c>
      <c r="E456" s="18" t="str">
        <f aca="false">TEXT(B456,"ddd")</f>
        <v>Wed</v>
      </c>
      <c r="F456" s="19" t="n">
        <f aca="false">IF(WEEKDAY(B456,2)&gt;=6,Assumptions!B34,Assumptions!B35)</f>
        <v>1</v>
      </c>
      <c r="G456" s="20" t="n">
        <f aca="false">IF(D456&gt;=13,(1+Assumptions!B46)^(D456-12),1)</f>
        <v>1.009027027</v>
      </c>
      <c r="H456" s="21" t="n">
        <f aca="false">H455*(1+IF(C456=1,Assumptions!B22,Assumptions!B23))</f>
        <v>21.1237022333511</v>
      </c>
      <c r="I456" s="16" t="n">
        <f aca="false">ROUND(H456*F456,0)</f>
        <v>21</v>
      </c>
      <c r="J456" s="22" t="n">
        <f aca="false">I456*Assumptions!B24</f>
        <v>12600</v>
      </c>
      <c r="K456" s="21" t="n">
        <f aca="false">K455*(1+Assumptions!B30)</f>
        <v>15.2428734650113</v>
      </c>
      <c r="L456" s="16" t="n">
        <f aca="false">ROUND(K456*F456,0)</f>
        <v>15</v>
      </c>
      <c r="M456" s="22" t="n">
        <f aca="false">L456*Assumptions!B31</f>
        <v>4500</v>
      </c>
      <c r="N456" s="22" t="n">
        <f aca="false">J456+M456</f>
        <v>17100</v>
      </c>
      <c r="O456" s="22" t="n">
        <f aca="false">IF(DAY(B456)=1,Assumptions!B38*G456,0)</f>
        <v>0</v>
      </c>
      <c r="P456" s="22" t="n">
        <f aca="false">IF(DAY(B456)=1,Assumptions!B39*G456,0)</f>
        <v>0</v>
      </c>
      <c r="Q456" s="22" t="n">
        <f aca="false">IF(DAY(B456)=1,Assumptions!B40*G456,0)</f>
        <v>0</v>
      </c>
      <c r="R456" s="22" t="n">
        <f aca="false">IF(DAY(B456)=1,Assumptions!B41*G456,0)</f>
        <v>0</v>
      </c>
      <c r="S456" s="22" t="n">
        <f aca="false">IF(AND(DAY(B456)=1,D456&gt;=13),Assumptions!B42*G456,0)</f>
        <v>0</v>
      </c>
      <c r="T456" s="22" t="n">
        <f aca="false">IF(DAY(B456)=1,Assumptions!B43*G456,0)</f>
        <v>0</v>
      </c>
      <c r="U456" s="22" t="n">
        <f aca="false">SUM(O456:T456)</f>
        <v>0</v>
      </c>
      <c r="V456" s="22" t="n">
        <f aca="false">N456-U456</f>
        <v>17100</v>
      </c>
      <c r="W456" s="22" t="n">
        <f aca="false">W455+V456</f>
        <v>-3040594.77107</v>
      </c>
      <c r="X456" s="23" t="str">
        <f aca="false">IF(W456&gt;=0,"YES","No")</f>
        <v>No</v>
      </c>
    </row>
    <row r="457" customFormat="false" ht="15" hidden="false" customHeight="false" outlineLevel="0" collapsed="false">
      <c r="A457" s="16" t="n">
        <v>456</v>
      </c>
      <c r="B457" s="17" t="n">
        <f aca="false">B456+1</f>
        <v>46478</v>
      </c>
      <c r="C457" s="18" t="n">
        <f aca="false">MIN(ROUNDUP(A457/365,0),5)</f>
        <v>2</v>
      </c>
      <c r="D457" s="18" t="n">
        <f aca="false">DATEDIF(Assumptions!B5,B457,"m")+1</f>
        <v>16</v>
      </c>
      <c r="E457" s="18" t="str">
        <f aca="false">TEXT(B457,"ddd")</f>
        <v>Thu</v>
      </c>
      <c r="F457" s="19" t="n">
        <f aca="false">IF(WEEKDAY(B457,2)&gt;=6,Assumptions!B34,Assumptions!B35)</f>
        <v>1</v>
      </c>
      <c r="G457" s="20" t="n">
        <f aca="false">IF(D457&gt;=13,(1+Assumptions!B46)^(D457-12),1)</f>
        <v>1.012054108081</v>
      </c>
      <c r="H457" s="21" t="n">
        <f aca="false">H456*(1+IF(C457=1,Assumptions!B22,Assumptions!B23))</f>
        <v>21.1271635990992</v>
      </c>
      <c r="I457" s="16" t="n">
        <f aca="false">ROUND(H457*F457,0)</f>
        <v>21</v>
      </c>
      <c r="J457" s="22" t="n">
        <f aca="false">I457*Assumptions!B24</f>
        <v>12600</v>
      </c>
      <c r="K457" s="21" t="n">
        <f aca="false">K456*(1+Assumptions!B30)</f>
        <v>15.2478569218543</v>
      </c>
      <c r="L457" s="16" t="n">
        <f aca="false">ROUND(K457*F457,0)</f>
        <v>15</v>
      </c>
      <c r="M457" s="22" t="n">
        <f aca="false">L457*Assumptions!B31</f>
        <v>4500</v>
      </c>
      <c r="N457" s="22" t="n">
        <f aca="false">J457+M457</f>
        <v>17100</v>
      </c>
      <c r="O457" s="22" t="n">
        <f aca="false">IF(DAY(B457)=1,Assumptions!B38*G457,0)</f>
        <v>151808.11621215</v>
      </c>
      <c r="P457" s="22" t="n">
        <f aca="false">IF(DAY(B457)=1,Assumptions!B39*G457,0)</f>
        <v>40482.16432324</v>
      </c>
      <c r="Q457" s="22" t="n">
        <f aca="false">IF(DAY(B457)=1,Assumptions!B40*G457,0)</f>
        <v>30361.62324243</v>
      </c>
      <c r="R457" s="22" t="n">
        <f aca="false">IF(DAY(B457)=1,Assumptions!B41*G457,0)</f>
        <v>20241.08216162</v>
      </c>
      <c r="S457" s="22" t="n">
        <f aca="false">IF(AND(DAY(B457)=1,D457&gt;=13),Assumptions!B42*G457,0)</f>
        <v>151808.11621215</v>
      </c>
      <c r="T457" s="22" t="n">
        <f aca="false">IF(DAY(B457)=1,Assumptions!B43*G457,0)</f>
        <v>20241.08216162</v>
      </c>
      <c r="U457" s="22" t="n">
        <f aca="false">SUM(O457:T457)</f>
        <v>414942.18431321</v>
      </c>
      <c r="V457" s="22" t="n">
        <f aca="false">N457-U457</f>
        <v>-397842.18431321</v>
      </c>
      <c r="W457" s="22" t="n">
        <f aca="false">W456+V457</f>
        <v>-3438436.95538321</v>
      </c>
      <c r="X457" s="23" t="str">
        <f aca="false">IF(W457&gt;=0,"YES","No")</f>
        <v>No</v>
      </c>
    </row>
    <row r="458" customFormat="false" ht="15" hidden="false" customHeight="false" outlineLevel="0" collapsed="false">
      <c r="A458" s="16" t="n">
        <v>457</v>
      </c>
      <c r="B458" s="17" t="n">
        <f aca="false">B457+1</f>
        <v>46479</v>
      </c>
      <c r="C458" s="18" t="n">
        <f aca="false">MIN(ROUNDUP(A458/365,0),5)</f>
        <v>2</v>
      </c>
      <c r="D458" s="18" t="n">
        <f aca="false">DATEDIF(Assumptions!B5,B458,"m")+1</f>
        <v>16</v>
      </c>
      <c r="E458" s="18" t="str">
        <f aca="false">TEXT(B458,"ddd")</f>
        <v>Fri</v>
      </c>
      <c r="F458" s="19" t="n">
        <f aca="false">IF(WEEKDAY(B458,2)&gt;=6,Assumptions!B34,Assumptions!B35)</f>
        <v>1</v>
      </c>
      <c r="G458" s="20" t="n">
        <f aca="false">IF(D458&gt;=13,(1+Assumptions!B46)^(D458-12),1)</f>
        <v>1.012054108081</v>
      </c>
      <c r="H458" s="21" t="n">
        <f aca="false">H457*(1+IF(C458=1,Assumptions!B22,Assumptions!B23))</f>
        <v>21.1306255320326</v>
      </c>
      <c r="I458" s="16" t="n">
        <f aca="false">ROUND(H458*F458,0)</f>
        <v>21</v>
      </c>
      <c r="J458" s="22" t="n">
        <f aca="false">I458*Assumptions!B24</f>
        <v>12600</v>
      </c>
      <c r="K458" s="21" t="n">
        <f aca="false">K457*(1+Assumptions!B30)</f>
        <v>15.2528420079729</v>
      </c>
      <c r="L458" s="16" t="n">
        <f aca="false">ROUND(K458*F458,0)</f>
        <v>15</v>
      </c>
      <c r="M458" s="22" t="n">
        <f aca="false">L458*Assumptions!B31</f>
        <v>4500</v>
      </c>
      <c r="N458" s="22" t="n">
        <f aca="false">J458+M458</f>
        <v>17100</v>
      </c>
      <c r="O458" s="22" t="n">
        <f aca="false">IF(DAY(B458)=1,Assumptions!B38*G458,0)</f>
        <v>0</v>
      </c>
      <c r="P458" s="22" t="n">
        <f aca="false">IF(DAY(B458)=1,Assumptions!B39*G458,0)</f>
        <v>0</v>
      </c>
      <c r="Q458" s="22" t="n">
        <f aca="false">IF(DAY(B458)=1,Assumptions!B40*G458,0)</f>
        <v>0</v>
      </c>
      <c r="R458" s="22" t="n">
        <f aca="false">IF(DAY(B458)=1,Assumptions!B41*G458,0)</f>
        <v>0</v>
      </c>
      <c r="S458" s="22" t="n">
        <f aca="false">IF(AND(DAY(B458)=1,D458&gt;=13),Assumptions!B42*G458,0)</f>
        <v>0</v>
      </c>
      <c r="T458" s="22" t="n">
        <f aca="false">IF(DAY(B458)=1,Assumptions!B43*G458,0)</f>
        <v>0</v>
      </c>
      <c r="U458" s="22" t="n">
        <f aca="false">SUM(O458:T458)</f>
        <v>0</v>
      </c>
      <c r="V458" s="22" t="n">
        <f aca="false">N458-U458</f>
        <v>17100</v>
      </c>
      <c r="W458" s="22" t="n">
        <f aca="false">W457+V458</f>
        <v>-3421336.95538321</v>
      </c>
      <c r="X458" s="23" t="str">
        <f aca="false">IF(W458&gt;=0,"YES","No")</f>
        <v>No</v>
      </c>
    </row>
    <row r="459" customFormat="false" ht="15" hidden="false" customHeight="false" outlineLevel="0" collapsed="false">
      <c r="A459" s="16" t="n">
        <v>458</v>
      </c>
      <c r="B459" s="17" t="n">
        <f aca="false">B458+1</f>
        <v>46480</v>
      </c>
      <c r="C459" s="18" t="n">
        <f aca="false">MIN(ROUNDUP(A459/365,0),5)</f>
        <v>2</v>
      </c>
      <c r="D459" s="18" t="n">
        <f aca="false">DATEDIF(Assumptions!B5,B459,"m")+1</f>
        <v>16</v>
      </c>
      <c r="E459" s="18" t="str">
        <f aca="false">TEXT(B459,"ddd")</f>
        <v>Sat</v>
      </c>
      <c r="F459" s="19" t="n">
        <f aca="false">IF(WEEKDAY(B459,2)&gt;=6,Assumptions!B34,Assumptions!B35)</f>
        <v>0.6</v>
      </c>
      <c r="G459" s="20" t="n">
        <f aca="false">IF(D459&gt;=13,(1+Assumptions!B46)^(D459-12),1)</f>
        <v>1.012054108081</v>
      </c>
      <c r="H459" s="21" t="n">
        <f aca="false">H458*(1+IF(C459=1,Assumptions!B22,Assumptions!B23))</f>
        <v>21.1340880322442</v>
      </c>
      <c r="I459" s="16" t="n">
        <f aca="false">ROUND(H459*F459,0)</f>
        <v>13</v>
      </c>
      <c r="J459" s="22" t="n">
        <f aca="false">I459*Assumptions!B24</f>
        <v>7800</v>
      </c>
      <c r="K459" s="21" t="n">
        <f aca="false">K458*(1+Assumptions!B30)</f>
        <v>15.2578287238998</v>
      </c>
      <c r="L459" s="16" t="n">
        <f aca="false">ROUND(K459*F459,0)</f>
        <v>9</v>
      </c>
      <c r="M459" s="22" t="n">
        <f aca="false">L459*Assumptions!B31</f>
        <v>2700</v>
      </c>
      <c r="N459" s="22" t="n">
        <f aca="false">J459+M459</f>
        <v>10500</v>
      </c>
      <c r="O459" s="22" t="n">
        <f aca="false">IF(DAY(B459)=1,Assumptions!B38*G459,0)</f>
        <v>0</v>
      </c>
      <c r="P459" s="22" t="n">
        <f aca="false">IF(DAY(B459)=1,Assumptions!B39*G459,0)</f>
        <v>0</v>
      </c>
      <c r="Q459" s="22" t="n">
        <f aca="false">IF(DAY(B459)=1,Assumptions!B40*G459,0)</f>
        <v>0</v>
      </c>
      <c r="R459" s="22" t="n">
        <f aca="false">IF(DAY(B459)=1,Assumptions!B41*G459,0)</f>
        <v>0</v>
      </c>
      <c r="S459" s="22" t="n">
        <f aca="false">IF(AND(DAY(B459)=1,D459&gt;=13),Assumptions!B42*G459,0)</f>
        <v>0</v>
      </c>
      <c r="T459" s="22" t="n">
        <f aca="false">IF(DAY(B459)=1,Assumptions!B43*G459,0)</f>
        <v>0</v>
      </c>
      <c r="U459" s="22" t="n">
        <f aca="false">SUM(O459:T459)</f>
        <v>0</v>
      </c>
      <c r="V459" s="22" t="n">
        <f aca="false">N459-U459</f>
        <v>10500</v>
      </c>
      <c r="W459" s="22" t="n">
        <f aca="false">W458+V459</f>
        <v>-3410836.95538321</v>
      </c>
      <c r="X459" s="23" t="str">
        <f aca="false">IF(W459&gt;=0,"YES","No")</f>
        <v>No</v>
      </c>
    </row>
    <row r="460" customFormat="false" ht="15" hidden="false" customHeight="false" outlineLevel="0" collapsed="false">
      <c r="A460" s="16" t="n">
        <v>459</v>
      </c>
      <c r="B460" s="17" t="n">
        <f aca="false">B459+1</f>
        <v>46481</v>
      </c>
      <c r="C460" s="18" t="n">
        <f aca="false">MIN(ROUNDUP(A460/365,0),5)</f>
        <v>2</v>
      </c>
      <c r="D460" s="18" t="n">
        <f aca="false">DATEDIF(Assumptions!B5,B460,"m")+1</f>
        <v>16</v>
      </c>
      <c r="E460" s="18" t="str">
        <f aca="false">TEXT(B460,"ddd")</f>
        <v>Sun</v>
      </c>
      <c r="F460" s="19" t="n">
        <f aca="false">IF(WEEKDAY(B460,2)&gt;=6,Assumptions!B34,Assumptions!B35)</f>
        <v>0.6</v>
      </c>
      <c r="G460" s="20" t="n">
        <f aca="false">IF(D460&gt;=13,(1+Assumptions!B46)^(D460-12),1)</f>
        <v>1.012054108081</v>
      </c>
      <c r="H460" s="21" t="n">
        <f aca="false">H459*(1+IF(C460=1,Assumptions!B22,Assumptions!B23))</f>
        <v>21.137551099827</v>
      </c>
      <c r="I460" s="16" t="n">
        <f aca="false">ROUND(H460*F460,0)</f>
        <v>13</v>
      </c>
      <c r="J460" s="22" t="n">
        <f aca="false">I460*Assumptions!B24</f>
        <v>7800</v>
      </c>
      <c r="K460" s="21" t="n">
        <f aca="false">K459*(1+Assumptions!B30)</f>
        <v>15.2628170701679</v>
      </c>
      <c r="L460" s="16" t="n">
        <f aca="false">ROUND(K460*F460,0)</f>
        <v>9</v>
      </c>
      <c r="M460" s="22" t="n">
        <f aca="false">L460*Assumptions!B31</f>
        <v>2700</v>
      </c>
      <c r="N460" s="22" t="n">
        <f aca="false">J460+M460</f>
        <v>10500</v>
      </c>
      <c r="O460" s="22" t="n">
        <f aca="false">IF(DAY(B460)=1,Assumptions!B38*G460,0)</f>
        <v>0</v>
      </c>
      <c r="P460" s="22" t="n">
        <f aca="false">IF(DAY(B460)=1,Assumptions!B39*G460,0)</f>
        <v>0</v>
      </c>
      <c r="Q460" s="22" t="n">
        <f aca="false">IF(DAY(B460)=1,Assumptions!B40*G460,0)</f>
        <v>0</v>
      </c>
      <c r="R460" s="22" t="n">
        <f aca="false">IF(DAY(B460)=1,Assumptions!B41*G460,0)</f>
        <v>0</v>
      </c>
      <c r="S460" s="22" t="n">
        <f aca="false">IF(AND(DAY(B460)=1,D460&gt;=13),Assumptions!B42*G460,0)</f>
        <v>0</v>
      </c>
      <c r="T460" s="22" t="n">
        <f aca="false">IF(DAY(B460)=1,Assumptions!B43*G460,0)</f>
        <v>0</v>
      </c>
      <c r="U460" s="22" t="n">
        <f aca="false">SUM(O460:T460)</f>
        <v>0</v>
      </c>
      <c r="V460" s="22" t="n">
        <f aca="false">N460-U460</f>
        <v>10500</v>
      </c>
      <c r="W460" s="22" t="n">
        <f aca="false">W459+V460</f>
        <v>-3400336.95538321</v>
      </c>
      <c r="X460" s="23" t="str">
        <f aca="false">IF(W460&gt;=0,"YES","No")</f>
        <v>No</v>
      </c>
    </row>
    <row r="461" customFormat="false" ht="15" hidden="false" customHeight="false" outlineLevel="0" collapsed="false">
      <c r="A461" s="16" t="n">
        <v>460</v>
      </c>
      <c r="B461" s="17" t="n">
        <f aca="false">B460+1</f>
        <v>46482</v>
      </c>
      <c r="C461" s="18" t="n">
        <f aca="false">MIN(ROUNDUP(A461/365,0),5)</f>
        <v>2</v>
      </c>
      <c r="D461" s="18" t="n">
        <f aca="false">DATEDIF(Assumptions!B5,B461,"m")+1</f>
        <v>16</v>
      </c>
      <c r="E461" s="18" t="str">
        <f aca="false">TEXT(B461,"ddd")</f>
        <v>Mon</v>
      </c>
      <c r="F461" s="19" t="n">
        <f aca="false">IF(WEEKDAY(B461,2)&gt;=6,Assumptions!B34,Assumptions!B35)</f>
        <v>1</v>
      </c>
      <c r="G461" s="20" t="n">
        <f aca="false">IF(D461&gt;=13,(1+Assumptions!B46)^(D461-12),1)</f>
        <v>1.012054108081</v>
      </c>
      <c r="H461" s="21" t="n">
        <f aca="false">H460*(1+IF(C461=1,Assumptions!B22,Assumptions!B23))</f>
        <v>21.1410147348739</v>
      </c>
      <c r="I461" s="16" t="n">
        <f aca="false">ROUND(H461*F461,0)</f>
        <v>21</v>
      </c>
      <c r="J461" s="22" t="n">
        <f aca="false">I461*Assumptions!B24</f>
        <v>12600</v>
      </c>
      <c r="K461" s="21" t="n">
        <f aca="false">K460*(1+Assumptions!B30)</f>
        <v>15.2678070473101</v>
      </c>
      <c r="L461" s="16" t="n">
        <f aca="false">ROUND(K461*F461,0)</f>
        <v>15</v>
      </c>
      <c r="M461" s="22" t="n">
        <f aca="false">L461*Assumptions!B31</f>
        <v>4500</v>
      </c>
      <c r="N461" s="22" t="n">
        <f aca="false">J461+M461</f>
        <v>17100</v>
      </c>
      <c r="O461" s="22" t="n">
        <f aca="false">IF(DAY(B461)=1,Assumptions!B38*G461,0)</f>
        <v>0</v>
      </c>
      <c r="P461" s="22" t="n">
        <f aca="false">IF(DAY(B461)=1,Assumptions!B39*G461,0)</f>
        <v>0</v>
      </c>
      <c r="Q461" s="22" t="n">
        <f aca="false">IF(DAY(B461)=1,Assumptions!B40*G461,0)</f>
        <v>0</v>
      </c>
      <c r="R461" s="22" t="n">
        <f aca="false">IF(DAY(B461)=1,Assumptions!B41*G461,0)</f>
        <v>0</v>
      </c>
      <c r="S461" s="22" t="n">
        <f aca="false">IF(AND(DAY(B461)=1,D461&gt;=13),Assumptions!B42*G461,0)</f>
        <v>0</v>
      </c>
      <c r="T461" s="22" t="n">
        <f aca="false">IF(DAY(B461)=1,Assumptions!B43*G461,0)</f>
        <v>0</v>
      </c>
      <c r="U461" s="22" t="n">
        <f aca="false">SUM(O461:T461)</f>
        <v>0</v>
      </c>
      <c r="V461" s="22" t="n">
        <f aca="false">N461-U461</f>
        <v>17100</v>
      </c>
      <c r="W461" s="22" t="n">
        <f aca="false">W460+V461</f>
        <v>-3383236.95538321</v>
      </c>
      <c r="X461" s="23" t="str">
        <f aca="false">IF(W461&gt;=0,"YES","No")</f>
        <v>No</v>
      </c>
    </row>
    <row r="462" customFormat="false" ht="15" hidden="false" customHeight="false" outlineLevel="0" collapsed="false">
      <c r="A462" s="16" t="n">
        <v>461</v>
      </c>
      <c r="B462" s="17" t="n">
        <f aca="false">B461+1</f>
        <v>46483</v>
      </c>
      <c r="C462" s="18" t="n">
        <f aca="false">MIN(ROUNDUP(A462/365,0),5)</f>
        <v>2</v>
      </c>
      <c r="D462" s="18" t="n">
        <f aca="false">DATEDIF(Assumptions!B5,B462,"m")+1</f>
        <v>16</v>
      </c>
      <c r="E462" s="18" t="str">
        <f aca="false">TEXT(B462,"ddd")</f>
        <v>Tue</v>
      </c>
      <c r="F462" s="19" t="n">
        <f aca="false">IF(WEEKDAY(B462,2)&gt;=6,Assumptions!B34,Assumptions!B35)</f>
        <v>1</v>
      </c>
      <c r="G462" s="20" t="n">
        <f aca="false">IF(D462&gt;=13,(1+Assumptions!B46)^(D462-12),1)</f>
        <v>1.012054108081</v>
      </c>
      <c r="H462" s="21" t="n">
        <f aca="false">H461*(1+IF(C462=1,Assumptions!B22,Assumptions!B23))</f>
        <v>21.1444789374779</v>
      </c>
      <c r="I462" s="16" t="n">
        <f aca="false">ROUND(H462*F462,0)</f>
        <v>21</v>
      </c>
      <c r="J462" s="22" t="n">
        <f aca="false">I462*Assumptions!B24</f>
        <v>12600</v>
      </c>
      <c r="K462" s="21" t="n">
        <f aca="false">K461*(1+Assumptions!B30)</f>
        <v>15.2727986558596</v>
      </c>
      <c r="L462" s="16" t="n">
        <f aca="false">ROUND(K462*F462,0)</f>
        <v>15</v>
      </c>
      <c r="M462" s="22" t="n">
        <f aca="false">L462*Assumptions!B31</f>
        <v>4500</v>
      </c>
      <c r="N462" s="22" t="n">
        <f aca="false">J462+M462</f>
        <v>17100</v>
      </c>
      <c r="O462" s="22" t="n">
        <f aca="false">IF(DAY(B462)=1,Assumptions!B38*G462,0)</f>
        <v>0</v>
      </c>
      <c r="P462" s="22" t="n">
        <f aca="false">IF(DAY(B462)=1,Assumptions!B39*G462,0)</f>
        <v>0</v>
      </c>
      <c r="Q462" s="22" t="n">
        <f aca="false">IF(DAY(B462)=1,Assumptions!B40*G462,0)</f>
        <v>0</v>
      </c>
      <c r="R462" s="22" t="n">
        <f aca="false">IF(DAY(B462)=1,Assumptions!B41*G462,0)</f>
        <v>0</v>
      </c>
      <c r="S462" s="22" t="n">
        <f aca="false">IF(AND(DAY(B462)=1,D462&gt;=13),Assumptions!B42*G462,0)</f>
        <v>0</v>
      </c>
      <c r="T462" s="22" t="n">
        <f aca="false">IF(DAY(B462)=1,Assumptions!B43*G462,0)</f>
        <v>0</v>
      </c>
      <c r="U462" s="22" t="n">
        <f aca="false">SUM(O462:T462)</f>
        <v>0</v>
      </c>
      <c r="V462" s="22" t="n">
        <f aca="false">N462-U462</f>
        <v>17100</v>
      </c>
      <c r="W462" s="22" t="n">
        <f aca="false">W461+V462</f>
        <v>-3366136.95538321</v>
      </c>
      <c r="X462" s="23" t="str">
        <f aca="false">IF(W462&gt;=0,"YES","No")</f>
        <v>No</v>
      </c>
    </row>
    <row r="463" customFormat="false" ht="15" hidden="false" customHeight="false" outlineLevel="0" collapsed="false">
      <c r="A463" s="16" t="n">
        <v>462</v>
      </c>
      <c r="B463" s="17" t="n">
        <f aca="false">B462+1</f>
        <v>46484</v>
      </c>
      <c r="C463" s="18" t="n">
        <f aca="false">MIN(ROUNDUP(A463/365,0),5)</f>
        <v>2</v>
      </c>
      <c r="D463" s="18" t="n">
        <f aca="false">DATEDIF(Assumptions!B5,B463,"m")+1</f>
        <v>16</v>
      </c>
      <c r="E463" s="18" t="str">
        <f aca="false">TEXT(B463,"ddd")</f>
        <v>Wed</v>
      </c>
      <c r="F463" s="19" t="n">
        <f aca="false">IF(WEEKDAY(B463,2)&gt;=6,Assumptions!B34,Assumptions!B35)</f>
        <v>1</v>
      </c>
      <c r="G463" s="20" t="n">
        <f aca="false">IF(D463&gt;=13,(1+Assumptions!B46)^(D463-12),1)</f>
        <v>1.012054108081</v>
      </c>
      <c r="H463" s="21" t="n">
        <f aca="false">H462*(1+IF(C463=1,Assumptions!B22,Assumptions!B23))</f>
        <v>21.1479437077321</v>
      </c>
      <c r="I463" s="16" t="n">
        <f aca="false">ROUND(H463*F463,0)</f>
        <v>21</v>
      </c>
      <c r="J463" s="22" t="n">
        <f aca="false">I463*Assumptions!B24</f>
        <v>12600</v>
      </c>
      <c r="K463" s="21" t="n">
        <f aca="false">K462*(1+Assumptions!B30)</f>
        <v>15.2777918963499</v>
      </c>
      <c r="L463" s="16" t="n">
        <f aca="false">ROUND(K463*F463,0)</f>
        <v>15</v>
      </c>
      <c r="M463" s="22" t="n">
        <f aca="false">L463*Assumptions!B31</f>
        <v>4500</v>
      </c>
      <c r="N463" s="22" t="n">
        <f aca="false">J463+M463</f>
        <v>17100</v>
      </c>
      <c r="O463" s="22" t="n">
        <f aca="false">IF(DAY(B463)=1,Assumptions!B38*G463,0)</f>
        <v>0</v>
      </c>
      <c r="P463" s="22" t="n">
        <f aca="false">IF(DAY(B463)=1,Assumptions!B39*G463,0)</f>
        <v>0</v>
      </c>
      <c r="Q463" s="22" t="n">
        <f aca="false">IF(DAY(B463)=1,Assumptions!B40*G463,0)</f>
        <v>0</v>
      </c>
      <c r="R463" s="22" t="n">
        <f aca="false">IF(DAY(B463)=1,Assumptions!B41*G463,0)</f>
        <v>0</v>
      </c>
      <c r="S463" s="22" t="n">
        <f aca="false">IF(AND(DAY(B463)=1,D463&gt;=13),Assumptions!B42*G463,0)</f>
        <v>0</v>
      </c>
      <c r="T463" s="22" t="n">
        <f aca="false">IF(DAY(B463)=1,Assumptions!B43*G463,0)</f>
        <v>0</v>
      </c>
      <c r="U463" s="22" t="n">
        <f aca="false">SUM(O463:T463)</f>
        <v>0</v>
      </c>
      <c r="V463" s="22" t="n">
        <f aca="false">N463-U463</f>
        <v>17100</v>
      </c>
      <c r="W463" s="22" t="n">
        <f aca="false">W462+V463</f>
        <v>-3349036.95538321</v>
      </c>
      <c r="X463" s="23" t="str">
        <f aca="false">IF(W463&gt;=0,"YES","No")</f>
        <v>No</v>
      </c>
    </row>
    <row r="464" customFormat="false" ht="15" hidden="false" customHeight="false" outlineLevel="0" collapsed="false">
      <c r="A464" s="16" t="n">
        <v>463</v>
      </c>
      <c r="B464" s="17" t="n">
        <f aca="false">B463+1</f>
        <v>46485</v>
      </c>
      <c r="C464" s="18" t="n">
        <f aca="false">MIN(ROUNDUP(A464/365,0),5)</f>
        <v>2</v>
      </c>
      <c r="D464" s="18" t="n">
        <f aca="false">DATEDIF(Assumptions!B5,B464,"m")+1</f>
        <v>16</v>
      </c>
      <c r="E464" s="18" t="str">
        <f aca="false">TEXT(B464,"ddd")</f>
        <v>Thu</v>
      </c>
      <c r="F464" s="19" t="n">
        <f aca="false">IF(WEEKDAY(B464,2)&gt;=6,Assumptions!B34,Assumptions!B35)</f>
        <v>1</v>
      </c>
      <c r="G464" s="20" t="n">
        <f aca="false">IF(D464&gt;=13,(1+Assumptions!B46)^(D464-12),1)</f>
        <v>1.012054108081</v>
      </c>
      <c r="H464" s="21" t="n">
        <f aca="false">H463*(1+IF(C464=1,Assumptions!B22,Assumptions!B23))</f>
        <v>21.1514090457294</v>
      </c>
      <c r="I464" s="16" t="n">
        <f aca="false">ROUND(H464*F464,0)</f>
        <v>21</v>
      </c>
      <c r="J464" s="22" t="n">
        <f aca="false">I464*Assumptions!B24</f>
        <v>12600</v>
      </c>
      <c r="K464" s="21" t="n">
        <f aca="false">K463*(1+Assumptions!B30)</f>
        <v>15.2827867693144</v>
      </c>
      <c r="L464" s="16" t="n">
        <f aca="false">ROUND(K464*F464,0)</f>
        <v>15</v>
      </c>
      <c r="M464" s="22" t="n">
        <f aca="false">L464*Assumptions!B31</f>
        <v>4500</v>
      </c>
      <c r="N464" s="22" t="n">
        <f aca="false">J464+M464</f>
        <v>17100</v>
      </c>
      <c r="O464" s="22" t="n">
        <f aca="false">IF(DAY(B464)=1,Assumptions!B38*G464,0)</f>
        <v>0</v>
      </c>
      <c r="P464" s="22" t="n">
        <f aca="false">IF(DAY(B464)=1,Assumptions!B39*G464,0)</f>
        <v>0</v>
      </c>
      <c r="Q464" s="22" t="n">
        <f aca="false">IF(DAY(B464)=1,Assumptions!B40*G464,0)</f>
        <v>0</v>
      </c>
      <c r="R464" s="22" t="n">
        <f aca="false">IF(DAY(B464)=1,Assumptions!B41*G464,0)</f>
        <v>0</v>
      </c>
      <c r="S464" s="22" t="n">
        <f aca="false">IF(AND(DAY(B464)=1,D464&gt;=13),Assumptions!B42*G464,0)</f>
        <v>0</v>
      </c>
      <c r="T464" s="22" t="n">
        <f aca="false">IF(DAY(B464)=1,Assumptions!B43*G464,0)</f>
        <v>0</v>
      </c>
      <c r="U464" s="22" t="n">
        <f aca="false">SUM(O464:T464)</f>
        <v>0</v>
      </c>
      <c r="V464" s="22" t="n">
        <f aca="false">N464-U464</f>
        <v>17100</v>
      </c>
      <c r="W464" s="22" t="n">
        <f aca="false">W463+V464</f>
        <v>-3331936.95538321</v>
      </c>
      <c r="X464" s="23" t="str">
        <f aca="false">IF(W464&gt;=0,"YES","No")</f>
        <v>No</v>
      </c>
    </row>
    <row r="465" customFormat="false" ht="15" hidden="false" customHeight="false" outlineLevel="0" collapsed="false">
      <c r="A465" s="16" t="n">
        <v>464</v>
      </c>
      <c r="B465" s="17" t="n">
        <f aca="false">B464+1</f>
        <v>46486</v>
      </c>
      <c r="C465" s="18" t="n">
        <f aca="false">MIN(ROUNDUP(A465/365,0),5)</f>
        <v>2</v>
      </c>
      <c r="D465" s="18" t="n">
        <f aca="false">DATEDIF(Assumptions!B5,B465,"m")+1</f>
        <v>16</v>
      </c>
      <c r="E465" s="18" t="str">
        <f aca="false">TEXT(B465,"ddd")</f>
        <v>Fri</v>
      </c>
      <c r="F465" s="19" t="n">
        <f aca="false">IF(WEEKDAY(B465,2)&gt;=6,Assumptions!B34,Assumptions!B35)</f>
        <v>1</v>
      </c>
      <c r="G465" s="20" t="n">
        <f aca="false">IF(D465&gt;=13,(1+Assumptions!B46)^(D465-12),1)</f>
        <v>1.012054108081</v>
      </c>
      <c r="H465" s="21" t="n">
        <f aca="false">H464*(1+IF(C465=1,Assumptions!B22,Assumptions!B23))</f>
        <v>21.1548749515629</v>
      </c>
      <c r="I465" s="16" t="n">
        <f aca="false">ROUND(H465*F465,0)</f>
        <v>21</v>
      </c>
      <c r="J465" s="22" t="n">
        <f aca="false">I465*Assumptions!B24</f>
        <v>12600</v>
      </c>
      <c r="K465" s="21" t="n">
        <f aca="false">K464*(1+Assumptions!B30)</f>
        <v>15.2877832752869</v>
      </c>
      <c r="L465" s="16" t="n">
        <f aca="false">ROUND(K465*F465,0)</f>
        <v>15</v>
      </c>
      <c r="M465" s="22" t="n">
        <f aca="false">L465*Assumptions!B31</f>
        <v>4500</v>
      </c>
      <c r="N465" s="22" t="n">
        <f aca="false">J465+M465</f>
        <v>17100</v>
      </c>
      <c r="O465" s="22" t="n">
        <f aca="false">IF(DAY(B465)=1,Assumptions!B38*G465,0)</f>
        <v>0</v>
      </c>
      <c r="P465" s="22" t="n">
        <f aca="false">IF(DAY(B465)=1,Assumptions!B39*G465,0)</f>
        <v>0</v>
      </c>
      <c r="Q465" s="22" t="n">
        <f aca="false">IF(DAY(B465)=1,Assumptions!B40*G465,0)</f>
        <v>0</v>
      </c>
      <c r="R465" s="22" t="n">
        <f aca="false">IF(DAY(B465)=1,Assumptions!B41*G465,0)</f>
        <v>0</v>
      </c>
      <c r="S465" s="22" t="n">
        <f aca="false">IF(AND(DAY(B465)=1,D465&gt;=13),Assumptions!B42*G465,0)</f>
        <v>0</v>
      </c>
      <c r="T465" s="22" t="n">
        <f aca="false">IF(DAY(B465)=1,Assumptions!B43*G465,0)</f>
        <v>0</v>
      </c>
      <c r="U465" s="22" t="n">
        <f aca="false">SUM(O465:T465)</f>
        <v>0</v>
      </c>
      <c r="V465" s="22" t="n">
        <f aca="false">N465-U465</f>
        <v>17100</v>
      </c>
      <c r="W465" s="22" t="n">
        <f aca="false">W464+V465</f>
        <v>-3314836.95538321</v>
      </c>
      <c r="X465" s="23" t="str">
        <f aca="false">IF(W465&gt;=0,"YES","No")</f>
        <v>No</v>
      </c>
    </row>
    <row r="466" customFormat="false" ht="15" hidden="false" customHeight="false" outlineLevel="0" collapsed="false">
      <c r="A466" s="16" t="n">
        <v>465</v>
      </c>
      <c r="B466" s="17" t="n">
        <f aca="false">B465+1</f>
        <v>46487</v>
      </c>
      <c r="C466" s="18" t="n">
        <f aca="false">MIN(ROUNDUP(A466/365,0),5)</f>
        <v>2</v>
      </c>
      <c r="D466" s="18" t="n">
        <f aca="false">DATEDIF(Assumptions!B5,B466,"m")+1</f>
        <v>16</v>
      </c>
      <c r="E466" s="18" t="str">
        <f aca="false">TEXT(B466,"ddd")</f>
        <v>Sat</v>
      </c>
      <c r="F466" s="19" t="n">
        <f aca="false">IF(WEEKDAY(B466,2)&gt;=6,Assumptions!B34,Assumptions!B35)</f>
        <v>0.6</v>
      </c>
      <c r="G466" s="20" t="n">
        <f aca="false">IF(D466&gt;=13,(1+Assumptions!B46)^(D466-12),1)</f>
        <v>1.012054108081</v>
      </c>
      <c r="H466" s="21" t="n">
        <f aca="false">H465*(1+IF(C466=1,Assumptions!B22,Assumptions!B23))</f>
        <v>21.1583414253256</v>
      </c>
      <c r="I466" s="16" t="n">
        <f aca="false">ROUND(H466*F466,0)</f>
        <v>13</v>
      </c>
      <c r="J466" s="22" t="n">
        <f aca="false">I466*Assumptions!B24</f>
        <v>7800</v>
      </c>
      <c r="K466" s="21" t="n">
        <f aca="false">K465*(1+Assumptions!B30)</f>
        <v>15.2927814148012</v>
      </c>
      <c r="L466" s="16" t="n">
        <f aca="false">ROUND(K466*F466,0)</f>
        <v>9</v>
      </c>
      <c r="M466" s="22" t="n">
        <f aca="false">L466*Assumptions!B31</f>
        <v>2700</v>
      </c>
      <c r="N466" s="22" t="n">
        <f aca="false">J466+M466</f>
        <v>10500</v>
      </c>
      <c r="O466" s="22" t="n">
        <f aca="false">IF(DAY(B466)=1,Assumptions!B38*G466,0)</f>
        <v>0</v>
      </c>
      <c r="P466" s="22" t="n">
        <f aca="false">IF(DAY(B466)=1,Assumptions!B39*G466,0)</f>
        <v>0</v>
      </c>
      <c r="Q466" s="22" t="n">
        <f aca="false">IF(DAY(B466)=1,Assumptions!B40*G466,0)</f>
        <v>0</v>
      </c>
      <c r="R466" s="22" t="n">
        <f aca="false">IF(DAY(B466)=1,Assumptions!B41*G466,0)</f>
        <v>0</v>
      </c>
      <c r="S466" s="22" t="n">
        <f aca="false">IF(AND(DAY(B466)=1,D466&gt;=13),Assumptions!B42*G466,0)</f>
        <v>0</v>
      </c>
      <c r="T466" s="22" t="n">
        <f aca="false">IF(DAY(B466)=1,Assumptions!B43*G466,0)</f>
        <v>0</v>
      </c>
      <c r="U466" s="22" t="n">
        <f aca="false">SUM(O466:T466)</f>
        <v>0</v>
      </c>
      <c r="V466" s="22" t="n">
        <f aca="false">N466-U466</f>
        <v>10500</v>
      </c>
      <c r="W466" s="22" t="n">
        <f aca="false">W465+V466</f>
        <v>-3304336.95538321</v>
      </c>
      <c r="X466" s="23" t="str">
        <f aca="false">IF(W466&gt;=0,"YES","No")</f>
        <v>No</v>
      </c>
    </row>
    <row r="467" customFormat="false" ht="15" hidden="false" customHeight="false" outlineLevel="0" collapsed="false">
      <c r="A467" s="16" t="n">
        <v>466</v>
      </c>
      <c r="B467" s="17" t="n">
        <f aca="false">B466+1</f>
        <v>46488</v>
      </c>
      <c r="C467" s="18" t="n">
        <f aca="false">MIN(ROUNDUP(A467/365,0),5)</f>
        <v>2</v>
      </c>
      <c r="D467" s="18" t="n">
        <f aca="false">DATEDIF(Assumptions!B5,B467,"m")+1</f>
        <v>16</v>
      </c>
      <c r="E467" s="18" t="str">
        <f aca="false">TEXT(B467,"ddd")</f>
        <v>Sun</v>
      </c>
      <c r="F467" s="19" t="n">
        <f aca="false">IF(WEEKDAY(B467,2)&gt;=6,Assumptions!B34,Assumptions!B35)</f>
        <v>0.6</v>
      </c>
      <c r="G467" s="20" t="n">
        <f aca="false">IF(D467&gt;=13,(1+Assumptions!B46)^(D467-12),1)</f>
        <v>1.012054108081</v>
      </c>
      <c r="H467" s="21" t="n">
        <f aca="false">H466*(1+IF(C467=1,Assumptions!B22,Assumptions!B23))</f>
        <v>21.1618084671106</v>
      </c>
      <c r="I467" s="16" t="n">
        <f aca="false">ROUND(H467*F467,0)</f>
        <v>13</v>
      </c>
      <c r="J467" s="22" t="n">
        <f aca="false">I467*Assumptions!B24</f>
        <v>7800</v>
      </c>
      <c r="K467" s="21" t="n">
        <f aca="false">K466*(1+Assumptions!B30)</f>
        <v>15.2977811883915</v>
      </c>
      <c r="L467" s="16" t="n">
        <f aca="false">ROUND(K467*F467,0)</f>
        <v>9</v>
      </c>
      <c r="M467" s="22" t="n">
        <f aca="false">L467*Assumptions!B31</f>
        <v>2700</v>
      </c>
      <c r="N467" s="22" t="n">
        <f aca="false">J467+M467</f>
        <v>10500</v>
      </c>
      <c r="O467" s="22" t="n">
        <f aca="false">IF(DAY(B467)=1,Assumptions!B38*G467,0)</f>
        <v>0</v>
      </c>
      <c r="P467" s="22" t="n">
        <f aca="false">IF(DAY(B467)=1,Assumptions!B39*G467,0)</f>
        <v>0</v>
      </c>
      <c r="Q467" s="22" t="n">
        <f aca="false">IF(DAY(B467)=1,Assumptions!B40*G467,0)</f>
        <v>0</v>
      </c>
      <c r="R467" s="22" t="n">
        <f aca="false">IF(DAY(B467)=1,Assumptions!B41*G467,0)</f>
        <v>0</v>
      </c>
      <c r="S467" s="22" t="n">
        <f aca="false">IF(AND(DAY(B467)=1,D467&gt;=13),Assumptions!B42*G467,0)</f>
        <v>0</v>
      </c>
      <c r="T467" s="22" t="n">
        <f aca="false">IF(DAY(B467)=1,Assumptions!B43*G467,0)</f>
        <v>0</v>
      </c>
      <c r="U467" s="22" t="n">
        <f aca="false">SUM(O467:T467)</f>
        <v>0</v>
      </c>
      <c r="V467" s="22" t="n">
        <f aca="false">N467-U467</f>
        <v>10500</v>
      </c>
      <c r="W467" s="22" t="n">
        <f aca="false">W466+V467</f>
        <v>-3293836.95538321</v>
      </c>
      <c r="X467" s="23" t="str">
        <f aca="false">IF(W467&gt;=0,"YES","No")</f>
        <v>No</v>
      </c>
    </row>
    <row r="468" customFormat="false" ht="15" hidden="false" customHeight="false" outlineLevel="0" collapsed="false">
      <c r="A468" s="16" t="n">
        <v>467</v>
      </c>
      <c r="B468" s="17" t="n">
        <f aca="false">B467+1</f>
        <v>46489</v>
      </c>
      <c r="C468" s="18" t="n">
        <f aca="false">MIN(ROUNDUP(A468/365,0),5)</f>
        <v>2</v>
      </c>
      <c r="D468" s="18" t="n">
        <f aca="false">DATEDIF(Assumptions!B5,B468,"m")+1</f>
        <v>16</v>
      </c>
      <c r="E468" s="18" t="str">
        <f aca="false">TEXT(B468,"ddd")</f>
        <v>Mon</v>
      </c>
      <c r="F468" s="19" t="n">
        <f aca="false">IF(WEEKDAY(B468,2)&gt;=6,Assumptions!B34,Assumptions!B35)</f>
        <v>1</v>
      </c>
      <c r="G468" s="20" t="n">
        <f aca="false">IF(D468&gt;=13,(1+Assumptions!B46)^(D468-12),1)</f>
        <v>1.012054108081</v>
      </c>
      <c r="H468" s="21" t="n">
        <f aca="false">H467*(1+IF(C468=1,Assumptions!B22,Assumptions!B23))</f>
        <v>21.1652760770109</v>
      </c>
      <c r="I468" s="16" t="n">
        <f aca="false">ROUND(H468*F468,0)</f>
        <v>21</v>
      </c>
      <c r="J468" s="22" t="n">
        <f aca="false">I468*Assumptions!B24</f>
        <v>12600</v>
      </c>
      <c r="K468" s="21" t="n">
        <f aca="false">K467*(1+Assumptions!B30)</f>
        <v>15.302782596592</v>
      </c>
      <c r="L468" s="16" t="n">
        <f aca="false">ROUND(K468*F468,0)</f>
        <v>15</v>
      </c>
      <c r="M468" s="22" t="n">
        <f aca="false">L468*Assumptions!B31</f>
        <v>4500</v>
      </c>
      <c r="N468" s="22" t="n">
        <f aca="false">J468+M468</f>
        <v>17100</v>
      </c>
      <c r="O468" s="22" t="n">
        <f aca="false">IF(DAY(B468)=1,Assumptions!B38*G468,0)</f>
        <v>0</v>
      </c>
      <c r="P468" s="22" t="n">
        <f aca="false">IF(DAY(B468)=1,Assumptions!B39*G468,0)</f>
        <v>0</v>
      </c>
      <c r="Q468" s="22" t="n">
        <f aca="false">IF(DAY(B468)=1,Assumptions!B40*G468,0)</f>
        <v>0</v>
      </c>
      <c r="R468" s="22" t="n">
        <f aca="false">IF(DAY(B468)=1,Assumptions!B41*G468,0)</f>
        <v>0</v>
      </c>
      <c r="S468" s="22" t="n">
        <f aca="false">IF(AND(DAY(B468)=1,D468&gt;=13),Assumptions!B42*G468,0)</f>
        <v>0</v>
      </c>
      <c r="T468" s="22" t="n">
        <f aca="false">IF(DAY(B468)=1,Assumptions!B43*G468,0)</f>
        <v>0</v>
      </c>
      <c r="U468" s="22" t="n">
        <f aca="false">SUM(O468:T468)</f>
        <v>0</v>
      </c>
      <c r="V468" s="22" t="n">
        <f aca="false">N468-U468</f>
        <v>17100</v>
      </c>
      <c r="W468" s="22" t="n">
        <f aca="false">W467+V468</f>
        <v>-3276736.95538321</v>
      </c>
      <c r="X468" s="23" t="str">
        <f aca="false">IF(W468&gt;=0,"YES","No")</f>
        <v>No</v>
      </c>
    </row>
    <row r="469" customFormat="false" ht="15" hidden="false" customHeight="false" outlineLevel="0" collapsed="false">
      <c r="A469" s="16" t="n">
        <v>468</v>
      </c>
      <c r="B469" s="17" t="n">
        <f aca="false">B468+1</f>
        <v>46490</v>
      </c>
      <c r="C469" s="18" t="n">
        <f aca="false">MIN(ROUNDUP(A469/365,0),5)</f>
        <v>2</v>
      </c>
      <c r="D469" s="18" t="n">
        <f aca="false">DATEDIF(Assumptions!B5,B469,"m")+1</f>
        <v>16</v>
      </c>
      <c r="E469" s="18" t="str">
        <f aca="false">TEXT(B469,"ddd")</f>
        <v>Tue</v>
      </c>
      <c r="F469" s="19" t="n">
        <f aca="false">IF(WEEKDAY(B469,2)&gt;=6,Assumptions!B34,Assumptions!B35)</f>
        <v>1</v>
      </c>
      <c r="G469" s="20" t="n">
        <f aca="false">IF(D469&gt;=13,(1+Assumptions!B46)^(D469-12),1)</f>
        <v>1.012054108081</v>
      </c>
      <c r="H469" s="21" t="n">
        <f aca="false">H468*(1+IF(C469=1,Assumptions!B22,Assumptions!B23))</f>
        <v>21.1687442551197</v>
      </c>
      <c r="I469" s="16" t="n">
        <f aca="false">ROUND(H469*F469,0)</f>
        <v>21</v>
      </c>
      <c r="J469" s="22" t="n">
        <f aca="false">I469*Assumptions!B24</f>
        <v>12600</v>
      </c>
      <c r="K469" s="21" t="n">
        <f aca="false">K468*(1+Assumptions!B30)</f>
        <v>15.307785639937</v>
      </c>
      <c r="L469" s="16" t="n">
        <f aca="false">ROUND(K469*F469,0)</f>
        <v>15</v>
      </c>
      <c r="M469" s="22" t="n">
        <f aca="false">L469*Assumptions!B31</f>
        <v>4500</v>
      </c>
      <c r="N469" s="22" t="n">
        <f aca="false">J469+M469</f>
        <v>17100</v>
      </c>
      <c r="O469" s="22" t="n">
        <f aca="false">IF(DAY(B469)=1,Assumptions!B38*G469,0)</f>
        <v>0</v>
      </c>
      <c r="P469" s="22" t="n">
        <f aca="false">IF(DAY(B469)=1,Assumptions!B39*G469,0)</f>
        <v>0</v>
      </c>
      <c r="Q469" s="22" t="n">
        <f aca="false">IF(DAY(B469)=1,Assumptions!B40*G469,0)</f>
        <v>0</v>
      </c>
      <c r="R469" s="22" t="n">
        <f aca="false">IF(DAY(B469)=1,Assumptions!B41*G469,0)</f>
        <v>0</v>
      </c>
      <c r="S469" s="22" t="n">
        <f aca="false">IF(AND(DAY(B469)=1,D469&gt;=13),Assumptions!B42*G469,0)</f>
        <v>0</v>
      </c>
      <c r="T469" s="22" t="n">
        <f aca="false">IF(DAY(B469)=1,Assumptions!B43*G469,0)</f>
        <v>0</v>
      </c>
      <c r="U469" s="22" t="n">
        <f aca="false">SUM(O469:T469)</f>
        <v>0</v>
      </c>
      <c r="V469" s="22" t="n">
        <f aca="false">N469-U469</f>
        <v>17100</v>
      </c>
      <c r="W469" s="22" t="n">
        <f aca="false">W468+V469</f>
        <v>-3259636.95538321</v>
      </c>
      <c r="X469" s="23" t="str">
        <f aca="false">IF(W469&gt;=0,"YES","No")</f>
        <v>No</v>
      </c>
    </row>
    <row r="470" customFormat="false" ht="15" hidden="false" customHeight="false" outlineLevel="0" collapsed="false">
      <c r="A470" s="16" t="n">
        <v>469</v>
      </c>
      <c r="B470" s="17" t="n">
        <f aca="false">B469+1</f>
        <v>46491</v>
      </c>
      <c r="C470" s="18" t="n">
        <f aca="false">MIN(ROUNDUP(A470/365,0),5)</f>
        <v>2</v>
      </c>
      <c r="D470" s="18" t="n">
        <f aca="false">DATEDIF(Assumptions!B5,B470,"m")+1</f>
        <v>16</v>
      </c>
      <c r="E470" s="18" t="str">
        <f aca="false">TEXT(B470,"ddd")</f>
        <v>Wed</v>
      </c>
      <c r="F470" s="19" t="n">
        <f aca="false">IF(WEEKDAY(B470,2)&gt;=6,Assumptions!B34,Assumptions!B35)</f>
        <v>1</v>
      </c>
      <c r="G470" s="20" t="n">
        <f aca="false">IF(D470&gt;=13,(1+Assumptions!B46)^(D470-12),1)</f>
        <v>1.012054108081</v>
      </c>
      <c r="H470" s="21" t="n">
        <f aca="false">H469*(1+IF(C470=1,Assumptions!B22,Assumptions!B23))</f>
        <v>21.17221300153</v>
      </c>
      <c r="I470" s="16" t="n">
        <f aca="false">ROUND(H470*F470,0)</f>
        <v>21</v>
      </c>
      <c r="J470" s="22" t="n">
        <f aca="false">I470*Assumptions!B24</f>
        <v>12600</v>
      </c>
      <c r="K470" s="21" t="n">
        <f aca="false">K469*(1+Assumptions!B30)</f>
        <v>15.3127903189612</v>
      </c>
      <c r="L470" s="16" t="n">
        <f aca="false">ROUND(K470*F470,0)</f>
        <v>15</v>
      </c>
      <c r="M470" s="22" t="n">
        <f aca="false">L470*Assumptions!B31</f>
        <v>4500</v>
      </c>
      <c r="N470" s="22" t="n">
        <f aca="false">J470+M470</f>
        <v>17100</v>
      </c>
      <c r="O470" s="22" t="n">
        <f aca="false">IF(DAY(B470)=1,Assumptions!B38*G470,0)</f>
        <v>0</v>
      </c>
      <c r="P470" s="22" t="n">
        <f aca="false">IF(DAY(B470)=1,Assumptions!B39*G470,0)</f>
        <v>0</v>
      </c>
      <c r="Q470" s="22" t="n">
        <f aca="false">IF(DAY(B470)=1,Assumptions!B40*G470,0)</f>
        <v>0</v>
      </c>
      <c r="R470" s="22" t="n">
        <f aca="false">IF(DAY(B470)=1,Assumptions!B41*G470,0)</f>
        <v>0</v>
      </c>
      <c r="S470" s="22" t="n">
        <f aca="false">IF(AND(DAY(B470)=1,D470&gt;=13),Assumptions!B42*G470,0)</f>
        <v>0</v>
      </c>
      <c r="T470" s="22" t="n">
        <f aca="false">IF(DAY(B470)=1,Assumptions!B43*G470,0)</f>
        <v>0</v>
      </c>
      <c r="U470" s="22" t="n">
        <f aca="false">SUM(O470:T470)</f>
        <v>0</v>
      </c>
      <c r="V470" s="22" t="n">
        <f aca="false">N470-U470</f>
        <v>17100</v>
      </c>
      <c r="W470" s="22" t="n">
        <f aca="false">W469+V470</f>
        <v>-3242536.95538321</v>
      </c>
      <c r="X470" s="23" t="str">
        <f aca="false">IF(W470&gt;=0,"YES","No")</f>
        <v>No</v>
      </c>
    </row>
    <row r="471" customFormat="false" ht="15" hidden="false" customHeight="false" outlineLevel="0" collapsed="false">
      <c r="A471" s="16" t="n">
        <v>470</v>
      </c>
      <c r="B471" s="17" t="n">
        <f aca="false">B470+1</f>
        <v>46492</v>
      </c>
      <c r="C471" s="18" t="n">
        <f aca="false">MIN(ROUNDUP(A471/365,0),5)</f>
        <v>2</v>
      </c>
      <c r="D471" s="18" t="n">
        <f aca="false">DATEDIF(Assumptions!B5,B471,"m")+1</f>
        <v>16</v>
      </c>
      <c r="E471" s="18" t="str">
        <f aca="false">TEXT(B471,"ddd")</f>
        <v>Thu</v>
      </c>
      <c r="F471" s="19" t="n">
        <f aca="false">IF(WEEKDAY(B471,2)&gt;=6,Assumptions!B34,Assumptions!B35)</f>
        <v>1</v>
      </c>
      <c r="G471" s="20" t="n">
        <f aca="false">IF(D471&gt;=13,(1+Assumptions!B46)^(D471-12),1)</f>
        <v>1.012054108081</v>
      </c>
      <c r="H471" s="21" t="n">
        <f aca="false">H470*(1+IF(C471=1,Assumptions!B22,Assumptions!B23))</f>
        <v>21.1756823163351</v>
      </c>
      <c r="I471" s="16" t="n">
        <f aca="false">ROUND(H471*F471,0)</f>
        <v>21</v>
      </c>
      <c r="J471" s="22" t="n">
        <f aca="false">I471*Assumptions!B24</f>
        <v>12600</v>
      </c>
      <c r="K471" s="21" t="n">
        <f aca="false">K470*(1+Assumptions!B30)</f>
        <v>15.3177966341993</v>
      </c>
      <c r="L471" s="16" t="n">
        <f aca="false">ROUND(K471*F471,0)</f>
        <v>15</v>
      </c>
      <c r="M471" s="22" t="n">
        <f aca="false">L471*Assumptions!B31</f>
        <v>4500</v>
      </c>
      <c r="N471" s="22" t="n">
        <f aca="false">J471+M471</f>
        <v>17100</v>
      </c>
      <c r="O471" s="22" t="n">
        <f aca="false">IF(DAY(B471)=1,Assumptions!B38*G471,0)</f>
        <v>0</v>
      </c>
      <c r="P471" s="22" t="n">
        <f aca="false">IF(DAY(B471)=1,Assumptions!B39*G471,0)</f>
        <v>0</v>
      </c>
      <c r="Q471" s="22" t="n">
        <f aca="false">IF(DAY(B471)=1,Assumptions!B40*G471,0)</f>
        <v>0</v>
      </c>
      <c r="R471" s="22" t="n">
        <f aca="false">IF(DAY(B471)=1,Assumptions!B41*G471,0)</f>
        <v>0</v>
      </c>
      <c r="S471" s="22" t="n">
        <f aca="false">IF(AND(DAY(B471)=1,D471&gt;=13),Assumptions!B42*G471,0)</f>
        <v>0</v>
      </c>
      <c r="T471" s="22" t="n">
        <f aca="false">IF(DAY(B471)=1,Assumptions!B43*G471,0)</f>
        <v>0</v>
      </c>
      <c r="U471" s="22" t="n">
        <f aca="false">SUM(O471:T471)</f>
        <v>0</v>
      </c>
      <c r="V471" s="22" t="n">
        <f aca="false">N471-U471</f>
        <v>17100</v>
      </c>
      <c r="W471" s="22" t="n">
        <f aca="false">W470+V471</f>
        <v>-3225436.95538321</v>
      </c>
      <c r="X471" s="23" t="str">
        <f aca="false">IF(W471&gt;=0,"YES","No")</f>
        <v>No</v>
      </c>
    </row>
    <row r="472" customFormat="false" ht="15" hidden="false" customHeight="false" outlineLevel="0" collapsed="false">
      <c r="A472" s="16" t="n">
        <v>471</v>
      </c>
      <c r="B472" s="17" t="n">
        <f aca="false">B471+1</f>
        <v>46493</v>
      </c>
      <c r="C472" s="18" t="n">
        <f aca="false">MIN(ROUNDUP(A472/365,0),5)</f>
        <v>2</v>
      </c>
      <c r="D472" s="18" t="n">
        <f aca="false">DATEDIF(Assumptions!B5,B472,"m")+1</f>
        <v>16</v>
      </c>
      <c r="E472" s="18" t="str">
        <f aca="false">TEXT(B472,"ddd")</f>
        <v>Fri</v>
      </c>
      <c r="F472" s="19" t="n">
        <f aca="false">IF(WEEKDAY(B472,2)&gt;=6,Assumptions!B34,Assumptions!B35)</f>
        <v>1</v>
      </c>
      <c r="G472" s="20" t="n">
        <f aca="false">IF(D472&gt;=13,(1+Assumptions!B46)^(D472-12),1)</f>
        <v>1.012054108081</v>
      </c>
      <c r="H472" s="21" t="n">
        <f aca="false">H471*(1+IF(C472=1,Assumptions!B22,Assumptions!B23))</f>
        <v>21.1791521996279</v>
      </c>
      <c r="I472" s="16" t="n">
        <f aca="false">ROUND(H472*F472,0)</f>
        <v>21</v>
      </c>
      <c r="J472" s="22" t="n">
        <f aca="false">I472*Assumptions!B24</f>
        <v>12600</v>
      </c>
      <c r="K472" s="21" t="n">
        <f aca="false">K471*(1+Assumptions!B30)</f>
        <v>15.3228045861863</v>
      </c>
      <c r="L472" s="16" t="n">
        <f aca="false">ROUND(K472*F472,0)</f>
        <v>15</v>
      </c>
      <c r="M472" s="22" t="n">
        <f aca="false">L472*Assumptions!B31</f>
        <v>4500</v>
      </c>
      <c r="N472" s="22" t="n">
        <f aca="false">J472+M472</f>
        <v>17100</v>
      </c>
      <c r="O472" s="22" t="n">
        <f aca="false">IF(DAY(B472)=1,Assumptions!B38*G472,0)</f>
        <v>0</v>
      </c>
      <c r="P472" s="22" t="n">
        <f aca="false">IF(DAY(B472)=1,Assumptions!B39*G472,0)</f>
        <v>0</v>
      </c>
      <c r="Q472" s="22" t="n">
        <f aca="false">IF(DAY(B472)=1,Assumptions!B40*G472,0)</f>
        <v>0</v>
      </c>
      <c r="R472" s="22" t="n">
        <f aca="false">IF(DAY(B472)=1,Assumptions!B41*G472,0)</f>
        <v>0</v>
      </c>
      <c r="S472" s="22" t="n">
        <f aca="false">IF(AND(DAY(B472)=1,D472&gt;=13),Assumptions!B42*G472,0)</f>
        <v>0</v>
      </c>
      <c r="T472" s="22" t="n">
        <f aca="false">IF(DAY(B472)=1,Assumptions!B43*G472,0)</f>
        <v>0</v>
      </c>
      <c r="U472" s="22" t="n">
        <f aca="false">SUM(O472:T472)</f>
        <v>0</v>
      </c>
      <c r="V472" s="22" t="n">
        <f aca="false">N472-U472</f>
        <v>17100</v>
      </c>
      <c r="W472" s="22" t="n">
        <f aca="false">W471+V472</f>
        <v>-3208336.95538321</v>
      </c>
      <c r="X472" s="23" t="str">
        <f aca="false">IF(W472&gt;=0,"YES","No")</f>
        <v>No</v>
      </c>
    </row>
    <row r="473" customFormat="false" ht="15" hidden="false" customHeight="false" outlineLevel="0" collapsed="false">
      <c r="A473" s="16" t="n">
        <v>472</v>
      </c>
      <c r="B473" s="17" t="n">
        <f aca="false">B472+1</f>
        <v>46494</v>
      </c>
      <c r="C473" s="18" t="n">
        <f aca="false">MIN(ROUNDUP(A473/365,0),5)</f>
        <v>2</v>
      </c>
      <c r="D473" s="18" t="n">
        <f aca="false">DATEDIF(Assumptions!B5,B473,"m")+1</f>
        <v>16</v>
      </c>
      <c r="E473" s="18" t="str">
        <f aca="false">TEXT(B473,"ddd")</f>
        <v>Sat</v>
      </c>
      <c r="F473" s="19" t="n">
        <f aca="false">IF(WEEKDAY(B473,2)&gt;=6,Assumptions!B34,Assumptions!B35)</f>
        <v>0.6</v>
      </c>
      <c r="G473" s="20" t="n">
        <f aca="false">IF(D473&gt;=13,(1+Assumptions!B46)^(D473-12),1)</f>
        <v>1.012054108081</v>
      </c>
      <c r="H473" s="21" t="n">
        <f aca="false">H472*(1+IF(C473=1,Assumptions!B22,Assumptions!B23))</f>
        <v>21.1826226515017</v>
      </c>
      <c r="I473" s="16" t="n">
        <f aca="false">ROUND(H473*F473,0)</f>
        <v>13</v>
      </c>
      <c r="J473" s="22" t="n">
        <f aca="false">I473*Assumptions!B24</f>
        <v>7800</v>
      </c>
      <c r="K473" s="21" t="n">
        <f aca="false">K472*(1+Assumptions!B30)</f>
        <v>15.3278141754572</v>
      </c>
      <c r="L473" s="16" t="n">
        <f aca="false">ROUND(K473*F473,0)</f>
        <v>9</v>
      </c>
      <c r="M473" s="22" t="n">
        <f aca="false">L473*Assumptions!B31</f>
        <v>2700</v>
      </c>
      <c r="N473" s="22" t="n">
        <f aca="false">J473+M473</f>
        <v>10500</v>
      </c>
      <c r="O473" s="22" t="n">
        <f aca="false">IF(DAY(B473)=1,Assumptions!B38*G473,0)</f>
        <v>0</v>
      </c>
      <c r="P473" s="22" t="n">
        <f aca="false">IF(DAY(B473)=1,Assumptions!B39*G473,0)</f>
        <v>0</v>
      </c>
      <c r="Q473" s="22" t="n">
        <f aca="false">IF(DAY(B473)=1,Assumptions!B40*G473,0)</f>
        <v>0</v>
      </c>
      <c r="R473" s="22" t="n">
        <f aca="false">IF(DAY(B473)=1,Assumptions!B41*G473,0)</f>
        <v>0</v>
      </c>
      <c r="S473" s="22" t="n">
        <f aca="false">IF(AND(DAY(B473)=1,D473&gt;=13),Assumptions!B42*G473,0)</f>
        <v>0</v>
      </c>
      <c r="T473" s="22" t="n">
        <f aca="false">IF(DAY(B473)=1,Assumptions!B43*G473,0)</f>
        <v>0</v>
      </c>
      <c r="U473" s="22" t="n">
        <f aca="false">SUM(O473:T473)</f>
        <v>0</v>
      </c>
      <c r="V473" s="22" t="n">
        <f aca="false">N473-U473</f>
        <v>10500</v>
      </c>
      <c r="W473" s="22" t="n">
        <f aca="false">W472+V473</f>
        <v>-3197836.95538321</v>
      </c>
      <c r="X473" s="23" t="str">
        <f aca="false">IF(W473&gt;=0,"YES","No")</f>
        <v>No</v>
      </c>
    </row>
    <row r="474" customFormat="false" ht="15" hidden="false" customHeight="false" outlineLevel="0" collapsed="false">
      <c r="A474" s="16" t="n">
        <v>473</v>
      </c>
      <c r="B474" s="17" t="n">
        <f aca="false">B473+1</f>
        <v>46495</v>
      </c>
      <c r="C474" s="18" t="n">
        <f aca="false">MIN(ROUNDUP(A474/365,0),5)</f>
        <v>2</v>
      </c>
      <c r="D474" s="18" t="n">
        <f aca="false">DATEDIF(Assumptions!B5,B474,"m")+1</f>
        <v>16</v>
      </c>
      <c r="E474" s="18" t="str">
        <f aca="false">TEXT(B474,"ddd")</f>
        <v>Sun</v>
      </c>
      <c r="F474" s="19" t="n">
        <f aca="false">IF(WEEKDAY(B474,2)&gt;=6,Assumptions!B34,Assumptions!B35)</f>
        <v>0.6</v>
      </c>
      <c r="G474" s="20" t="n">
        <f aca="false">IF(D474&gt;=13,(1+Assumptions!B46)^(D474-12),1)</f>
        <v>1.012054108081</v>
      </c>
      <c r="H474" s="21" t="n">
        <f aca="false">H473*(1+IF(C474=1,Assumptions!B22,Assumptions!B23))</f>
        <v>21.1860936720497</v>
      </c>
      <c r="I474" s="16" t="n">
        <f aca="false">ROUND(H474*F474,0)</f>
        <v>13</v>
      </c>
      <c r="J474" s="22" t="n">
        <f aca="false">I474*Assumptions!B24</f>
        <v>7800</v>
      </c>
      <c r="K474" s="21" t="n">
        <f aca="false">K473*(1+Assumptions!B30)</f>
        <v>15.3328254025475</v>
      </c>
      <c r="L474" s="16" t="n">
        <f aca="false">ROUND(K474*F474,0)</f>
        <v>9</v>
      </c>
      <c r="M474" s="22" t="n">
        <f aca="false">L474*Assumptions!B31</f>
        <v>2700</v>
      </c>
      <c r="N474" s="22" t="n">
        <f aca="false">J474+M474</f>
        <v>10500</v>
      </c>
      <c r="O474" s="22" t="n">
        <f aca="false">IF(DAY(B474)=1,Assumptions!B38*G474,0)</f>
        <v>0</v>
      </c>
      <c r="P474" s="22" t="n">
        <f aca="false">IF(DAY(B474)=1,Assumptions!B39*G474,0)</f>
        <v>0</v>
      </c>
      <c r="Q474" s="22" t="n">
        <f aca="false">IF(DAY(B474)=1,Assumptions!B40*G474,0)</f>
        <v>0</v>
      </c>
      <c r="R474" s="22" t="n">
        <f aca="false">IF(DAY(B474)=1,Assumptions!B41*G474,0)</f>
        <v>0</v>
      </c>
      <c r="S474" s="22" t="n">
        <f aca="false">IF(AND(DAY(B474)=1,D474&gt;=13),Assumptions!B42*G474,0)</f>
        <v>0</v>
      </c>
      <c r="T474" s="22" t="n">
        <f aca="false">IF(DAY(B474)=1,Assumptions!B43*G474,0)</f>
        <v>0</v>
      </c>
      <c r="U474" s="22" t="n">
        <f aca="false">SUM(O474:T474)</f>
        <v>0</v>
      </c>
      <c r="V474" s="22" t="n">
        <f aca="false">N474-U474</f>
        <v>10500</v>
      </c>
      <c r="W474" s="22" t="n">
        <f aca="false">W473+V474</f>
        <v>-3187336.95538321</v>
      </c>
      <c r="X474" s="23" t="str">
        <f aca="false">IF(W474&gt;=0,"YES","No")</f>
        <v>No</v>
      </c>
    </row>
    <row r="475" customFormat="false" ht="15" hidden="false" customHeight="false" outlineLevel="0" collapsed="false">
      <c r="A475" s="16" t="n">
        <v>474</v>
      </c>
      <c r="B475" s="17" t="n">
        <f aca="false">B474+1</f>
        <v>46496</v>
      </c>
      <c r="C475" s="18" t="n">
        <f aca="false">MIN(ROUNDUP(A475/365,0),5)</f>
        <v>2</v>
      </c>
      <c r="D475" s="18" t="n">
        <f aca="false">DATEDIF(Assumptions!B5,B475,"m")+1</f>
        <v>16</v>
      </c>
      <c r="E475" s="18" t="str">
        <f aca="false">TEXT(B475,"ddd")</f>
        <v>Mon</v>
      </c>
      <c r="F475" s="19" t="n">
        <f aca="false">IF(WEEKDAY(B475,2)&gt;=6,Assumptions!B34,Assumptions!B35)</f>
        <v>1</v>
      </c>
      <c r="G475" s="20" t="n">
        <f aca="false">IF(D475&gt;=13,(1+Assumptions!B46)^(D475-12),1)</f>
        <v>1.012054108081</v>
      </c>
      <c r="H475" s="21" t="n">
        <f aca="false">H474*(1+IF(C475=1,Assumptions!B22,Assumptions!B23))</f>
        <v>21.189565261365</v>
      </c>
      <c r="I475" s="16" t="n">
        <f aca="false">ROUND(H475*F475,0)</f>
        <v>21</v>
      </c>
      <c r="J475" s="22" t="n">
        <f aca="false">I475*Assumptions!B24</f>
        <v>12600</v>
      </c>
      <c r="K475" s="21" t="n">
        <f aca="false">K474*(1+Assumptions!B30)</f>
        <v>15.3378382679925</v>
      </c>
      <c r="L475" s="16" t="n">
        <f aca="false">ROUND(K475*F475,0)</f>
        <v>15</v>
      </c>
      <c r="M475" s="22" t="n">
        <f aca="false">L475*Assumptions!B31</f>
        <v>4500</v>
      </c>
      <c r="N475" s="22" t="n">
        <f aca="false">J475+M475</f>
        <v>17100</v>
      </c>
      <c r="O475" s="22" t="n">
        <f aca="false">IF(DAY(B475)=1,Assumptions!B38*G475,0)</f>
        <v>0</v>
      </c>
      <c r="P475" s="22" t="n">
        <f aca="false">IF(DAY(B475)=1,Assumptions!B39*G475,0)</f>
        <v>0</v>
      </c>
      <c r="Q475" s="22" t="n">
        <f aca="false">IF(DAY(B475)=1,Assumptions!B40*G475,0)</f>
        <v>0</v>
      </c>
      <c r="R475" s="22" t="n">
        <f aca="false">IF(DAY(B475)=1,Assumptions!B41*G475,0)</f>
        <v>0</v>
      </c>
      <c r="S475" s="22" t="n">
        <f aca="false">IF(AND(DAY(B475)=1,D475&gt;=13),Assumptions!B42*G475,0)</f>
        <v>0</v>
      </c>
      <c r="T475" s="22" t="n">
        <f aca="false">IF(DAY(B475)=1,Assumptions!B43*G475,0)</f>
        <v>0</v>
      </c>
      <c r="U475" s="22" t="n">
        <f aca="false">SUM(O475:T475)</f>
        <v>0</v>
      </c>
      <c r="V475" s="22" t="n">
        <f aca="false">N475-U475</f>
        <v>17100</v>
      </c>
      <c r="W475" s="22" t="n">
        <f aca="false">W474+V475</f>
        <v>-3170236.95538321</v>
      </c>
      <c r="X475" s="23" t="str">
        <f aca="false">IF(W475&gt;=0,"YES","No")</f>
        <v>No</v>
      </c>
    </row>
    <row r="476" customFormat="false" ht="15" hidden="false" customHeight="false" outlineLevel="0" collapsed="false">
      <c r="A476" s="16" t="n">
        <v>475</v>
      </c>
      <c r="B476" s="17" t="n">
        <f aca="false">B475+1</f>
        <v>46497</v>
      </c>
      <c r="C476" s="18" t="n">
        <f aca="false">MIN(ROUNDUP(A476/365,0),5)</f>
        <v>2</v>
      </c>
      <c r="D476" s="18" t="n">
        <f aca="false">DATEDIF(Assumptions!B5,B476,"m")+1</f>
        <v>16</v>
      </c>
      <c r="E476" s="18" t="str">
        <f aca="false">TEXT(B476,"ddd")</f>
        <v>Tue</v>
      </c>
      <c r="F476" s="19" t="n">
        <f aca="false">IF(WEEKDAY(B476,2)&gt;=6,Assumptions!B34,Assumptions!B35)</f>
        <v>1</v>
      </c>
      <c r="G476" s="20" t="n">
        <f aca="false">IF(D476&gt;=13,(1+Assumptions!B46)^(D476-12),1)</f>
        <v>1.012054108081</v>
      </c>
      <c r="H476" s="21" t="n">
        <f aca="false">H475*(1+IF(C476=1,Assumptions!B22,Assumptions!B23))</f>
        <v>21.1930374195408</v>
      </c>
      <c r="I476" s="16" t="n">
        <f aca="false">ROUND(H476*F476,0)</f>
        <v>21</v>
      </c>
      <c r="J476" s="22" t="n">
        <f aca="false">I476*Assumptions!B24</f>
        <v>12600</v>
      </c>
      <c r="K476" s="21" t="n">
        <f aca="false">K475*(1+Assumptions!B30)</f>
        <v>15.3428527723278</v>
      </c>
      <c r="L476" s="16" t="n">
        <f aca="false">ROUND(K476*F476,0)</f>
        <v>15</v>
      </c>
      <c r="M476" s="22" t="n">
        <f aca="false">L476*Assumptions!B31</f>
        <v>4500</v>
      </c>
      <c r="N476" s="22" t="n">
        <f aca="false">J476+M476</f>
        <v>17100</v>
      </c>
      <c r="O476" s="22" t="n">
        <f aca="false">IF(DAY(B476)=1,Assumptions!B38*G476,0)</f>
        <v>0</v>
      </c>
      <c r="P476" s="22" t="n">
        <f aca="false">IF(DAY(B476)=1,Assumptions!B39*G476,0)</f>
        <v>0</v>
      </c>
      <c r="Q476" s="22" t="n">
        <f aca="false">IF(DAY(B476)=1,Assumptions!B40*G476,0)</f>
        <v>0</v>
      </c>
      <c r="R476" s="22" t="n">
        <f aca="false">IF(DAY(B476)=1,Assumptions!B41*G476,0)</f>
        <v>0</v>
      </c>
      <c r="S476" s="22" t="n">
        <f aca="false">IF(AND(DAY(B476)=1,D476&gt;=13),Assumptions!B42*G476,0)</f>
        <v>0</v>
      </c>
      <c r="T476" s="22" t="n">
        <f aca="false">IF(DAY(B476)=1,Assumptions!B43*G476,0)</f>
        <v>0</v>
      </c>
      <c r="U476" s="22" t="n">
        <f aca="false">SUM(O476:T476)</f>
        <v>0</v>
      </c>
      <c r="V476" s="22" t="n">
        <f aca="false">N476-U476</f>
        <v>17100</v>
      </c>
      <c r="W476" s="22" t="n">
        <f aca="false">W475+V476</f>
        <v>-3153136.95538321</v>
      </c>
      <c r="X476" s="23" t="str">
        <f aca="false">IF(W476&gt;=0,"YES","No")</f>
        <v>No</v>
      </c>
    </row>
    <row r="477" customFormat="false" ht="15" hidden="false" customHeight="false" outlineLevel="0" collapsed="false">
      <c r="A477" s="16" t="n">
        <v>476</v>
      </c>
      <c r="B477" s="17" t="n">
        <f aca="false">B476+1</f>
        <v>46498</v>
      </c>
      <c r="C477" s="18" t="n">
        <f aca="false">MIN(ROUNDUP(A477/365,0),5)</f>
        <v>2</v>
      </c>
      <c r="D477" s="18" t="n">
        <f aca="false">DATEDIF(Assumptions!B5,B477,"m")+1</f>
        <v>16</v>
      </c>
      <c r="E477" s="18" t="str">
        <f aca="false">TEXT(B477,"ddd")</f>
        <v>Wed</v>
      </c>
      <c r="F477" s="19" t="n">
        <f aca="false">IF(WEEKDAY(B477,2)&gt;=6,Assumptions!B34,Assumptions!B35)</f>
        <v>1</v>
      </c>
      <c r="G477" s="20" t="n">
        <f aca="false">IF(D477&gt;=13,(1+Assumptions!B46)^(D477-12),1)</f>
        <v>1.012054108081</v>
      </c>
      <c r="H477" s="21" t="n">
        <f aca="false">H476*(1+IF(C477=1,Assumptions!B22,Assumptions!B23))</f>
        <v>21.1965101466704</v>
      </c>
      <c r="I477" s="16" t="n">
        <f aca="false">ROUND(H477*F477,0)</f>
        <v>21</v>
      </c>
      <c r="J477" s="22" t="n">
        <f aca="false">I477*Assumptions!B24</f>
        <v>12600</v>
      </c>
      <c r="K477" s="21" t="n">
        <f aca="false">K476*(1+Assumptions!B30)</f>
        <v>15.3478689160894</v>
      </c>
      <c r="L477" s="16" t="n">
        <f aca="false">ROUND(K477*F477,0)</f>
        <v>15</v>
      </c>
      <c r="M477" s="22" t="n">
        <f aca="false">L477*Assumptions!B31</f>
        <v>4500</v>
      </c>
      <c r="N477" s="22" t="n">
        <f aca="false">J477+M477</f>
        <v>17100</v>
      </c>
      <c r="O477" s="22" t="n">
        <f aca="false">IF(DAY(B477)=1,Assumptions!B38*G477,0)</f>
        <v>0</v>
      </c>
      <c r="P477" s="22" t="n">
        <f aca="false">IF(DAY(B477)=1,Assumptions!B39*G477,0)</f>
        <v>0</v>
      </c>
      <c r="Q477" s="22" t="n">
        <f aca="false">IF(DAY(B477)=1,Assumptions!B40*G477,0)</f>
        <v>0</v>
      </c>
      <c r="R477" s="22" t="n">
        <f aca="false">IF(DAY(B477)=1,Assumptions!B41*G477,0)</f>
        <v>0</v>
      </c>
      <c r="S477" s="22" t="n">
        <f aca="false">IF(AND(DAY(B477)=1,D477&gt;=13),Assumptions!B42*G477,0)</f>
        <v>0</v>
      </c>
      <c r="T477" s="22" t="n">
        <f aca="false">IF(DAY(B477)=1,Assumptions!B43*G477,0)</f>
        <v>0</v>
      </c>
      <c r="U477" s="22" t="n">
        <f aca="false">SUM(O477:T477)</f>
        <v>0</v>
      </c>
      <c r="V477" s="22" t="n">
        <f aca="false">N477-U477</f>
        <v>17100</v>
      </c>
      <c r="W477" s="22" t="n">
        <f aca="false">W476+V477</f>
        <v>-3136036.95538321</v>
      </c>
      <c r="X477" s="23" t="str">
        <f aca="false">IF(W477&gt;=0,"YES","No")</f>
        <v>No</v>
      </c>
    </row>
    <row r="478" customFormat="false" ht="15" hidden="false" customHeight="false" outlineLevel="0" collapsed="false">
      <c r="A478" s="16" t="n">
        <v>477</v>
      </c>
      <c r="B478" s="17" t="n">
        <f aca="false">B477+1</f>
        <v>46499</v>
      </c>
      <c r="C478" s="18" t="n">
        <f aca="false">MIN(ROUNDUP(A478/365,0),5)</f>
        <v>2</v>
      </c>
      <c r="D478" s="18" t="n">
        <f aca="false">DATEDIF(Assumptions!B5,B478,"m")+1</f>
        <v>16</v>
      </c>
      <c r="E478" s="18" t="str">
        <f aca="false">TEXT(B478,"ddd")</f>
        <v>Thu</v>
      </c>
      <c r="F478" s="19" t="n">
        <f aca="false">IF(WEEKDAY(B478,2)&gt;=6,Assumptions!B34,Assumptions!B35)</f>
        <v>1</v>
      </c>
      <c r="G478" s="20" t="n">
        <f aca="false">IF(D478&gt;=13,(1+Assumptions!B46)^(D478-12),1)</f>
        <v>1.012054108081</v>
      </c>
      <c r="H478" s="21" t="n">
        <f aca="false">H477*(1+IF(C478=1,Assumptions!B22,Assumptions!B23))</f>
        <v>21.1999834428469</v>
      </c>
      <c r="I478" s="16" t="n">
        <f aca="false">ROUND(H478*F478,0)</f>
        <v>21</v>
      </c>
      <c r="J478" s="22" t="n">
        <f aca="false">I478*Assumptions!B24</f>
        <v>12600</v>
      </c>
      <c r="K478" s="21" t="n">
        <f aca="false">K477*(1+Assumptions!B30)</f>
        <v>15.3528866998131</v>
      </c>
      <c r="L478" s="16" t="n">
        <f aca="false">ROUND(K478*F478,0)</f>
        <v>15</v>
      </c>
      <c r="M478" s="22" t="n">
        <f aca="false">L478*Assumptions!B31</f>
        <v>4500</v>
      </c>
      <c r="N478" s="22" t="n">
        <f aca="false">J478+M478</f>
        <v>17100</v>
      </c>
      <c r="O478" s="22" t="n">
        <f aca="false">IF(DAY(B478)=1,Assumptions!B38*G478,0)</f>
        <v>0</v>
      </c>
      <c r="P478" s="22" t="n">
        <f aca="false">IF(DAY(B478)=1,Assumptions!B39*G478,0)</f>
        <v>0</v>
      </c>
      <c r="Q478" s="22" t="n">
        <f aca="false">IF(DAY(B478)=1,Assumptions!B40*G478,0)</f>
        <v>0</v>
      </c>
      <c r="R478" s="22" t="n">
        <f aca="false">IF(DAY(B478)=1,Assumptions!B41*G478,0)</f>
        <v>0</v>
      </c>
      <c r="S478" s="22" t="n">
        <f aca="false">IF(AND(DAY(B478)=1,D478&gt;=13),Assumptions!B42*G478,0)</f>
        <v>0</v>
      </c>
      <c r="T478" s="22" t="n">
        <f aca="false">IF(DAY(B478)=1,Assumptions!B43*G478,0)</f>
        <v>0</v>
      </c>
      <c r="U478" s="22" t="n">
        <f aca="false">SUM(O478:T478)</f>
        <v>0</v>
      </c>
      <c r="V478" s="22" t="n">
        <f aca="false">N478-U478</f>
        <v>17100</v>
      </c>
      <c r="W478" s="22" t="n">
        <f aca="false">W477+V478</f>
        <v>-3118936.95538321</v>
      </c>
      <c r="X478" s="23" t="str">
        <f aca="false">IF(W478&gt;=0,"YES","No")</f>
        <v>No</v>
      </c>
    </row>
    <row r="479" customFormat="false" ht="15" hidden="false" customHeight="false" outlineLevel="0" collapsed="false">
      <c r="A479" s="16" t="n">
        <v>478</v>
      </c>
      <c r="B479" s="17" t="n">
        <f aca="false">B478+1</f>
        <v>46500</v>
      </c>
      <c r="C479" s="18" t="n">
        <f aca="false">MIN(ROUNDUP(A479/365,0),5)</f>
        <v>2</v>
      </c>
      <c r="D479" s="18" t="n">
        <f aca="false">DATEDIF(Assumptions!B5,B479,"m")+1</f>
        <v>16</v>
      </c>
      <c r="E479" s="18" t="str">
        <f aca="false">TEXT(B479,"ddd")</f>
        <v>Fri</v>
      </c>
      <c r="F479" s="19" t="n">
        <f aca="false">IF(WEEKDAY(B479,2)&gt;=6,Assumptions!B34,Assumptions!B35)</f>
        <v>1</v>
      </c>
      <c r="G479" s="20" t="n">
        <f aca="false">IF(D479&gt;=13,(1+Assumptions!B46)^(D479-12),1)</f>
        <v>1.012054108081</v>
      </c>
      <c r="H479" s="21" t="n">
        <f aca="false">H478*(1+IF(C479=1,Assumptions!B22,Assumptions!B23))</f>
        <v>21.2034573081637</v>
      </c>
      <c r="I479" s="16" t="n">
        <f aca="false">ROUND(H479*F479,0)</f>
        <v>21</v>
      </c>
      <c r="J479" s="22" t="n">
        <f aca="false">I479*Assumptions!B24</f>
        <v>12600</v>
      </c>
      <c r="K479" s="21" t="n">
        <f aca="false">K478*(1+Assumptions!B30)</f>
        <v>15.3579061240352</v>
      </c>
      <c r="L479" s="16" t="n">
        <f aca="false">ROUND(K479*F479,0)</f>
        <v>15</v>
      </c>
      <c r="M479" s="22" t="n">
        <f aca="false">L479*Assumptions!B31</f>
        <v>4500</v>
      </c>
      <c r="N479" s="22" t="n">
        <f aca="false">J479+M479</f>
        <v>17100</v>
      </c>
      <c r="O479" s="22" t="n">
        <f aca="false">IF(DAY(B479)=1,Assumptions!B38*G479,0)</f>
        <v>0</v>
      </c>
      <c r="P479" s="22" t="n">
        <f aca="false">IF(DAY(B479)=1,Assumptions!B39*G479,0)</f>
        <v>0</v>
      </c>
      <c r="Q479" s="22" t="n">
        <f aca="false">IF(DAY(B479)=1,Assumptions!B40*G479,0)</f>
        <v>0</v>
      </c>
      <c r="R479" s="22" t="n">
        <f aca="false">IF(DAY(B479)=1,Assumptions!B41*G479,0)</f>
        <v>0</v>
      </c>
      <c r="S479" s="22" t="n">
        <f aca="false">IF(AND(DAY(B479)=1,D479&gt;=13),Assumptions!B42*G479,0)</f>
        <v>0</v>
      </c>
      <c r="T479" s="22" t="n">
        <f aca="false">IF(DAY(B479)=1,Assumptions!B43*G479,0)</f>
        <v>0</v>
      </c>
      <c r="U479" s="22" t="n">
        <f aca="false">SUM(O479:T479)</f>
        <v>0</v>
      </c>
      <c r="V479" s="22" t="n">
        <f aca="false">N479-U479</f>
        <v>17100</v>
      </c>
      <c r="W479" s="22" t="n">
        <f aca="false">W478+V479</f>
        <v>-3101836.95538321</v>
      </c>
      <c r="X479" s="23" t="str">
        <f aca="false">IF(W479&gt;=0,"YES","No")</f>
        <v>No</v>
      </c>
    </row>
    <row r="480" customFormat="false" ht="15" hidden="false" customHeight="false" outlineLevel="0" collapsed="false">
      <c r="A480" s="16" t="n">
        <v>479</v>
      </c>
      <c r="B480" s="17" t="n">
        <f aca="false">B479+1</f>
        <v>46501</v>
      </c>
      <c r="C480" s="18" t="n">
        <f aca="false">MIN(ROUNDUP(A480/365,0),5)</f>
        <v>2</v>
      </c>
      <c r="D480" s="18" t="n">
        <f aca="false">DATEDIF(Assumptions!B5,B480,"m")+1</f>
        <v>16</v>
      </c>
      <c r="E480" s="18" t="str">
        <f aca="false">TEXT(B480,"ddd")</f>
        <v>Sat</v>
      </c>
      <c r="F480" s="19" t="n">
        <f aca="false">IF(WEEKDAY(B480,2)&gt;=6,Assumptions!B34,Assumptions!B35)</f>
        <v>0.6</v>
      </c>
      <c r="G480" s="20" t="n">
        <f aca="false">IF(D480&gt;=13,(1+Assumptions!B46)^(D480-12),1)</f>
        <v>1.012054108081</v>
      </c>
      <c r="H480" s="21" t="n">
        <f aca="false">H479*(1+IF(C480=1,Assumptions!B22,Assumptions!B23))</f>
        <v>21.2069317427139</v>
      </c>
      <c r="I480" s="16" t="n">
        <f aca="false">ROUND(H480*F480,0)</f>
        <v>13</v>
      </c>
      <c r="J480" s="22" t="n">
        <f aca="false">I480*Assumptions!B24</f>
        <v>7800</v>
      </c>
      <c r="K480" s="21" t="n">
        <f aca="false">K479*(1+Assumptions!B30)</f>
        <v>15.3629271892919</v>
      </c>
      <c r="L480" s="16" t="n">
        <f aca="false">ROUND(K480*F480,0)</f>
        <v>9</v>
      </c>
      <c r="M480" s="22" t="n">
        <f aca="false">L480*Assumptions!B31</f>
        <v>2700</v>
      </c>
      <c r="N480" s="22" t="n">
        <f aca="false">J480+M480</f>
        <v>10500</v>
      </c>
      <c r="O480" s="22" t="n">
        <f aca="false">IF(DAY(B480)=1,Assumptions!B38*G480,0)</f>
        <v>0</v>
      </c>
      <c r="P480" s="22" t="n">
        <f aca="false">IF(DAY(B480)=1,Assumptions!B39*G480,0)</f>
        <v>0</v>
      </c>
      <c r="Q480" s="22" t="n">
        <f aca="false">IF(DAY(B480)=1,Assumptions!B40*G480,0)</f>
        <v>0</v>
      </c>
      <c r="R480" s="22" t="n">
        <f aca="false">IF(DAY(B480)=1,Assumptions!B41*G480,0)</f>
        <v>0</v>
      </c>
      <c r="S480" s="22" t="n">
        <f aca="false">IF(AND(DAY(B480)=1,D480&gt;=13),Assumptions!B42*G480,0)</f>
        <v>0</v>
      </c>
      <c r="T480" s="22" t="n">
        <f aca="false">IF(DAY(B480)=1,Assumptions!B43*G480,0)</f>
        <v>0</v>
      </c>
      <c r="U480" s="22" t="n">
        <f aca="false">SUM(O480:T480)</f>
        <v>0</v>
      </c>
      <c r="V480" s="22" t="n">
        <f aca="false">N480-U480</f>
        <v>10500</v>
      </c>
      <c r="W480" s="22" t="n">
        <f aca="false">W479+V480</f>
        <v>-3091336.95538321</v>
      </c>
      <c r="X480" s="23" t="str">
        <f aca="false">IF(W480&gt;=0,"YES","No")</f>
        <v>No</v>
      </c>
    </row>
    <row r="481" customFormat="false" ht="15" hidden="false" customHeight="false" outlineLevel="0" collapsed="false">
      <c r="A481" s="16" t="n">
        <v>480</v>
      </c>
      <c r="B481" s="17" t="n">
        <f aca="false">B480+1</f>
        <v>46502</v>
      </c>
      <c r="C481" s="18" t="n">
        <f aca="false">MIN(ROUNDUP(A481/365,0),5)</f>
        <v>2</v>
      </c>
      <c r="D481" s="18" t="n">
        <f aca="false">DATEDIF(Assumptions!B5,B481,"m")+1</f>
        <v>16</v>
      </c>
      <c r="E481" s="18" t="str">
        <f aca="false">TEXT(B481,"ddd")</f>
        <v>Sun</v>
      </c>
      <c r="F481" s="19" t="n">
        <f aca="false">IF(WEEKDAY(B481,2)&gt;=6,Assumptions!B34,Assumptions!B35)</f>
        <v>0.6</v>
      </c>
      <c r="G481" s="20" t="n">
        <f aca="false">IF(D481&gt;=13,(1+Assumptions!B46)^(D481-12),1)</f>
        <v>1.012054108081</v>
      </c>
      <c r="H481" s="21" t="n">
        <f aca="false">H480*(1+IF(C481=1,Assumptions!B22,Assumptions!B23))</f>
        <v>21.2104067465908</v>
      </c>
      <c r="I481" s="16" t="n">
        <f aca="false">ROUND(H481*F481,0)</f>
        <v>13</v>
      </c>
      <c r="J481" s="22" t="n">
        <f aca="false">I481*Assumptions!B24</f>
        <v>7800</v>
      </c>
      <c r="K481" s="21" t="n">
        <f aca="false">K480*(1+Assumptions!B30)</f>
        <v>15.3679498961198</v>
      </c>
      <c r="L481" s="16" t="n">
        <f aca="false">ROUND(K481*F481,0)</f>
        <v>9</v>
      </c>
      <c r="M481" s="22" t="n">
        <f aca="false">L481*Assumptions!B31</f>
        <v>2700</v>
      </c>
      <c r="N481" s="22" t="n">
        <f aca="false">J481+M481</f>
        <v>10500</v>
      </c>
      <c r="O481" s="22" t="n">
        <f aca="false">IF(DAY(B481)=1,Assumptions!B38*G481,0)</f>
        <v>0</v>
      </c>
      <c r="P481" s="22" t="n">
        <f aca="false">IF(DAY(B481)=1,Assumptions!B39*G481,0)</f>
        <v>0</v>
      </c>
      <c r="Q481" s="22" t="n">
        <f aca="false">IF(DAY(B481)=1,Assumptions!B40*G481,0)</f>
        <v>0</v>
      </c>
      <c r="R481" s="22" t="n">
        <f aca="false">IF(DAY(B481)=1,Assumptions!B41*G481,0)</f>
        <v>0</v>
      </c>
      <c r="S481" s="22" t="n">
        <f aca="false">IF(AND(DAY(B481)=1,D481&gt;=13),Assumptions!B42*G481,0)</f>
        <v>0</v>
      </c>
      <c r="T481" s="22" t="n">
        <f aca="false">IF(DAY(B481)=1,Assumptions!B43*G481,0)</f>
        <v>0</v>
      </c>
      <c r="U481" s="22" t="n">
        <f aca="false">SUM(O481:T481)</f>
        <v>0</v>
      </c>
      <c r="V481" s="22" t="n">
        <f aca="false">N481-U481</f>
        <v>10500</v>
      </c>
      <c r="W481" s="22" t="n">
        <f aca="false">W480+V481</f>
        <v>-3080836.95538321</v>
      </c>
      <c r="X481" s="23" t="str">
        <f aca="false">IF(W481&gt;=0,"YES","No")</f>
        <v>No</v>
      </c>
    </row>
    <row r="482" customFormat="false" ht="15" hidden="false" customHeight="false" outlineLevel="0" collapsed="false">
      <c r="A482" s="16" t="n">
        <v>481</v>
      </c>
      <c r="B482" s="17" t="n">
        <f aca="false">B481+1</f>
        <v>46503</v>
      </c>
      <c r="C482" s="18" t="n">
        <f aca="false">MIN(ROUNDUP(A482/365,0),5)</f>
        <v>2</v>
      </c>
      <c r="D482" s="18" t="n">
        <f aca="false">DATEDIF(Assumptions!B5,B482,"m")+1</f>
        <v>16</v>
      </c>
      <c r="E482" s="18" t="str">
        <f aca="false">TEXT(B482,"ddd")</f>
        <v>Mon</v>
      </c>
      <c r="F482" s="19" t="n">
        <f aca="false">IF(WEEKDAY(B482,2)&gt;=6,Assumptions!B34,Assumptions!B35)</f>
        <v>1</v>
      </c>
      <c r="G482" s="20" t="n">
        <f aca="false">IF(D482&gt;=13,(1+Assumptions!B46)^(D482-12),1)</f>
        <v>1.012054108081</v>
      </c>
      <c r="H482" s="21" t="n">
        <f aca="false">H481*(1+IF(C482=1,Assumptions!B22,Assumptions!B23))</f>
        <v>21.2138823198878</v>
      </c>
      <c r="I482" s="16" t="n">
        <f aca="false">ROUND(H482*F482,0)</f>
        <v>21</v>
      </c>
      <c r="J482" s="22" t="n">
        <f aca="false">I482*Assumptions!B24</f>
        <v>12600</v>
      </c>
      <c r="K482" s="21" t="n">
        <f aca="false">K481*(1+Assumptions!B30)</f>
        <v>15.3729742450557</v>
      </c>
      <c r="L482" s="16" t="n">
        <f aca="false">ROUND(K482*F482,0)</f>
        <v>15</v>
      </c>
      <c r="M482" s="22" t="n">
        <f aca="false">L482*Assumptions!B31</f>
        <v>4500</v>
      </c>
      <c r="N482" s="22" t="n">
        <f aca="false">J482+M482</f>
        <v>17100</v>
      </c>
      <c r="O482" s="22" t="n">
        <f aca="false">IF(DAY(B482)=1,Assumptions!B38*G482,0)</f>
        <v>0</v>
      </c>
      <c r="P482" s="22" t="n">
        <f aca="false">IF(DAY(B482)=1,Assumptions!B39*G482,0)</f>
        <v>0</v>
      </c>
      <c r="Q482" s="22" t="n">
        <f aca="false">IF(DAY(B482)=1,Assumptions!B40*G482,0)</f>
        <v>0</v>
      </c>
      <c r="R482" s="22" t="n">
        <f aca="false">IF(DAY(B482)=1,Assumptions!B41*G482,0)</f>
        <v>0</v>
      </c>
      <c r="S482" s="22" t="n">
        <f aca="false">IF(AND(DAY(B482)=1,D482&gt;=13),Assumptions!B42*G482,0)</f>
        <v>0</v>
      </c>
      <c r="T482" s="22" t="n">
        <f aca="false">IF(DAY(B482)=1,Assumptions!B43*G482,0)</f>
        <v>0</v>
      </c>
      <c r="U482" s="22" t="n">
        <f aca="false">SUM(O482:T482)</f>
        <v>0</v>
      </c>
      <c r="V482" s="22" t="n">
        <f aca="false">N482-U482</f>
        <v>17100</v>
      </c>
      <c r="W482" s="22" t="n">
        <f aca="false">W481+V482</f>
        <v>-3063736.95538321</v>
      </c>
      <c r="X482" s="23" t="str">
        <f aca="false">IF(W482&gt;=0,"YES","No")</f>
        <v>No</v>
      </c>
    </row>
    <row r="483" customFormat="false" ht="15" hidden="false" customHeight="false" outlineLevel="0" collapsed="false">
      <c r="A483" s="16" t="n">
        <v>482</v>
      </c>
      <c r="B483" s="17" t="n">
        <f aca="false">B482+1</f>
        <v>46504</v>
      </c>
      <c r="C483" s="18" t="n">
        <f aca="false">MIN(ROUNDUP(A483/365,0),5)</f>
        <v>2</v>
      </c>
      <c r="D483" s="18" t="n">
        <f aca="false">DATEDIF(Assumptions!B5,B483,"m")+1</f>
        <v>16</v>
      </c>
      <c r="E483" s="18" t="str">
        <f aca="false">TEXT(B483,"ddd")</f>
        <v>Tue</v>
      </c>
      <c r="F483" s="19" t="n">
        <f aca="false">IF(WEEKDAY(B483,2)&gt;=6,Assumptions!B34,Assumptions!B35)</f>
        <v>1</v>
      </c>
      <c r="G483" s="20" t="n">
        <f aca="false">IF(D483&gt;=13,(1+Assumptions!B46)^(D483-12),1)</f>
        <v>1.012054108081</v>
      </c>
      <c r="H483" s="21" t="n">
        <f aca="false">H482*(1+IF(C483=1,Assumptions!B22,Assumptions!B23))</f>
        <v>21.2173584626982</v>
      </c>
      <c r="I483" s="16" t="n">
        <f aca="false">ROUND(H483*F483,0)</f>
        <v>21</v>
      </c>
      <c r="J483" s="22" t="n">
        <f aca="false">I483*Assumptions!B24</f>
        <v>12600</v>
      </c>
      <c r="K483" s="21" t="n">
        <f aca="false">K482*(1+Assumptions!B30)</f>
        <v>15.3780002366362</v>
      </c>
      <c r="L483" s="16" t="n">
        <f aca="false">ROUND(K483*F483,0)</f>
        <v>15</v>
      </c>
      <c r="M483" s="22" t="n">
        <f aca="false">L483*Assumptions!B31</f>
        <v>4500</v>
      </c>
      <c r="N483" s="22" t="n">
        <f aca="false">J483+M483</f>
        <v>17100</v>
      </c>
      <c r="O483" s="22" t="n">
        <f aca="false">IF(DAY(B483)=1,Assumptions!B38*G483,0)</f>
        <v>0</v>
      </c>
      <c r="P483" s="22" t="n">
        <f aca="false">IF(DAY(B483)=1,Assumptions!B39*G483,0)</f>
        <v>0</v>
      </c>
      <c r="Q483" s="22" t="n">
        <f aca="false">IF(DAY(B483)=1,Assumptions!B40*G483,0)</f>
        <v>0</v>
      </c>
      <c r="R483" s="22" t="n">
        <f aca="false">IF(DAY(B483)=1,Assumptions!B41*G483,0)</f>
        <v>0</v>
      </c>
      <c r="S483" s="22" t="n">
        <f aca="false">IF(AND(DAY(B483)=1,D483&gt;=13),Assumptions!B42*G483,0)</f>
        <v>0</v>
      </c>
      <c r="T483" s="22" t="n">
        <f aca="false">IF(DAY(B483)=1,Assumptions!B43*G483,0)</f>
        <v>0</v>
      </c>
      <c r="U483" s="22" t="n">
        <f aca="false">SUM(O483:T483)</f>
        <v>0</v>
      </c>
      <c r="V483" s="22" t="n">
        <f aca="false">N483-U483</f>
        <v>17100</v>
      </c>
      <c r="W483" s="22" t="n">
        <f aca="false">W482+V483</f>
        <v>-3046636.95538321</v>
      </c>
      <c r="X483" s="23" t="str">
        <f aca="false">IF(W483&gt;=0,"YES","No")</f>
        <v>No</v>
      </c>
    </row>
    <row r="484" customFormat="false" ht="15" hidden="false" customHeight="false" outlineLevel="0" collapsed="false">
      <c r="A484" s="16" t="n">
        <v>483</v>
      </c>
      <c r="B484" s="17" t="n">
        <f aca="false">B483+1</f>
        <v>46505</v>
      </c>
      <c r="C484" s="18" t="n">
        <f aca="false">MIN(ROUNDUP(A484/365,0),5)</f>
        <v>2</v>
      </c>
      <c r="D484" s="18" t="n">
        <f aca="false">DATEDIF(Assumptions!B5,B484,"m")+1</f>
        <v>16</v>
      </c>
      <c r="E484" s="18" t="str">
        <f aca="false">TEXT(B484,"ddd")</f>
        <v>Wed</v>
      </c>
      <c r="F484" s="19" t="n">
        <f aca="false">IF(WEEKDAY(B484,2)&gt;=6,Assumptions!B34,Assumptions!B35)</f>
        <v>1</v>
      </c>
      <c r="G484" s="20" t="n">
        <f aca="false">IF(D484&gt;=13,(1+Assumptions!B46)^(D484-12),1)</f>
        <v>1.012054108081</v>
      </c>
      <c r="H484" s="21" t="n">
        <f aca="false">H483*(1+IF(C484=1,Assumptions!B22,Assumptions!B23))</f>
        <v>21.2208351751152</v>
      </c>
      <c r="I484" s="16" t="n">
        <f aca="false">ROUND(H484*F484,0)</f>
        <v>21</v>
      </c>
      <c r="J484" s="22" t="n">
        <f aca="false">I484*Assumptions!B24</f>
        <v>12600</v>
      </c>
      <c r="K484" s="21" t="n">
        <f aca="false">K483*(1+Assumptions!B30)</f>
        <v>15.3830278713986</v>
      </c>
      <c r="L484" s="16" t="n">
        <f aca="false">ROUND(K484*F484,0)</f>
        <v>15</v>
      </c>
      <c r="M484" s="22" t="n">
        <f aca="false">L484*Assumptions!B31</f>
        <v>4500</v>
      </c>
      <c r="N484" s="22" t="n">
        <f aca="false">J484+M484</f>
        <v>17100</v>
      </c>
      <c r="O484" s="22" t="n">
        <f aca="false">IF(DAY(B484)=1,Assumptions!B38*G484,0)</f>
        <v>0</v>
      </c>
      <c r="P484" s="22" t="n">
        <f aca="false">IF(DAY(B484)=1,Assumptions!B39*G484,0)</f>
        <v>0</v>
      </c>
      <c r="Q484" s="22" t="n">
        <f aca="false">IF(DAY(B484)=1,Assumptions!B40*G484,0)</f>
        <v>0</v>
      </c>
      <c r="R484" s="22" t="n">
        <f aca="false">IF(DAY(B484)=1,Assumptions!B41*G484,0)</f>
        <v>0</v>
      </c>
      <c r="S484" s="22" t="n">
        <f aca="false">IF(AND(DAY(B484)=1,D484&gt;=13),Assumptions!B42*G484,0)</f>
        <v>0</v>
      </c>
      <c r="T484" s="22" t="n">
        <f aca="false">IF(DAY(B484)=1,Assumptions!B43*G484,0)</f>
        <v>0</v>
      </c>
      <c r="U484" s="22" t="n">
        <f aca="false">SUM(O484:T484)</f>
        <v>0</v>
      </c>
      <c r="V484" s="22" t="n">
        <f aca="false">N484-U484</f>
        <v>17100</v>
      </c>
      <c r="W484" s="22" t="n">
        <f aca="false">W483+V484</f>
        <v>-3029536.95538321</v>
      </c>
      <c r="X484" s="23" t="str">
        <f aca="false">IF(W484&gt;=0,"YES","No")</f>
        <v>No</v>
      </c>
    </row>
    <row r="485" customFormat="false" ht="15" hidden="false" customHeight="false" outlineLevel="0" collapsed="false">
      <c r="A485" s="16" t="n">
        <v>484</v>
      </c>
      <c r="B485" s="17" t="n">
        <f aca="false">B484+1</f>
        <v>46506</v>
      </c>
      <c r="C485" s="18" t="n">
        <f aca="false">MIN(ROUNDUP(A485/365,0),5)</f>
        <v>2</v>
      </c>
      <c r="D485" s="18" t="n">
        <f aca="false">DATEDIF(Assumptions!B5,B485,"m")+1</f>
        <v>16</v>
      </c>
      <c r="E485" s="18" t="str">
        <f aca="false">TEXT(B485,"ddd")</f>
        <v>Thu</v>
      </c>
      <c r="F485" s="19" t="n">
        <f aca="false">IF(WEEKDAY(B485,2)&gt;=6,Assumptions!B34,Assumptions!B35)</f>
        <v>1</v>
      </c>
      <c r="G485" s="20" t="n">
        <f aca="false">IF(D485&gt;=13,(1+Assumptions!B46)^(D485-12),1)</f>
        <v>1.012054108081</v>
      </c>
      <c r="H485" s="21" t="n">
        <f aca="false">H484*(1+IF(C485=1,Assumptions!B22,Assumptions!B23))</f>
        <v>21.2243124572323</v>
      </c>
      <c r="I485" s="16" t="n">
        <f aca="false">ROUND(H485*F485,0)</f>
        <v>21</v>
      </c>
      <c r="J485" s="22" t="n">
        <f aca="false">I485*Assumptions!B24</f>
        <v>12600</v>
      </c>
      <c r="K485" s="21" t="n">
        <f aca="false">K484*(1+Assumptions!B30)</f>
        <v>15.38805714988</v>
      </c>
      <c r="L485" s="16" t="n">
        <f aca="false">ROUND(K485*F485,0)</f>
        <v>15</v>
      </c>
      <c r="M485" s="22" t="n">
        <f aca="false">L485*Assumptions!B31</f>
        <v>4500</v>
      </c>
      <c r="N485" s="22" t="n">
        <f aca="false">J485+M485</f>
        <v>17100</v>
      </c>
      <c r="O485" s="22" t="n">
        <f aca="false">IF(DAY(B485)=1,Assumptions!B38*G485,0)</f>
        <v>0</v>
      </c>
      <c r="P485" s="22" t="n">
        <f aca="false">IF(DAY(B485)=1,Assumptions!B39*G485,0)</f>
        <v>0</v>
      </c>
      <c r="Q485" s="22" t="n">
        <f aca="false">IF(DAY(B485)=1,Assumptions!B40*G485,0)</f>
        <v>0</v>
      </c>
      <c r="R485" s="22" t="n">
        <f aca="false">IF(DAY(B485)=1,Assumptions!B41*G485,0)</f>
        <v>0</v>
      </c>
      <c r="S485" s="22" t="n">
        <f aca="false">IF(AND(DAY(B485)=1,D485&gt;=13),Assumptions!B42*G485,0)</f>
        <v>0</v>
      </c>
      <c r="T485" s="22" t="n">
        <f aca="false">IF(DAY(B485)=1,Assumptions!B43*G485,0)</f>
        <v>0</v>
      </c>
      <c r="U485" s="22" t="n">
        <f aca="false">SUM(O485:T485)</f>
        <v>0</v>
      </c>
      <c r="V485" s="22" t="n">
        <f aca="false">N485-U485</f>
        <v>17100</v>
      </c>
      <c r="W485" s="22" t="n">
        <f aca="false">W484+V485</f>
        <v>-3012436.95538321</v>
      </c>
      <c r="X485" s="23" t="str">
        <f aca="false">IF(W485&gt;=0,"YES","No")</f>
        <v>No</v>
      </c>
    </row>
    <row r="486" customFormat="false" ht="15" hidden="false" customHeight="false" outlineLevel="0" collapsed="false">
      <c r="A486" s="16" t="n">
        <v>485</v>
      </c>
      <c r="B486" s="17" t="n">
        <f aca="false">B485+1</f>
        <v>46507</v>
      </c>
      <c r="C486" s="18" t="n">
        <f aca="false">MIN(ROUNDUP(A486/365,0),5)</f>
        <v>2</v>
      </c>
      <c r="D486" s="18" t="n">
        <f aca="false">DATEDIF(Assumptions!B5,B486,"m")+1</f>
        <v>16</v>
      </c>
      <c r="E486" s="18" t="str">
        <f aca="false">TEXT(B486,"ddd")</f>
        <v>Fri</v>
      </c>
      <c r="F486" s="19" t="n">
        <f aca="false">IF(WEEKDAY(B486,2)&gt;=6,Assumptions!B34,Assumptions!B35)</f>
        <v>1</v>
      </c>
      <c r="G486" s="20" t="n">
        <f aca="false">IF(D486&gt;=13,(1+Assumptions!B46)^(D486-12),1)</f>
        <v>1.012054108081</v>
      </c>
      <c r="H486" s="21" t="n">
        <f aca="false">H485*(1+IF(C486=1,Assumptions!B22,Assumptions!B23))</f>
        <v>21.2277903091426</v>
      </c>
      <c r="I486" s="16" t="n">
        <f aca="false">ROUND(H486*F486,0)</f>
        <v>21</v>
      </c>
      <c r="J486" s="22" t="n">
        <f aca="false">I486*Assumptions!B24</f>
        <v>12600</v>
      </c>
      <c r="K486" s="21" t="n">
        <f aca="false">K485*(1+Assumptions!B30)</f>
        <v>15.3930880726178</v>
      </c>
      <c r="L486" s="16" t="n">
        <f aca="false">ROUND(K486*F486,0)</f>
        <v>15</v>
      </c>
      <c r="M486" s="22" t="n">
        <f aca="false">L486*Assumptions!B31</f>
        <v>4500</v>
      </c>
      <c r="N486" s="22" t="n">
        <f aca="false">J486+M486</f>
        <v>17100</v>
      </c>
      <c r="O486" s="22" t="n">
        <f aca="false">IF(DAY(B486)=1,Assumptions!B38*G486,0)</f>
        <v>0</v>
      </c>
      <c r="P486" s="22" t="n">
        <f aca="false">IF(DAY(B486)=1,Assumptions!B39*G486,0)</f>
        <v>0</v>
      </c>
      <c r="Q486" s="22" t="n">
        <f aca="false">IF(DAY(B486)=1,Assumptions!B40*G486,0)</f>
        <v>0</v>
      </c>
      <c r="R486" s="22" t="n">
        <f aca="false">IF(DAY(B486)=1,Assumptions!B41*G486,0)</f>
        <v>0</v>
      </c>
      <c r="S486" s="22" t="n">
        <f aca="false">IF(AND(DAY(B486)=1,D486&gt;=13),Assumptions!B42*G486,0)</f>
        <v>0</v>
      </c>
      <c r="T486" s="22" t="n">
        <f aca="false">IF(DAY(B486)=1,Assumptions!B43*G486,0)</f>
        <v>0</v>
      </c>
      <c r="U486" s="22" t="n">
        <f aca="false">SUM(O486:T486)</f>
        <v>0</v>
      </c>
      <c r="V486" s="22" t="n">
        <f aca="false">N486-U486</f>
        <v>17100</v>
      </c>
      <c r="W486" s="22" t="n">
        <f aca="false">W485+V486</f>
        <v>-2995336.95538321</v>
      </c>
      <c r="X486" s="23" t="str">
        <f aca="false">IF(W486&gt;=0,"YES","No")</f>
        <v>No</v>
      </c>
    </row>
    <row r="487" customFormat="false" ht="15" hidden="false" customHeight="false" outlineLevel="0" collapsed="false">
      <c r="A487" s="16" t="n">
        <v>486</v>
      </c>
      <c r="B487" s="17" t="n">
        <f aca="false">B486+1</f>
        <v>46508</v>
      </c>
      <c r="C487" s="18" t="n">
        <f aca="false">MIN(ROUNDUP(A487/365,0),5)</f>
        <v>2</v>
      </c>
      <c r="D487" s="18" t="n">
        <f aca="false">DATEDIF(Assumptions!B5,B487,"m")+1</f>
        <v>17</v>
      </c>
      <c r="E487" s="18" t="str">
        <f aca="false">TEXT(B487,"ddd")</f>
        <v>Sat</v>
      </c>
      <c r="F487" s="19" t="n">
        <f aca="false">IF(WEEKDAY(B487,2)&gt;=6,Assumptions!B34,Assumptions!B35)</f>
        <v>0.6</v>
      </c>
      <c r="G487" s="20" t="n">
        <f aca="false">IF(D487&gt;=13,(1+Assumptions!B46)^(D487-12),1)</f>
        <v>1.01509027040524</v>
      </c>
      <c r="H487" s="21" t="n">
        <f aca="false">H486*(1+IF(C487=1,Assumptions!B22,Assumptions!B23))</f>
        <v>21.2312687309398</v>
      </c>
      <c r="I487" s="16" t="n">
        <f aca="false">ROUND(H487*F487,0)</f>
        <v>13</v>
      </c>
      <c r="J487" s="22" t="n">
        <f aca="false">I487*Assumptions!B24</f>
        <v>7800</v>
      </c>
      <c r="K487" s="21" t="n">
        <f aca="false">K486*(1+Assumptions!B30)</f>
        <v>15.3981206401495</v>
      </c>
      <c r="L487" s="16" t="n">
        <f aca="false">ROUND(K487*F487,0)</f>
        <v>9</v>
      </c>
      <c r="M487" s="22" t="n">
        <f aca="false">L487*Assumptions!B31</f>
        <v>2700</v>
      </c>
      <c r="N487" s="22" t="n">
        <f aca="false">J487+M487</f>
        <v>10500</v>
      </c>
      <c r="O487" s="22" t="n">
        <f aca="false">IF(DAY(B487)=1,Assumptions!B38*G487,0)</f>
        <v>152263.540560786</v>
      </c>
      <c r="P487" s="22" t="n">
        <f aca="false">IF(DAY(B487)=1,Assumptions!B39*G487,0)</f>
        <v>40603.6108162097</v>
      </c>
      <c r="Q487" s="22" t="n">
        <f aca="false">IF(DAY(B487)=1,Assumptions!B40*G487,0)</f>
        <v>30452.7081121573</v>
      </c>
      <c r="R487" s="22" t="n">
        <f aca="false">IF(DAY(B487)=1,Assumptions!B41*G487,0)</f>
        <v>20301.8054081049</v>
      </c>
      <c r="S487" s="22" t="n">
        <f aca="false">IF(AND(DAY(B487)=1,D487&gt;=13),Assumptions!B42*G487,0)</f>
        <v>152263.540560786</v>
      </c>
      <c r="T487" s="22" t="n">
        <f aca="false">IF(DAY(B487)=1,Assumptions!B43*G487,0)</f>
        <v>20301.8054081049</v>
      </c>
      <c r="U487" s="22" t="n">
        <f aca="false">SUM(O487:T487)</f>
        <v>416187.010866149</v>
      </c>
      <c r="V487" s="22" t="n">
        <f aca="false">N487-U487</f>
        <v>-405687.010866149</v>
      </c>
      <c r="W487" s="22" t="n">
        <f aca="false">W486+V487</f>
        <v>-3401023.96624936</v>
      </c>
      <c r="X487" s="23" t="str">
        <f aca="false">IF(W487&gt;=0,"YES","No")</f>
        <v>No</v>
      </c>
    </row>
    <row r="488" customFormat="false" ht="15" hidden="false" customHeight="false" outlineLevel="0" collapsed="false">
      <c r="A488" s="16" t="n">
        <v>487</v>
      </c>
      <c r="B488" s="17" t="n">
        <f aca="false">B487+1</f>
        <v>46509</v>
      </c>
      <c r="C488" s="18" t="n">
        <f aca="false">MIN(ROUNDUP(A488/365,0),5)</f>
        <v>2</v>
      </c>
      <c r="D488" s="18" t="n">
        <f aca="false">DATEDIF(Assumptions!B5,B488,"m")+1</f>
        <v>17</v>
      </c>
      <c r="E488" s="18" t="str">
        <f aca="false">TEXT(B488,"ddd")</f>
        <v>Sun</v>
      </c>
      <c r="F488" s="19" t="n">
        <f aca="false">IF(WEEKDAY(B488,2)&gt;=6,Assumptions!B34,Assumptions!B35)</f>
        <v>0.6</v>
      </c>
      <c r="G488" s="20" t="n">
        <f aca="false">IF(D488&gt;=13,(1+Assumptions!B46)^(D488-12),1)</f>
        <v>1.01509027040524</v>
      </c>
      <c r="H488" s="21" t="n">
        <f aca="false">H487*(1+IF(C488=1,Assumptions!B22,Assumptions!B23))</f>
        <v>21.234747722717</v>
      </c>
      <c r="I488" s="16" t="n">
        <f aca="false">ROUND(H488*F488,0)</f>
        <v>13</v>
      </c>
      <c r="J488" s="22" t="n">
        <f aca="false">I488*Assumptions!B24</f>
        <v>7800</v>
      </c>
      <c r="K488" s="21" t="n">
        <f aca="false">K487*(1+Assumptions!B30)</f>
        <v>15.403154853013</v>
      </c>
      <c r="L488" s="16" t="n">
        <f aca="false">ROUND(K488*F488,0)</f>
        <v>9</v>
      </c>
      <c r="M488" s="22" t="n">
        <f aca="false">L488*Assumptions!B31</f>
        <v>2700</v>
      </c>
      <c r="N488" s="22" t="n">
        <f aca="false">J488+M488</f>
        <v>10500</v>
      </c>
      <c r="O488" s="22" t="n">
        <f aca="false">IF(DAY(B488)=1,Assumptions!B38*G488,0)</f>
        <v>0</v>
      </c>
      <c r="P488" s="22" t="n">
        <f aca="false">IF(DAY(B488)=1,Assumptions!B39*G488,0)</f>
        <v>0</v>
      </c>
      <c r="Q488" s="22" t="n">
        <f aca="false">IF(DAY(B488)=1,Assumptions!B40*G488,0)</f>
        <v>0</v>
      </c>
      <c r="R488" s="22" t="n">
        <f aca="false">IF(DAY(B488)=1,Assumptions!B41*G488,0)</f>
        <v>0</v>
      </c>
      <c r="S488" s="22" t="n">
        <f aca="false">IF(AND(DAY(B488)=1,D488&gt;=13),Assumptions!B42*G488,0)</f>
        <v>0</v>
      </c>
      <c r="T488" s="22" t="n">
        <f aca="false">IF(DAY(B488)=1,Assumptions!B43*G488,0)</f>
        <v>0</v>
      </c>
      <c r="U488" s="22" t="n">
        <f aca="false">SUM(O488:T488)</f>
        <v>0</v>
      </c>
      <c r="V488" s="22" t="n">
        <f aca="false">N488-U488</f>
        <v>10500</v>
      </c>
      <c r="W488" s="22" t="n">
        <f aca="false">W487+V488</f>
        <v>-3390523.96624936</v>
      </c>
      <c r="X488" s="23" t="str">
        <f aca="false">IF(W488&gt;=0,"YES","No")</f>
        <v>No</v>
      </c>
    </row>
    <row r="489" customFormat="false" ht="15" hidden="false" customHeight="false" outlineLevel="0" collapsed="false">
      <c r="A489" s="16" t="n">
        <v>488</v>
      </c>
      <c r="B489" s="17" t="n">
        <f aca="false">B488+1</f>
        <v>46510</v>
      </c>
      <c r="C489" s="18" t="n">
        <f aca="false">MIN(ROUNDUP(A489/365,0),5)</f>
        <v>2</v>
      </c>
      <c r="D489" s="18" t="n">
        <f aca="false">DATEDIF(Assumptions!B5,B489,"m")+1</f>
        <v>17</v>
      </c>
      <c r="E489" s="18" t="str">
        <f aca="false">TEXT(B489,"ddd")</f>
        <v>Mon</v>
      </c>
      <c r="F489" s="19" t="n">
        <f aca="false">IF(WEEKDAY(B489,2)&gt;=6,Assumptions!B34,Assumptions!B35)</f>
        <v>1</v>
      </c>
      <c r="G489" s="20" t="n">
        <f aca="false">IF(D489&gt;=13,(1+Assumptions!B46)^(D489-12),1)</f>
        <v>1.01509027040524</v>
      </c>
      <c r="H489" s="21" t="n">
        <f aca="false">H488*(1+IF(C489=1,Assumptions!B22,Assumptions!B23))</f>
        <v>21.2382272845677</v>
      </c>
      <c r="I489" s="16" t="n">
        <f aca="false">ROUND(H489*F489,0)</f>
        <v>21</v>
      </c>
      <c r="J489" s="22" t="n">
        <f aca="false">I489*Assumptions!B24</f>
        <v>12600</v>
      </c>
      <c r="K489" s="21" t="n">
        <f aca="false">K488*(1+Assumptions!B30)</f>
        <v>15.4081907117461</v>
      </c>
      <c r="L489" s="16" t="n">
        <f aca="false">ROUND(K489*F489,0)</f>
        <v>15</v>
      </c>
      <c r="M489" s="22" t="n">
        <f aca="false">L489*Assumptions!B31</f>
        <v>4500</v>
      </c>
      <c r="N489" s="22" t="n">
        <f aca="false">J489+M489</f>
        <v>17100</v>
      </c>
      <c r="O489" s="22" t="n">
        <f aca="false">IF(DAY(B489)=1,Assumptions!B38*G489,0)</f>
        <v>0</v>
      </c>
      <c r="P489" s="22" t="n">
        <f aca="false">IF(DAY(B489)=1,Assumptions!B39*G489,0)</f>
        <v>0</v>
      </c>
      <c r="Q489" s="22" t="n">
        <f aca="false">IF(DAY(B489)=1,Assumptions!B40*G489,0)</f>
        <v>0</v>
      </c>
      <c r="R489" s="22" t="n">
        <f aca="false">IF(DAY(B489)=1,Assumptions!B41*G489,0)</f>
        <v>0</v>
      </c>
      <c r="S489" s="22" t="n">
        <f aca="false">IF(AND(DAY(B489)=1,D489&gt;=13),Assumptions!B42*G489,0)</f>
        <v>0</v>
      </c>
      <c r="T489" s="22" t="n">
        <f aca="false">IF(DAY(B489)=1,Assumptions!B43*G489,0)</f>
        <v>0</v>
      </c>
      <c r="U489" s="22" t="n">
        <f aca="false">SUM(O489:T489)</f>
        <v>0</v>
      </c>
      <c r="V489" s="22" t="n">
        <f aca="false">N489-U489</f>
        <v>17100</v>
      </c>
      <c r="W489" s="22" t="n">
        <f aca="false">W488+V489</f>
        <v>-3373423.96624936</v>
      </c>
      <c r="X489" s="23" t="str">
        <f aca="false">IF(W489&gt;=0,"YES","No")</f>
        <v>No</v>
      </c>
    </row>
    <row r="490" customFormat="false" ht="15" hidden="false" customHeight="false" outlineLevel="0" collapsed="false">
      <c r="A490" s="16" t="n">
        <v>489</v>
      </c>
      <c r="B490" s="17" t="n">
        <f aca="false">B489+1</f>
        <v>46511</v>
      </c>
      <c r="C490" s="18" t="n">
        <f aca="false">MIN(ROUNDUP(A490/365,0),5)</f>
        <v>2</v>
      </c>
      <c r="D490" s="18" t="n">
        <f aca="false">DATEDIF(Assumptions!B5,B490,"m")+1</f>
        <v>17</v>
      </c>
      <c r="E490" s="18" t="str">
        <f aca="false">TEXT(B490,"ddd")</f>
        <v>Tue</v>
      </c>
      <c r="F490" s="19" t="n">
        <f aca="false">IF(WEEKDAY(B490,2)&gt;=6,Assumptions!B34,Assumptions!B35)</f>
        <v>1</v>
      </c>
      <c r="G490" s="20" t="n">
        <f aca="false">IF(D490&gt;=13,(1+Assumptions!B46)^(D490-12),1)</f>
        <v>1.01509027040524</v>
      </c>
      <c r="H490" s="21" t="n">
        <f aca="false">H489*(1+IF(C490=1,Assumptions!B22,Assumptions!B23))</f>
        <v>21.2417074165853</v>
      </c>
      <c r="I490" s="16" t="n">
        <f aca="false">ROUND(H490*F490,0)</f>
        <v>21</v>
      </c>
      <c r="J490" s="22" t="n">
        <f aca="false">I490*Assumptions!B24</f>
        <v>12600</v>
      </c>
      <c r="K490" s="21" t="n">
        <f aca="false">K489*(1+Assumptions!B30)</f>
        <v>15.4132282168869</v>
      </c>
      <c r="L490" s="16" t="n">
        <f aca="false">ROUND(K490*F490,0)</f>
        <v>15</v>
      </c>
      <c r="M490" s="22" t="n">
        <f aca="false">L490*Assumptions!B31</f>
        <v>4500</v>
      </c>
      <c r="N490" s="22" t="n">
        <f aca="false">J490+M490</f>
        <v>17100</v>
      </c>
      <c r="O490" s="22" t="n">
        <f aca="false">IF(DAY(B490)=1,Assumptions!B38*G490,0)</f>
        <v>0</v>
      </c>
      <c r="P490" s="22" t="n">
        <f aca="false">IF(DAY(B490)=1,Assumptions!B39*G490,0)</f>
        <v>0</v>
      </c>
      <c r="Q490" s="22" t="n">
        <f aca="false">IF(DAY(B490)=1,Assumptions!B40*G490,0)</f>
        <v>0</v>
      </c>
      <c r="R490" s="22" t="n">
        <f aca="false">IF(DAY(B490)=1,Assumptions!B41*G490,0)</f>
        <v>0</v>
      </c>
      <c r="S490" s="22" t="n">
        <f aca="false">IF(AND(DAY(B490)=1,D490&gt;=13),Assumptions!B42*G490,0)</f>
        <v>0</v>
      </c>
      <c r="T490" s="22" t="n">
        <f aca="false">IF(DAY(B490)=1,Assumptions!B43*G490,0)</f>
        <v>0</v>
      </c>
      <c r="U490" s="22" t="n">
        <f aca="false">SUM(O490:T490)</f>
        <v>0</v>
      </c>
      <c r="V490" s="22" t="n">
        <f aca="false">N490-U490</f>
        <v>17100</v>
      </c>
      <c r="W490" s="22" t="n">
        <f aca="false">W489+V490</f>
        <v>-3356323.96624936</v>
      </c>
      <c r="X490" s="23" t="str">
        <f aca="false">IF(W490&gt;=0,"YES","No")</f>
        <v>No</v>
      </c>
    </row>
    <row r="491" customFormat="false" ht="15" hidden="false" customHeight="false" outlineLevel="0" collapsed="false">
      <c r="A491" s="16" t="n">
        <v>490</v>
      </c>
      <c r="B491" s="17" t="n">
        <f aca="false">B490+1</f>
        <v>46512</v>
      </c>
      <c r="C491" s="18" t="n">
        <f aca="false">MIN(ROUNDUP(A491/365,0),5)</f>
        <v>2</v>
      </c>
      <c r="D491" s="18" t="n">
        <f aca="false">DATEDIF(Assumptions!B5,B491,"m")+1</f>
        <v>17</v>
      </c>
      <c r="E491" s="18" t="str">
        <f aca="false">TEXT(B491,"ddd")</f>
        <v>Wed</v>
      </c>
      <c r="F491" s="19" t="n">
        <f aca="false">IF(WEEKDAY(B491,2)&gt;=6,Assumptions!B34,Assumptions!B35)</f>
        <v>1</v>
      </c>
      <c r="G491" s="20" t="n">
        <f aca="false">IF(D491&gt;=13,(1+Assumptions!B46)^(D491-12),1)</f>
        <v>1.01509027040524</v>
      </c>
      <c r="H491" s="21" t="n">
        <f aca="false">H490*(1+IF(C491=1,Assumptions!B22,Assumptions!B23))</f>
        <v>21.2451881188633</v>
      </c>
      <c r="I491" s="16" t="n">
        <f aca="false">ROUND(H491*F491,0)</f>
        <v>21</v>
      </c>
      <c r="J491" s="22" t="n">
        <f aca="false">I491*Assumptions!B24</f>
        <v>12600</v>
      </c>
      <c r="K491" s="21" t="n">
        <f aca="false">K490*(1+Assumptions!B30)</f>
        <v>15.4182673689737</v>
      </c>
      <c r="L491" s="16" t="n">
        <f aca="false">ROUND(K491*F491,0)</f>
        <v>15</v>
      </c>
      <c r="M491" s="22" t="n">
        <f aca="false">L491*Assumptions!B31</f>
        <v>4500</v>
      </c>
      <c r="N491" s="22" t="n">
        <f aca="false">J491+M491</f>
        <v>17100</v>
      </c>
      <c r="O491" s="22" t="n">
        <f aca="false">IF(DAY(B491)=1,Assumptions!B38*G491,0)</f>
        <v>0</v>
      </c>
      <c r="P491" s="22" t="n">
        <f aca="false">IF(DAY(B491)=1,Assumptions!B39*G491,0)</f>
        <v>0</v>
      </c>
      <c r="Q491" s="22" t="n">
        <f aca="false">IF(DAY(B491)=1,Assumptions!B40*G491,0)</f>
        <v>0</v>
      </c>
      <c r="R491" s="22" t="n">
        <f aca="false">IF(DAY(B491)=1,Assumptions!B41*G491,0)</f>
        <v>0</v>
      </c>
      <c r="S491" s="22" t="n">
        <f aca="false">IF(AND(DAY(B491)=1,D491&gt;=13),Assumptions!B42*G491,0)</f>
        <v>0</v>
      </c>
      <c r="T491" s="22" t="n">
        <f aca="false">IF(DAY(B491)=1,Assumptions!B43*G491,0)</f>
        <v>0</v>
      </c>
      <c r="U491" s="22" t="n">
        <f aca="false">SUM(O491:T491)</f>
        <v>0</v>
      </c>
      <c r="V491" s="22" t="n">
        <f aca="false">N491-U491</f>
        <v>17100</v>
      </c>
      <c r="W491" s="22" t="n">
        <f aca="false">W490+V491</f>
        <v>-3339223.96624936</v>
      </c>
      <c r="X491" s="23" t="str">
        <f aca="false">IF(W491&gt;=0,"YES","No")</f>
        <v>No</v>
      </c>
    </row>
    <row r="492" customFormat="false" ht="15" hidden="false" customHeight="false" outlineLevel="0" collapsed="false">
      <c r="A492" s="16" t="n">
        <v>491</v>
      </c>
      <c r="B492" s="17" t="n">
        <f aca="false">B491+1</f>
        <v>46513</v>
      </c>
      <c r="C492" s="18" t="n">
        <f aca="false">MIN(ROUNDUP(A492/365,0),5)</f>
        <v>2</v>
      </c>
      <c r="D492" s="18" t="n">
        <f aca="false">DATEDIF(Assumptions!B5,B492,"m")+1</f>
        <v>17</v>
      </c>
      <c r="E492" s="18" t="str">
        <f aca="false">TEXT(B492,"ddd")</f>
        <v>Thu</v>
      </c>
      <c r="F492" s="19" t="n">
        <f aca="false">IF(WEEKDAY(B492,2)&gt;=6,Assumptions!B34,Assumptions!B35)</f>
        <v>1</v>
      </c>
      <c r="G492" s="20" t="n">
        <f aca="false">IF(D492&gt;=13,(1+Assumptions!B46)^(D492-12),1)</f>
        <v>1.01509027040524</v>
      </c>
      <c r="H492" s="21" t="n">
        <f aca="false">H491*(1+IF(C492=1,Assumptions!B22,Assumptions!B23))</f>
        <v>21.2486693914951</v>
      </c>
      <c r="I492" s="16" t="n">
        <f aca="false">ROUND(H492*F492,0)</f>
        <v>21</v>
      </c>
      <c r="J492" s="22" t="n">
        <f aca="false">I492*Assumptions!B24</f>
        <v>12600</v>
      </c>
      <c r="K492" s="21" t="n">
        <f aca="false">K491*(1+Assumptions!B30)</f>
        <v>15.423308168545</v>
      </c>
      <c r="L492" s="16" t="n">
        <f aca="false">ROUND(K492*F492,0)</f>
        <v>15</v>
      </c>
      <c r="M492" s="22" t="n">
        <f aca="false">L492*Assumptions!B31</f>
        <v>4500</v>
      </c>
      <c r="N492" s="22" t="n">
        <f aca="false">J492+M492</f>
        <v>17100</v>
      </c>
      <c r="O492" s="22" t="n">
        <f aca="false">IF(DAY(B492)=1,Assumptions!B38*G492,0)</f>
        <v>0</v>
      </c>
      <c r="P492" s="22" t="n">
        <f aca="false">IF(DAY(B492)=1,Assumptions!B39*G492,0)</f>
        <v>0</v>
      </c>
      <c r="Q492" s="22" t="n">
        <f aca="false">IF(DAY(B492)=1,Assumptions!B40*G492,0)</f>
        <v>0</v>
      </c>
      <c r="R492" s="22" t="n">
        <f aca="false">IF(DAY(B492)=1,Assumptions!B41*G492,0)</f>
        <v>0</v>
      </c>
      <c r="S492" s="22" t="n">
        <f aca="false">IF(AND(DAY(B492)=1,D492&gt;=13),Assumptions!B42*G492,0)</f>
        <v>0</v>
      </c>
      <c r="T492" s="22" t="n">
        <f aca="false">IF(DAY(B492)=1,Assumptions!B43*G492,0)</f>
        <v>0</v>
      </c>
      <c r="U492" s="22" t="n">
        <f aca="false">SUM(O492:T492)</f>
        <v>0</v>
      </c>
      <c r="V492" s="22" t="n">
        <f aca="false">N492-U492</f>
        <v>17100</v>
      </c>
      <c r="W492" s="22" t="n">
        <f aca="false">W491+V492</f>
        <v>-3322123.96624936</v>
      </c>
      <c r="X492" s="23" t="str">
        <f aca="false">IF(W492&gt;=0,"YES","No")</f>
        <v>No</v>
      </c>
    </row>
    <row r="493" customFormat="false" ht="15" hidden="false" customHeight="false" outlineLevel="0" collapsed="false">
      <c r="A493" s="16" t="n">
        <v>492</v>
      </c>
      <c r="B493" s="17" t="n">
        <f aca="false">B492+1</f>
        <v>46514</v>
      </c>
      <c r="C493" s="18" t="n">
        <f aca="false">MIN(ROUNDUP(A493/365,0),5)</f>
        <v>2</v>
      </c>
      <c r="D493" s="18" t="n">
        <f aca="false">DATEDIF(Assumptions!B5,B493,"m")+1</f>
        <v>17</v>
      </c>
      <c r="E493" s="18" t="str">
        <f aca="false">TEXT(B493,"ddd")</f>
        <v>Fri</v>
      </c>
      <c r="F493" s="19" t="n">
        <f aca="false">IF(WEEKDAY(B493,2)&gt;=6,Assumptions!B34,Assumptions!B35)</f>
        <v>1</v>
      </c>
      <c r="G493" s="20" t="n">
        <f aca="false">IF(D493&gt;=13,(1+Assumptions!B46)^(D493-12),1)</f>
        <v>1.01509027040524</v>
      </c>
      <c r="H493" s="21" t="n">
        <f aca="false">H492*(1+IF(C493=1,Assumptions!B22,Assumptions!B23))</f>
        <v>21.2521512345741</v>
      </c>
      <c r="I493" s="16" t="n">
        <f aca="false">ROUND(H493*F493,0)</f>
        <v>21</v>
      </c>
      <c r="J493" s="22" t="n">
        <f aca="false">I493*Assumptions!B24</f>
        <v>12600</v>
      </c>
      <c r="K493" s="21" t="n">
        <f aca="false">K492*(1+Assumptions!B30)</f>
        <v>15.4283506161393</v>
      </c>
      <c r="L493" s="16" t="n">
        <f aca="false">ROUND(K493*F493,0)</f>
        <v>15</v>
      </c>
      <c r="M493" s="22" t="n">
        <f aca="false">L493*Assumptions!B31</f>
        <v>4500</v>
      </c>
      <c r="N493" s="22" t="n">
        <f aca="false">J493+M493</f>
        <v>17100</v>
      </c>
      <c r="O493" s="22" t="n">
        <f aca="false">IF(DAY(B493)=1,Assumptions!B38*G493,0)</f>
        <v>0</v>
      </c>
      <c r="P493" s="22" t="n">
        <f aca="false">IF(DAY(B493)=1,Assumptions!B39*G493,0)</f>
        <v>0</v>
      </c>
      <c r="Q493" s="22" t="n">
        <f aca="false">IF(DAY(B493)=1,Assumptions!B40*G493,0)</f>
        <v>0</v>
      </c>
      <c r="R493" s="22" t="n">
        <f aca="false">IF(DAY(B493)=1,Assumptions!B41*G493,0)</f>
        <v>0</v>
      </c>
      <c r="S493" s="22" t="n">
        <f aca="false">IF(AND(DAY(B493)=1,D493&gt;=13),Assumptions!B42*G493,0)</f>
        <v>0</v>
      </c>
      <c r="T493" s="22" t="n">
        <f aca="false">IF(DAY(B493)=1,Assumptions!B43*G493,0)</f>
        <v>0</v>
      </c>
      <c r="U493" s="22" t="n">
        <f aca="false">SUM(O493:T493)</f>
        <v>0</v>
      </c>
      <c r="V493" s="22" t="n">
        <f aca="false">N493-U493</f>
        <v>17100</v>
      </c>
      <c r="W493" s="22" t="n">
        <f aca="false">W492+V493</f>
        <v>-3305023.96624936</v>
      </c>
      <c r="X493" s="23" t="str">
        <f aca="false">IF(W493&gt;=0,"YES","No")</f>
        <v>No</v>
      </c>
    </row>
    <row r="494" customFormat="false" ht="15" hidden="false" customHeight="false" outlineLevel="0" collapsed="false">
      <c r="A494" s="16" t="n">
        <v>493</v>
      </c>
      <c r="B494" s="17" t="n">
        <f aca="false">B493+1</f>
        <v>46515</v>
      </c>
      <c r="C494" s="18" t="n">
        <f aca="false">MIN(ROUNDUP(A494/365,0),5)</f>
        <v>2</v>
      </c>
      <c r="D494" s="18" t="n">
        <f aca="false">DATEDIF(Assumptions!B5,B494,"m")+1</f>
        <v>17</v>
      </c>
      <c r="E494" s="18" t="str">
        <f aca="false">TEXT(B494,"ddd")</f>
        <v>Sat</v>
      </c>
      <c r="F494" s="19" t="n">
        <f aca="false">IF(WEEKDAY(B494,2)&gt;=6,Assumptions!B34,Assumptions!B35)</f>
        <v>0.6</v>
      </c>
      <c r="G494" s="20" t="n">
        <f aca="false">IF(D494&gt;=13,(1+Assumptions!B46)^(D494-12),1)</f>
        <v>1.01509027040524</v>
      </c>
      <c r="H494" s="21" t="n">
        <f aca="false">H493*(1+IF(C494=1,Assumptions!B22,Assumptions!B23))</f>
        <v>21.2556336481939</v>
      </c>
      <c r="I494" s="16" t="n">
        <f aca="false">ROUND(H494*F494,0)</f>
        <v>13</v>
      </c>
      <c r="J494" s="22" t="n">
        <f aca="false">I494*Assumptions!B24</f>
        <v>7800</v>
      </c>
      <c r="K494" s="21" t="n">
        <f aca="false">K493*(1+Assumptions!B30)</f>
        <v>15.4333947122955</v>
      </c>
      <c r="L494" s="16" t="n">
        <f aca="false">ROUND(K494*F494,0)</f>
        <v>9</v>
      </c>
      <c r="M494" s="22" t="n">
        <f aca="false">L494*Assumptions!B31</f>
        <v>2700</v>
      </c>
      <c r="N494" s="22" t="n">
        <f aca="false">J494+M494</f>
        <v>10500</v>
      </c>
      <c r="O494" s="22" t="n">
        <f aca="false">IF(DAY(B494)=1,Assumptions!B38*G494,0)</f>
        <v>0</v>
      </c>
      <c r="P494" s="22" t="n">
        <f aca="false">IF(DAY(B494)=1,Assumptions!B39*G494,0)</f>
        <v>0</v>
      </c>
      <c r="Q494" s="22" t="n">
        <f aca="false">IF(DAY(B494)=1,Assumptions!B40*G494,0)</f>
        <v>0</v>
      </c>
      <c r="R494" s="22" t="n">
        <f aca="false">IF(DAY(B494)=1,Assumptions!B41*G494,0)</f>
        <v>0</v>
      </c>
      <c r="S494" s="22" t="n">
        <f aca="false">IF(AND(DAY(B494)=1,D494&gt;=13),Assumptions!B42*G494,0)</f>
        <v>0</v>
      </c>
      <c r="T494" s="22" t="n">
        <f aca="false">IF(DAY(B494)=1,Assumptions!B43*G494,0)</f>
        <v>0</v>
      </c>
      <c r="U494" s="22" t="n">
        <f aca="false">SUM(O494:T494)</f>
        <v>0</v>
      </c>
      <c r="V494" s="22" t="n">
        <f aca="false">N494-U494</f>
        <v>10500</v>
      </c>
      <c r="W494" s="22" t="n">
        <f aca="false">W493+V494</f>
        <v>-3294523.96624936</v>
      </c>
      <c r="X494" s="23" t="str">
        <f aca="false">IF(W494&gt;=0,"YES","No")</f>
        <v>No</v>
      </c>
    </row>
    <row r="495" customFormat="false" ht="15" hidden="false" customHeight="false" outlineLevel="0" collapsed="false">
      <c r="A495" s="16" t="n">
        <v>494</v>
      </c>
      <c r="B495" s="17" t="n">
        <f aca="false">B494+1</f>
        <v>46516</v>
      </c>
      <c r="C495" s="18" t="n">
        <f aca="false">MIN(ROUNDUP(A495/365,0),5)</f>
        <v>2</v>
      </c>
      <c r="D495" s="18" t="n">
        <f aca="false">DATEDIF(Assumptions!B5,B495,"m")+1</f>
        <v>17</v>
      </c>
      <c r="E495" s="18" t="str">
        <f aca="false">TEXT(B495,"ddd")</f>
        <v>Sun</v>
      </c>
      <c r="F495" s="19" t="n">
        <f aca="false">IF(WEEKDAY(B495,2)&gt;=6,Assumptions!B34,Assumptions!B35)</f>
        <v>0.6</v>
      </c>
      <c r="G495" s="20" t="n">
        <f aca="false">IF(D495&gt;=13,(1+Assumptions!B46)^(D495-12),1)</f>
        <v>1.01509027040524</v>
      </c>
      <c r="H495" s="21" t="n">
        <f aca="false">H494*(1+IF(C495=1,Assumptions!B22,Assumptions!B23))</f>
        <v>21.2591166324479</v>
      </c>
      <c r="I495" s="16" t="n">
        <f aca="false">ROUND(H495*F495,0)</f>
        <v>13</v>
      </c>
      <c r="J495" s="22" t="n">
        <f aca="false">I495*Assumptions!B24</f>
        <v>7800</v>
      </c>
      <c r="K495" s="21" t="n">
        <f aca="false">K494*(1+Assumptions!B30)</f>
        <v>15.4384404575526</v>
      </c>
      <c r="L495" s="16" t="n">
        <f aca="false">ROUND(K495*F495,0)</f>
        <v>9</v>
      </c>
      <c r="M495" s="22" t="n">
        <f aca="false">L495*Assumptions!B31</f>
        <v>2700</v>
      </c>
      <c r="N495" s="22" t="n">
        <f aca="false">J495+M495</f>
        <v>10500</v>
      </c>
      <c r="O495" s="22" t="n">
        <f aca="false">IF(DAY(B495)=1,Assumptions!B38*G495,0)</f>
        <v>0</v>
      </c>
      <c r="P495" s="22" t="n">
        <f aca="false">IF(DAY(B495)=1,Assumptions!B39*G495,0)</f>
        <v>0</v>
      </c>
      <c r="Q495" s="22" t="n">
        <f aca="false">IF(DAY(B495)=1,Assumptions!B40*G495,0)</f>
        <v>0</v>
      </c>
      <c r="R495" s="22" t="n">
        <f aca="false">IF(DAY(B495)=1,Assumptions!B41*G495,0)</f>
        <v>0</v>
      </c>
      <c r="S495" s="22" t="n">
        <f aca="false">IF(AND(DAY(B495)=1,D495&gt;=13),Assumptions!B42*G495,0)</f>
        <v>0</v>
      </c>
      <c r="T495" s="22" t="n">
        <f aca="false">IF(DAY(B495)=1,Assumptions!B43*G495,0)</f>
        <v>0</v>
      </c>
      <c r="U495" s="22" t="n">
        <f aca="false">SUM(O495:T495)</f>
        <v>0</v>
      </c>
      <c r="V495" s="22" t="n">
        <f aca="false">N495-U495</f>
        <v>10500</v>
      </c>
      <c r="W495" s="22" t="n">
        <f aca="false">W494+V495</f>
        <v>-3284023.96624936</v>
      </c>
      <c r="X495" s="23" t="str">
        <f aca="false">IF(W495&gt;=0,"YES","No")</f>
        <v>No</v>
      </c>
    </row>
    <row r="496" customFormat="false" ht="15" hidden="false" customHeight="false" outlineLevel="0" collapsed="false">
      <c r="A496" s="16" t="n">
        <v>495</v>
      </c>
      <c r="B496" s="17" t="n">
        <f aca="false">B495+1</f>
        <v>46517</v>
      </c>
      <c r="C496" s="18" t="n">
        <f aca="false">MIN(ROUNDUP(A496/365,0),5)</f>
        <v>2</v>
      </c>
      <c r="D496" s="18" t="n">
        <f aca="false">DATEDIF(Assumptions!B5,B496,"m")+1</f>
        <v>17</v>
      </c>
      <c r="E496" s="18" t="str">
        <f aca="false">TEXT(B496,"ddd")</f>
        <v>Mon</v>
      </c>
      <c r="F496" s="19" t="n">
        <f aca="false">IF(WEEKDAY(B496,2)&gt;=6,Assumptions!B34,Assumptions!B35)</f>
        <v>1</v>
      </c>
      <c r="G496" s="20" t="n">
        <f aca="false">IF(D496&gt;=13,(1+Assumptions!B46)^(D496-12),1)</f>
        <v>1.01509027040524</v>
      </c>
      <c r="H496" s="21" t="n">
        <f aca="false">H495*(1+IF(C496=1,Assumptions!B22,Assumptions!B23))</f>
        <v>21.2626001874296</v>
      </c>
      <c r="I496" s="16" t="n">
        <f aca="false">ROUND(H496*F496,0)</f>
        <v>21</v>
      </c>
      <c r="J496" s="22" t="n">
        <f aca="false">I496*Assumptions!B24</f>
        <v>12600</v>
      </c>
      <c r="K496" s="21" t="n">
        <f aca="false">K495*(1+Assumptions!B30)</f>
        <v>15.4434878524496</v>
      </c>
      <c r="L496" s="16" t="n">
        <f aca="false">ROUND(K496*F496,0)</f>
        <v>15</v>
      </c>
      <c r="M496" s="22" t="n">
        <f aca="false">L496*Assumptions!B31</f>
        <v>4500</v>
      </c>
      <c r="N496" s="22" t="n">
        <f aca="false">J496+M496</f>
        <v>17100</v>
      </c>
      <c r="O496" s="22" t="n">
        <f aca="false">IF(DAY(B496)=1,Assumptions!B38*G496,0)</f>
        <v>0</v>
      </c>
      <c r="P496" s="22" t="n">
        <f aca="false">IF(DAY(B496)=1,Assumptions!B39*G496,0)</f>
        <v>0</v>
      </c>
      <c r="Q496" s="22" t="n">
        <f aca="false">IF(DAY(B496)=1,Assumptions!B40*G496,0)</f>
        <v>0</v>
      </c>
      <c r="R496" s="22" t="n">
        <f aca="false">IF(DAY(B496)=1,Assumptions!B41*G496,0)</f>
        <v>0</v>
      </c>
      <c r="S496" s="22" t="n">
        <f aca="false">IF(AND(DAY(B496)=1,D496&gt;=13),Assumptions!B42*G496,0)</f>
        <v>0</v>
      </c>
      <c r="T496" s="22" t="n">
        <f aca="false">IF(DAY(B496)=1,Assumptions!B43*G496,0)</f>
        <v>0</v>
      </c>
      <c r="U496" s="22" t="n">
        <f aca="false">SUM(O496:T496)</f>
        <v>0</v>
      </c>
      <c r="V496" s="22" t="n">
        <f aca="false">N496-U496</f>
        <v>17100</v>
      </c>
      <c r="W496" s="22" t="n">
        <f aca="false">W495+V496</f>
        <v>-3266923.96624936</v>
      </c>
      <c r="X496" s="23" t="str">
        <f aca="false">IF(W496&gt;=0,"YES","No")</f>
        <v>No</v>
      </c>
    </row>
    <row r="497" customFormat="false" ht="15" hidden="false" customHeight="false" outlineLevel="0" collapsed="false">
      <c r="A497" s="16" t="n">
        <v>496</v>
      </c>
      <c r="B497" s="17" t="n">
        <f aca="false">B496+1</f>
        <v>46518</v>
      </c>
      <c r="C497" s="18" t="n">
        <f aca="false">MIN(ROUNDUP(A497/365,0),5)</f>
        <v>2</v>
      </c>
      <c r="D497" s="18" t="n">
        <f aca="false">DATEDIF(Assumptions!B5,B497,"m")+1</f>
        <v>17</v>
      </c>
      <c r="E497" s="18" t="str">
        <f aca="false">TEXT(B497,"ddd")</f>
        <v>Tue</v>
      </c>
      <c r="F497" s="19" t="n">
        <f aca="false">IF(WEEKDAY(B497,2)&gt;=6,Assumptions!B34,Assumptions!B35)</f>
        <v>1</v>
      </c>
      <c r="G497" s="20" t="n">
        <f aca="false">IF(D497&gt;=13,(1+Assumptions!B46)^(D497-12),1)</f>
        <v>1.01509027040524</v>
      </c>
      <c r="H497" s="21" t="n">
        <f aca="false">H496*(1+IF(C497=1,Assumptions!B22,Assumptions!B23))</f>
        <v>21.2660843132325</v>
      </c>
      <c r="I497" s="16" t="n">
        <f aca="false">ROUND(H497*F497,0)</f>
        <v>21</v>
      </c>
      <c r="J497" s="22" t="n">
        <f aca="false">I497*Assumptions!B24</f>
        <v>12600</v>
      </c>
      <c r="K497" s="21" t="n">
        <f aca="false">K496*(1+Assumptions!B30)</f>
        <v>15.448536897526</v>
      </c>
      <c r="L497" s="16" t="n">
        <f aca="false">ROUND(K497*F497,0)</f>
        <v>15</v>
      </c>
      <c r="M497" s="22" t="n">
        <f aca="false">L497*Assumptions!B31</f>
        <v>4500</v>
      </c>
      <c r="N497" s="22" t="n">
        <f aca="false">J497+M497</f>
        <v>17100</v>
      </c>
      <c r="O497" s="22" t="n">
        <f aca="false">IF(DAY(B497)=1,Assumptions!B38*G497,0)</f>
        <v>0</v>
      </c>
      <c r="P497" s="22" t="n">
        <f aca="false">IF(DAY(B497)=1,Assumptions!B39*G497,0)</f>
        <v>0</v>
      </c>
      <c r="Q497" s="22" t="n">
        <f aca="false">IF(DAY(B497)=1,Assumptions!B40*G497,0)</f>
        <v>0</v>
      </c>
      <c r="R497" s="22" t="n">
        <f aca="false">IF(DAY(B497)=1,Assumptions!B41*G497,0)</f>
        <v>0</v>
      </c>
      <c r="S497" s="22" t="n">
        <f aca="false">IF(AND(DAY(B497)=1,D497&gt;=13),Assumptions!B42*G497,0)</f>
        <v>0</v>
      </c>
      <c r="T497" s="22" t="n">
        <f aca="false">IF(DAY(B497)=1,Assumptions!B43*G497,0)</f>
        <v>0</v>
      </c>
      <c r="U497" s="22" t="n">
        <f aca="false">SUM(O497:T497)</f>
        <v>0</v>
      </c>
      <c r="V497" s="22" t="n">
        <f aca="false">N497-U497</f>
        <v>17100</v>
      </c>
      <c r="W497" s="22" t="n">
        <f aca="false">W496+V497</f>
        <v>-3249823.96624936</v>
      </c>
      <c r="X497" s="23" t="str">
        <f aca="false">IF(W497&gt;=0,"YES","No")</f>
        <v>No</v>
      </c>
    </row>
    <row r="498" customFormat="false" ht="15" hidden="false" customHeight="false" outlineLevel="0" collapsed="false">
      <c r="A498" s="16" t="n">
        <v>497</v>
      </c>
      <c r="B498" s="17" t="n">
        <f aca="false">B497+1</f>
        <v>46519</v>
      </c>
      <c r="C498" s="18" t="n">
        <f aca="false">MIN(ROUNDUP(A498/365,0),5)</f>
        <v>2</v>
      </c>
      <c r="D498" s="18" t="n">
        <f aca="false">DATEDIF(Assumptions!B5,B498,"m")+1</f>
        <v>17</v>
      </c>
      <c r="E498" s="18" t="str">
        <f aca="false">TEXT(B498,"ddd")</f>
        <v>Wed</v>
      </c>
      <c r="F498" s="19" t="n">
        <f aca="false">IF(WEEKDAY(B498,2)&gt;=6,Assumptions!B34,Assumptions!B35)</f>
        <v>1</v>
      </c>
      <c r="G498" s="20" t="n">
        <f aca="false">IF(D498&gt;=13,(1+Assumptions!B46)^(D498-12),1)</f>
        <v>1.01509027040524</v>
      </c>
      <c r="H498" s="21" t="n">
        <f aca="false">H497*(1+IF(C498=1,Assumptions!B22,Assumptions!B23))</f>
        <v>21.2695690099502</v>
      </c>
      <c r="I498" s="16" t="n">
        <f aca="false">ROUND(H498*F498,0)</f>
        <v>21</v>
      </c>
      <c r="J498" s="22" t="n">
        <f aca="false">I498*Assumptions!B24</f>
        <v>12600</v>
      </c>
      <c r="K498" s="21" t="n">
        <f aca="false">K497*(1+Assumptions!B30)</f>
        <v>15.4535875933212</v>
      </c>
      <c r="L498" s="16" t="n">
        <f aca="false">ROUND(K498*F498,0)</f>
        <v>15</v>
      </c>
      <c r="M498" s="22" t="n">
        <f aca="false">L498*Assumptions!B31</f>
        <v>4500</v>
      </c>
      <c r="N498" s="22" t="n">
        <f aca="false">J498+M498</f>
        <v>17100</v>
      </c>
      <c r="O498" s="22" t="n">
        <f aca="false">IF(DAY(B498)=1,Assumptions!B38*G498,0)</f>
        <v>0</v>
      </c>
      <c r="P498" s="22" t="n">
        <f aca="false">IF(DAY(B498)=1,Assumptions!B39*G498,0)</f>
        <v>0</v>
      </c>
      <c r="Q498" s="22" t="n">
        <f aca="false">IF(DAY(B498)=1,Assumptions!B40*G498,0)</f>
        <v>0</v>
      </c>
      <c r="R498" s="22" t="n">
        <f aca="false">IF(DAY(B498)=1,Assumptions!B41*G498,0)</f>
        <v>0</v>
      </c>
      <c r="S498" s="22" t="n">
        <f aca="false">IF(AND(DAY(B498)=1,D498&gt;=13),Assumptions!B42*G498,0)</f>
        <v>0</v>
      </c>
      <c r="T498" s="22" t="n">
        <f aca="false">IF(DAY(B498)=1,Assumptions!B43*G498,0)</f>
        <v>0</v>
      </c>
      <c r="U498" s="22" t="n">
        <f aca="false">SUM(O498:T498)</f>
        <v>0</v>
      </c>
      <c r="V498" s="22" t="n">
        <f aca="false">N498-U498</f>
        <v>17100</v>
      </c>
      <c r="W498" s="22" t="n">
        <f aca="false">W497+V498</f>
        <v>-3232723.96624936</v>
      </c>
      <c r="X498" s="23" t="str">
        <f aca="false">IF(W498&gt;=0,"YES","No")</f>
        <v>No</v>
      </c>
    </row>
    <row r="499" customFormat="false" ht="15" hidden="false" customHeight="false" outlineLevel="0" collapsed="false">
      <c r="A499" s="16" t="n">
        <v>498</v>
      </c>
      <c r="B499" s="17" t="n">
        <f aca="false">B498+1</f>
        <v>46520</v>
      </c>
      <c r="C499" s="18" t="n">
        <f aca="false">MIN(ROUNDUP(A499/365,0),5)</f>
        <v>2</v>
      </c>
      <c r="D499" s="18" t="n">
        <f aca="false">DATEDIF(Assumptions!B5,B499,"m")+1</f>
        <v>17</v>
      </c>
      <c r="E499" s="18" t="str">
        <f aca="false">TEXT(B499,"ddd")</f>
        <v>Thu</v>
      </c>
      <c r="F499" s="19" t="n">
        <f aca="false">IF(WEEKDAY(B499,2)&gt;=6,Assumptions!B34,Assumptions!B35)</f>
        <v>1</v>
      </c>
      <c r="G499" s="20" t="n">
        <f aca="false">IF(D499&gt;=13,(1+Assumptions!B46)^(D499-12),1)</f>
        <v>1.01509027040524</v>
      </c>
      <c r="H499" s="21" t="n">
        <f aca="false">H498*(1+IF(C499=1,Assumptions!B22,Assumptions!B23))</f>
        <v>21.2730542776762</v>
      </c>
      <c r="I499" s="16" t="n">
        <f aca="false">ROUND(H499*F499,0)</f>
        <v>21</v>
      </c>
      <c r="J499" s="22" t="n">
        <f aca="false">I499*Assumptions!B24</f>
        <v>12600</v>
      </c>
      <c r="K499" s="21" t="n">
        <f aca="false">K498*(1+Assumptions!B30)</f>
        <v>15.4586399403749</v>
      </c>
      <c r="L499" s="16" t="n">
        <f aca="false">ROUND(K499*F499,0)</f>
        <v>15</v>
      </c>
      <c r="M499" s="22" t="n">
        <f aca="false">L499*Assumptions!B31</f>
        <v>4500</v>
      </c>
      <c r="N499" s="22" t="n">
        <f aca="false">J499+M499</f>
        <v>17100</v>
      </c>
      <c r="O499" s="22" t="n">
        <f aca="false">IF(DAY(B499)=1,Assumptions!B38*G499,0)</f>
        <v>0</v>
      </c>
      <c r="P499" s="22" t="n">
        <f aca="false">IF(DAY(B499)=1,Assumptions!B39*G499,0)</f>
        <v>0</v>
      </c>
      <c r="Q499" s="22" t="n">
        <f aca="false">IF(DAY(B499)=1,Assumptions!B40*G499,0)</f>
        <v>0</v>
      </c>
      <c r="R499" s="22" t="n">
        <f aca="false">IF(DAY(B499)=1,Assumptions!B41*G499,0)</f>
        <v>0</v>
      </c>
      <c r="S499" s="22" t="n">
        <f aca="false">IF(AND(DAY(B499)=1,D499&gt;=13),Assumptions!B42*G499,0)</f>
        <v>0</v>
      </c>
      <c r="T499" s="22" t="n">
        <f aca="false">IF(DAY(B499)=1,Assumptions!B43*G499,0)</f>
        <v>0</v>
      </c>
      <c r="U499" s="22" t="n">
        <f aca="false">SUM(O499:T499)</f>
        <v>0</v>
      </c>
      <c r="V499" s="22" t="n">
        <f aca="false">N499-U499</f>
        <v>17100</v>
      </c>
      <c r="W499" s="22" t="n">
        <f aca="false">W498+V499</f>
        <v>-3215623.96624936</v>
      </c>
      <c r="X499" s="23" t="str">
        <f aca="false">IF(W499&gt;=0,"YES","No")</f>
        <v>No</v>
      </c>
    </row>
    <row r="500" customFormat="false" ht="15" hidden="false" customHeight="false" outlineLevel="0" collapsed="false">
      <c r="A500" s="16" t="n">
        <v>499</v>
      </c>
      <c r="B500" s="17" t="n">
        <f aca="false">B499+1</f>
        <v>46521</v>
      </c>
      <c r="C500" s="18" t="n">
        <f aca="false">MIN(ROUNDUP(A500/365,0),5)</f>
        <v>2</v>
      </c>
      <c r="D500" s="18" t="n">
        <f aca="false">DATEDIF(Assumptions!B5,B500,"m")+1</f>
        <v>17</v>
      </c>
      <c r="E500" s="18" t="str">
        <f aca="false">TEXT(B500,"ddd")</f>
        <v>Fri</v>
      </c>
      <c r="F500" s="19" t="n">
        <f aca="false">IF(WEEKDAY(B500,2)&gt;=6,Assumptions!B34,Assumptions!B35)</f>
        <v>1</v>
      </c>
      <c r="G500" s="20" t="n">
        <f aca="false">IF(D500&gt;=13,(1+Assumptions!B46)^(D500-12),1)</f>
        <v>1.01509027040524</v>
      </c>
      <c r="H500" s="21" t="n">
        <f aca="false">H499*(1+IF(C500=1,Assumptions!B22,Assumptions!B23))</f>
        <v>21.2765401165041</v>
      </c>
      <c r="I500" s="16" t="n">
        <f aca="false">ROUND(H500*F500,0)</f>
        <v>21</v>
      </c>
      <c r="J500" s="22" t="n">
        <f aca="false">I500*Assumptions!B24</f>
        <v>12600</v>
      </c>
      <c r="K500" s="21" t="n">
        <f aca="false">K499*(1+Assumptions!B30)</f>
        <v>15.463693939227</v>
      </c>
      <c r="L500" s="16" t="n">
        <f aca="false">ROUND(K500*F500,0)</f>
        <v>15</v>
      </c>
      <c r="M500" s="22" t="n">
        <f aca="false">L500*Assumptions!B31</f>
        <v>4500</v>
      </c>
      <c r="N500" s="22" t="n">
        <f aca="false">J500+M500</f>
        <v>17100</v>
      </c>
      <c r="O500" s="22" t="n">
        <f aca="false">IF(DAY(B500)=1,Assumptions!B38*G500,0)</f>
        <v>0</v>
      </c>
      <c r="P500" s="22" t="n">
        <f aca="false">IF(DAY(B500)=1,Assumptions!B39*G500,0)</f>
        <v>0</v>
      </c>
      <c r="Q500" s="22" t="n">
        <f aca="false">IF(DAY(B500)=1,Assumptions!B40*G500,0)</f>
        <v>0</v>
      </c>
      <c r="R500" s="22" t="n">
        <f aca="false">IF(DAY(B500)=1,Assumptions!B41*G500,0)</f>
        <v>0</v>
      </c>
      <c r="S500" s="22" t="n">
        <f aca="false">IF(AND(DAY(B500)=1,D500&gt;=13),Assumptions!B42*G500,0)</f>
        <v>0</v>
      </c>
      <c r="T500" s="22" t="n">
        <f aca="false">IF(DAY(B500)=1,Assumptions!B43*G500,0)</f>
        <v>0</v>
      </c>
      <c r="U500" s="22" t="n">
        <f aca="false">SUM(O500:T500)</f>
        <v>0</v>
      </c>
      <c r="V500" s="22" t="n">
        <f aca="false">N500-U500</f>
        <v>17100</v>
      </c>
      <c r="W500" s="22" t="n">
        <f aca="false">W499+V500</f>
        <v>-3198523.96624936</v>
      </c>
      <c r="X500" s="23" t="str">
        <f aca="false">IF(W500&gt;=0,"YES","No")</f>
        <v>No</v>
      </c>
    </row>
    <row r="501" customFormat="false" ht="15" hidden="false" customHeight="false" outlineLevel="0" collapsed="false">
      <c r="A501" s="16" t="n">
        <v>500</v>
      </c>
      <c r="B501" s="17" t="n">
        <f aca="false">B500+1</f>
        <v>46522</v>
      </c>
      <c r="C501" s="18" t="n">
        <f aca="false">MIN(ROUNDUP(A501/365,0),5)</f>
        <v>2</v>
      </c>
      <c r="D501" s="18" t="n">
        <f aca="false">DATEDIF(Assumptions!B5,B501,"m")+1</f>
        <v>17</v>
      </c>
      <c r="E501" s="18" t="str">
        <f aca="false">TEXT(B501,"ddd")</f>
        <v>Sat</v>
      </c>
      <c r="F501" s="19" t="n">
        <f aca="false">IF(WEEKDAY(B501,2)&gt;=6,Assumptions!B34,Assumptions!B35)</f>
        <v>0.6</v>
      </c>
      <c r="G501" s="20" t="n">
        <f aca="false">IF(D501&gt;=13,(1+Assumptions!B46)^(D501-12),1)</f>
        <v>1.01509027040524</v>
      </c>
      <c r="H501" s="21" t="n">
        <f aca="false">H500*(1+IF(C501=1,Assumptions!B22,Assumptions!B23))</f>
        <v>21.2800265265275</v>
      </c>
      <c r="I501" s="16" t="n">
        <f aca="false">ROUND(H501*F501,0)</f>
        <v>13</v>
      </c>
      <c r="J501" s="22" t="n">
        <f aca="false">I501*Assumptions!B24</f>
        <v>7800</v>
      </c>
      <c r="K501" s="21" t="n">
        <f aca="false">K500*(1+Assumptions!B30)</f>
        <v>15.4687495904174</v>
      </c>
      <c r="L501" s="16" t="n">
        <f aca="false">ROUND(K501*F501,0)</f>
        <v>9</v>
      </c>
      <c r="M501" s="22" t="n">
        <f aca="false">L501*Assumptions!B31</f>
        <v>2700</v>
      </c>
      <c r="N501" s="22" t="n">
        <f aca="false">J501+M501</f>
        <v>10500</v>
      </c>
      <c r="O501" s="22" t="n">
        <f aca="false">IF(DAY(B501)=1,Assumptions!B38*G501,0)</f>
        <v>0</v>
      </c>
      <c r="P501" s="22" t="n">
        <f aca="false">IF(DAY(B501)=1,Assumptions!B39*G501,0)</f>
        <v>0</v>
      </c>
      <c r="Q501" s="22" t="n">
        <f aca="false">IF(DAY(B501)=1,Assumptions!B40*G501,0)</f>
        <v>0</v>
      </c>
      <c r="R501" s="22" t="n">
        <f aca="false">IF(DAY(B501)=1,Assumptions!B41*G501,0)</f>
        <v>0</v>
      </c>
      <c r="S501" s="22" t="n">
        <f aca="false">IF(AND(DAY(B501)=1,D501&gt;=13),Assumptions!B42*G501,0)</f>
        <v>0</v>
      </c>
      <c r="T501" s="22" t="n">
        <f aca="false">IF(DAY(B501)=1,Assumptions!B43*G501,0)</f>
        <v>0</v>
      </c>
      <c r="U501" s="22" t="n">
        <f aca="false">SUM(O501:T501)</f>
        <v>0</v>
      </c>
      <c r="V501" s="22" t="n">
        <f aca="false">N501-U501</f>
        <v>10500</v>
      </c>
      <c r="W501" s="22" t="n">
        <f aca="false">W500+V501</f>
        <v>-3188023.96624936</v>
      </c>
      <c r="X501" s="23" t="str">
        <f aca="false">IF(W501&gt;=0,"YES","No")</f>
        <v>No</v>
      </c>
    </row>
    <row r="502" customFormat="false" ht="15" hidden="false" customHeight="false" outlineLevel="0" collapsed="false">
      <c r="A502" s="16" t="n">
        <v>501</v>
      </c>
      <c r="B502" s="17" t="n">
        <f aca="false">B501+1</f>
        <v>46523</v>
      </c>
      <c r="C502" s="18" t="n">
        <f aca="false">MIN(ROUNDUP(A502/365,0),5)</f>
        <v>2</v>
      </c>
      <c r="D502" s="18" t="n">
        <f aca="false">DATEDIF(Assumptions!B5,B502,"m")+1</f>
        <v>17</v>
      </c>
      <c r="E502" s="18" t="str">
        <f aca="false">TEXT(B502,"ddd")</f>
        <v>Sun</v>
      </c>
      <c r="F502" s="19" t="n">
        <f aca="false">IF(WEEKDAY(B502,2)&gt;=6,Assumptions!B34,Assumptions!B35)</f>
        <v>0.6</v>
      </c>
      <c r="G502" s="20" t="n">
        <f aca="false">IF(D502&gt;=13,(1+Assumptions!B46)^(D502-12),1)</f>
        <v>1.01509027040524</v>
      </c>
      <c r="H502" s="21" t="n">
        <f aca="false">H501*(1+IF(C502=1,Assumptions!B22,Assumptions!B23))</f>
        <v>21.28351350784</v>
      </c>
      <c r="I502" s="16" t="n">
        <f aca="false">ROUND(H502*F502,0)</f>
        <v>13</v>
      </c>
      <c r="J502" s="22" t="n">
        <f aca="false">I502*Assumptions!B24</f>
        <v>7800</v>
      </c>
      <c r="K502" s="21" t="n">
        <f aca="false">K501*(1+Assumptions!B30)</f>
        <v>15.4738068944865</v>
      </c>
      <c r="L502" s="16" t="n">
        <f aca="false">ROUND(K502*F502,0)</f>
        <v>9</v>
      </c>
      <c r="M502" s="22" t="n">
        <f aca="false">L502*Assumptions!B31</f>
        <v>2700</v>
      </c>
      <c r="N502" s="22" t="n">
        <f aca="false">J502+M502</f>
        <v>10500</v>
      </c>
      <c r="O502" s="22" t="n">
        <f aca="false">IF(DAY(B502)=1,Assumptions!B38*G502,0)</f>
        <v>0</v>
      </c>
      <c r="P502" s="22" t="n">
        <f aca="false">IF(DAY(B502)=1,Assumptions!B39*G502,0)</f>
        <v>0</v>
      </c>
      <c r="Q502" s="22" t="n">
        <f aca="false">IF(DAY(B502)=1,Assumptions!B40*G502,0)</f>
        <v>0</v>
      </c>
      <c r="R502" s="22" t="n">
        <f aca="false">IF(DAY(B502)=1,Assumptions!B41*G502,0)</f>
        <v>0</v>
      </c>
      <c r="S502" s="22" t="n">
        <f aca="false">IF(AND(DAY(B502)=1,D502&gt;=13),Assumptions!B42*G502,0)</f>
        <v>0</v>
      </c>
      <c r="T502" s="22" t="n">
        <f aca="false">IF(DAY(B502)=1,Assumptions!B43*G502,0)</f>
        <v>0</v>
      </c>
      <c r="U502" s="22" t="n">
        <f aca="false">SUM(O502:T502)</f>
        <v>0</v>
      </c>
      <c r="V502" s="22" t="n">
        <f aca="false">N502-U502</f>
        <v>10500</v>
      </c>
      <c r="W502" s="22" t="n">
        <f aca="false">W501+V502</f>
        <v>-3177523.96624936</v>
      </c>
      <c r="X502" s="23" t="str">
        <f aca="false">IF(W502&gt;=0,"YES","No")</f>
        <v>No</v>
      </c>
    </row>
    <row r="503" customFormat="false" ht="15" hidden="false" customHeight="false" outlineLevel="0" collapsed="false">
      <c r="A503" s="16" t="n">
        <v>502</v>
      </c>
      <c r="B503" s="17" t="n">
        <f aca="false">B502+1</f>
        <v>46524</v>
      </c>
      <c r="C503" s="18" t="n">
        <f aca="false">MIN(ROUNDUP(A503/365,0),5)</f>
        <v>2</v>
      </c>
      <c r="D503" s="18" t="n">
        <f aca="false">DATEDIF(Assumptions!B5,B503,"m")+1</f>
        <v>17</v>
      </c>
      <c r="E503" s="18" t="str">
        <f aca="false">TEXT(B503,"ddd")</f>
        <v>Mon</v>
      </c>
      <c r="F503" s="19" t="n">
        <f aca="false">IF(WEEKDAY(B503,2)&gt;=6,Assumptions!B34,Assumptions!B35)</f>
        <v>1</v>
      </c>
      <c r="G503" s="20" t="n">
        <f aca="false">IF(D503&gt;=13,(1+Assumptions!B46)^(D503-12),1)</f>
        <v>1.01509027040524</v>
      </c>
      <c r="H503" s="21" t="n">
        <f aca="false">H502*(1+IF(C503=1,Assumptions!B22,Assumptions!B23))</f>
        <v>21.2870010605352</v>
      </c>
      <c r="I503" s="16" t="n">
        <f aca="false">ROUND(H503*F503,0)</f>
        <v>21</v>
      </c>
      <c r="J503" s="22" t="n">
        <f aca="false">I503*Assumptions!B24</f>
        <v>12600</v>
      </c>
      <c r="K503" s="21" t="n">
        <f aca="false">K502*(1+Assumptions!B30)</f>
        <v>15.4788658519746</v>
      </c>
      <c r="L503" s="16" t="n">
        <f aca="false">ROUND(K503*F503,0)</f>
        <v>15</v>
      </c>
      <c r="M503" s="22" t="n">
        <f aca="false">L503*Assumptions!B31</f>
        <v>4500</v>
      </c>
      <c r="N503" s="22" t="n">
        <f aca="false">J503+M503</f>
        <v>17100</v>
      </c>
      <c r="O503" s="22" t="n">
        <f aca="false">IF(DAY(B503)=1,Assumptions!B38*G503,0)</f>
        <v>0</v>
      </c>
      <c r="P503" s="22" t="n">
        <f aca="false">IF(DAY(B503)=1,Assumptions!B39*G503,0)</f>
        <v>0</v>
      </c>
      <c r="Q503" s="22" t="n">
        <f aca="false">IF(DAY(B503)=1,Assumptions!B40*G503,0)</f>
        <v>0</v>
      </c>
      <c r="R503" s="22" t="n">
        <f aca="false">IF(DAY(B503)=1,Assumptions!B41*G503,0)</f>
        <v>0</v>
      </c>
      <c r="S503" s="22" t="n">
        <f aca="false">IF(AND(DAY(B503)=1,D503&gt;=13),Assumptions!B42*G503,0)</f>
        <v>0</v>
      </c>
      <c r="T503" s="22" t="n">
        <f aca="false">IF(DAY(B503)=1,Assumptions!B43*G503,0)</f>
        <v>0</v>
      </c>
      <c r="U503" s="22" t="n">
        <f aca="false">SUM(O503:T503)</f>
        <v>0</v>
      </c>
      <c r="V503" s="22" t="n">
        <f aca="false">N503-U503</f>
        <v>17100</v>
      </c>
      <c r="W503" s="22" t="n">
        <f aca="false">W502+V503</f>
        <v>-3160423.96624936</v>
      </c>
      <c r="X503" s="23" t="str">
        <f aca="false">IF(W503&gt;=0,"YES","No")</f>
        <v>No</v>
      </c>
    </row>
    <row r="504" customFormat="false" ht="15" hidden="false" customHeight="false" outlineLevel="0" collapsed="false">
      <c r="A504" s="16" t="n">
        <v>503</v>
      </c>
      <c r="B504" s="17" t="n">
        <f aca="false">B503+1</f>
        <v>46525</v>
      </c>
      <c r="C504" s="18" t="n">
        <f aca="false">MIN(ROUNDUP(A504/365,0),5)</f>
        <v>2</v>
      </c>
      <c r="D504" s="18" t="n">
        <f aca="false">DATEDIF(Assumptions!B5,B504,"m")+1</f>
        <v>17</v>
      </c>
      <c r="E504" s="18" t="str">
        <f aca="false">TEXT(B504,"ddd")</f>
        <v>Tue</v>
      </c>
      <c r="F504" s="19" t="n">
        <f aca="false">IF(WEEKDAY(B504,2)&gt;=6,Assumptions!B34,Assumptions!B35)</f>
        <v>1</v>
      </c>
      <c r="G504" s="20" t="n">
        <f aca="false">IF(D504&gt;=13,(1+Assumptions!B46)^(D504-12),1)</f>
        <v>1.01509027040524</v>
      </c>
      <c r="H504" s="21" t="n">
        <f aca="false">H503*(1+IF(C504=1,Assumptions!B22,Assumptions!B23))</f>
        <v>21.2904891847066</v>
      </c>
      <c r="I504" s="16" t="n">
        <f aca="false">ROUND(H504*F504,0)</f>
        <v>21</v>
      </c>
      <c r="J504" s="22" t="n">
        <f aca="false">I504*Assumptions!B24</f>
        <v>12600</v>
      </c>
      <c r="K504" s="21" t="n">
        <f aca="false">K503*(1+Assumptions!B30)</f>
        <v>15.4839264634222</v>
      </c>
      <c r="L504" s="16" t="n">
        <f aca="false">ROUND(K504*F504,0)</f>
        <v>15</v>
      </c>
      <c r="M504" s="22" t="n">
        <f aca="false">L504*Assumptions!B31</f>
        <v>4500</v>
      </c>
      <c r="N504" s="22" t="n">
        <f aca="false">J504+M504</f>
        <v>17100</v>
      </c>
      <c r="O504" s="22" t="n">
        <f aca="false">IF(DAY(B504)=1,Assumptions!B38*G504,0)</f>
        <v>0</v>
      </c>
      <c r="P504" s="22" t="n">
        <f aca="false">IF(DAY(B504)=1,Assumptions!B39*G504,0)</f>
        <v>0</v>
      </c>
      <c r="Q504" s="22" t="n">
        <f aca="false">IF(DAY(B504)=1,Assumptions!B40*G504,0)</f>
        <v>0</v>
      </c>
      <c r="R504" s="22" t="n">
        <f aca="false">IF(DAY(B504)=1,Assumptions!B41*G504,0)</f>
        <v>0</v>
      </c>
      <c r="S504" s="22" t="n">
        <f aca="false">IF(AND(DAY(B504)=1,D504&gt;=13),Assumptions!B42*G504,0)</f>
        <v>0</v>
      </c>
      <c r="T504" s="22" t="n">
        <f aca="false">IF(DAY(B504)=1,Assumptions!B43*G504,0)</f>
        <v>0</v>
      </c>
      <c r="U504" s="22" t="n">
        <f aca="false">SUM(O504:T504)</f>
        <v>0</v>
      </c>
      <c r="V504" s="22" t="n">
        <f aca="false">N504-U504</f>
        <v>17100</v>
      </c>
      <c r="W504" s="22" t="n">
        <f aca="false">W503+V504</f>
        <v>-3143323.96624936</v>
      </c>
      <c r="X504" s="23" t="str">
        <f aca="false">IF(W504&gt;=0,"YES","No")</f>
        <v>No</v>
      </c>
    </row>
    <row r="505" customFormat="false" ht="15" hidden="false" customHeight="false" outlineLevel="0" collapsed="false">
      <c r="A505" s="16" t="n">
        <v>504</v>
      </c>
      <c r="B505" s="17" t="n">
        <f aca="false">B504+1</f>
        <v>46526</v>
      </c>
      <c r="C505" s="18" t="n">
        <f aca="false">MIN(ROUNDUP(A505/365,0),5)</f>
        <v>2</v>
      </c>
      <c r="D505" s="18" t="n">
        <f aca="false">DATEDIF(Assumptions!B5,B505,"m")+1</f>
        <v>17</v>
      </c>
      <c r="E505" s="18" t="str">
        <f aca="false">TEXT(B505,"ddd")</f>
        <v>Wed</v>
      </c>
      <c r="F505" s="19" t="n">
        <f aca="false">IF(WEEKDAY(B505,2)&gt;=6,Assumptions!B34,Assumptions!B35)</f>
        <v>1</v>
      </c>
      <c r="G505" s="20" t="n">
        <f aca="false">IF(D505&gt;=13,(1+Assumptions!B46)^(D505-12),1)</f>
        <v>1.01509027040524</v>
      </c>
      <c r="H505" s="21" t="n">
        <f aca="false">H504*(1+IF(C505=1,Assumptions!B22,Assumptions!B23))</f>
        <v>21.2939778804481</v>
      </c>
      <c r="I505" s="16" t="n">
        <f aca="false">ROUND(H505*F505,0)</f>
        <v>21</v>
      </c>
      <c r="J505" s="22" t="n">
        <f aca="false">I505*Assumptions!B24</f>
        <v>12600</v>
      </c>
      <c r="K505" s="21" t="n">
        <f aca="false">K504*(1+Assumptions!B30)</f>
        <v>15.4889887293702</v>
      </c>
      <c r="L505" s="16" t="n">
        <f aca="false">ROUND(K505*F505,0)</f>
        <v>15</v>
      </c>
      <c r="M505" s="22" t="n">
        <f aca="false">L505*Assumptions!B31</f>
        <v>4500</v>
      </c>
      <c r="N505" s="22" t="n">
        <f aca="false">J505+M505</f>
        <v>17100</v>
      </c>
      <c r="O505" s="22" t="n">
        <f aca="false">IF(DAY(B505)=1,Assumptions!B38*G505,0)</f>
        <v>0</v>
      </c>
      <c r="P505" s="22" t="n">
        <f aca="false">IF(DAY(B505)=1,Assumptions!B39*G505,0)</f>
        <v>0</v>
      </c>
      <c r="Q505" s="22" t="n">
        <f aca="false">IF(DAY(B505)=1,Assumptions!B40*G505,0)</f>
        <v>0</v>
      </c>
      <c r="R505" s="22" t="n">
        <f aca="false">IF(DAY(B505)=1,Assumptions!B41*G505,0)</f>
        <v>0</v>
      </c>
      <c r="S505" s="22" t="n">
        <f aca="false">IF(AND(DAY(B505)=1,D505&gt;=13),Assumptions!B42*G505,0)</f>
        <v>0</v>
      </c>
      <c r="T505" s="22" t="n">
        <f aca="false">IF(DAY(B505)=1,Assumptions!B43*G505,0)</f>
        <v>0</v>
      </c>
      <c r="U505" s="22" t="n">
        <f aca="false">SUM(O505:T505)</f>
        <v>0</v>
      </c>
      <c r="V505" s="22" t="n">
        <f aca="false">N505-U505</f>
        <v>17100</v>
      </c>
      <c r="W505" s="22" t="n">
        <f aca="false">W504+V505</f>
        <v>-3126223.96624936</v>
      </c>
      <c r="X505" s="23" t="str">
        <f aca="false">IF(W505&gt;=0,"YES","No")</f>
        <v>No</v>
      </c>
    </row>
    <row r="506" customFormat="false" ht="15" hidden="false" customHeight="false" outlineLevel="0" collapsed="false">
      <c r="A506" s="16" t="n">
        <v>505</v>
      </c>
      <c r="B506" s="17" t="n">
        <f aca="false">B505+1</f>
        <v>46527</v>
      </c>
      <c r="C506" s="18" t="n">
        <f aca="false">MIN(ROUNDUP(A506/365,0),5)</f>
        <v>2</v>
      </c>
      <c r="D506" s="18" t="n">
        <f aca="false">DATEDIF(Assumptions!B5,B506,"m")+1</f>
        <v>17</v>
      </c>
      <c r="E506" s="18" t="str">
        <f aca="false">TEXT(B506,"ddd")</f>
        <v>Thu</v>
      </c>
      <c r="F506" s="19" t="n">
        <f aca="false">IF(WEEKDAY(B506,2)&gt;=6,Assumptions!B34,Assumptions!B35)</f>
        <v>1</v>
      </c>
      <c r="G506" s="20" t="n">
        <f aca="false">IF(D506&gt;=13,(1+Assumptions!B46)^(D506-12),1)</f>
        <v>1.01509027040524</v>
      </c>
      <c r="H506" s="21" t="n">
        <f aca="false">H505*(1+IF(C506=1,Assumptions!B22,Assumptions!B23))</f>
        <v>21.2974671478531</v>
      </c>
      <c r="I506" s="16" t="n">
        <f aca="false">ROUND(H506*F506,0)</f>
        <v>21</v>
      </c>
      <c r="J506" s="22" t="n">
        <f aca="false">I506*Assumptions!B24</f>
        <v>12600</v>
      </c>
      <c r="K506" s="21" t="n">
        <f aca="false">K505*(1+Assumptions!B30)</f>
        <v>15.4940526503594</v>
      </c>
      <c r="L506" s="16" t="n">
        <f aca="false">ROUND(K506*F506,0)</f>
        <v>15</v>
      </c>
      <c r="M506" s="22" t="n">
        <f aca="false">L506*Assumptions!B31</f>
        <v>4500</v>
      </c>
      <c r="N506" s="22" t="n">
        <f aca="false">J506+M506</f>
        <v>17100</v>
      </c>
      <c r="O506" s="22" t="n">
        <f aca="false">IF(DAY(B506)=1,Assumptions!B38*G506,0)</f>
        <v>0</v>
      </c>
      <c r="P506" s="22" t="n">
        <f aca="false">IF(DAY(B506)=1,Assumptions!B39*G506,0)</f>
        <v>0</v>
      </c>
      <c r="Q506" s="22" t="n">
        <f aca="false">IF(DAY(B506)=1,Assumptions!B40*G506,0)</f>
        <v>0</v>
      </c>
      <c r="R506" s="22" t="n">
        <f aca="false">IF(DAY(B506)=1,Assumptions!B41*G506,0)</f>
        <v>0</v>
      </c>
      <c r="S506" s="22" t="n">
        <f aca="false">IF(AND(DAY(B506)=1,D506&gt;=13),Assumptions!B42*G506,0)</f>
        <v>0</v>
      </c>
      <c r="T506" s="22" t="n">
        <f aca="false">IF(DAY(B506)=1,Assumptions!B43*G506,0)</f>
        <v>0</v>
      </c>
      <c r="U506" s="22" t="n">
        <f aca="false">SUM(O506:T506)</f>
        <v>0</v>
      </c>
      <c r="V506" s="22" t="n">
        <f aca="false">N506-U506</f>
        <v>17100</v>
      </c>
      <c r="W506" s="22" t="n">
        <f aca="false">W505+V506</f>
        <v>-3109123.96624936</v>
      </c>
      <c r="X506" s="23" t="str">
        <f aca="false">IF(W506&gt;=0,"YES","No")</f>
        <v>No</v>
      </c>
    </row>
    <row r="507" customFormat="false" ht="15" hidden="false" customHeight="false" outlineLevel="0" collapsed="false">
      <c r="A507" s="16" t="n">
        <v>506</v>
      </c>
      <c r="B507" s="17" t="n">
        <f aca="false">B506+1</f>
        <v>46528</v>
      </c>
      <c r="C507" s="18" t="n">
        <f aca="false">MIN(ROUNDUP(A507/365,0),5)</f>
        <v>2</v>
      </c>
      <c r="D507" s="18" t="n">
        <f aca="false">DATEDIF(Assumptions!B5,B507,"m")+1</f>
        <v>17</v>
      </c>
      <c r="E507" s="18" t="str">
        <f aca="false">TEXT(B507,"ddd")</f>
        <v>Fri</v>
      </c>
      <c r="F507" s="19" t="n">
        <f aca="false">IF(WEEKDAY(B507,2)&gt;=6,Assumptions!B34,Assumptions!B35)</f>
        <v>1</v>
      </c>
      <c r="G507" s="20" t="n">
        <f aca="false">IF(D507&gt;=13,(1+Assumptions!B46)^(D507-12),1)</f>
        <v>1.01509027040524</v>
      </c>
      <c r="H507" s="21" t="n">
        <f aca="false">H506*(1+IF(C507=1,Assumptions!B22,Assumptions!B23))</f>
        <v>21.3009569870154</v>
      </c>
      <c r="I507" s="16" t="n">
        <f aca="false">ROUND(H507*F507,0)</f>
        <v>21</v>
      </c>
      <c r="J507" s="22" t="n">
        <f aca="false">I507*Assumptions!B24</f>
        <v>12600</v>
      </c>
      <c r="K507" s="21" t="n">
        <f aca="false">K506*(1+Assumptions!B30)</f>
        <v>15.4991182269308</v>
      </c>
      <c r="L507" s="16" t="n">
        <f aca="false">ROUND(K507*F507,0)</f>
        <v>15</v>
      </c>
      <c r="M507" s="22" t="n">
        <f aca="false">L507*Assumptions!B31</f>
        <v>4500</v>
      </c>
      <c r="N507" s="22" t="n">
        <f aca="false">J507+M507</f>
        <v>17100</v>
      </c>
      <c r="O507" s="22" t="n">
        <f aca="false">IF(DAY(B507)=1,Assumptions!B38*G507,0)</f>
        <v>0</v>
      </c>
      <c r="P507" s="22" t="n">
        <f aca="false">IF(DAY(B507)=1,Assumptions!B39*G507,0)</f>
        <v>0</v>
      </c>
      <c r="Q507" s="22" t="n">
        <f aca="false">IF(DAY(B507)=1,Assumptions!B40*G507,0)</f>
        <v>0</v>
      </c>
      <c r="R507" s="22" t="n">
        <f aca="false">IF(DAY(B507)=1,Assumptions!B41*G507,0)</f>
        <v>0</v>
      </c>
      <c r="S507" s="22" t="n">
        <f aca="false">IF(AND(DAY(B507)=1,D507&gt;=13),Assumptions!B42*G507,0)</f>
        <v>0</v>
      </c>
      <c r="T507" s="22" t="n">
        <f aca="false">IF(DAY(B507)=1,Assumptions!B43*G507,0)</f>
        <v>0</v>
      </c>
      <c r="U507" s="22" t="n">
        <f aca="false">SUM(O507:T507)</f>
        <v>0</v>
      </c>
      <c r="V507" s="22" t="n">
        <f aca="false">N507-U507</f>
        <v>17100</v>
      </c>
      <c r="W507" s="22" t="n">
        <f aca="false">W506+V507</f>
        <v>-3092023.96624936</v>
      </c>
      <c r="X507" s="23" t="str">
        <f aca="false">IF(W507&gt;=0,"YES","No")</f>
        <v>No</v>
      </c>
    </row>
    <row r="508" customFormat="false" ht="15" hidden="false" customHeight="false" outlineLevel="0" collapsed="false">
      <c r="A508" s="16" t="n">
        <v>507</v>
      </c>
      <c r="B508" s="17" t="n">
        <f aca="false">B507+1</f>
        <v>46529</v>
      </c>
      <c r="C508" s="18" t="n">
        <f aca="false">MIN(ROUNDUP(A508/365,0),5)</f>
        <v>2</v>
      </c>
      <c r="D508" s="18" t="n">
        <f aca="false">DATEDIF(Assumptions!B5,B508,"m")+1</f>
        <v>17</v>
      </c>
      <c r="E508" s="18" t="str">
        <f aca="false">TEXT(B508,"ddd")</f>
        <v>Sat</v>
      </c>
      <c r="F508" s="19" t="n">
        <f aca="false">IF(WEEKDAY(B508,2)&gt;=6,Assumptions!B34,Assumptions!B35)</f>
        <v>0.6</v>
      </c>
      <c r="G508" s="20" t="n">
        <f aca="false">IF(D508&gt;=13,(1+Assumptions!B46)^(D508-12),1)</f>
        <v>1.01509027040524</v>
      </c>
      <c r="H508" s="21" t="n">
        <f aca="false">H507*(1+IF(C508=1,Assumptions!B22,Assumptions!B23))</f>
        <v>21.3044473980287</v>
      </c>
      <c r="I508" s="16" t="n">
        <f aca="false">ROUND(H508*F508,0)</f>
        <v>13</v>
      </c>
      <c r="J508" s="22" t="n">
        <f aca="false">I508*Assumptions!B24</f>
        <v>7800</v>
      </c>
      <c r="K508" s="21" t="n">
        <f aca="false">K507*(1+Assumptions!B30)</f>
        <v>15.5041854596259</v>
      </c>
      <c r="L508" s="16" t="n">
        <f aca="false">ROUND(K508*F508,0)</f>
        <v>9</v>
      </c>
      <c r="M508" s="22" t="n">
        <f aca="false">L508*Assumptions!B31</f>
        <v>2700</v>
      </c>
      <c r="N508" s="22" t="n">
        <f aca="false">J508+M508</f>
        <v>10500</v>
      </c>
      <c r="O508" s="22" t="n">
        <f aca="false">IF(DAY(B508)=1,Assumptions!B38*G508,0)</f>
        <v>0</v>
      </c>
      <c r="P508" s="22" t="n">
        <f aca="false">IF(DAY(B508)=1,Assumptions!B39*G508,0)</f>
        <v>0</v>
      </c>
      <c r="Q508" s="22" t="n">
        <f aca="false">IF(DAY(B508)=1,Assumptions!B40*G508,0)</f>
        <v>0</v>
      </c>
      <c r="R508" s="22" t="n">
        <f aca="false">IF(DAY(B508)=1,Assumptions!B41*G508,0)</f>
        <v>0</v>
      </c>
      <c r="S508" s="22" t="n">
        <f aca="false">IF(AND(DAY(B508)=1,D508&gt;=13),Assumptions!B42*G508,0)</f>
        <v>0</v>
      </c>
      <c r="T508" s="22" t="n">
        <f aca="false">IF(DAY(B508)=1,Assumptions!B43*G508,0)</f>
        <v>0</v>
      </c>
      <c r="U508" s="22" t="n">
        <f aca="false">SUM(O508:T508)</f>
        <v>0</v>
      </c>
      <c r="V508" s="22" t="n">
        <f aca="false">N508-U508</f>
        <v>10500</v>
      </c>
      <c r="W508" s="22" t="n">
        <f aca="false">W507+V508</f>
        <v>-3081523.96624936</v>
      </c>
      <c r="X508" s="23" t="str">
        <f aca="false">IF(W508&gt;=0,"YES","No")</f>
        <v>No</v>
      </c>
    </row>
    <row r="509" customFormat="false" ht="15" hidden="false" customHeight="false" outlineLevel="0" collapsed="false">
      <c r="A509" s="16" t="n">
        <v>508</v>
      </c>
      <c r="B509" s="17" t="n">
        <f aca="false">B508+1</f>
        <v>46530</v>
      </c>
      <c r="C509" s="18" t="n">
        <f aca="false">MIN(ROUNDUP(A509/365,0),5)</f>
        <v>2</v>
      </c>
      <c r="D509" s="18" t="n">
        <f aca="false">DATEDIF(Assumptions!B5,B509,"m")+1</f>
        <v>17</v>
      </c>
      <c r="E509" s="18" t="str">
        <f aca="false">TEXT(B509,"ddd")</f>
        <v>Sun</v>
      </c>
      <c r="F509" s="19" t="n">
        <f aca="false">IF(WEEKDAY(B509,2)&gt;=6,Assumptions!B34,Assumptions!B35)</f>
        <v>0.6</v>
      </c>
      <c r="G509" s="20" t="n">
        <f aca="false">IF(D509&gt;=13,(1+Assumptions!B46)^(D509-12),1)</f>
        <v>1.01509027040524</v>
      </c>
      <c r="H509" s="21" t="n">
        <f aca="false">H508*(1+IF(C509=1,Assumptions!B22,Assumptions!B23))</f>
        <v>21.3079383809867</v>
      </c>
      <c r="I509" s="16" t="n">
        <f aca="false">ROUND(H509*F509,0)</f>
        <v>13</v>
      </c>
      <c r="J509" s="22" t="n">
        <f aca="false">I509*Assumptions!B24</f>
        <v>7800</v>
      </c>
      <c r="K509" s="21" t="n">
        <f aca="false">K508*(1+Assumptions!B30)</f>
        <v>15.509254348986</v>
      </c>
      <c r="L509" s="16" t="n">
        <f aca="false">ROUND(K509*F509,0)</f>
        <v>9</v>
      </c>
      <c r="M509" s="22" t="n">
        <f aca="false">L509*Assumptions!B31</f>
        <v>2700</v>
      </c>
      <c r="N509" s="22" t="n">
        <f aca="false">J509+M509</f>
        <v>10500</v>
      </c>
      <c r="O509" s="22" t="n">
        <f aca="false">IF(DAY(B509)=1,Assumptions!B38*G509,0)</f>
        <v>0</v>
      </c>
      <c r="P509" s="22" t="n">
        <f aca="false">IF(DAY(B509)=1,Assumptions!B39*G509,0)</f>
        <v>0</v>
      </c>
      <c r="Q509" s="22" t="n">
        <f aca="false">IF(DAY(B509)=1,Assumptions!B40*G509,0)</f>
        <v>0</v>
      </c>
      <c r="R509" s="22" t="n">
        <f aca="false">IF(DAY(B509)=1,Assumptions!B41*G509,0)</f>
        <v>0</v>
      </c>
      <c r="S509" s="22" t="n">
        <f aca="false">IF(AND(DAY(B509)=1,D509&gt;=13),Assumptions!B42*G509,0)</f>
        <v>0</v>
      </c>
      <c r="T509" s="22" t="n">
        <f aca="false">IF(DAY(B509)=1,Assumptions!B43*G509,0)</f>
        <v>0</v>
      </c>
      <c r="U509" s="22" t="n">
        <f aca="false">SUM(O509:T509)</f>
        <v>0</v>
      </c>
      <c r="V509" s="22" t="n">
        <f aca="false">N509-U509</f>
        <v>10500</v>
      </c>
      <c r="W509" s="22" t="n">
        <f aca="false">W508+V509</f>
        <v>-3071023.96624936</v>
      </c>
      <c r="X509" s="23" t="str">
        <f aca="false">IF(W509&gt;=0,"YES","No")</f>
        <v>No</v>
      </c>
    </row>
    <row r="510" customFormat="false" ht="15" hidden="false" customHeight="false" outlineLevel="0" collapsed="false">
      <c r="A510" s="16" t="n">
        <v>509</v>
      </c>
      <c r="B510" s="17" t="n">
        <f aca="false">B509+1</f>
        <v>46531</v>
      </c>
      <c r="C510" s="18" t="n">
        <f aca="false">MIN(ROUNDUP(A510/365,0),5)</f>
        <v>2</v>
      </c>
      <c r="D510" s="18" t="n">
        <f aca="false">DATEDIF(Assumptions!B5,B510,"m")+1</f>
        <v>17</v>
      </c>
      <c r="E510" s="18" t="str">
        <f aca="false">TEXT(B510,"ddd")</f>
        <v>Mon</v>
      </c>
      <c r="F510" s="19" t="n">
        <f aca="false">IF(WEEKDAY(B510,2)&gt;=6,Assumptions!B34,Assumptions!B35)</f>
        <v>1</v>
      </c>
      <c r="G510" s="20" t="n">
        <f aca="false">IF(D510&gt;=13,(1+Assumptions!B46)^(D510-12),1)</f>
        <v>1.01509027040524</v>
      </c>
      <c r="H510" s="21" t="n">
        <f aca="false">H509*(1+IF(C510=1,Assumptions!B22,Assumptions!B23))</f>
        <v>21.3114299359831</v>
      </c>
      <c r="I510" s="16" t="n">
        <f aca="false">ROUND(H510*F510,0)</f>
        <v>21</v>
      </c>
      <c r="J510" s="22" t="n">
        <f aca="false">I510*Assumptions!B24</f>
        <v>12600</v>
      </c>
      <c r="K510" s="21" t="n">
        <f aca="false">K509*(1+Assumptions!B30)</f>
        <v>15.5143248955528</v>
      </c>
      <c r="L510" s="16" t="n">
        <f aca="false">ROUND(K510*F510,0)</f>
        <v>16</v>
      </c>
      <c r="M510" s="22" t="n">
        <f aca="false">L510*Assumptions!B31</f>
        <v>4800</v>
      </c>
      <c r="N510" s="22" t="n">
        <f aca="false">J510+M510</f>
        <v>17400</v>
      </c>
      <c r="O510" s="22" t="n">
        <f aca="false">IF(DAY(B510)=1,Assumptions!B38*G510,0)</f>
        <v>0</v>
      </c>
      <c r="P510" s="22" t="n">
        <f aca="false">IF(DAY(B510)=1,Assumptions!B39*G510,0)</f>
        <v>0</v>
      </c>
      <c r="Q510" s="22" t="n">
        <f aca="false">IF(DAY(B510)=1,Assumptions!B40*G510,0)</f>
        <v>0</v>
      </c>
      <c r="R510" s="22" t="n">
        <f aca="false">IF(DAY(B510)=1,Assumptions!B41*G510,0)</f>
        <v>0</v>
      </c>
      <c r="S510" s="22" t="n">
        <f aca="false">IF(AND(DAY(B510)=1,D510&gt;=13),Assumptions!B42*G510,0)</f>
        <v>0</v>
      </c>
      <c r="T510" s="22" t="n">
        <f aca="false">IF(DAY(B510)=1,Assumptions!B43*G510,0)</f>
        <v>0</v>
      </c>
      <c r="U510" s="22" t="n">
        <f aca="false">SUM(O510:T510)</f>
        <v>0</v>
      </c>
      <c r="V510" s="22" t="n">
        <f aca="false">N510-U510</f>
        <v>17400</v>
      </c>
      <c r="W510" s="22" t="n">
        <f aca="false">W509+V510</f>
        <v>-3053623.96624936</v>
      </c>
      <c r="X510" s="23" t="str">
        <f aca="false">IF(W510&gt;=0,"YES","No")</f>
        <v>No</v>
      </c>
    </row>
    <row r="511" customFormat="false" ht="15" hidden="false" customHeight="false" outlineLevel="0" collapsed="false">
      <c r="A511" s="16" t="n">
        <v>510</v>
      </c>
      <c r="B511" s="17" t="n">
        <f aca="false">B510+1</f>
        <v>46532</v>
      </c>
      <c r="C511" s="18" t="n">
        <f aca="false">MIN(ROUNDUP(A511/365,0),5)</f>
        <v>2</v>
      </c>
      <c r="D511" s="18" t="n">
        <f aca="false">DATEDIF(Assumptions!B5,B511,"m")+1</f>
        <v>17</v>
      </c>
      <c r="E511" s="18" t="str">
        <f aca="false">TEXT(B511,"ddd")</f>
        <v>Tue</v>
      </c>
      <c r="F511" s="19" t="n">
        <f aca="false">IF(WEEKDAY(B511,2)&gt;=6,Assumptions!B34,Assumptions!B35)</f>
        <v>1</v>
      </c>
      <c r="G511" s="20" t="n">
        <f aca="false">IF(D511&gt;=13,(1+Assumptions!B46)^(D511-12),1)</f>
        <v>1.01509027040524</v>
      </c>
      <c r="H511" s="21" t="n">
        <f aca="false">H510*(1+IF(C511=1,Assumptions!B22,Assumptions!B23))</f>
        <v>21.3149220631116</v>
      </c>
      <c r="I511" s="16" t="n">
        <f aca="false">ROUND(H511*F511,0)</f>
        <v>21</v>
      </c>
      <c r="J511" s="22" t="n">
        <f aca="false">I511*Assumptions!B24</f>
        <v>12600</v>
      </c>
      <c r="K511" s="21" t="n">
        <f aca="false">K510*(1+Assumptions!B30)</f>
        <v>15.519397099868</v>
      </c>
      <c r="L511" s="16" t="n">
        <f aca="false">ROUND(K511*F511,0)</f>
        <v>16</v>
      </c>
      <c r="M511" s="22" t="n">
        <f aca="false">L511*Assumptions!B31</f>
        <v>4800</v>
      </c>
      <c r="N511" s="22" t="n">
        <f aca="false">J511+M511</f>
        <v>17400</v>
      </c>
      <c r="O511" s="22" t="n">
        <f aca="false">IF(DAY(B511)=1,Assumptions!B38*G511,0)</f>
        <v>0</v>
      </c>
      <c r="P511" s="22" t="n">
        <f aca="false">IF(DAY(B511)=1,Assumptions!B39*G511,0)</f>
        <v>0</v>
      </c>
      <c r="Q511" s="22" t="n">
        <f aca="false">IF(DAY(B511)=1,Assumptions!B40*G511,0)</f>
        <v>0</v>
      </c>
      <c r="R511" s="22" t="n">
        <f aca="false">IF(DAY(B511)=1,Assumptions!B41*G511,0)</f>
        <v>0</v>
      </c>
      <c r="S511" s="22" t="n">
        <f aca="false">IF(AND(DAY(B511)=1,D511&gt;=13),Assumptions!B42*G511,0)</f>
        <v>0</v>
      </c>
      <c r="T511" s="22" t="n">
        <f aca="false">IF(DAY(B511)=1,Assumptions!B43*G511,0)</f>
        <v>0</v>
      </c>
      <c r="U511" s="22" t="n">
        <f aca="false">SUM(O511:T511)</f>
        <v>0</v>
      </c>
      <c r="V511" s="22" t="n">
        <f aca="false">N511-U511</f>
        <v>17400</v>
      </c>
      <c r="W511" s="22" t="n">
        <f aca="false">W510+V511</f>
        <v>-3036223.96624936</v>
      </c>
      <c r="X511" s="23" t="str">
        <f aca="false">IF(W511&gt;=0,"YES","No")</f>
        <v>No</v>
      </c>
    </row>
    <row r="512" customFormat="false" ht="15" hidden="false" customHeight="false" outlineLevel="0" collapsed="false">
      <c r="A512" s="16" t="n">
        <v>511</v>
      </c>
      <c r="B512" s="17" t="n">
        <f aca="false">B511+1</f>
        <v>46533</v>
      </c>
      <c r="C512" s="18" t="n">
        <f aca="false">MIN(ROUNDUP(A512/365,0),5)</f>
        <v>2</v>
      </c>
      <c r="D512" s="18" t="n">
        <f aca="false">DATEDIF(Assumptions!B5,B512,"m")+1</f>
        <v>17</v>
      </c>
      <c r="E512" s="18" t="str">
        <f aca="false">TEXT(B512,"ddd")</f>
        <v>Wed</v>
      </c>
      <c r="F512" s="19" t="n">
        <f aca="false">IF(WEEKDAY(B512,2)&gt;=6,Assumptions!B34,Assumptions!B35)</f>
        <v>1</v>
      </c>
      <c r="G512" s="20" t="n">
        <f aca="false">IF(D512&gt;=13,(1+Assumptions!B46)^(D512-12),1)</f>
        <v>1.01509027040524</v>
      </c>
      <c r="H512" s="21" t="n">
        <f aca="false">H511*(1+IF(C512=1,Assumptions!B22,Assumptions!B23))</f>
        <v>21.318414762466</v>
      </c>
      <c r="I512" s="16" t="n">
        <f aca="false">ROUND(H512*F512,0)</f>
        <v>21</v>
      </c>
      <c r="J512" s="22" t="n">
        <f aca="false">I512*Assumptions!B24</f>
        <v>12600</v>
      </c>
      <c r="K512" s="21" t="n">
        <f aca="false">K511*(1+Assumptions!B30)</f>
        <v>15.5244709624736</v>
      </c>
      <c r="L512" s="16" t="n">
        <f aca="false">ROUND(K512*F512,0)</f>
        <v>16</v>
      </c>
      <c r="M512" s="22" t="n">
        <f aca="false">L512*Assumptions!B31</f>
        <v>4800</v>
      </c>
      <c r="N512" s="22" t="n">
        <f aca="false">J512+M512</f>
        <v>17400</v>
      </c>
      <c r="O512" s="22" t="n">
        <f aca="false">IF(DAY(B512)=1,Assumptions!B38*G512,0)</f>
        <v>0</v>
      </c>
      <c r="P512" s="22" t="n">
        <f aca="false">IF(DAY(B512)=1,Assumptions!B39*G512,0)</f>
        <v>0</v>
      </c>
      <c r="Q512" s="22" t="n">
        <f aca="false">IF(DAY(B512)=1,Assumptions!B40*G512,0)</f>
        <v>0</v>
      </c>
      <c r="R512" s="22" t="n">
        <f aca="false">IF(DAY(B512)=1,Assumptions!B41*G512,0)</f>
        <v>0</v>
      </c>
      <c r="S512" s="22" t="n">
        <f aca="false">IF(AND(DAY(B512)=1,D512&gt;=13),Assumptions!B42*G512,0)</f>
        <v>0</v>
      </c>
      <c r="T512" s="22" t="n">
        <f aca="false">IF(DAY(B512)=1,Assumptions!B43*G512,0)</f>
        <v>0</v>
      </c>
      <c r="U512" s="22" t="n">
        <f aca="false">SUM(O512:T512)</f>
        <v>0</v>
      </c>
      <c r="V512" s="22" t="n">
        <f aca="false">N512-U512</f>
        <v>17400</v>
      </c>
      <c r="W512" s="22" t="n">
        <f aca="false">W511+V512</f>
        <v>-3018823.96624936</v>
      </c>
      <c r="X512" s="23" t="str">
        <f aca="false">IF(W512&gt;=0,"YES","No")</f>
        <v>No</v>
      </c>
    </row>
    <row r="513" customFormat="false" ht="15" hidden="false" customHeight="false" outlineLevel="0" collapsed="false">
      <c r="A513" s="16" t="n">
        <v>512</v>
      </c>
      <c r="B513" s="17" t="n">
        <f aca="false">B512+1</f>
        <v>46534</v>
      </c>
      <c r="C513" s="18" t="n">
        <f aca="false">MIN(ROUNDUP(A513/365,0),5)</f>
        <v>2</v>
      </c>
      <c r="D513" s="18" t="n">
        <f aca="false">DATEDIF(Assumptions!B5,B513,"m")+1</f>
        <v>17</v>
      </c>
      <c r="E513" s="18" t="str">
        <f aca="false">TEXT(B513,"ddd")</f>
        <v>Thu</v>
      </c>
      <c r="F513" s="19" t="n">
        <f aca="false">IF(WEEKDAY(B513,2)&gt;=6,Assumptions!B34,Assumptions!B35)</f>
        <v>1</v>
      </c>
      <c r="G513" s="20" t="n">
        <f aca="false">IF(D513&gt;=13,(1+Assumptions!B46)^(D513-12),1)</f>
        <v>1.01509027040524</v>
      </c>
      <c r="H513" s="21" t="n">
        <f aca="false">H512*(1+IF(C513=1,Assumptions!B22,Assumptions!B23))</f>
        <v>21.32190803414</v>
      </c>
      <c r="I513" s="16" t="n">
        <f aca="false">ROUND(H513*F513,0)</f>
        <v>21</v>
      </c>
      <c r="J513" s="22" t="n">
        <f aca="false">I513*Assumptions!B24</f>
        <v>12600</v>
      </c>
      <c r="K513" s="21" t="n">
        <f aca="false">K512*(1+Assumptions!B30)</f>
        <v>15.5295464839118</v>
      </c>
      <c r="L513" s="16" t="n">
        <f aca="false">ROUND(K513*F513,0)</f>
        <v>16</v>
      </c>
      <c r="M513" s="22" t="n">
        <f aca="false">L513*Assumptions!B31</f>
        <v>4800</v>
      </c>
      <c r="N513" s="22" t="n">
        <f aca="false">J513+M513</f>
        <v>17400</v>
      </c>
      <c r="O513" s="22" t="n">
        <f aca="false">IF(DAY(B513)=1,Assumptions!B38*G513,0)</f>
        <v>0</v>
      </c>
      <c r="P513" s="22" t="n">
        <f aca="false">IF(DAY(B513)=1,Assumptions!B39*G513,0)</f>
        <v>0</v>
      </c>
      <c r="Q513" s="22" t="n">
        <f aca="false">IF(DAY(B513)=1,Assumptions!B40*G513,0)</f>
        <v>0</v>
      </c>
      <c r="R513" s="22" t="n">
        <f aca="false">IF(DAY(B513)=1,Assumptions!B41*G513,0)</f>
        <v>0</v>
      </c>
      <c r="S513" s="22" t="n">
        <f aca="false">IF(AND(DAY(B513)=1,D513&gt;=13),Assumptions!B42*G513,0)</f>
        <v>0</v>
      </c>
      <c r="T513" s="22" t="n">
        <f aca="false">IF(DAY(B513)=1,Assumptions!B43*G513,0)</f>
        <v>0</v>
      </c>
      <c r="U513" s="22" t="n">
        <f aca="false">SUM(O513:T513)</f>
        <v>0</v>
      </c>
      <c r="V513" s="22" t="n">
        <f aca="false">N513-U513</f>
        <v>17400</v>
      </c>
      <c r="W513" s="22" t="n">
        <f aca="false">W512+V513</f>
        <v>-3001423.96624936</v>
      </c>
      <c r="X513" s="23" t="str">
        <f aca="false">IF(W513&gt;=0,"YES","No")</f>
        <v>No</v>
      </c>
    </row>
    <row r="514" customFormat="false" ht="15" hidden="false" customHeight="false" outlineLevel="0" collapsed="false">
      <c r="A514" s="16" t="n">
        <v>513</v>
      </c>
      <c r="B514" s="17" t="n">
        <f aca="false">B513+1</f>
        <v>46535</v>
      </c>
      <c r="C514" s="18" t="n">
        <f aca="false">MIN(ROUNDUP(A514/365,0),5)</f>
        <v>2</v>
      </c>
      <c r="D514" s="18" t="n">
        <f aca="false">DATEDIF(Assumptions!B5,B514,"m")+1</f>
        <v>17</v>
      </c>
      <c r="E514" s="18" t="str">
        <f aca="false">TEXT(B514,"ddd")</f>
        <v>Fri</v>
      </c>
      <c r="F514" s="19" t="n">
        <f aca="false">IF(WEEKDAY(B514,2)&gt;=6,Assumptions!B34,Assumptions!B35)</f>
        <v>1</v>
      </c>
      <c r="G514" s="20" t="n">
        <f aca="false">IF(D514&gt;=13,(1+Assumptions!B46)^(D514-12),1)</f>
        <v>1.01509027040524</v>
      </c>
      <c r="H514" s="21" t="n">
        <f aca="false">H513*(1+IF(C514=1,Assumptions!B22,Assumptions!B23))</f>
        <v>21.3254018782275</v>
      </c>
      <c r="I514" s="16" t="n">
        <f aca="false">ROUND(H514*F514,0)</f>
        <v>21</v>
      </c>
      <c r="J514" s="22" t="n">
        <f aca="false">I514*Assumptions!B24</f>
        <v>12600</v>
      </c>
      <c r="K514" s="21" t="n">
        <f aca="false">K513*(1+Assumptions!B30)</f>
        <v>15.534623664725</v>
      </c>
      <c r="L514" s="16" t="n">
        <f aca="false">ROUND(K514*F514,0)</f>
        <v>16</v>
      </c>
      <c r="M514" s="22" t="n">
        <f aca="false">L514*Assumptions!B31</f>
        <v>4800</v>
      </c>
      <c r="N514" s="22" t="n">
        <f aca="false">J514+M514</f>
        <v>17400</v>
      </c>
      <c r="O514" s="22" t="n">
        <f aca="false">IF(DAY(B514)=1,Assumptions!B38*G514,0)</f>
        <v>0</v>
      </c>
      <c r="P514" s="22" t="n">
        <f aca="false">IF(DAY(B514)=1,Assumptions!B39*G514,0)</f>
        <v>0</v>
      </c>
      <c r="Q514" s="22" t="n">
        <f aca="false">IF(DAY(B514)=1,Assumptions!B40*G514,0)</f>
        <v>0</v>
      </c>
      <c r="R514" s="22" t="n">
        <f aca="false">IF(DAY(B514)=1,Assumptions!B41*G514,0)</f>
        <v>0</v>
      </c>
      <c r="S514" s="22" t="n">
        <f aca="false">IF(AND(DAY(B514)=1,D514&gt;=13),Assumptions!B42*G514,0)</f>
        <v>0</v>
      </c>
      <c r="T514" s="22" t="n">
        <f aca="false">IF(DAY(B514)=1,Assumptions!B43*G514,0)</f>
        <v>0</v>
      </c>
      <c r="U514" s="22" t="n">
        <f aca="false">SUM(O514:T514)</f>
        <v>0</v>
      </c>
      <c r="V514" s="22" t="n">
        <f aca="false">N514-U514</f>
        <v>17400</v>
      </c>
      <c r="W514" s="22" t="n">
        <f aca="false">W513+V514</f>
        <v>-2984023.96624936</v>
      </c>
      <c r="X514" s="23" t="str">
        <f aca="false">IF(W514&gt;=0,"YES","No")</f>
        <v>No</v>
      </c>
    </row>
    <row r="515" customFormat="false" ht="15" hidden="false" customHeight="false" outlineLevel="0" collapsed="false">
      <c r="A515" s="16" t="n">
        <v>514</v>
      </c>
      <c r="B515" s="17" t="n">
        <f aca="false">B514+1</f>
        <v>46536</v>
      </c>
      <c r="C515" s="18" t="n">
        <f aca="false">MIN(ROUNDUP(A515/365,0),5)</f>
        <v>2</v>
      </c>
      <c r="D515" s="18" t="n">
        <f aca="false">DATEDIF(Assumptions!B5,B515,"m")+1</f>
        <v>17</v>
      </c>
      <c r="E515" s="18" t="str">
        <f aca="false">TEXT(B515,"ddd")</f>
        <v>Sat</v>
      </c>
      <c r="F515" s="19" t="n">
        <f aca="false">IF(WEEKDAY(B515,2)&gt;=6,Assumptions!B34,Assumptions!B35)</f>
        <v>0.6</v>
      </c>
      <c r="G515" s="20" t="n">
        <f aca="false">IF(D515&gt;=13,(1+Assumptions!B46)^(D515-12),1)</f>
        <v>1.01509027040524</v>
      </c>
      <c r="H515" s="21" t="n">
        <f aca="false">H514*(1+IF(C515=1,Assumptions!B22,Assumptions!B23))</f>
        <v>21.3288962948222</v>
      </c>
      <c r="I515" s="16" t="n">
        <f aca="false">ROUND(H515*F515,0)</f>
        <v>13</v>
      </c>
      <c r="J515" s="22" t="n">
        <f aca="false">I515*Assumptions!B24</f>
        <v>7800</v>
      </c>
      <c r="K515" s="21" t="n">
        <f aca="false">K514*(1+Assumptions!B30)</f>
        <v>15.5397025054556</v>
      </c>
      <c r="L515" s="16" t="n">
        <f aca="false">ROUND(K515*F515,0)</f>
        <v>9</v>
      </c>
      <c r="M515" s="22" t="n">
        <f aca="false">L515*Assumptions!B31</f>
        <v>2700</v>
      </c>
      <c r="N515" s="22" t="n">
        <f aca="false">J515+M515</f>
        <v>10500</v>
      </c>
      <c r="O515" s="22" t="n">
        <f aca="false">IF(DAY(B515)=1,Assumptions!B38*G515,0)</f>
        <v>0</v>
      </c>
      <c r="P515" s="22" t="n">
        <f aca="false">IF(DAY(B515)=1,Assumptions!B39*G515,0)</f>
        <v>0</v>
      </c>
      <c r="Q515" s="22" t="n">
        <f aca="false">IF(DAY(B515)=1,Assumptions!B40*G515,0)</f>
        <v>0</v>
      </c>
      <c r="R515" s="22" t="n">
        <f aca="false">IF(DAY(B515)=1,Assumptions!B41*G515,0)</f>
        <v>0</v>
      </c>
      <c r="S515" s="22" t="n">
        <f aca="false">IF(AND(DAY(B515)=1,D515&gt;=13),Assumptions!B42*G515,0)</f>
        <v>0</v>
      </c>
      <c r="T515" s="22" t="n">
        <f aca="false">IF(DAY(B515)=1,Assumptions!B43*G515,0)</f>
        <v>0</v>
      </c>
      <c r="U515" s="22" t="n">
        <f aca="false">SUM(O515:T515)</f>
        <v>0</v>
      </c>
      <c r="V515" s="22" t="n">
        <f aca="false">N515-U515</f>
        <v>10500</v>
      </c>
      <c r="W515" s="22" t="n">
        <f aca="false">W514+V515</f>
        <v>-2973523.96624936</v>
      </c>
      <c r="X515" s="23" t="str">
        <f aca="false">IF(W515&gt;=0,"YES","No")</f>
        <v>No</v>
      </c>
    </row>
    <row r="516" customFormat="false" ht="15" hidden="false" customHeight="false" outlineLevel="0" collapsed="false">
      <c r="A516" s="16" t="n">
        <v>515</v>
      </c>
      <c r="B516" s="17" t="n">
        <f aca="false">B515+1</f>
        <v>46537</v>
      </c>
      <c r="C516" s="18" t="n">
        <f aca="false">MIN(ROUNDUP(A516/365,0),5)</f>
        <v>2</v>
      </c>
      <c r="D516" s="18" t="n">
        <f aca="false">DATEDIF(Assumptions!B5,B516,"m")+1</f>
        <v>17</v>
      </c>
      <c r="E516" s="18" t="str">
        <f aca="false">TEXT(B516,"ddd")</f>
        <v>Sun</v>
      </c>
      <c r="F516" s="19" t="n">
        <f aca="false">IF(WEEKDAY(B516,2)&gt;=6,Assumptions!B34,Assumptions!B35)</f>
        <v>0.6</v>
      </c>
      <c r="G516" s="20" t="n">
        <f aca="false">IF(D516&gt;=13,(1+Assumptions!B46)^(D516-12),1)</f>
        <v>1.01509027040524</v>
      </c>
      <c r="H516" s="21" t="n">
        <f aca="false">H515*(1+IF(C516=1,Assumptions!B22,Assumptions!B23))</f>
        <v>21.332391284018</v>
      </c>
      <c r="I516" s="16" t="n">
        <f aca="false">ROUND(H516*F516,0)</f>
        <v>13</v>
      </c>
      <c r="J516" s="22" t="n">
        <f aca="false">I516*Assumptions!B24</f>
        <v>7800</v>
      </c>
      <c r="K516" s="21" t="n">
        <f aca="false">K515*(1+Assumptions!B30)</f>
        <v>15.5447830066464</v>
      </c>
      <c r="L516" s="16" t="n">
        <f aca="false">ROUND(K516*F516,0)</f>
        <v>9</v>
      </c>
      <c r="M516" s="22" t="n">
        <f aca="false">L516*Assumptions!B31</f>
        <v>2700</v>
      </c>
      <c r="N516" s="22" t="n">
        <f aca="false">J516+M516</f>
        <v>10500</v>
      </c>
      <c r="O516" s="22" t="n">
        <f aca="false">IF(DAY(B516)=1,Assumptions!B38*G516,0)</f>
        <v>0</v>
      </c>
      <c r="P516" s="22" t="n">
        <f aca="false">IF(DAY(B516)=1,Assumptions!B39*G516,0)</f>
        <v>0</v>
      </c>
      <c r="Q516" s="22" t="n">
        <f aca="false">IF(DAY(B516)=1,Assumptions!B40*G516,0)</f>
        <v>0</v>
      </c>
      <c r="R516" s="22" t="n">
        <f aca="false">IF(DAY(B516)=1,Assumptions!B41*G516,0)</f>
        <v>0</v>
      </c>
      <c r="S516" s="22" t="n">
        <f aca="false">IF(AND(DAY(B516)=1,D516&gt;=13),Assumptions!B42*G516,0)</f>
        <v>0</v>
      </c>
      <c r="T516" s="22" t="n">
        <f aca="false">IF(DAY(B516)=1,Assumptions!B43*G516,0)</f>
        <v>0</v>
      </c>
      <c r="U516" s="22" t="n">
        <f aca="false">SUM(O516:T516)</f>
        <v>0</v>
      </c>
      <c r="V516" s="22" t="n">
        <f aca="false">N516-U516</f>
        <v>10500</v>
      </c>
      <c r="W516" s="22" t="n">
        <f aca="false">W515+V516</f>
        <v>-2963023.96624936</v>
      </c>
      <c r="X516" s="23" t="str">
        <f aca="false">IF(W516&gt;=0,"YES","No")</f>
        <v>No</v>
      </c>
    </row>
    <row r="517" customFormat="false" ht="15" hidden="false" customHeight="false" outlineLevel="0" collapsed="false">
      <c r="A517" s="16" t="n">
        <v>516</v>
      </c>
      <c r="B517" s="17" t="n">
        <f aca="false">B516+1</f>
        <v>46538</v>
      </c>
      <c r="C517" s="18" t="n">
        <f aca="false">MIN(ROUNDUP(A517/365,0),5)</f>
        <v>2</v>
      </c>
      <c r="D517" s="18" t="n">
        <f aca="false">DATEDIF(Assumptions!B5,B517,"m")+1</f>
        <v>17</v>
      </c>
      <c r="E517" s="18" t="str">
        <f aca="false">TEXT(B517,"ddd")</f>
        <v>Mon</v>
      </c>
      <c r="F517" s="19" t="n">
        <f aca="false">IF(WEEKDAY(B517,2)&gt;=6,Assumptions!B34,Assumptions!B35)</f>
        <v>1</v>
      </c>
      <c r="G517" s="20" t="n">
        <f aca="false">IF(D517&gt;=13,(1+Assumptions!B46)^(D517-12),1)</f>
        <v>1.01509027040524</v>
      </c>
      <c r="H517" s="21" t="n">
        <f aca="false">H516*(1+IF(C517=1,Assumptions!B22,Assumptions!B23))</f>
        <v>21.3358868459086</v>
      </c>
      <c r="I517" s="16" t="n">
        <f aca="false">ROUND(H517*F517,0)</f>
        <v>21</v>
      </c>
      <c r="J517" s="22" t="n">
        <f aca="false">I517*Assumptions!B24</f>
        <v>12600</v>
      </c>
      <c r="K517" s="21" t="n">
        <f aca="false">K516*(1+Assumptions!B30)</f>
        <v>15.5498651688401</v>
      </c>
      <c r="L517" s="16" t="n">
        <f aca="false">ROUND(K517*F517,0)</f>
        <v>16</v>
      </c>
      <c r="M517" s="22" t="n">
        <f aca="false">L517*Assumptions!B31</f>
        <v>4800</v>
      </c>
      <c r="N517" s="22" t="n">
        <f aca="false">J517+M517</f>
        <v>17400</v>
      </c>
      <c r="O517" s="22" t="n">
        <f aca="false">IF(DAY(B517)=1,Assumptions!B38*G517,0)</f>
        <v>0</v>
      </c>
      <c r="P517" s="22" t="n">
        <f aca="false">IF(DAY(B517)=1,Assumptions!B39*G517,0)</f>
        <v>0</v>
      </c>
      <c r="Q517" s="22" t="n">
        <f aca="false">IF(DAY(B517)=1,Assumptions!B40*G517,0)</f>
        <v>0</v>
      </c>
      <c r="R517" s="22" t="n">
        <f aca="false">IF(DAY(B517)=1,Assumptions!B41*G517,0)</f>
        <v>0</v>
      </c>
      <c r="S517" s="22" t="n">
        <f aca="false">IF(AND(DAY(B517)=1,D517&gt;=13),Assumptions!B42*G517,0)</f>
        <v>0</v>
      </c>
      <c r="T517" s="22" t="n">
        <f aca="false">IF(DAY(B517)=1,Assumptions!B43*G517,0)</f>
        <v>0</v>
      </c>
      <c r="U517" s="22" t="n">
        <f aca="false">SUM(O517:T517)</f>
        <v>0</v>
      </c>
      <c r="V517" s="22" t="n">
        <f aca="false">N517-U517</f>
        <v>17400</v>
      </c>
      <c r="W517" s="22" t="n">
        <f aca="false">W516+V517</f>
        <v>-2945623.96624936</v>
      </c>
      <c r="X517" s="23" t="str">
        <f aca="false">IF(W517&gt;=0,"YES","No")</f>
        <v>No</v>
      </c>
    </row>
    <row r="518" customFormat="false" ht="15" hidden="false" customHeight="false" outlineLevel="0" collapsed="false">
      <c r="A518" s="16" t="n">
        <v>517</v>
      </c>
      <c r="B518" s="17" t="n">
        <f aca="false">B517+1</f>
        <v>46539</v>
      </c>
      <c r="C518" s="18" t="n">
        <f aca="false">MIN(ROUNDUP(A518/365,0),5)</f>
        <v>2</v>
      </c>
      <c r="D518" s="18" t="n">
        <f aca="false">DATEDIF(Assumptions!B5,B518,"m")+1</f>
        <v>18</v>
      </c>
      <c r="E518" s="18" t="str">
        <f aca="false">TEXT(B518,"ddd")</f>
        <v>Tue</v>
      </c>
      <c r="F518" s="19" t="n">
        <f aca="false">IF(WEEKDAY(B518,2)&gt;=6,Assumptions!B34,Assumptions!B35)</f>
        <v>1</v>
      </c>
      <c r="G518" s="20" t="n">
        <f aca="false">IF(D518&gt;=13,(1+Assumptions!B46)^(D518-12),1)</f>
        <v>1.01813554121646</v>
      </c>
      <c r="H518" s="21" t="n">
        <f aca="false">H517*(1+IF(C518=1,Assumptions!B22,Assumptions!B23))</f>
        <v>21.3393829805879</v>
      </c>
      <c r="I518" s="16" t="n">
        <f aca="false">ROUND(H518*F518,0)</f>
        <v>21</v>
      </c>
      <c r="J518" s="22" t="n">
        <f aca="false">I518*Assumptions!B24</f>
        <v>12600</v>
      </c>
      <c r="K518" s="21" t="n">
        <f aca="false">K517*(1+Assumptions!B30)</f>
        <v>15.5549489925798</v>
      </c>
      <c r="L518" s="16" t="n">
        <f aca="false">ROUND(K518*F518,0)</f>
        <v>16</v>
      </c>
      <c r="M518" s="22" t="n">
        <f aca="false">L518*Assumptions!B31</f>
        <v>4800</v>
      </c>
      <c r="N518" s="22" t="n">
        <f aca="false">J518+M518</f>
        <v>17400</v>
      </c>
      <c r="O518" s="22" t="n">
        <f aca="false">IF(DAY(B518)=1,Assumptions!B38*G518,0)</f>
        <v>152720.331182469</v>
      </c>
      <c r="P518" s="22" t="n">
        <f aca="false">IF(DAY(B518)=1,Assumptions!B39*G518,0)</f>
        <v>40725.4216486583</v>
      </c>
      <c r="Q518" s="22" t="n">
        <f aca="false">IF(DAY(B518)=1,Assumptions!B40*G518,0)</f>
        <v>30544.0662364937</v>
      </c>
      <c r="R518" s="22" t="n">
        <f aca="false">IF(DAY(B518)=1,Assumptions!B41*G518,0)</f>
        <v>20362.7108243292</v>
      </c>
      <c r="S518" s="22" t="n">
        <f aca="false">IF(AND(DAY(B518)=1,D518&gt;=13),Assumptions!B42*G518,0)</f>
        <v>152720.331182469</v>
      </c>
      <c r="T518" s="22" t="n">
        <f aca="false">IF(DAY(B518)=1,Assumptions!B43*G518,0)</f>
        <v>20362.7108243292</v>
      </c>
      <c r="U518" s="22" t="n">
        <f aca="false">SUM(O518:T518)</f>
        <v>417435.571898748</v>
      </c>
      <c r="V518" s="22" t="n">
        <f aca="false">N518-U518</f>
        <v>-400035.571898748</v>
      </c>
      <c r="W518" s="22" t="n">
        <f aca="false">W517+V518</f>
        <v>-3345659.53814811</v>
      </c>
      <c r="X518" s="23" t="str">
        <f aca="false">IF(W518&gt;=0,"YES","No")</f>
        <v>No</v>
      </c>
    </row>
    <row r="519" customFormat="false" ht="15" hidden="false" customHeight="false" outlineLevel="0" collapsed="false">
      <c r="A519" s="16" t="n">
        <v>518</v>
      </c>
      <c r="B519" s="17" t="n">
        <f aca="false">B518+1</f>
        <v>46540</v>
      </c>
      <c r="C519" s="18" t="n">
        <f aca="false">MIN(ROUNDUP(A519/365,0),5)</f>
        <v>2</v>
      </c>
      <c r="D519" s="18" t="n">
        <f aca="false">DATEDIF(Assumptions!B5,B519,"m")+1</f>
        <v>18</v>
      </c>
      <c r="E519" s="18" t="str">
        <f aca="false">TEXT(B519,"ddd")</f>
        <v>Wed</v>
      </c>
      <c r="F519" s="19" t="n">
        <f aca="false">IF(WEEKDAY(B519,2)&gt;=6,Assumptions!B34,Assumptions!B35)</f>
        <v>1</v>
      </c>
      <c r="G519" s="20" t="n">
        <f aca="false">IF(D519&gt;=13,(1+Assumptions!B46)^(D519-12),1)</f>
        <v>1.01813554121646</v>
      </c>
      <c r="H519" s="21" t="n">
        <f aca="false">H518*(1+IF(C519=1,Assumptions!B22,Assumptions!B23))</f>
        <v>21.3428796881499</v>
      </c>
      <c r="I519" s="16" t="n">
        <f aca="false">ROUND(H519*F519,0)</f>
        <v>21</v>
      </c>
      <c r="J519" s="22" t="n">
        <f aca="false">I519*Assumptions!B24</f>
        <v>12600</v>
      </c>
      <c r="K519" s="21" t="n">
        <f aca="false">K518*(1+Assumptions!B30)</f>
        <v>15.5600344784088</v>
      </c>
      <c r="L519" s="16" t="n">
        <f aca="false">ROUND(K519*F519,0)</f>
        <v>16</v>
      </c>
      <c r="M519" s="22" t="n">
        <f aca="false">L519*Assumptions!B31</f>
        <v>4800</v>
      </c>
      <c r="N519" s="22" t="n">
        <f aca="false">J519+M519</f>
        <v>17400</v>
      </c>
      <c r="O519" s="22" t="n">
        <f aca="false">IF(DAY(B519)=1,Assumptions!B38*G519,0)</f>
        <v>0</v>
      </c>
      <c r="P519" s="22" t="n">
        <f aca="false">IF(DAY(B519)=1,Assumptions!B39*G519,0)</f>
        <v>0</v>
      </c>
      <c r="Q519" s="22" t="n">
        <f aca="false">IF(DAY(B519)=1,Assumptions!B40*G519,0)</f>
        <v>0</v>
      </c>
      <c r="R519" s="22" t="n">
        <f aca="false">IF(DAY(B519)=1,Assumptions!B41*G519,0)</f>
        <v>0</v>
      </c>
      <c r="S519" s="22" t="n">
        <f aca="false">IF(AND(DAY(B519)=1,D519&gt;=13),Assumptions!B42*G519,0)</f>
        <v>0</v>
      </c>
      <c r="T519" s="22" t="n">
        <f aca="false">IF(DAY(B519)=1,Assumptions!B43*G519,0)</f>
        <v>0</v>
      </c>
      <c r="U519" s="22" t="n">
        <f aca="false">SUM(O519:T519)</f>
        <v>0</v>
      </c>
      <c r="V519" s="22" t="n">
        <f aca="false">N519-U519</f>
        <v>17400</v>
      </c>
      <c r="W519" s="22" t="n">
        <f aca="false">W518+V519</f>
        <v>-3328259.53814811</v>
      </c>
      <c r="X519" s="23" t="str">
        <f aca="false">IF(W519&gt;=0,"YES","No")</f>
        <v>No</v>
      </c>
    </row>
    <row r="520" customFormat="false" ht="15" hidden="false" customHeight="false" outlineLevel="0" collapsed="false">
      <c r="A520" s="16" t="n">
        <v>519</v>
      </c>
      <c r="B520" s="17" t="n">
        <f aca="false">B519+1</f>
        <v>46541</v>
      </c>
      <c r="C520" s="18" t="n">
        <f aca="false">MIN(ROUNDUP(A520/365,0),5)</f>
        <v>2</v>
      </c>
      <c r="D520" s="18" t="n">
        <f aca="false">DATEDIF(Assumptions!B5,B520,"m")+1</f>
        <v>18</v>
      </c>
      <c r="E520" s="18" t="str">
        <f aca="false">TEXT(B520,"ddd")</f>
        <v>Thu</v>
      </c>
      <c r="F520" s="19" t="n">
        <f aca="false">IF(WEEKDAY(B520,2)&gt;=6,Assumptions!B34,Assumptions!B35)</f>
        <v>1</v>
      </c>
      <c r="G520" s="20" t="n">
        <f aca="false">IF(D520&gt;=13,(1+Assumptions!B46)^(D520-12),1)</f>
        <v>1.01813554121646</v>
      </c>
      <c r="H520" s="21" t="n">
        <f aca="false">H519*(1+IF(C520=1,Assumptions!B22,Assumptions!B23))</f>
        <v>21.3463769686882</v>
      </c>
      <c r="I520" s="16" t="n">
        <f aca="false">ROUND(H520*F520,0)</f>
        <v>21</v>
      </c>
      <c r="J520" s="22" t="n">
        <f aca="false">I520*Assumptions!B24</f>
        <v>12600</v>
      </c>
      <c r="K520" s="21" t="n">
        <f aca="false">K519*(1+Assumptions!B30)</f>
        <v>15.5651216268705</v>
      </c>
      <c r="L520" s="16" t="n">
        <f aca="false">ROUND(K520*F520,0)</f>
        <v>16</v>
      </c>
      <c r="M520" s="22" t="n">
        <f aca="false">L520*Assumptions!B31</f>
        <v>4800</v>
      </c>
      <c r="N520" s="22" t="n">
        <f aca="false">J520+M520</f>
        <v>17400</v>
      </c>
      <c r="O520" s="22" t="n">
        <f aca="false">IF(DAY(B520)=1,Assumptions!B38*G520,0)</f>
        <v>0</v>
      </c>
      <c r="P520" s="22" t="n">
        <f aca="false">IF(DAY(B520)=1,Assumptions!B39*G520,0)</f>
        <v>0</v>
      </c>
      <c r="Q520" s="22" t="n">
        <f aca="false">IF(DAY(B520)=1,Assumptions!B40*G520,0)</f>
        <v>0</v>
      </c>
      <c r="R520" s="22" t="n">
        <f aca="false">IF(DAY(B520)=1,Assumptions!B41*G520,0)</f>
        <v>0</v>
      </c>
      <c r="S520" s="22" t="n">
        <f aca="false">IF(AND(DAY(B520)=1,D520&gt;=13),Assumptions!B42*G520,0)</f>
        <v>0</v>
      </c>
      <c r="T520" s="22" t="n">
        <f aca="false">IF(DAY(B520)=1,Assumptions!B43*G520,0)</f>
        <v>0</v>
      </c>
      <c r="U520" s="22" t="n">
        <f aca="false">SUM(O520:T520)</f>
        <v>0</v>
      </c>
      <c r="V520" s="22" t="n">
        <f aca="false">N520-U520</f>
        <v>17400</v>
      </c>
      <c r="W520" s="22" t="n">
        <f aca="false">W519+V520</f>
        <v>-3310859.53814811</v>
      </c>
      <c r="X520" s="23" t="str">
        <f aca="false">IF(W520&gt;=0,"YES","No")</f>
        <v>No</v>
      </c>
    </row>
    <row r="521" customFormat="false" ht="15" hidden="false" customHeight="false" outlineLevel="0" collapsed="false">
      <c r="A521" s="16" t="n">
        <v>520</v>
      </c>
      <c r="B521" s="17" t="n">
        <f aca="false">B520+1</f>
        <v>46542</v>
      </c>
      <c r="C521" s="18" t="n">
        <f aca="false">MIN(ROUNDUP(A521/365,0),5)</f>
        <v>2</v>
      </c>
      <c r="D521" s="18" t="n">
        <f aca="false">DATEDIF(Assumptions!B5,B521,"m")+1</f>
        <v>18</v>
      </c>
      <c r="E521" s="18" t="str">
        <f aca="false">TEXT(B521,"ddd")</f>
        <v>Fri</v>
      </c>
      <c r="F521" s="19" t="n">
        <f aca="false">IF(WEEKDAY(B521,2)&gt;=6,Assumptions!B34,Assumptions!B35)</f>
        <v>1</v>
      </c>
      <c r="G521" s="20" t="n">
        <f aca="false">IF(D521&gt;=13,(1+Assumptions!B46)^(D521-12),1)</f>
        <v>1.01813554121646</v>
      </c>
      <c r="H521" s="21" t="n">
        <f aca="false">H520*(1+IF(C521=1,Assumptions!B22,Assumptions!B23))</f>
        <v>21.3498748222969</v>
      </c>
      <c r="I521" s="16" t="n">
        <f aca="false">ROUND(H521*F521,0)</f>
        <v>21</v>
      </c>
      <c r="J521" s="22" t="n">
        <f aca="false">I521*Assumptions!B24</f>
        <v>12600</v>
      </c>
      <c r="K521" s="21" t="n">
        <f aca="false">K520*(1+Assumptions!B30)</f>
        <v>15.5702104385084</v>
      </c>
      <c r="L521" s="16" t="n">
        <f aca="false">ROUND(K521*F521,0)</f>
        <v>16</v>
      </c>
      <c r="M521" s="22" t="n">
        <f aca="false">L521*Assumptions!B31</f>
        <v>4800</v>
      </c>
      <c r="N521" s="22" t="n">
        <f aca="false">J521+M521</f>
        <v>17400</v>
      </c>
      <c r="O521" s="22" t="n">
        <f aca="false">IF(DAY(B521)=1,Assumptions!B38*G521,0)</f>
        <v>0</v>
      </c>
      <c r="P521" s="22" t="n">
        <f aca="false">IF(DAY(B521)=1,Assumptions!B39*G521,0)</f>
        <v>0</v>
      </c>
      <c r="Q521" s="22" t="n">
        <f aca="false">IF(DAY(B521)=1,Assumptions!B40*G521,0)</f>
        <v>0</v>
      </c>
      <c r="R521" s="22" t="n">
        <f aca="false">IF(DAY(B521)=1,Assumptions!B41*G521,0)</f>
        <v>0</v>
      </c>
      <c r="S521" s="22" t="n">
        <f aca="false">IF(AND(DAY(B521)=1,D521&gt;=13),Assumptions!B42*G521,0)</f>
        <v>0</v>
      </c>
      <c r="T521" s="22" t="n">
        <f aca="false">IF(DAY(B521)=1,Assumptions!B43*G521,0)</f>
        <v>0</v>
      </c>
      <c r="U521" s="22" t="n">
        <f aca="false">SUM(O521:T521)</f>
        <v>0</v>
      </c>
      <c r="V521" s="22" t="n">
        <f aca="false">N521-U521</f>
        <v>17400</v>
      </c>
      <c r="W521" s="22" t="n">
        <f aca="false">W520+V521</f>
        <v>-3293459.53814811</v>
      </c>
      <c r="X521" s="23" t="str">
        <f aca="false">IF(W521&gt;=0,"YES","No")</f>
        <v>No</v>
      </c>
    </row>
    <row r="522" customFormat="false" ht="15" hidden="false" customHeight="false" outlineLevel="0" collapsed="false">
      <c r="A522" s="16" t="n">
        <v>521</v>
      </c>
      <c r="B522" s="17" t="n">
        <f aca="false">B521+1</f>
        <v>46543</v>
      </c>
      <c r="C522" s="18" t="n">
        <f aca="false">MIN(ROUNDUP(A522/365,0),5)</f>
        <v>2</v>
      </c>
      <c r="D522" s="18" t="n">
        <f aca="false">DATEDIF(Assumptions!B5,B522,"m")+1</f>
        <v>18</v>
      </c>
      <c r="E522" s="18" t="str">
        <f aca="false">TEXT(B522,"ddd")</f>
        <v>Sat</v>
      </c>
      <c r="F522" s="19" t="n">
        <f aca="false">IF(WEEKDAY(B522,2)&gt;=6,Assumptions!B34,Assumptions!B35)</f>
        <v>0.6</v>
      </c>
      <c r="G522" s="20" t="n">
        <f aca="false">IF(D522&gt;=13,(1+Assumptions!B46)^(D522-12),1)</f>
        <v>1.01813554121646</v>
      </c>
      <c r="H522" s="21" t="n">
        <f aca="false">H521*(1+IF(C522=1,Assumptions!B22,Assumptions!B23))</f>
        <v>21.3533732490698</v>
      </c>
      <c r="I522" s="16" t="n">
        <f aca="false">ROUND(H522*F522,0)</f>
        <v>13</v>
      </c>
      <c r="J522" s="22" t="n">
        <f aca="false">I522*Assumptions!B24</f>
        <v>7800</v>
      </c>
      <c r="K522" s="21" t="n">
        <f aca="false">K521*(1+Assumptions!B30)</f>
        <v>15.5753009138663</v>
      </c>
      <c r="L522" s="16" t="n">
        <f aca="false">ROUND(K522*F522,0)</f>
        <v>9</v>
      </c>
      <c r="M522" s="22" t="n">
        <f aca="false">L522*Assumptions!B31</f>
        <v>2700</v>
      </c>
      <c r="N522" s="22" t="n">
        <f aca="false">J522+M522</f>
        <v>10500</v>
      </c>
      <c r="O522" s="22" t="n">
        <f aca="false">IF(DAY(B522)=1,Assumptions!B38*G522,0)</f>
        <v>0</v>
      </c>
      <c r="P522" s="22" t="n">
        <f aca="false">IF(DAY(B522)=1,Assumptions!B39*G522,0)</f>
        <v>0</v>
      </c>
      <c r="Q522" s="22" t="n">
        <f aca="false">IF(DAY(B522)=1,Assumptions!B40*G522,0)</f>
        <v>0</v>
      </c>
      <c r="R522" s="22" t="n">
        <f aca="false">IF(DAY(B522)=1,Assumptions!B41*G522,0)</f>
        <v>0</v>
      </c>
      <c r="S522" s="22" t="n">
        <f aca="false">IF(AND(DAY(B522)=1,D522&gt;=13),Assumptions!B42*G522,0)</f>
        <v>0</v>
      </c>
      <c r="T522" s="22" t="n">
        <f aca="false">IF(DAY(B522)=1,Assumptions!B43*G522,0)</f>
        <v>0</v>
      </c>
      <c r="U522" s="22" t="n">
        <f aca="false">SUM(O522:T522)</f>
        <v>0</v>
      </c>
      <c r="V522" s="22" t="n">
        <f aca="false">N522-U522</f>
        <v>10500</v>
      </c>
      <c r="W522" s="22" t="n">
        <f aca="false">W521+V522</f>
        <v>-3282959.53814811</v>
      </c>
      <c r="X522" s="23" t="str">
        <f aca="false">IF(W522&gt;=0,"YES","No")</f>
        <v>No</v>
      </c>
    </row>
    <row r="523" customFormat="false" ht="15" hidden="false" customHeight="false" outlineLevel="0" collapsed="false">
      <c r="A523" s="16" t="n">
        <v>522</v>
      </c>
      <c r="B523" s="17" t="n">
        <f aca="false">B522+1</f>
        <v>46544</v>
      </c>
      <c r="C523" s="18" t="n">
        <f aca="false">MIN(ROUNDUP(A523/365,0),5)</f>
        <v>2</v>
      </c>
      <c r="D523" s="18" t="n">
        <f aca="false">DATEDIF(Assumptions!B5,B523,"m")+1</f>
        <v>18</v>
      </c>
      <c r="E523" s="18" t="str">
        <f aca="false">TEXT(B523,"ddd")</f>
        <v>Sun</v>
      </c>
      <c r="F523" s="19" t="n">
        <f aca="false">IF(WEEKDAY(B523,2)&gt;=6,Assumptions!B34,Assumptions!B35)</f>
        <v>0.6</v>
      </c>
      <c r="G523" s="20" t="n">
        <f aca="false">IF(D523&gt;=13,(1+Assumptions!B46)^(D523-12),1)</f>
        <v>1.01813554121646</v>
      </c>
      <c r="H523" s="21" t="n">
        <f aca="false">H522*(1+IF(C523=1,Assumptions!B22,Assumptions!B23))</f>
        <v>21.3568722491009</v>
      </c>
      <c r="I523" s="16" t="n">
        <f aca="false">ROUND(H523*F523,0)</f>
        <v>13</v>
      </c>
      <c r="J523" s="22" t="n">
        <f aca="false">I523*Assumptions!B24</f>
        <v>7800</v>
      </c>
      <c r="K523" s="21" t="n">
        <f aca="false">K522*(1+Assumptions!B30)</f>
        <v>15.5803930534881</v>
      </c>
      <c r="L523" s="16" t="n">
        <f aca="false">ROUND(K523*F523,0)</f>
        <v>9</v>
      </c>
      <c r="M523" s="22" t="n">
        <f aca="false">L523*Assumptions!B31</f>
        <v>2700</v>
      </c>
      <c r="N523" s="22" t="n">
        <f aca="false">J523+M523</f>
        <v>10500</v>
      </c>
      <c r="O523" s="22" t="n">
        <f aca="false">IF(DAY(B523)=1,Assumptions!B38*G523,0)</f>
        <v>0</v>
      </c>
      <c r="P523" s="22" t="n">
        <f aca="false">IF(DAY(B523)=1,Assumptions!B39*G523,0)</f>
        <v>0</v>
      </c>
      <c r="Q523" s="22" t="n">
        <f aca="false">IF(DAY(B523)=1,Assumptions!B40*G523,0)</f>
        <v>0</v>
      </c>
      <c r="R523" s="22" t="n">
        <f aca="false">IF(DAY(B523)=1,Assumptions!B41*G523,0)</f>
        <v>0</v>
      </c>
      <c r="S523" s="22" t="n">
        <f aca="false">IF(AND(DAY(B523)=1,D523&gt;=13),Assumptions!B42*G523,0)</f>
        <v>0</v>
      </c>
      <c r="T523" s="22" t="n">
        <f aca="false">IF(DAY(B523)=1,Assumptions!B43*G523,0)</f>
        <v>0</v>
      </c>
      <c r="U523" s="22" t="n">
        <f aca="false">SUM(O523:T523)</f>
        <v>0</v>
      </c>
      <c r="V523" s="22" t="n">
        <f aca="false">N523-U523</f>
        <v>10500</v>
      </c>
      <c r="W523" s="22" t="n">
        <f aca="false">W522+V523</f>
        <v>-3272459.53814811</v>
      </c>
      <c r="X523" s="23" t="str">
        <f aca="false">IF(W523&gt;=0,"YES","No")</f>
        <v>No</v>
      </c>
    </row>
    <row r="524" customFormat="false" ht="15" hidden="false" customHeight="false" outlineLevel="0" collapsed="false">
      <c r="A524" s="16" t="n">
        <v>523</v>
      </c>
      <c r="B524" s="17" t="n">
        <f aca="false">B523+1</f>
        <v>46545</v>
      </c>
      <c r="C524" s="18" t="n">
        <f aca="false">MIN(ROUNDUP(A524/365,0),5)</f>
        <v>2</v>
      </c>
      <c r="D524" s="18" t="n">
        <f aca="false">DATEDIF(Assumptions!B5,B524,"m")+1</f>
        <v>18</v>
      </c>
      <c r="E524" s="18" t="str">
        <f aca="false">TEXT(B524,"ddd")</f>
        <v>Mon</v>
      </c>
      <c r="F524" s="19" t="n">
        <f aca="false">IF(WEEKDAY(B524,2)&gt;=6,Assumptions!B34,Assumptions!B35)</f>
        <v>1</v>
      </c>
      <c r="G524" s="20" t="n">
        <f aca="false">IF(D524&gt;=13,(1+Assumptions!B46)^(D524-12),1)</f>
        <v>1.01813554121646</v>
      </c>
      <c r="H524" s="21" t="n">
        <f aca="false">H523*(1+IF(C524=1,Assumptions!B22,Assumptions!B23))</f>
        <v>21.3603718224841</v>
      </c>
      <c r="I524" s="16" t="n">
        <f aca="false">ROUND(H524*F524,0)</f>
        <v>21</v>
      </c>
      <c r="J524" s="22" t="n">
        <f aca="false">I524*Assumptions!B24</f>
        <v>12600</v>
      </c>
      <c r="K524" s="21" t="n">
        <f aca="false">K523*(1+Assumptions!B30)</f>
        <v>15.5854868579179</v>
      </c>
      <c r="L524" s="16" t="n">
        <f aca="false">ROUND(K524*F524,0)</f>
        <v>16</v>
      </c>
      <c r="M524" s="22" t="n">
        <f aca="false">L524*Assumptions!B31</f>
        <v>4800</v>
      </c>
      <c r="N524" s="22" t="n">
        <f aca="false">J524+M524</f>
        <v>17400</v>
      </c>
      <c r="O524" s="22" t="n">
        <f aca="false">IF(DAY(B524)=1,Assumptions!B38*G524,0)</f>
        <v>0</v>
      </c>
      <c r="P524" s="22" t="n">
        <f aca="false">IF(DAY(B524)=1,Assumptions!B39*G524,0)</f>
        <v>0</v>
      </c>
      <c r="Q524" s="22" t="n">
        <f aca="false">IF(DAY(B524)=1,Assumptions!B40*G524,0)</f>
        <v>0</v>
      </c>
      <c r="R524" s="22" t="n">
        <f aca="false">IF(DAY(B524)=1,Assumptions!B41*G524,0)</f>
        <v>0</v>
      </c>
      <c r="S524" s="22" t="n">
        <f aca="false">IF(AND(DAY(B524)=1,D524&gt;=13),Assumptions!B42*G524,0)</f>
        <v>0</v>
      </c>
      <c r="T524" s="22" t="n">
        <f aca="false">IF(DAY(B524)=1,Assumptions!B43*G524,0)</f>
        <v>0</v>
      </c>
      <c r="U524" s="22" t="n">
        <f aca="false">SUM(O524:T524)</f>
        <v>0</v>
      </c>
      <c r="V524" s="22" t="n">
        <f aca="false">N524-U524</f>
        <v>17400</v>
      </c>
      <c r="W524" s="22" t="n">
        <f aca="false">W523+V524</f>
        <v>-3255059.53814811</v>
      </c>
      <c r="X524" s="23" t="str">
        <f aca="false">IF(W524&gt;=0,"YES","No")</f>
        <v>No</v>
      </c>
    </row>
    <row r="525" customFormat="false" ht="15" hidden="false" customHeight="false" outlineLevel="0" collapsed="false">
      <c r="A525" s="16" t="n">
        <v>524</v>
      </c>
      <c r="B525" s="17" t="n">
        <f aca="false">B524+1</f>
        <v>46546</v>
      </c>
      <c r="C525" s="18" t="n">
        <f aca="false">MIN(ROUNDUP(A525/365,0),5)</f>
        <v>2</v>
      </c>
      <c r="D525" s="18" t="n">
        <f aca="false">DATEDIF(Assumptions!B5,B525,"m")+1</f>
        <v>18</v>
      </c>
      <c r="E525" s="18" t="str">
        <f aca="false">TEXT(B525,"ddd")</f>
        <v>Tue</v>
      </c>
      <c r="F525" s="19" t="n">
        <f aca="false">IF(WEEKDAY(B525,2)&gt;=6,Assumptions!B34,Assumptions!B35)</f>
        <v>1</v>
      </c>
      <c r="G525" s="20" t="n">
        <f aca="false">IF(D525&gt;=13,(1+Assumptions!B46)^(D525-12),1)</f>
        <v>1.01813554121646</v>
      </c>
      <c r="H525" s="21" t="n">
        <f aca="false">H524*(1+IF(C525=1,Assumptions!B22,Assumptions!B23))</f>
        <v>21.3638719693133</v>
      </c>
      <c r="I525" s="16" t="n">
        <f aca="false">ROUND(H525*F525,0)</f>
        <v>21</v>
      </c>
      <c r="J525" s="22" t="n">
        <f aca="false">I525*Assumptions!B24</f>
        <v>12600</v>
      </c>
      <c r="K525" s="21" t="n">
        <f aca="false">K524*(1+Assumptions!B30)</f>
        <v>15.5905823277</v>
      </c>
      <c r="L525" s="16" t="n">
        <f aca="false">ROUND(K525*F525,0)</f>
        <v>16</v>
      </c>
      <c r="M525" s="22" t="n">
        <f aca="false">L525*Assumptions!B31</f>
        <v>4800</v>
      </c>
      <c r="N525" s="22" t="n">
        <f aca="false">J525+M525</f>
        <v>17400</v>
      </c>
      <c r="O525" s="22" t="n">
        <f aca="false">IF(DAY(B525)=1,Assumptions!B38*G525,0)</f>
        <v>0</v>
      </c>
      <c r="P525" s="22" t="n">
        <f aca="false">IF(DAY(B525)=1,Assumptions!B39*G525,0)</f>
        <v>0</v>
      </c>
      <c r="Q525" s="22" t="n">
        <f aca="false">IF(DAY(B525)=1,Assumptions!B40*G525,0)</f>
        <v>0</v>
      </c>
      <c r="R525" s="22" t="n">
        <f aca="false">IF(DAY(B525)=1,Assumptions!B41*G525,0)</f>
        <v>0</v>
      </c>
      <c r="S525" s="22" t="n">
        <f aca="false">IF(AND(DAY(B525)=1,D525&gt;=13),Assumptions!B42*G525,0)</f>
        <v>0</v>
      </c>
      <c r="T525" s="22" t="n">
        <f aca="false">IF(DAY(B525)=1,Assumptions!B43*G525,0)</f>
        <v>0</v>
      </c>
      <c r="U525" s="22" t="n">
        <f aca="false">SUM(O525:T525)</f>
        <v>0</v>
      </c>
      <c r="V525" s="22" t="n">
        <f aca="false">N525-U525</f>
        <v>17400</v>
      </c>
      <c r="W525" s="22" t="n">
        <f aca="false">W524+V525</f>
        <v>-3237659.53814811</v>
      </c>
      <c r="X525" s="23" t="str">
        <f aca="false">IF(W525&gt;=0,"YES","No")</f>
        <v>No</v>
      </c>
    </row>
    <row r="526" customFormat="false" ht="15" hidden="false" customHeight="false" outlineLevel="0" collapsed="false">
      <c r="A526" s="16" t="n">
        <v>525</v>
      </c>
      <c r="B526" s="17" t="n">
        <f aca="false">B525+1</f>
        <v>46547</v>
      </c>
      <c r="C526" s="18" t="n">
        <f aca="false">MIN(ROUNDUP(A526/365,0),5)</f>
        <v>2</v>
      </c>
      <c r="D526" s="18" t="n">
        <f aca="false">DATEDIF(Assumptions!B5,B526,"m")+1</f>
        <v>18</v>
      </c>
      <c r="E526" s="18" t="str">
        <f aca="false">TEXT(B526,"ddd")</f>
        <v>Wed</v>
      </c>
      <c r="F526" s="19" t="n">
        <f aca="false">IF(WEEKDAY(B526,2)&gt;=6,Assumptions!B34,Assumptions!B35)</f>
        <v>1</v>
      </c>
      <c r="G526" s="20" t="n">
        <f aca="false">IF(D526&gt;=13,(1+Assumptions!B46)^(D526-12),1)</f>
        <v>1.01813554121646</v>
      </c>
      <c r="H526" s="21" t="n">
        <f aca="false">H525*(1+IF(C526=1,Assumptions!B22,Assumptions!B23))</f>
        <v>21.3673726896825</v>
      </c>
      <c r="I526" s="16" t="n">
        <f aca="false">ROUND(H526*F526,0)</f>
        <v>21</v>
      </c>
      <c r="J526" s="22" t="n">
        <f aca="false">I526*Assumptions!B24</f>
        <v>12600</v>
      </c>
      <c r="K526" s="21" t="n">
        <f aca="false">K525*(1+Assumptions!B30)</f>
        <v>15.5956794633789</v>
      </c>
      <c r="L526" s="16" t="n">
        <f aca="false">ROUND(K526*F526,0)</f>
        <v>16</v>
      </c>
      <c r="M526" s="22" t="n">
        <f aca="false">L526*Assumptions!B31</f>
        <v>4800</v>
      </c>
      <c r="N526" s="22" t="n">
        <f aca="false">J526+M526</f>
        <v>17400</v>
      </c>
      <c r="O526" s="22" t="n">
        <f aca="false">IF(DAY(B526)=1,Assumptions!B38*G526,0)</f>
        <v>0</v>
      </c>
      <c r="P526" s="22" t="n">
        <f aca="false">IF(DAY(B526)=1,Assumptions!B39*G526,0)</f>
        <v>0</v>
      </c>
      <c r="Q526" s="22" t="n">
        <f aca="false">IF(DAY(B526)=1,Assumptions!B40*G526,0)</f>
        <v>0</v>
      </c>
      <c r="R526" s="22" t="n">
        <f aca="false">IF(DAY(B526)=1,Assumptions!B41*G526,0)</f>
        <v>0</v>
      </c>
      <c r="S526" s="22" t="n">
        <f aca="false">IF(AND(DAY(B526)=1,D526&gt;=13),Assumptions!B42*G526,0)</f>
        <v>0</v>
      </c>
      <c r="T526" s="22" t="n">
        <f aca="false">IF(DAY(B526)=1,Assumptions!B43*G526,0)</f>
        <v>0</v>
      </c>
      <c r="U526" s="22" t="n">
        <f aca="false">SUM(O526:T526)</f>
        <v>0</v>
      </c>
      <c r="V526" s="22" t="n">
        <f aca="false">N526-U526</f>
        <v>17400</v>
      </c>
      <c r="W526" s="22" t="n">
        <f aca="false">W525+V526</f>
        <v>-3220259.53814811</v>
      </c>
      <c r="X526" s="23" t="str">
        <f aca="false">IF(W526&gt;=0,"YES","No")</f>
        <v>No</v>
      </c>
    </row>
    <row r="527" customFormat="false" ht="15" hidden="false" customHeight="false" outlineLevel="0" collapsed="false">
      <c r="A527" s="16" t="n">
        <v>526</v>
      </c>
      <c r="B527" s="17" t="n">
        <f aca="false">B526+1</f>
        <v>46548</v>
      </c>
      <c r="C527" s="18" t="n">
        <f aca="false">MIN(ROUNDUP(A527/365,0),5)</f>
        <v>2</v>
      </c>
      <c r="D527" s="18" t="n">
        <f aca="false">DATEDIF(Assumptions!B5,B527,"m")+1</f>
        <v>18</v>
      </c>
      <c r="E527" s="18" t="str">
        <f aca="false">TEXT(B527,"ddd")</f>
        <v>Thu</v>
      </c>
      <c r="F527" s="19" t="n">
        <f aca="false">IF(WEEKDAY(B527,2)&gt;=6,Assumptions!B34,Assumptions!B35)</f>
        <v>1</v>
      </c>
      <c r="G527" s="20" t="n">
        <f aca="false">IF(D527&gt;=13,(1+Assumptions!B46)^(D527-12),1)</f>
        <v>1.01813554121646</v>
      </c>
      <c r="H527" s="21" t="n">
        <f aca="false">H526*(1+IF(C527=1,Assumptions!B22,Assumptions!B23))</f>
        <v>21.3708739836857</v>
      </c>
      <c r="I527" s="16" t="n">
        <f aca="false">ROUND(H527*F527,0)</f>
        <v>21</v>
      </c>
      <c r="J527" s="22" t="n">
        <f aca="false">I527*Assumptions!B24</f>
        <v>12600</v>
      </c>
      <c r="K527" s="21" t="n">
        <f aca="false">K526*(1+Assumptions!B30)</f>
        <v>15.6007782654992</v>
      </c>
      <c r="L527" s="16" t="n">
        <f aca="false">ROUND(K527*F527,0)</f>
        <v>16</v>
      </c>
      <c r="M527" s="22" t="n">
        <f aca="false">L527*Assumptions!B31</f>
        <v>4800</v>
      </c>
      <c r="N527" s="22" t="n">
        <f aca="false">J527+M527</f>
        <v>17400</v>
      </c>
      <c r="O527" s="22" t="n">
        <f aca="false">IF(DAY(B527)=1,Assumptions!B38*G527,0)</f>
        <v>0</v>
      </c>
      <c r="P527" s="22" t="n">
        <f aca="false">IF(DAY(B527)=1,Assumptions!B39*G527,0)</f>
        <v>0</v>
      </c>
      <c r="Q527" s="22" t="n">
        <f aca="false">IF(DAY(B527)=1,Assumptions!B40*G527,0)</f>
        <v>0</v>
      </c>
      <c r="R527" s="22" t="n">
        <f aca="false">IF(DAY(B527)=1,Assumptions!B41*G527,0)</f>
        <v>0</v>
      </c>
      <c r="S527" s="22" t="n">
        <f aca="false">IF(AND(DAY(B527)=1,D527&gt;=13),Assumptions!B42*G527,0)</f>
        <v>0</v>
      </c>
      <c r="T527" s="22" t="n">
        <f aca="false">IF(DAY(B527)=1,Assumptions!B43*G527,0)</f>
        <v>0</v>
      </c>
      <c r="U527" s="22" t="n">
        <f aca="false">SUM(O527:T527)</f>
        <v>0</v>
      </c>
      <c r="V527" s="22" t="n">
        <f aca="false">N527-U527</f>
        <v>17400</v>
      </c>
      <c r="W527" s="22" t="n">
        <f aca="false">W526+V527</f>
        <v>-3202859.53814811</v>
      </c>
      <c r="X527" s="23" t="str">
        <f aca="false">IF(W527&gt;=0,"YES","No")</f>
        <v>No</v>
      </c>
    </row>
    <row r="528" customFormat="false" ht="15" hidden="false" customHeight="false" outlineLevel="0" collapsed="false">
      <c r="A528" s="16" t="n">
        <v>527</v>
      </c>
      <c r="B528" s="17" t="n">
        <f aca="false">B527+1</f>
        <v>46549</v>
      </c>
      <c r="C528" s="18" t="n">
        <f aca="false">MIN(ROUNDUP(A528/365,0),5)</f>
        <v>2</v>
      </c>
      <c r="D528" s="18" t="n">
        <f aca="false">DATEDIF(Assumptions!B5,B528,"m")+1</f>
        <v>18</v>
      </c>
      <c r="E528" s="18" t="str">
        <f aca="false">TEXT(B528,"ddd")</f>
        <v>Fri</v>
      </c>
      <c r="F528" s="19" t="n">
        <f aca="false">IF(WEEKDAY(B528,2)&gt;=6,Assumptions!B34,Assumptions!B35)</f>
        <v>1</v>
      </c>
      <c r="G528" s="20" t="n">
        <f aca="false">IF(D528&gt;=13,(1+Assumptions!B46)^(D528-12),1)</f>
        <v>1.01813554121646</v>
      </c>
      <c r="H528" s="21" t="n">
        <f aca="false">H527*(1+IF(C528=1,Assumptions!B22,Assumptions!B23))</f>
        <v>21.3743758514169</v>
      </c>
      <c r="I528" s="16" t="n">
        <f aca="false">ROUND(H528*F528,0)</f>
        <v>21</v>
      </c>
      <c r="J528" s="22" t="n">
        <f aca="false">I528*Assumptions!B24</f>
        <v>12600</v>
      </c>
      <c r="K528" s="21" t="n">
        <f aca="false">K527*(1+Assumptions!B30)</f>
        <v>15.6058787346058</v>
      </c>
      <c r="L528" s="16" t="n">
        <f aca="false">ROUND(K528*F528,0)</f>
        <v>16</v>
      </c>
      <c r="M528" s="22" t="n">
        <f aca="false">L528*Assumptions!B31</f>
        <v>4800</v>
      </c>
      <c r="N528" s="22" t="n">
        <f aca="false">J528+M528</f>
        <v>17400</v>
      </c>
      <c r="O528" s="22" t="n">
        <f aca="false">IF(DAY(B528)=1,Assumptions!B38*G528,0)</f>
        <v>0</v>
      </c>
      <c r="P528" s="22" t="n">
        <f aca="false">IF(DAY(B528)=1,Assumptions!B39*G528,0)</f>
        <v>0</v>
      </c>
      <c r="Q528" s="22" t="n">
        <f aca="false">IF(DAY(B528)=1,Assumptions!B40*G528,0)</f>
        <v>0</v>
      </c>
      <c r="R528" s="22" t="n">
        <f aca="false">IF(DAY(B528)=1,Assumptions!B41*G528,0)</f>
        <v>0</v>
      </c>
      <c r="S528" s="22" t="n">
        <f aca="false">IF(AND(DAY(B528)=1,D528&gt;=13),Assumptions!B42*G528,0)</f>
        <v>0</v>
      </c>
      <c r="T528" s="22" t="n">
        <f aca="false">IF(DAY(B528)=1,Assumptions!B43*G528,0)</f>
        <v>0</v>
      </c>
      <c r="U528" s="22" t="n">
        <f aca="false">SUM(O528:T528)</f>
        <v>0</v>
      </c>
      <c r="V528" s="22" t="n">
        <f aca="false">N528-U528</f>
        <v>17400</v>
      </c>
      <c r="W528" s="22" t="n">
        <f aca="false">W527+V528</f>
        <v>-3185459.53814811</v>
      </c>
      <c r="X528" s="23" t="str">
        <f aca="false">IF(W528&gt;=0,"YES","No")</f>
        <v>No</v>
      </c>
    </row>
    <row r="529" customFormat="false" ht="15" hidden="false" customHeight="false" outlineLevel="0" collapsed="false">
      <c r="A529" s="16" t="n">
        <v>528</v>
      </c>
      <c r="B529" s="17" t="n">
        <f aca="false">B528+1</f>
        <v>46550</v>
      </c>
      <c r="C529" s="18" t="n">
        <f aca="false">MIN(ROUNDUP(A529/365,0),5)</f>
        <v>2</v>
      </c>
      <c r="D529" s="18" t="n">
        <f aca="false">DATEDIF(Assumptions!B5,B529,"m")+1</f>
        <v>18</v>
      </c>
      <c r="E529" s="18" t="str">
        <f aca="false">TEXT(B529,"ddd")</f>
        <v>Sat</v>
      </c>
      <c r="F529" s="19" t="n">
        <f aca="false">IF(WEEKDAY(B529,2)&gt;=6,Assumptions!B34,Assumptions!B35)</f>
        <v>0.6</v>
      </c>
      <c r="G529" s="20" t="n">
        <f aca="false">IF(D529&gt;=13,(1+Assumptions!B46)^(D529-12),1)</f>
        <v>1.01813554121646</v>
      </c>
      <c r="H529" s="21" t="n">
        <f aca="false">H528*(1+IF(C529=1,Assumptions!B22,Assumptions!B23))</f>
        <v>21.3778782929701</v>
      </c>
      <c r="I529" s="16" t="n">
        <f aca="false">ROUND(H529*F529,0)</f>
        <v>13</v>
      </c>
      <c r="J529" s="22" t="n">
        <f aca="false">I529*Assumptions!B24</f>
        <v>7800</v>
      </c>
      <c r="K529" s="21" t="n">
        <f aca="false">K528*(1+Assumptions!B30)</f>
        <v>15.6109808712436</v>
      </c>
      <c r="L529" s="16" t="n">
        <f aca="false">ROUND(K529*F529,0)</f>
        <v>9</v>
      </c>
      <c r="M529" s="22" t="n">
        <f aca="false">L529*Assumptions!B31</f>
        <v>2700</v>
      </c>
      <c r="N529" s="22" t="n">
        <f aca="false">J529+M529</f>
        <v>10500</v>
      </c>
      <c r="O529" s="22" t="n">
        <f aca="false">IF(DAY(B529)=1,Assumptions!B38*G529,0)</f>
        <v>0</v>
      </c>
      <c r="P529" s="22" t="n">
        <f aca="false">IF(DAY(B529)=1,Assumptions!B39*G529,0)</f>
        <v>0</v>
      </c>
      <c r="Q529" s="22" t="n">
        <f aca="false">IF(DAY(B529)=1,Assumptions!B40*G529,0)</f>
        <v>0</v>
      </c>
      <c r="R529" s="22" t="n">
        <f aca="false">IF(DAY(B529)=1,Assumptions!B41*G529,0)</f>
        <v>0</v>
      </c>
      <c r="S529" s="22" t="n">
        <f aca="false">IF(AND(DAY(B529)=1,D529&gt;=13),Assumptions!B42*G529,0)</f>
        <v>0</v>
      </c>
      <c r="T529" s="22" t="n">
        <f aca="false">IF(DAY(B529)=1,Assumptions!B43*G529,0)</f>
        <v>0</v>
      </c>
      <c r="U529" s="22" t="n">
        <f aca="false">SUM(O529:T529)</f>
        <v>0</v>
      </c>
      <c r="V529" s="22" t="n">
        <f aca="false">N529-U529</f>
        <v>10500</v>
      </c>
      <c r="W529" s="22" t="n">
        <f aca="false">W528+V529</f>
        <v>-3174959.53814811</v>
      </c>
      <c r="X529" s="23" t="str">
        <f aca="false">IF(W529&gt;=0,"YES","No")</f>
        <v>No</v>
      </c>
    </row>
    <row r="530" customFormat="false" ht="15" hidden="false" customHeight="false" outlineLevel="0" collapsed="false">
      <c r="A530" s="16" t="n">
        <v>529</v>
      </c>
      <c r="B530" s="17" t="n">
        <f aca="false">B529+1</f>
        <v>46551</v>
      </c>
      <c r="C530" s="18" t="n">
        <f aca="false">MIN(ROUNDUP(A530/365,0),5)</f>
        <v>2</v>
      </c>
      <c r="D530" s="18" t="n">
        <f aca="false">DATEDIF(Assumptions!B5,B530,"m")+1</f>
        <v>18</v>
      </c>
      <c r="E530" s="18" t="str">
        <f aca="false">TEXT(B530,"ddd")</f>
        <v>Sun</v>
      </c>
      <c r="F530" s="19" t="n">
        <f aca="false">IF(WEEKDAY(B530,2)&gt;=6,Assumptions!B34,Assumptions!B35)</f>
        <v>0.6</v>
      </c>
      <c r="G530" s="20" t="n">
        <f aca="false">IF(D530&gt;=13,(1+Assumptions!B46)^(D530-12),1)</f>
        <v>1.01813554121646</v>
      </c>
      <c r="H530" s="21" t="n">
        <f aca="false">H529*(1+IF(C530=1,Assumptions!B22,Assumptions!B23))</f>
        <v>21.3813813084393</v>
      </c>
      <c r="I530" s="16" t="n">
        <f aca="false">ROUND(H530*F530,0)</f>
        <v>13</v>
      </c>
      <c r="J530" s="22" t="n">
        <f aca="false">I530*Assumptions!B24</f>
        <v>7800</v>
      </c>
      <c r="K530" s="21" t="n">
        <f aca="false">K529*(1+Assumptions!B30)</f>
        <v>15.6160846759578</v>
      </c>
      <c r="L530" s="16" t="n">
        <f aca="false">ROUND(K530*F530,0)</f>
        <v>9</v>
      </c>
      <c r="M530" s="22" t="n">
        <f aca="false">L530*Assumptions!B31</f>
        <v>2700</v>
      </c>
      <c r="N530" s="22" t="n">
        <f aca="false">J530+M530</f>
        <v>10500</v>
      </c>
      <c r="O530" s="22" t="n">
        <f aca="false">IF(DAY(B530)=1,Assumptions!B38*G530,0)</f>
        <v>0</v>
      </c>
      <c r="P530" s="22" t="n">
        <f aca="false">IF(DAY(B530)=1,Assumptions!B39*G530,0)</f>
        <v>0</v>
      </c>
      <c r="Q530" s="22" t="n">
        <f aca="false">IF(DAY(B530)=1,Assumptions!B40*G530,0)</f>
        <v>0</v>
      </c>
      <c r="R530" s="22" t="n">
        <f aca="false">IF(DAY(B530)=1,Assumptions!B41*G530,0)</f>
        <v>0</v>
      </c>
      <c r="S530" s="22" t="n">
        <f aca="false">IF(AND(DAY(B530)=1,D530&gt;=13),Assumptions!B42*G530,0)</f>
        <v>0</v>
      </c>
      <c r="T530" s="22" t="n">
        <f aca="false">IF(DAY(B530)=1,Assumptions!B43*G530,0)</f>
        <v>0</v>
      </c>
      <c r="U530" s="22" t="n">
        <f aca="false">SUM(O530:T530)</f>
        <v>0</v>
      </c>
      <c r="V530" s="22" t="n">
        <f aca="false">N530-U530</f>
        <v>10500</v>
      </c>
      <c r="W530" s="22" t="n">
        <f aca="false">W529+V530</f>
        <v>-3164459.53814811</v>
      </c>
      <c r="X530" s="23" t="str">
        <f aca="false">IF(W530&gt;=0,"YES","No")</f>
        <v>No</v>
      </c>
    </row>
    <row r="531" customFormat="false" ht="15" hidden="false" customHeight="false" outlineLevel="0" collapsed="false">
      <c r="A531" s="16" t="n">
        <v>530</v>
      </c>
      <c r="B531" s="17" t="n">
        <f aca="false">B530+1</f>
        <v>46552</v>
      </c>
      <c r="C531" s="18" t="n">
        <f aca="false">MIN(ROUNDUP(A531/365,0),5)</f>
        <v>2</v>
      </c>
      <c r="D531" s="18" t="n">
        <f aca="false">DATEDIF(Assumptions!B5,B531,"m")+1</f>
        <v>18</v>
      </c>
      <c r="E531" s="18" t="str">
        <f aca="false">TEXT(B531,"ddd")</f>
        <v>Mon</v>
      </c>
      <c r="F531" s="19" t="n">
        <f aca="false">IF(WEEKDAY(B531,2)&gt;=6,Assumptions!B34,Assumptions!B35)</f>
        <v>1</v>
      </c>
      <c r="G531" s="20" t="n">
        <f aca="false">IF(D531&gt;=13,(1+Assumptions!B46)^(D531-12),1)</f>
        <v>1.01813554121646</v>
      </c>
      <c r="H531" s="21" t="n">
        <f aca="false">H530*(1+IF(C531=1,Assumptions!B22,Assumptions!B23))</f>
        <v>21.3848848979186</v>
      </c>
      <c r="I531" s="16" t="n">
        <f aca="false">ROUND(H531*F531,0)</f>
        <v>21</v>
      </c>
      <c r="J531" s="22" t="n">
        <f aca="false">I531*Assumptions!B24</f>
        <v>12600</v>
      </c>
      <c r="K531" s="21" t="n">
        <f aca="false">K530*(1+Assumptions!B30)</f>
        <v>15.6211901492938</v>
      </c>
      <c r="L531" s="16" t="n">
        <f aca="false">ROUND(K531*F531,0)</f>
        <v>16</v>
      </c>
      <c r="M531" s="22" t="n">
        <f aca="false">L531*Assumptions!B31</f>
        <v>4800</v>
      </c>
      <c r="N531" s="22" t="n">
        <f aca="false">J531+M531</f>
        <v>17400</v>
      </c>
      <c r="O531" s="22" t="n">
        <f aca="false">IF(DAY(B531)=1,Assumptions!B38*G531,0)</f>
        <v>0</v>
      </c>
      <c r="P531" s="22" t="n">
        <f aca="false">IF(DAY(B531)=1,Assumptions!B39*G531,0)</f>
        <v>0</v>
      </c>
      <c r="Q531" s="22" t="n">
        <f aca="false">IF(DAY(B531)=1,Assumptions!B40*G531,0)</f>
        <v>0</v>
      </c>
      <c r="R531" s="22" t="n">
        <f aca="false">IF(DAY(B531)=1,Assumptions!B41*G531,0)</f>
        <v>0</v>
      </c>
      <c r="S531" s="22" t="n">
        <f aca="false">IF(AND(DAY(B531)=1,D531&gt;=13),Assumptions!B42*G531,0)</f>
        <v>0</v>
      </c>
      <c r="T531" s="22" t="n">
        <f aca="false">IF(DAY(B531)=1,Assumptions!B43*G531,0)</f>
        <v>0</v>
      </c>
      <c r="U531" s="22" t="n">
        <f aca="false">SUM(O531:T531)</f>
        <v>0</v>
      </c>
      <c r="V531" s="22" t="n">
        <f aca="false">N531-U531</f>
        <v>17400</v>
      </c>
      <c r="W531" s="22" t="n">
        <f aca="false">W530+V531</f>
        <v>-3147059.53814811</v>
      </c>
      <c r="X531" s="23" t="str">
        <f aca="false">IF(W531&gt;=0,"YES","No")</f>
        <v>No</v>
      </c>
    </row>
    <row r="532" customFormat="false" ht="15" hidden="false" customHeight="false" outlineLevel="0" collapsed="false">
      <c r="A532" s="16" t="n">
        <v>531</v>
      </c>
      <c r="B532" s="17" t="n">
        <f aca="false">B531+1</f>
        <v>46553</v>
      </c>
      <c r="C532" s="18" t="n">
        <f aca="false">MIN(ROUNDUP(A532/365,0),5)</f>
        <v>2</v>
      </c>
      <c r="D532" s="18" t="n">
        <f aca="false">DATEDIF(Assumptions!B5,B532,"m")+1</f>
        <v>18</v>
      </c>
      <c r="E532" s="18" t="str">
        <f aca="false">TEXT(B532,"ddd")</f>
        <v>Tue</v>
      </c>
      <c r="F532" s="19" t="n">
        <f aca="false">IF(WEEKDAY(B532,2)&gt;=6,Assumptions!B34,Assumptions!B35)</f>
        <v>1</v>
      </c>
      <c r="G532" s="20" t="n">
        <f aca="false">IF(D532&gt;=13,(1+Assumptions!B46)^(D532-12),1)</f>
        <v>1.01813554121646</v>
      </c>
      <c r="H532" s="21" t="n">
        <f aca="false">H531*(1+IF(C532=1,Assumptions!B22,Assumptions!B23))</f>
        <v>21.388389061502</v>
      </c>
      <c r="I532" s="16" t="n">
        <f aca="false">ROUND(H532*F532,0)</f>
        <v>21</v>
      </c>
      <c r="J532" s="22" t="n">
        <f aca="false">I532*Assumptions!B24</f>
        <v>12600</v>
      </c>
      <c r="K532" s="21" t="n">
        <f aca="false">K531*(1+Assumptions!B30)</f>
        <v>15.6262972917971</v>
      </c>
      <c r="L532" s="16" t="n">
        <f aca="false">ROUND(K532*F532,0)</f>
        <v>16</v>
      </c>
      <c r="M532" s="22" t="n">
        <f aca="false">L532*Assumptions!B31</f>
        <v>4800</v>
      </c>
      <c r="N532" s="22" t="n">
        <f aca="false">J532+M532</f>
        <v>17400</v>
      </c>
      <c r="O532" s="22" t="n">
        <f aca="false">IF(DAY(B532)=1,Assumptions!B38*G532,0)</f>
        <v>0</v>
      </c>
      <c r="P532" s="22" t="n">
        <f aca="false">IF(DAY(B532)=1,Assumptions!B39*G532,0)</f>
        <v>0</v>
      </c>
      <c r="Q532" s="22" t="n">
        <f aca="false">IF(DAY(B532)=1,Assumptions!B40*G532,0)</f>
        <v>0</v>
      </c>
      <c r="R532" s="22" t="n">
        <f aca="false">IF(DAY(B532)=1,Assumptions!B41*G532,0)</f>
        <v>0</v>
      </c>
      <c r="S532" s="22" t="n">
        <f aca="false">IF(AND(DAY(B532)=1,D532&gt;=13),Assumptions!B42*G532,0)</f>
        <v>0</v>
      </c>
      <c r="T532" s="22" t="n">
        <f aca="false">IF(DAY(B532)=1,Assumptions!B43*G532,0)</f>
        <v>0</v>
      </c>
      <c r="U532" s="22" t="n">
        <f aca="false">SUM(O532:T532)</f>
        <v>0</v>
      </c>
      <c r="V532" s="22" t="n">
        <f aca="false">N532-U532</f>
        <v>17400</v>
      </c>
      <c r="W532" s="22" t="n">
        <f aca="false">W531+V532</f>
        <v>-3129659.53814811</v>
      </c>
      <c r="X532" s="23" t="str">
        <f aca="false">IF(W532&gt;=0,"YES","No")</f>
        <v>No</v>
      </c>
    </row>
    <row r="533" customFormat="false" ht="15" hidden="false" customHeight="false" outlineLevel="0" collapsed="false">
      <c r="A533" s="16" t="n">
        <v>532</v>
      </c>
      <c r="B533" s="17" t="n">
        <f aca="false">B532+1</f>
        <v>46554</v>
      </c>
      <c r="C533" s="18" t="n">
        <f aca="false">MIN(ROUNDUP(A533/365,0),5)</f>
        <v>2</v>
      </c>
      <c r="D533" s="18" t="n">
        <f aca="false">DATEDIF(Assumptions!B5,B533,"m")+1</f>
        <v>18</v>
      </c>
      <c r="E533" s="18" t="str">
        <f aca="false">TEXT(B533,"ddd")</f>
        <v>Wed</v>
      </c>
      <c r="F533" s="19" t="n">
        <f aca="false">IF(WEEKDAY(B533,2)&gt;=6,Assumptions!B34,Assumptions!B35)</f>
        <v>1</v>
      </c>
      <c r="G533" s="20" t="n">
        <f aca="false">IF(D533&gt;=13,(1+Assumptions!B46)^(D533-12),1)</f>
        <v>1.01813554121646</v>
      </c>
      <c r="H533" s="21" t="n">
        <f aca="false">H532*(1+IF(C533=1,Assumptions!B22,Assumptions!B23))</f>
        <v>21.3918937992836</v>
      </c>
      <c r="I533" s="16" t="n">
        <f aca="false">ROUND(H533*F533,0)</f>
        <v>21</v>
      </c>
      <c r="J533" s="22" t="n">
        <f aca="false">I533*Assumptions!B24</f>
        <v>12600</v>
      </c>
      <c r="K533" s="21" t="n">
        <f aca="false">K532*(1+Assumptions!B30)</f>
        <v>15.6314061040134</v>
      </c>
      <c r="L533" s="16" t="n">
        <f aca="false">ROUND(K533*F533,0)</f>
        <v>16</v>
      </c>
      <c r="M533" s="22" t="n">
        <f aca="false">L533*Assumptions!B31</f>
        <v>4800</v>
      </c>
      <c r="N533" s="22" t="n">
        <f aca="false">J533+M533</f>
        <v>17400</v>
      </c>
      <c r="O533" s="22" t="n">
        <f aca="false">IF(DAY(B533)=1,Assumptions!B38*G533,0)</f>
        <v>0</v>
      </c>
      <c r="P533" s="22" t="n">
        <f aca="false">IF(DAY(B533)=1,Assumptions!B39*G533,0)</f>
        <v>0</v>
      </c>
      <c r="Q533" s="22" t="n">
        <f aca="false">IF(DAY(B533)=1,Assumptions!B40*G533,0)</f>
        <v>0</v>
      </c>
      <c r="R533" s="22" t="n">
        <f aca="false">IF(DAY(B533)=1,Assumptions!B41*G533,0)</f>
        <v>0</v>
      </c>
      <c r="S533" s="22" t="n">
        <f aca="false">IF(AND(DAY(B533)=1,D533&gt;=13),Assumptions!B42*G533,0)</f>
        <v>0</v>
      </c>
      <c r="T533" s="22" t="n">
        <f aca="false">IF(DAY(B533)=1,Assumptions!B43*G533,0)</f>
        <v>0</v>
      </c>
      <c r="U533" s="22" t="n">
        <f aca="false">SUM(O533:T533)</f>
        <v>0</v>
      </c>
      <c r="V533" s="22" t="n">
        <f aca="false">N533-U533</f>
        <v>17400</v>
      </c>
      <c r="W533" s="22" t="n">
        <f aca="false">W532+V533</f>
        <v>-3112259.53814811</v>
      </c>
      <c r="X533" s="23" t="str">
        <f aca="false">IF(W533&gt;=0,"YES","No")</f>
        <v>No</v>
      </c>
    </row>
    <row r="534" customFormat="false" ht="15" hidden="false" customHeight="false" outlineLevel="0" collapsed="false">
      <c r="A534" s="16" t="n">
        <v>533</v>
      </c>
      <c r="B534" s="17" t="n">
        <f aca="false">B533+1</f>
        <v>46555</v>
      </c>
      <c r="C534" s="18" t="n">
        <f aca="false">MIN(ROUNDUP(A534/365,0),5)</f>
        <v>2</v>
      </c>
      <c r="D534" s="18" t="n">
        <f aca="false">DATEDIF(Assumptions!B5,B534,"m")+1</f>
        <v>18</v>
      </c>
      <c r="E534" s="18" t="str">
        <f aca="false">TEXT(B534,"ddd")</f>
        <v>Thu</v>
      </c>
      <c r="F534" s="19" t="n">
        <f aca="false">IF(WEEKDAY(B534,2)&gt;=6,Assumptions!B34,Assumptions!B35)</f>
        <v>1</v>
      </c>
      <c r="G534" s="20" t="n">
        <f aca="false">IF(D534&gt;=13,(1+Assumptions!B46)^(D534-12),1)</f>
        <v>1.01813554121646</v>
      </c>
      <c r="H534" s="21" t="n">
        <f aca="false">H533*(1+IF(C534=1,Assumptions!B22,Assumptions!B23))</f>
        <v>21.3953991113575</v>
      </c>
      <c r="I534" s="16" t="n">
        <f aca="false">ROUND(H534*F534,0)</f>
        <v>21</v>
      </c>
      <c r="J534" s="22" t="n">
        <f aca="false">I534*Assumptions!B24</f>
        <v>12600</v>
      </c>
      <c r="K534" s="21" t="n">
        <f aca="false">K533*(1+Assumptions!B30)</f>
        <v>15.6365165864886</v>
      </c>
      <c r="L534" s="16" t="n">
        <f aca="false">ROUND(K534*F534,0)</f>
        <v>16</v>
      </c>
      <c r="M534" s="22" t="n">
        <f aca="false">L534*Assumptions!B31</f>
        <v>4800</v>
      </c>
      <c r="N534" s="22" t="n">
        <f aca="false">J534+M534</f>
        <v>17400</v>
      </c>
      <c r="O534" s="22" t="n">
        <f aca="false">IF(DAY(B534)=1,Assumptions!B38*G534,0)</f>
        <v>0</v>
      </c>
      <c r="P534" s="22" t="n">
        <f aca="false">IF(DAY(B534)=1,Assumptions!B39*G534,0)</f>
        <v>0</v>
      </c>
      <c r="Q534" s="22" t="n">
        <f aca="false">IF(DAY(B534)=1,Assumptions!B40*G534,0)</f>
        <v>0</v>
      </c>
      <c r="R534" s="22" t="n">
        <f aca="false">IF(DAY(B534)=1,Assumptions!B41*G534,0)</f>
        <v>0</v>
      </c>
      <c r="S534" s="22" t="n">
        <f aca="false">IF(AND(DAY(B534)=1,D534&gt;=13),Assumptions!B42*G534,0)</f>
        <v>0</v>
      </c>
      <c r="T534" s="22" t="n">
        <f aca="false">IF(DAY(B534)=1,Assumptions!B43*G534,0)</f>
        <v>0</v>
      </c>
      <c r="U534" s="22" t="n">
        <f aca="false">SUM(O534:T534)</f>
        <v>0</v>
      </c>
      <c r="V534" s="22" t="n">
        <f aca="false">N534-U534</f>
        <v>17400</v>
      </c>
      <c r="W534" s="22" t="n">
        <f aca="false">W533+V534</f>
        <v>-3094859.53814811</v>
      </c>
      <c r="X534" s="23" t="str">
        <f aca="false">IF(W534&gt;=0,"YES","No")</f>
        <v>No</v>
      </c>
    </row>
    <row r="535" customFormat="false" ht="15" hidden="false" customHeight="false" outlineLevel="0" collapsed="false">
      <c r="A535" s="16" t="n">
        <v>534</v>
      </c>
      <c r="B535" s="17" t="n">
        <f aca="false">B534+1</f>
        <v>46556</v>
      </c>
      <c r="C535" s="18" t="n">
        <f aca="false">MIN(ROUNDUP(A535/365,0),5)</f>
        <v>2</v>
      </c>
      <c r="D535" s="18" t="n">
        <f aca="false">DATEDIF(Assumptions!B5,B535,"m")+1</f>
        <v>18</v>
      </c>
      <c r="E535" s="18" t="str">
        <f aca="false">TEXT(B535,"ddd")</f>
        <v>Fri</v>
      </c>
      <c r="F535" s="19" t="n">
        <f aca="false">IF(WEEKDAY(B535,2)&gt;=6,Assumptions!B34,Assumptions!B35)</f>
        <v>1</v>
      </c>
      <c r="G535" s="20" t="n">
        <f aca="false">IF(D535&gt;=13,(1+Assumptions!B46)^(D535-12),1)</f>
        <v>1.01813554121646</v>
      </c>
      <c r="H535" s="21" t="n">
        <f aca="false">H534*(1+IF(C535=1,Assumptions!B22,Assumptions!B23))</f>
        <v>21.3989049978178</v>
      </c>
      <c r="I535" s="16" t="n">
        <f aca="false">ROUND(H535*F535,0)</f>
        <v>21</v>
      </c>
      <c r="J535" s="22" t="n">
        <f aca="false">I535*Assumptions!B24</f>
        <v>12600</v>
      </c>
      <c r="K535" s="21" t="n">
        <f aca="false">K534*(1+Assumptions!B30)</f>
        <v>15.6416287397688</v>
      </c>
      <c r="L535" s="16" t="n">
        <f aca="false">ROUND(K535*F535,0)</f>
        <v>16</v>
      </c>
      <c r="M535" s="22" t="n">
        <f aca="false">L535*Assumptions!B31</f>
        <v>4800</v>
      </c>
      <c r="N535" s="22" t="n">
        <f aca="false">J535+M535</f>
        <v>17400</v>
      </c>
      <c r="O535" s="22" t="n">
        <f aca="false">IF(DAY(B535)=1,Assumptions!B38*G535,0)</f>
        <v>0</v>
      </c>
      <c r="P535" s="22" t="n">
        <f aca="false">IF(DAY(B535)=1,Assumptions!B39*G535,0)</f>
        <v>0</v>
      </c>
      <c r="Q535" s="22" t="n">
        <f aca="false">IF(DAY(B535)=1,Assumptions!B40*G535,0)</f>
        <v>0</v>
      </c>
      <c r="R535" s="22" t="n">
        <f aca="false">IF(DAY(B535)=1,Assumptions!B41*G535,0)</f>
        <v>0</v>
      </c>
      <c r="S535" s="22" t="n">
        <f aca="false">IF(AND(DAY(B535)=1,D535&gt;=13),Assumptions!B42*G535,0)</f>
        <v>0</v>
      </c>
      <c r="T535" s="22" t="n">
        <f aca="false">IF(DAY(B535)=1,Assumptions!B43*G535,0)</f>
        <v>0</v>
      </c>
      <c r="U535" s="22" t="n">
        <f aca="false">SUM(O535:T535)</f>
        <v>0</v>
      </c>
      <c r="V535" s="22" t="n">
        <f aca="false">N535-U535</f>
        <v>17400</v>
      </c>
      <c r="W535" s="22" t="n">
        <f aca="false">W534+V535</f>
        <v>-3077459.53814811</v>
      </c>
      <c r="X535" s="23" t="str">
        <f aca="false">IF(W535&gt;=0,"YES","No")</f>
        <v>No</v>
      </c>
    </row>
    <row r="536" customFormat="false" ht="15" hidden="false" customHeight="false" outlineLevel="0" collapsed="false">
      <c r="A536" s="16" t="n">
        <v>535</v>
      </c>
      <c r="B536" s="17" t="n">
        <f aca="false">B535+1</f>
        <v>46557</v>
      </c>
      <c r="C536" s="18" t="n">
        <f aca="false">MIN(ROUNDUP(A536/365,0),5)</f>
        <v>2</v>
      </c>
      <c r="D536" s="18" t="n">
        <f aca="false">DATEDIF(Assumptions!B5,B536,"m")+1</f>
        <v>18</v>
      </c>
      <c r="E536" s="18" t="str">
        <f aca="false">TEXT(B536,"ddd")</f>
        <v>Sat</v>
      </c>
      <c r="F536" s="19" t="n">
        <f aca="false">IF(WEEKDAY(B536,2)&gt;=6,Assumptions!B34,Assumptions!B35)</f>
        <v>0.6</v>
      </c>
      <c r="G536" s="20" t="n">
        <f aca="false">IF(D536&gt;=13,(1+Assumptions!B46)^(D536-12),1)</f>
        <v>1.01813554121646</v>
      </c>
      <c r="H536" s="21" t="n">
        <f aca="false">H535*(1+IF(C536=1,Assumptions!B22,Assumptions!B23))</f>
        <v>21.4024114587587</v>
      </c>
      <c r="I536" s="16" t="n">
        <f aca="false">ROUND(H536*F536,0)</f>
        <v>13</v>
      </c>
      <c r="J536" s="22" t="n">
        <f aca="false">I536*Assumptions!B24</f>
        <v>7800</v>
      </c>
      <c r="K536" s="21" t="n">
        <f aca="false">K535*(1+Assumptions!B30)</f>
        <v>15.6467425644002</v>
      </c>
      <c r="L536" s="16" t="n">
        <f aca="false">ROUND(K536*F536,0)</f>
        <v>9</v>
      </c>
      <c r="M536" s="22" t="n">
        <f aca="false">L536*Assumptions!B31</f>
        <v>2700</v>
      </c>
      <c r="N536" s="22" t="n">
        <f aca="false">J536+M536</f>
        <v>10500</v>
      </c>
      <c r="O536" s="22" t="n">
        <f aca="false">IF(DAY(B536)=1,Assumptions!B38*G536,0)</f>
        <v>0</v>
      </c>
      <c r="P536" s="22" t="n">
        <f aca="false">IF(DAY(B536)=1,Assumptions!B39*G536,0)</f>
        <v>0</v>
      </c>
      <c r="Q536" s="22" t="n">
        <f aca="false">IF(DAY(B536)=1,Assumptions!B40*G536,0)</f>
        <v>0</v>
      </c>
      <c r="R536" s="22" t="n">
        <f aca="false">IF(DAY(B536)=1,Assumptions!B41*G536,0)</f>
        <v>0</v>
      </c>
      <c r="S536" s="22" t="n">
        <f aca="false">IF(AND(DAY(B536)=1,D536&gt;=13),Assumptions!B42*G536,0)</f>
        <v>0</v>
      </c>
      <c r="T536" s="22" t="n">
        <f aca="false">IF(DAY(B536)=1,Assumptions!B43*G536,0)</f>
        <v>0</v>
      </c>
      <c r="U536" s="22" t="n">
        <f aca="false">SUM(O536:T536)</f>
        <v>0</v>
      </c>
      <c r="V536" s="22" t="n">
        <f aca="false">N536-U536</f>
        <v>10500</v>
      </c>
      <c r="W536" s="22" t="n">
        <f aca="false">W535+V536</f>
        <v>-3066959.53814811</v>
      </c>
      <c r="X536" s="23" t="str">
        <f aca="false">IF(W536&gt;=0,"YES","No")</f>
        <v>No</v>
      </c>
    </row>
    <row r="537" customFormat="false" ht="15" hidden="false" customHeight="false" outlineLevel="0" collapsed="false">
      <c r="A537" s="16" t="n">
        <v>536</v>
      </c>
      <c r="B537" s="17" t="n">
        <f aca="false">B536+1</f>
        <v>46558</v>
      </c>
      <c r="C537" s="18" t="n">
        <f aca="false">MIN(ROUNDUP(A537/365,0),5)</f>
        <v>2</v>
      </c>
      <c r="D537" s="18" t="n">
        <f aca="false">DATEDIF(Assumptions!B5,B537,"m")+1</f>
        <v>18</v>
      </c>
      <c r="E537" s="18" t="str">
        <f aca="false">TEXT(B537,"ddd")</f>
        <v>Sun</v>
      </c>
      <c r="F537" s="19" t="n">
        <f aca="false">IF(WEEKDAY(B537,2)&gt;=6,Assumptions!B34,Assumptions!B35)</f>
        <v>0.6</v>
      </c>
      <c r="G537" s="20" t="n">
        <f aca="false">IF(D537&gt;=13,(1+Assumptions!B46)^(D537-12),1)</f>
        <v>1.01813554121646</v>
      </c>
      <c r="H537" s="21" t="n">
        <f aca="false">H536*(1+IF(C537=1,Assumptions!B22,Assumptions!B23))</f>
        <v>21.4059184942741</v>
      </c>
      <c r="I537" s="16" t="n">
        <f aca="false">ROUND(H537*F537,0)</f>
        <v>13</v>
      </c>
      <c r="J537" s="22" t="n">
        <f aca="false">I537*Assumptions!B24</f>
        <v>7800</v>
      </c>
      <c r="K537" s="21" t="n">
        <f aca="false">K536*(1+Assumptions!B30)</f>
        <v>15.6518580609293</v>
      </c>
      <c r="L537" s="16" t="n">
        <f aca="false">ROUND(K537*F537,0)</f>
        <v>9</v>
      </c>
      <c r="M537" s="22" t="n">
        <f aca="false">L537*Assumptions!B31</f>
        <v>2700</v>
      </c>
      <c r="N537" s="22" t="n">
        <f aca="false">J537+M537</f>
        <v>10500</v>
      </c>
      <c r="O537" s="22" t="n">
        <f aca="false">IF(DAY(B537)=1,Assumptions!B38*G537,0)</f>
        <v>0</v>
      </c>
      <c r="P537" s="22" t="n">
        <f aca="false">IF(DAY(B537)=1,Assumptions!B39*G537,0)</f>
        <v>0</v>
      </c>
      <c r="Q537" s="22" t="n">
        <f aca="false">IF(DAY(B537)=1,Assumptions!B40*G537,0)</f>
        <v>0</v>
      </c>
      <c r="R537" s="22" t="n">
        <f aca="false">IF(DAY(B537)=1,Assumptions!B41*G537,0)</f>
        <v>0</v>
      </c>
      <c r="S537" s="22" t="n">
        <f aca="false">IF(AND(DAY(B537)=1,D537&gt;=13),Assumptions!B42*G537,0)</f>
        <v>0</v>
      </c>
      <c r="T537" s="22" t="n">
        <f aca="false">IF(DAY(B537)=1,Assumptions!B43*G537,0)</f>
        <v>0</v>
      </c>
      <c r="U537" s="22" t="n">
        <f aca="false">SUM(O537:T537)</f>
        <v>0</v>
      </c>
      <c r="V537" s="22" t="n">
        <f aca="false">N537-U537</f>
        <v>10500</v>
      </c>
      <c r="W537" s="22" t="n">
        <f aca="false">W536+V537</f>
        <v>-3056459.53814811</v>
      </c>
      <c r="X537" s="23" t="str">
        <f aca="false">IF(W537&gt;=0,"YES","No")</f>
        <v>No</v>
      </c>
    </row>
    <row r="538" customFormat="false" ht="15" hidden="false" customHeight="false" outlineLevel="0" collapsed="false">
      <c r="A538" s="16" t="n">
        <v>537</v>
      </c>
      <c r="B538" s="17" t="n">
        <f aca="false">B537+1</f>
        <v>46559</v>
      </c>
      <c r="C538" s="18" t="n">
        <f aca="false">MIN(ROUNDUP(A538/365,0),5)</f>
        <v>2</v>
      </c>
      <c r="D538" s="18" t="n">
        <f aca="false">DATEDIF(Assumptions!B5,B538,"m")+1</f>
        <v>18</v>
      </c>
      <c r="E538" s="18" t="str">
        <f aca="false">TEXT(B538,"ddd")</f>
        <v>Mon</v>
      </c>
      <c r="F538" s="19" t="n">
        <f aca="false">IF(WEEKDAY(B538,2)&gt;=6,Assumptions!B34,Assumptions!B35)</f>
        <v>1</v>
      </c>
      <c r="G538" s="20" t="n">
        <f aca="false">IF(D538&gt;=13,(1+Assumptions!B46)^(D538-12),1)</f>
        <v>1.01813554121646</v>
      </c>
      <c r="H538" s="21" t="n">
        <f aca="false">H537*(1+IF(C538=1,Assumptions!B22,Assumptions!B23))</f>
        <v>21.4094261044584</v>
      </c>
      <c r="I538" s="16" t="n">
        <f aca="false">ROUND(H538*F538,0)</f>
        <v>21</v>
      </c>
      <c r="J538" s="22" t="n">
        <f aca="false">I538*Assumptions!B24</f>
        <v>12600</v>
      </c>
      <c r="K538" s="21" t="n">
        <f aca="false">K537*(1+Assumptions!B30)</f>
        <v>15.6569752299026</v>
      </c>
      <c r="L538" s="16" t="n">
        <f aca="false">ROUND(K538*F538,0)</f>
        <v>16</v>
      </c>
      <c r="M538" s="22" t="n">
        <f aca="false">L538*Assumptions!B31</f>
        <v>4800</v>
      </c>
      <c r="N538" s="22" t="n">
        <f aca="false">J538+M538</f>
        <v>17400</v>
      </c>
      <c r="O538" s="22" t="n">
        <f aca="false">IF(DAY(B538)=1,Assumptions!B38*G538,0)</f>
        <v>0</v>
      </c>
      <c r="P538" s="22" t="n">
        <f aca="false">IF(DAY(B538)=1,Assumptions!B39*G538,0)</f>
        <v>0</v>
      </c>
      <c r="Q538" s="22" t="n">
        <f aca="false">IF(DAY(B538)=1,Assumptions!B40*G538,0)</f>
        <v>0</v>
      </c>
      <c r="R538" s="22" t="n">
        <f aca="false">IF(DAY(B538)=1,Assumptions!B41*G538,0)</f>
        <v>0</v>
      </c>
      <c r="S538" s="22" t="n">
        <f aca="false">IF(AND(DAY(B538)=1,D538&gt;=13),Assumptions!B42*G538,0)</f>
        <v>0</v>
      </c>
      <c r="T538" s="22" t="n">
        <f aca="false">IF(DAY(B538)=1,Assumptions!B43*G538,0)</f>
        <v>0</v>
      </c>
      <c r="U538" s="22" t="n">
        <f aca="false">SUM(O538:T538)</f>
        <v>0</v>
      </c>
      <c r="V538" s="22" t="n">
        <f aca="false">N538-U538</f>
        <v>17400</v>
      </c>
      <c r="W538" s="22" t="n">
        <f aca="false">W537+V538</f>
        <v>-3039059.53814811</v>
      </c>
      <c r="X538" s="23" t="str">
        <f aca="false">IF(W538&gt;=0,"YES","No")</f>
        <v>No</v>
      </c>
    </row>
    <row r="539" customFormat="false" ht="15" hidden="false" customHeight="false" outlineLevel="0" collapsed="false">
      <c r="A539" s="16" t="n">
        <v>538</v>
      </c>
      <c r="B539" s="17" t="n">
        <f aca="false">B538+1</f>
        <v>46560</v>
      </c>
      <c r="C539" s="18" t="n">
        <f aca="false">MIN(ROUNDUP(A539/365,0),5)</f>
        <v>2</v>
      </c>
      <c r="D539" s="18" t="n">
        <f aca="false">DATEDIF(Assumptions!B5,B539,"m")+1</f>
        <v>18</v>
      </c>
      <c r="E539" s="18" t="str">
        <f aca="false">TEXT(B539,"ddd")</f>
        <v>Tue</v>
      </c>
      <c r="F539" s="19" t="n">
        <f aca="false">IF(WEEKDAY(B539,2)&gt;=6,Assumptions!B34,Assumptions!B35)</f>
        <v>1</v>
      </c>
      <c r="G539" s="20" t="n">
        <f aca="false">IF(D539&gt;=13,(1+Assumptions!B46)^(D539-12),1)</f>
        <v>1.01813554121646</v>
      </c>
      <c r="H539" s="21" t="n">
        <f aca="false">H538*(1+IF(C539=1,Assumptions!B22,Assumptions!B23))</f>
        <v>21.4129342894056</v>
      </c>
      <c r="I539" s="16" t="n">
        <f aca="false">ROUND(H539*F539,0)</f>
        <v>21</v>
      </c>
      <c r="J539" s="22" t="n">
        <f aca="false">I539*Assumptions!B24</f>
        <v>12600</v>
      </c>
      <c r="K539" s="21" t="n">
        <f aca="false">K538*(1+Assumptions!B30)</f>
        <v>15.662094071867</v>
      </c>
      <c r="L539" s="16" t="n">
        <f aca="false">ROUND(K539*F539,0)</f>
        <v>16</v>
      </c>
      <c r="M539" s="22" t="n">
        <f aca="false">L539*Assumptions!B31</f>
        <v>4800</v>
      </c>
      <c r="N539" s="22" t="n">
        <f aca="false">J539+M539</f>
        <v>17400</v>
      </c>
      <c r="O539" s="22" t="n">
        <f aca="false">IF(DAY(B539)=1,Assumptions!B38*G539,0)</f>
        <v>0</v>
      </c>
      <c r="P539" s="22" t="n">
        <f aca="false">IF(DAY(B539)=1,Assumptions!B39*G539,0)</f>
        <v>0</v>
      </c>
      <c r="Q539" s="22" t="n">
        <f aca="false">IF(DAY(B539)=1,Assumptions!B40*G539,0)</f>
        <v>0</v>
      </c>
      <c r="R539" s="22" t="n">
        <f aca="false">IF(DAY(B539)=1,Assumptions!B41*G539,0)</f>
        <v>0</v>
      </c>
      <c r="S539" s="22" t="n">
        <f aca="false">IF(AND(DAY(B539)=1,D539&gt;=13),Assumptions!B42*G539,0)</f>
        <v>0</v>
      </c>
      <c r="T539" s="22" t="n">
        <f aca="false">IF(DAY(B539)=1,Assumptions!B43*G539,0)</f>
        <v>0</v>
      </c>
      <c r="U539" s="22" t="n">
        <f aca="false">SUM(O539:T539)</f>
        <v>0</v>
      </c>
      <c r="V539" s="22" t="n">
        <f aca="false">N539-U539</f>
        <v>17400</v>
      </c>
      <c r="W539" s="22" t="n">
        <f aca="false">W538+V539</f>
        <v>-3021659.53814811</v>
      </c>
      <c r="X539" s="23" t="str">
        <f aca="false">IF(W539&gt;=0,"YES","No")</f>
        <v>No</v>
      </c>
    </row>
    <row r="540" customFormat="false" ht="15" hidden="false" customHeight="false" outlineLevel="0" collapsed="false">
      <c r="A540" s="16" t="n">
        <v>539</v>
      </c>
      <c r="B540" s="17" t="n">
        <f aca="false">B539+1</f>
        <v>46561</v>
      </c>
      <c r="C540" s="18" t="n">
        <f aca="false">MIN(ROUNDUP(A540/365,0),5)</f>
        <v>2</v>
      </c>
      <c r="D540" s="18" t="n">
        <f aca="false">DATEDIF(Assumptions!B5,B540,"m")+1</f>
        <v>18</v>
      </c>
      <c r="E540" s="18" t="str">
        <f aca="false">TEXT(B540,"ddd")</f>
        <v>Wed</v>
      </c>
      <c r="F540" s="19" t="n">
        <f aca="false">IF(WEEKDAY(B540,2)&gt;=6,Assumptions!B34,Assumptions!B35)</f>
        <v>1</v>
      </c>
      <c r="G540" s="20" t="n">
        <f aca="false">IF(D540&gt;=13,(1+Assumptions!B46)^(D540-12),1)</f>
        <v>1.01813554121646</v>
      </c>
      <c r="H540" s="21" t="n">
        <f aca="false">H539*(1+IF(C540=1,Assumptions!B22,Assumptions!B23))</f>
        <v>21.41644304921</v>
      </c>
      <c r="I540" s="16" t="n">
        <f aca="false">ROUND(H540*F540,0)</f>
        <v>21</v>
      </c>
      <c r="J540" s="22" t="n">
        <f aca="false">I540*Assumptions!B24</f>
        <v>12600</v>
      </c>
      <c r="K540" s="21" t="n">
        <f aca="false">K539*(1+Assumptions!B30)</f>
        <v>15.6672145873694</v>
      </c>
      <c r="L540" s="16" t="n">
        <f aca="false">ROUND(K540*F540,0)</f>
        <v>16</v>
      </c>
      <c r="M540" s="22" t="n">
        <f aca="false">L540*Assumptions!B31</f>
        <v>4800</v>
      </c>
      <c r="N540" s="22" t="n">
        <f aca="false">J540+M540</f>
        <v>17400</v>
      </c>
      <c r="O540" s="22" t="n">
        <f aca="false">IF(DAY(B540)=1,Assumptions!B38*G540,0)</f>
        <v>0</v>
      </c>
      <c r="P540" s="22" t="n">
        <f aca="false">IF(DAY(B540)=1,Assumptions!B39*G540,0)</f>
        <v>0</v>
      </c>
      <c r="Q540" s="22" t="n">
        <f aca="false">IF(DAY(B540)=1,Assumptions!B40*G540,0)</f>
        <v>0</v>
      </c>
      <c r="R540" s="22" t="n">
        <f aca="false">IF(DAY(B540)=1,Assumptions!B41*G540,0)</f>
        <v>0</v>
      </c>
      <c r="S540" s="22" t="n">
        <f aca="false">IF(AND(DAY(B540)=1,D540&gt;=13),Assumptions!B42*G540,0)</f>
        <v>0</v>
      </c>
      <c r="T540" s="22" t="n">
        <f aca="false">IF(DAY(B540)=1,Assumptions!B43*G540,0)</f>
        <v>0</v>
      </c>
      <c r="U540" s="22" t="n">
        <f aca="false">SUM(O540:T540)</f>
        <v>0</v>
      </c>
      <c r="V540" s="22" t="n">
        <f aca="false">N540-U540</f>
        <v>17400</v>
      </c>
      <c r="W540" s="22" t="n">
        <f aca="false">W539+V540</f>
        <v>-3004259.53814811</v>
      </c>
      <c r="X540" s="23" t="str">
        <f aca="false">IF(W540&gt;=0,"YES","No")</f>
        <v>No</v>
      </c>
    </row>
    <row r="541" customFormat="false" ht="15" hidden="false" customHeight="false" outlineLevel="0" collapsed="false">
      <c r="A541" s="16" t="n">
        <v>540</v>
      </c>
      <c r="B541" s="17" t="n">
        <f aca="false">B540+1</f>
        <v>46562</v>
      </c>
      <c r="C541" s="18" t="n">
        <f aca="false">MIN(ROUNDUP(A541/365,0),5)</f>
        <v>2</v>
      </c>
      <c r="D541" s="18" t="n">
        <f aca="false">DATEDIF(Assumptions!B5,B541,"m")+1</f>
        <v>18</v>
      </c>
      <c r="E541" s="18" t="str">
        <f aca="false">TEXT(B541,"ddd")</f>
        <v>Thu</v>
      </c>
      <c r="F541" s="19" t="n">
        <f aca="false">IF(WEEKDAY(B541,2)&gt;=6,Assumptions!B34,Assumptions!B35)</f>
        <v>1</v>
      </c>
      <c r="G541" s="20" t="n">
        <f aca="false">IF(D541&gt;=13,(1+Assumptions!B46)^(D541-12),1)</f>
        <v>1.01813554121646</v>
      </c>
      <c r="H541" s="21" t="n">
        <f aca="false">H540*(1+IF(C541=1,Assumptions!B22,Assumptions!B23))</f>
        <v>21.4199523839657</v>
      </c>
      <c r="I541" s="16" t="n">
        <f aca="false">ROUND(H541*F541,0)</f>
        <v>21</v>
      </c>
      <c r="J541" s="22" t="n">
        <f aca="false">I541*Assumptions!B24</f>
        <v>12600</v>
      </c>
      <c r="K541" s="21" t="n">
        <f aca="false">K540*(1+Assumptions!B30)</f>
        <v>15.6723367769569</v>
      </c>
      <c r="L541" s="16" t="n">
        <f aca="false">ROUND(K541*F541,0)</f>
        <v>16</v>
      </c>
      <c r="M541" s="22" t="n">
        <f aca="false">L541*Assumptions!B31</f>
        <v>4800</v>
      </c>
      <c r="N541" s="22" t="n">
        <f aca="false">J541+M541</f>
        <v>17400</v>
      </c>
      <c r="O541" s="22" t="n">
        <f aca="false">IF(DAY(B541)=1,Assumptions!B38*G541,0)</f>
        <v>0</v>
      </c>
      <c r="P541" s="22" t="n">
        <f aca="false">IF(DAY(B541)=1,Assumptions!B39*G541,0)</f>
        <v>0</v>
      </c>
      <c r="Q541" s="22" t="n">
        <f aca="false">IF(DAY(B541)=1,Assumptions!B40*G541,0)</f>
        <v>0</v>
      </c>
      <c r="R541" s="22" t="n">
        <f aca="false">IF(DAY(B541)=1,Assumptions!B41*G541,0)</f>
        <v>0</v>
      </c>
      <c r="S541" s="22" t="n">
        <f aca="false">IF(AND(DAY(B541)=1,D541&gt;=13),Assumptions!B42*G541,0)</f>
        <v>0</v>
      </c>
      <c r="T541" s="22" t="n">
        <f aca="false">IF(DAY(B541)=1,Assumptions!B43*G541,0)</f>
        <v>0</v>
      </c>
      <c r="U541" s="22" t="n">
        <f aca="false">SUM(O541:T541)</f>
        <v>0</v>
      </c>
      <c r="V541" s="22" t="n">
        <f aca="false">N541-U541</f>
        <v>17400</v>
      </c>
      <c r="W541" s="22" t="n">
        <f aca="false">W540+V541</f>
        <v>-2986859.53814811</v>
      </c>
      <c r="X541" s="23" t="str">
        <f aca="false">IF(W541&gt;=0,"YES","No")</f>
        <v>No</v>
      </c>
    </row>
    <row r="542" customFormat="false" ht="15" hidden="false" customHeight="false" outlineLevel="0" collapsed="false">
      <c r="A542" s="16" t="n">
        <v>541</v>
      </c>
      <c r="B542" s="17" t="n">
        <f aca="false">B541+1</f>
        <v>46563</v>
      </c>
      <c r="C542" s="18" t="n">
        <f aca="false">MIN(ROUNDUP(A542/365,0),5)</f>
        <v>2</v>
      </c>
      <c r="D542" s="18" t="n">
        <f aca="false">DATEDIF(Assumptions!B5,B542,"m")+1</f>
        <v>18</v>
      </c>
      <c r="E542" s="18" t="str">
        <f aca="false">TEXT(B542,"ddd")</f>
        <v>Fri</v>
      </c>
      <c r="F542" s="19" t="n">
        <f aca="false">IF(WEEKDAY(B542,2)&gt;=6,Assumptions!B34,Assumptions!B35)</f>
        <v>1</v>
      </c>
      <c r="G542" s="20" t="n">
        <f aca="false">IF(D542&gt;=13,(1+Assumptions!B46)^(D542-12),1)</f>
        <v>1.01813554121646</v>
      </c>
      <c r="H542" s="21" t="n">
        <f aca="false">H541*(1+IF(C542=1,Assumptions!B22,Assumptions!B23))</f>
        <v>21.423462293767</v>
      </c>
      <c r="I542" s="16" t="n">
        <f aca="false">ROUND(H542*F542,0)</f>
        <v>21</v>
      </c>
      <c r="J542" s="22" t="n">
        <f aca="false">I542*Assumptions!B24</f>
        <v>12600</v>
      </c>
      <c r="K542" s="21" t="n">
        <f aca="false">K541*(1+Assumptions!B30)</f>
        <v>15.6774606411769</v>
      </c>
      <c r="L542" s="16" t="n">
        <f aca="false">ROUND(K542*F542,0)</f>
        <v>16</v>
      </c>
      <c r="M542" s="22" t="n">
        <f aca="false">L542*Assumptions!B31</f>
        <v>4800</v>
      </c>
      <c r="N542" s="22" t="n">
        <f aca="false">J542+M542</f>
        <v>17400</v>
      </c>
      <c r="O542" s="22" t="n">
        <f aca="false">IF(DAY(B542)=1,Assumptions!B38*G542,0)</f>
        <v>0</v>
      </c>
      <c r="P542" s="22" t="n">
        <f aca="false">IF(DAY(B542)=1,Assumptions!B39*G542,0)</f>
        <v>0</v>
      </c>
      <c r="Q542" s="22" t="n">
        <f aca="false">IF(DAY(B542)=1,Assumptions!B40*G542,0)</f>
        <v>0</v>
      </c>
      <c r="R542" s="22" t="n">
        <f aca="false">IF(DAY(B542)=1,Assumptions!B41*G542,0)</f>
        <v>0</v>
      </c>
      <c r="S542" s="22" t="n">
        <f aca="false">IF(AND(DAY(B542)=1,D542&gt;=13),Assumptions!B42*G542,0)</f>
        <v>0</v>
      </c>
      <c r="T542" s="22" t="n">
        <f aca="false">IF(DAY(B542)=1,Assumptions!B43*G542,0)</f>
        <v>0</v>
      </c>
      <c r="U542" s="22" t="n">
        <f aca="false">SUM(O542:T542)</f>
        <v>0</v>
      </c>
      <c r="V542" s="22" t="n">
        <f aca="false">N542-U542</f>
        <v>17400</v>
      </c>
      <c r="W542" s="22" t="n">
        <f aca="false">W541+V542</f>
        <v>-2969459.53814811</v>
      </c>
      <c r="X542" s="23" t="str">
        <f aca="false">IF(W542&gt;=0,"YES","No")</f>
        <v>No</v>
      </c>
    </row>
    <row r="543" customFormat="false" ht="15" hidden="false" customHeight="false" outlineLevel="0" collapsed="false">
      <c r="A543" s="16" t="n">
        <v>542</v>
      </c>
      <c r="B543" s="17" t="n">
        <f aca="false">B542+1</f>
        <v>46564</v>
      </c>
      <c r="C543" s="18" t="n">
        <f aca="false">MIN(ROUNDUP(A543/365,0),5)</f>
        <v>2</v>
      </c>
      <c r="D543" s="18" t="n">
        <f aca="false">DATEDIF(Assumptions!B5,B543,"m")+1</f>
        <v>18</v>
      </c>
      <c r="E543" s="18" t="str">
        <f aca="false">TEXT(B543,"ddd")</f>
        <v>Sat</v>
      </c>
      <c r="F543" s="19" t="n">
        <f aca="false">IF(WEEKDAY(B543,2)&gt;=6,Assumptions!B34,Assumptions!B35)</f>
        <v>0.6</v>
      </c>
      <c r="G543" s="20" t="n">
        <f aca="false">IF(D543&gt;=13,(1+Assumptions!B46)^(D543-12),1)</f>
        <v>1.01813554121646</v>
      </c>
      <c r="H543" s="21" t="n">
        <f aca="false">H542*(1+IF(C543=1,Assumptions!B22,Assumptions!B23))</f>
        <v>21.426972778708</v>
      </c>
      <c r="I543" s="16" t="n">
        <f aca="false">ROUND(H543*F543,0)</f>
        <v>13</v>
      </c>
      <c r="J543" s="22" t="n">
        <f aca="false">I543*Assumptions!B24</f>
        <v>7800</v>
      </c>
      <c r="K543" s="21" t="n">
        <f aca="false">K542*(1+Assumptions!B30)</f>
        <v>15.6825861805768</v>
      </c>
      <c r="L543" s="16" t="n">
        <f aca="false">ROUND(K543*F543,0)</f>
        <v>9</v>
      </c>
      <c r="M543" s="22" t="n">
        <f aca="false">L543*Assumptions!B31</f>
        <v>2700</v>
      </c>
      <c r="N543" s="22" t="n">
        <f aca="false">J543+M543</f>
        <v>10500</v>
      </c>
      <c r="O543" s="22" t="n">
        <f aca="false">IF(DAY(B543)=1,Assumptions!B38*G543,0)</f>
        <v>0</v>
      </c>
      <c r="P543" s="22" t="n">
        <f aca="false">IF(DAY(B543)=1,Assumptions!B39*G543,0)</f>
        <v>0</v>
      </c>
      <c r="Q543" s="22" t="n">
        <f aca="false">IF(DAY(B543)=1,Assumptions!B40*G543,0)</f>
        <v>0</v>
      </c>
      <c r="R543" s="22" t="n">
        <f aca="false">IF(DAY(B543)=1,Assumptions!B41*G543,0)</f>
        <v>0</v>
      </c>
      <c r="S543" s="22" t="n">
        <f aca="false">IF(AND(DAY(B543)=1,D543&gt;=13),Assumptions!B42*G543,0)</f>
        <v>0</v>
      </c>
      <c r="T543" s="22" t="n">
        <f aca="false">IF(DAY(B543)=1,Assumptions!B43*G543,0)</f>
        <v>0</v>
      </c>
      <c r="U543" s="22" t="n">
        <f aca="false">SUM(O543:T543)</f>
        <v>0</v>
      </c>
      <c r="V543" s="22" t="n">
        <f aca="false">N543-U543</f>
        <v>10500</v>
      </c>
      <c r="W543" s="22" t="n">
        <f aca="false">W542+V543</f>
        <v>-2958959.53814811</v>
      </c>
      <c r="X543" s="23" t="str">
        <f aca="false">IF(W543&gt;=0,"YES","No")</f>
        <v>No</v>
      </c>
    </row>
    <row r="544" customFormat="false" ht="15" hidden="false" customHeight="false" outlineLevel="0" collapsed="false">
      <c r="A544" s="16" t="n">
        <v>543</v>
      </c>
      <c r="B544" s="17" t="n">
        <f aca="false">B543+1</f>
        <v>46565</v>
      </c>
      <c r="C544" s="18" t="n">
        <f aca="false">MIN(ROUNDUP(A544/365,0),5)</f>
        <v>2</v>
      </c>
      <c r="D544" s="18" t="n">
        <f aca="false">DATEDIF(Assumptions!B5,B544,"m")+1</f>
        <v>18</v>
      </c>
      <c r="E544" s="18" t="str">
        <f aca="false">TEXT(B544,"ddd")</f>
        <v>Sun</v>
      </c>
      <c r="F544" s="19" t="n">
        <f aca="false">IF(WEEKDAY(B544,2)&gt;=6,Assumptions!B34,Assumptions!B35)</f>
        <v>0.6</v>
      </c>
      <c r="G544" s="20" t="n">
        <f aca="false">IF(D544&gt;=13,(1+Assumptions!B46)^(D544-12),1)</f>
        <v>1.01813554121646</v>
      </c>
      <c r="H544" s="21" t="n">
        <f aca="false">H543*(1+IF(C544=1,Assumptions!B22,Assumptions!B23))</f>
        <v>21.4304838388831</v>
      </c>
      <c r="I544" s="16" t="n">
        <f aca="false">ROUND(H544*F544,0)</f>
        <v>13</v>
      </c>
      <c r="J544" s="22" t="n">
        <f aca="false">I544*Assumptions!B24</f>
        <v>7800</v>
      </c>
      <c r="K544" s="21" t="n">
        <f aca="false">K543*(1+Assumptions!B30)</f>
        <v>15.6877133957044</v>
      </c>
      <c r="L544" s="16" t="n">
        <f aca="false">ROUND(K544*F544,0)</f>
        <v>9</v>
      </c>
      <c r="M544" s="22" t="n">
        <f aca="false">L544*Assumptions!B31</f>
        <v>2700</v>
      </c>
      <c r="N544" s="22" t="n">
        <f aca="false">J544+M544</f>
        <v>10500</v>
      </c>
      <c r="O544" s="22" t="n">
        <f aca="false">IF(DAY(B544)=1,Assumptions!B38*G544,0)</f>
        <v>0</v>
      </c>
      <c r="P544" s="22" t="n">
        <f aca="false">IF(DAY(B544)=1,Assumptions!B39*G544,0)</f>
        <v>0</v>
      </c>
      <c r="Q544" s="22" t="n">
        <f aca="false">IF(DAY(B544)=1,Assumptions!B40*G544,0)</f>
        <v>0</v>
      </c>
      <c r="R544" s="22" t="n">
        <f aca="false">IF(DAY(B544)=1,Assumptions!B41*G544,0)</f>
        <v>0</v>
      </c>
      <c r="S544" s="22" t="n">
        <f aca="false">IF(AND(DAY(B544)=1,D544&gt;=13),Assumptions!B42*G544,0)</f>
        <v>0</v>
      </c>
      <c r="T544" s="22" t="n">
        <f aca="false">IF(DAY(B544)=1,Assumptions!B43*G544,0)</f>
        <v>0</v>
      </c>
      <c r="U544" s="22" t="n">
        <f aca="false">SUM(O544:T544)</f>
        <v>0</v>
      </c>
      <c r="V544" s="22" t="n">
        <f aca="false">N544-U544</f>
        <v>10500</v>
      </c>
      <c r="W544" s="22" t="n">
        <f aca="false">W543+V544</f>
        <v>-2948459.53814811</v>
      </c>
      <c r="X544" s="23" t="str">
        <f aca="false">IF(W544&gt;=0,"YES","No")</f>
        <v>No</v>
      </c>
    </row>
    <row r="545" customFormat="false" ht="15" hidden="false" customHeight="false" outlineLevel="0" collapsed="false">
      <c r="A545" s="16" t="n">
        <v>544</v>
      </c>
      <c r="B545" s="17" t="n">
        <f aca="false">B544+1</f>
        <v>46566</v>
      </c>
      <c r="C545" s="18" t="n">
        <f aca="false">MIN(ROUNDUP(A545/365,0),5)</f>
        <v>2</v>
      </c>
      <c r="D545" s="18" t="n">
        <f aca="false">DATEDIF(Assumptions!B5,B545,"m")+1</f>
        <v>18</v>
      </c>
      <c r="E545" s="18" t="str">
        <f aca="false">TEXT(B545,"ddd")</f>
        <v>Mon</v>
      </c>
      <c r="F545" s="19" t="n">
        <f aca="false">IF(WEEKDAY(B545,2)&gt;=6,Assumptions!B34,Assumptions!B35)</f>
        <v>1</v>
      </c>
      <c r="G545" s="20" t="n">
        <f aca="false">IF(D545&gt;=13,(1+Assumptions!B46)^(D545-12),1)</f>
        <v>1.01813554121646</v>
      </c>
      <c r="H545" s="21" t="n">
        <f aca="false">H544*(1+IF(C545=1,Assumptions!B22,Assumptions!B23))</f>
        <v>21.4339954743865</v>
      </c>
      <c r="I545" s="16" t="n">
        <f aca="false">ROUND(H545*F545,0)</f>
        <v>21</v>
      </c>
      <c r="J545" s="22" t="n">
        <f aca="false">I545*Assumptions!B24</f>
        <v>12600</v>
      </c>
      <c r="K545" s="21" t="n">
        <f aca="false">K544*(1+Assumptions!B30)</f>
        <v>15.6928422871075</v>
      </c>
      <c r="L545" s="16" t="n">
        <f aca="false">ROUND(K545*F545,0)</f>
        <v>16</v>
      </c>
      <c r="M545" s="22" t="n">
        <f aca="false">L545*Assumptions!B31</f>
        <v>4800</v>
      </c>
      <c r="N545" s="22" t="n">
        <f aca="false">J545+M545</f>
        <v>17400</v>
      </c>
      <c r="O545" s="22" t="n">
        <f aca="false">IF(DAY(B545)=1,Assumptions!B38*G545,0)</f>
        <v>0</v>
      </c>
      <c r="P545" s="22" t="n">
        <f aca="false">IF(DAY(B545)=1,Assumptions!B39*G545,0)</f>
        <v>0</v>
      </c>
      <c r="Q545" s="22" t="n">
        <f aca="false">IF(DAY(B545)=1,Assumptions!B40*G545,0)</f>
        <v>0</v>
      </c>
      <c r="R545" s="22" t="n">
        <f aca="false">IF(DAY(B545)=1,Assumptions!B41*G545,0)</f>
        <v>0</v>
      </c>
      <c r="S545" s="22" t="n">
        <f aca="false">IF(AND(DAY(B545)=1,D545&gt;=13),Assumptions!B42*G545,0)</f>
        <v>0</v>
      </c>
      <c r="T545" s="22" t="n">
        <f aca="false">IF(DAY(B545)=1,Assumptions!B43*G545,0)</f>
        <v>0</v>
      </c>
      <c r="U545" s="22" t="n">
        <f aca="false">SUM(O545:T545)</f>
        <v>0</v>
      </c>
      <c r="V545" s="22" t="n">
        <f aca="false">N545-U545</f>
        <v>17400</v>
      </c>
      <c r="W545" s="22" t="n">
        <f aca="false">W544+V545</f>
        <v>-2931059.53814811</v>
      </c>
      <c r="X545" s="23" t="str">
        <f aca="false">IF(W545&gt;=0,"YES","No")</f>
        <v>No</v>
      </c>
    </row>
    <row r="546" customFormat="false" ht="15" hidden="false" customHeight="false" outlineLevel="0" collapsed="false">
      <c r="A546" s="16" t="n">
        <v>545</v>
      </c>
      <c r="B546" s="17" t="n">
        <f aca="false">B545+1</f>
        <v>46567</v>
      </c>
      <c r="C546" s="18" t="n">
        <f aca="false">MIN(ROUNDUP(A546/365,0),5)</f>
        <v>2</v>
      </c>
      <c r="D546" s="18" t="n">
        <f aca="false">DATEDIF(Assumptions!B5,B546,"m")+1</f>
        <v>18</v>
      </c>
      <c r="E546" s="18" t="str">
        <f aca="false">TEXT(B546,"ddd")</f>
        <v>Tue</v>
      </c>
      <c r="F546" s="19" t="n">
        <f aca="false">IF(WEEKDAY(B546,2)&gt;=6,Assumptions!B34,Assumptions!B35)</f>
        <v>1</v>
      </c>
      <c r="G546" s="20" t="n">
        <f aca="false">IF(D546&gt;=13,(1+Assumptions!B46)^(D546-12),1)</f>
        <v>1.01813554121646</v>
      </c>
      <c r="H546" s="21" t="n">
        <f aca="false">H545*(1+IF(C546=1,Assumptions!B22,Assumptions!B23))</f>
        <v>21.4375076853124</v>
      </c>
      <c r="I546" s="16" t="n">
        <f aca="false">ROUND(H546*F546,0)</f>
        <v>21</v>
      </c>
      <c r="J546" s="22" t="n">
        <f aca="false">I546*Assumptions!B24</f>
        <v>12600</v>
      </c>
      <c r="K546" s="21" t="n">
        <f aca="false">K545*(1+Assumptions!B30)</f>
        <v>15.6979728553341</v>
      </c>
      <c r="L546" s="16" t="n">
        <f aca="false">ROUND(K546*F546,0)</f>
        <v>16</v>
      </c>
      <c r="M546" s="22" t="n">
        <f aca="false">L546*Assumptions!B31</f>
        <v>4800</v>
      </c>
      <c r="N546" s="22" t="n">
        <f aca="false">J546+M546</f>
        <v>17400</v>
      </c>
      <c r="O546" s="22" t="n">
        <f aca="false">IF(DAY(B546)=1,Assumptions!B38*G546,0)</f>
        <v>0</v>
      </c>
      <c r="P546" s="22" t="n">
        <f aca="false">IF(DAY(B546)=1,Assumptions!B39*G546,0)</f>
        <v>0</v>
      </c>
      <c r="Q546" s="22" t="n">
        <f aca="false">IF(DAY(B546)=1,Assumptions!B40*G546,0)</f>
        <v>0</v>
      </c>
      <c r="R546" s="22" t="n">
        <f aca="false">IF(DAY(B546)=1,Assumptions!B41*G546,0)</f>
        <v>0</v>
      </c>
      <c r="S546" s="22" t="n">
        <f aca="false">IF(AND(DAY(B546)=1,D546&gt;=13),Assumptions!B42*G546,0)</f>
        <v>0</v>
      </c>
      <c r="T546" s="22" t="n">
        <f aca="false">IF(DAY(B546)=1,Assumptions!B43*G546,0)</f>
        <v>0</v>
      </c>
      <c r="U546" s="22" t="n">
        <f aca="false">SUM(O546:T546)</f>
        <v>0</v>
      </c>
      <c r="V546" s="22" t="n">
        <f aca="false">N546-U546</f>
        <v>17400</v>
      </c>
      <c r="W546" s="22" t="n">
        <f aca="false">W545+V546</f>
        <v>-2913659.53814811</v>
      </c>
      <c r="X546" s="23" t="str">
        <f aca="false">IF(W546&gt;=0,"YES","No")</f>
        <v>No</v>
      </c>
    </row>
    <row r="547" customFormat="false" ht="15" hidden="false" customHeight="false" outlineLevel="0" collapsed="false">
      <c r="A547" s="16" t="n">
        <v>546</v>
      </c>
      <c r="B547" s="17" t="n">
        <f aca="false">B546+1</f>
        <v>46568</v>
      </c>
      <c r="C547" s="18" t="n">
        <f aca="false">MIN(ROUNDUP(A547/365,0),5)</f>
        <v>2</v>
      </c>
      <c r="D547" s="18" t="n">
        <f aca="false">DATEDIF(Assumptions!B5,B547,"m")+1</f>
        <v>18</v>
      </c>
      <c r="E547" s="18" t="str">
        <f aca="false">TEXT(B547,"ddd")</f>
        <v>Wed</v>
      </c>
      <c r="F547" s="19" t="n">
        <f aca="false">IF(WEEKDAY(B547,2)&gt;=6,Assumptions!B34,Assumptions!B35)</f>
        <v>1</v>
      </c>
      <c r="G547" s="20" t="n">
        <f aca="false">IF(D547&gt;=13,(1+Assumptions!B46)^(D547-12),1)</f>
        <v>1.01813554121646</v>
      </c>
      <c r="H547" s="21" t="n">
        <f aca="false">H546*(1+IF(C547=1,Assumptions!B22,Assumptions!B23))</f>
        <v>21.4410204717552</v>
      </c>
      <c r="I547" s="16" t="n">
        <f aca="false">ROUND(H547*F547,0)</f>
        <v>21</v>
      </c>
      <c r="J547" s="22" t="n">
        <f aca="false">I547*Assumptions!B24</f>
        <v>12600</v>
      </c>
      <c r="K547" s="21" t="n">
        <f aca="false">K546*(1+Assumptions!B30)</f>
        <v>15.7031051009325</v>
      </c>
      <c r="L547" s="16" t="n">
        <f aca="false">ROUND(K547*F547,0)</f>
        <v>16</v>
      </c>
      <c r="M547" s="22" t="n">
        <f aca="false">L547*Assumptions!B31</f>
        <v>4800</v>
      </c>
      <c r="N547" s="22" t="n">
        <f aca="false">J547+M547</f>
        <v>17400</v>
      </c>
      <c r="O547" s="22" t="n">
        <f aca="false">IF(DAY(B547)=1,Assumptions!B38*G547,0)</f>
        <v>0</v>
      </c>
      <c r="P547" s="22" t="n">
        <f aca="false">IF(DAY(B547)=1,Assumptions!B39*G547,0)</f>
        <v>0</v>
      </c>
      <c r="Q547" s="22" t="n">
        <f aca="false">IF(DAY(B547)=1,Assumptions!B40*G547,0)</f>
        <v>0</v>
      </c>
      <c r="R547" s="22" t="n">
        <f aca="false">IF(DAY(B547)=1,Assumptions!B41*G547,0)</f>
        <v>0</v>
      </c>
      <c r="S547" s="22" t="n">
        <f aca="false">IF(AND(DAY(B547)=1,D547&gt;=13),Assumptions!B42*G547,0)</f>
        <v>0</v>
      </c>
      <c r="T547" s="22" t="n">
        <f aca="false">IF(DAY(B547)=1,Assumptions!B43*G547,0)</f>
        <v>0</v>
      </c>
      <c r="U547" s="22" t="n">
        <f aca="false">SUM(O547:T547)</f>
        <v>0</v>
      </c>
      <c r="V547" s="22" t="n">
        <f aca="false">N547-U547</f>
        <v>17400</v>
      </c>
      <c r="W547" s="22" t="n">
        <f aca="false">W546+V547</f>
        <v>-2896259.53814811</v>
      </c>
      <c r="X547" s="23" t="str">
        <f aca="false">IF(W547&gt;=0,"YES","No")</f>
        <v>No</v>
      </c>
    </row>
    <row r="548" customFormat="false" ht="15" hidden="false" customHeight="false" outlineLevel="0" collapsed="false">
      <c r="A548" s="16" t="n">
        <v>547</v>
      </c>
      <c r="B548" s="17" t="n">
        <f aca="false">B547+1</f>
        <v>46569</v>
      </c>
      <c r="C548" s="18" t="n">
        <f aca="false">MIN(ROUNDUP(A548/365,0),5)</f>
        <v>2</v>
      </c>
      <c r="D548" s="18" t="n">
        <f aca="false">DATEDIF(Assumptions!B5,B548,"m")+1</f>
        <v>19</v>
      </c>
      <c r="E548" s="18" t="str">
        <f aca="false">TEXT(B548,"ddd")</f>
        <v>Thu</v>
      </c>
      <c r="F548" s="19" t="n">
        <f aca="false">IF(WEEKDAY(B548,2)&gt;=6,Assumptions!B34,Assumptions!B35)</f>
        <v>1</v>
      </c>
      <c r="G548" s="20" t="n">
        <f aca="false">IF(D548&gt;=13,(1+Assumptions!B46)^(D548-12),1)</f>
        <v>1.02118994784011</v>
      </c>
      <c r="H548" s="21" t="n">
        <f aca="false">H547*(1+IF(C548=1,Assumptions!B22,Assumptions!B23))</f>
        <v>21.4445338338092</v>
      </c>
      <c r="I548" s="16" t="n">
        <f aca="false">ROUND(H548*F548,0)</f>
        <v>21</v>
      </c>
      <c r="J548" s="22" t="n">
        <f aca="false">I548*Assumptions!B24</f>
        <v>12600</v>
      </c>
      <c r="K548" s="21" t="n">
        <f aca="false">K547*(1+Assumptions!B30)</f>
        <v>15.708239024451</v>
      </c>
      <c r="L548" s="16" t="n">
        <f aca="false">ROUND(K548*F548,0)</f>
        <v>16</v>
      </c>
      <c r="M548" s="22" t="n">
        <f aca="false">L548*Assumptions!B31</f>
        <v>4800</v>
      </c>
      <c r="N548" s="22" t="n">
        <f aca="false">J548+M548</f>
        <v>17400</v>
      </c>
      <c r="O548" s="22" t="n">
        <f aca="false">IF(DAY(B548)=1,Assumptions!B38*G548,0)</f>
        <v>153178.492176016</v>
      </c>
      <c r="P548" s="22" t="n">
        <f aca="false">IF(DAY(B548)=1,Assumptions!B39*G548,0)</f>
        <v>40847.5979136043</v>
      </c>
      <c r="Q548" s="22" t="n">
        <f aca="false">IF(DAY(B548)=1,Assumptions!B40*G548,0)</f>
        <v>30635.6984352032</v>
      </c>
      <c r="R548" s="22" t="n">
        <f aca="false">IF(DAY(B548)=1,Assumptions!B41*G548,0)</f>
        <v>20423.7989568021</v>
      </c>
      <c r="S548" s="22" t="n">
        <f aca="false">IF(AND(DAY(B548)=1,D548&gt;=13),Assumptions!B42*G548,0)</f>
        <v>153178.492176016</v>
      </c>
      <c r="T548" s="22" t="n">
        <f aca="false">IF(DAY(B548)=1,Assumptions!B43*G548,0)</f>
        <v>20423.7989568021</v>
      </c>
      <c r="U548" s="22" t="n">
        <f aca="false">SUM(O548:T548)</f>
        <v>418687.878614444</v>
      </c>
      <c r="V548" s="22" t="n">
        <f aca="false">N548-U548</f>
        <v>-401287.878614444</v>
      </c>
      <c r="W548" s="22" t="n">
        <f aca="false">W547+V548</f>
        <v>-3297547.41676255</v>
      </c>
      <c r="X548" s="23" t="str">
        <f aca="false">IF(W548&gt;=0,"YES","No")</f>
        <v>No</v>
      </c>
    </row>
    <row r="549" customFormat="false" ht="15" hidden="false" customHeight="false" outlineLevel="0" collapsed="false">
      <c r="A549" s="16" t="n">
        <v>548</v>
      </c>
      <c r="B549" s="17" t="n">
        <f aca="false">B548+1</f>
        <v>46570</v>
      </c>
      <c r="C549" s="18" t="n">
        <f aca="false">MIN(ROUNDUP(A549/365,0),5)</f>
        <v>2</v>
      </c>
      <c r="D549" s="18" t="n">
        <f aca="false">DATEDIF(Assumptions!B5,B549,"m")+1</f>
        <v>19</v>
      </c>
      <c r="E549" s="18" t="str">
        <f aca="false">TEXT(B549,"ddd")</f>
        <v>Fri</v>
      </c>
      <c r="F549" s="19" t="n">
        <f aca="false">IF(WEEKDAY(B549,2)&gt;=6,Assumptions!B34,Assumptions!B35)</f>
        <v>1</v>
      </c>
      <c r="G549" s="20" t="n">
        <f aca="false">IF(D549&gt;=13,(1+Assumptions!B46)^(D549-12),1)</f>
        <v>1.02118994784011</v>
      </c>
      <c r="H549" s="21" t="n">
        <f aca="false">H548*(1+IF(C549=1,Assumptions!B22,Assumptions!B23))</f>
        <v>21.4480477715686</v>
      </c>
      <c r="I549" s="16" t="n">
        <f aca="false">ROUND(H549*F549,0)</f>
        <v>21</v>
      </c>
      <c r="J549" s="22" t="n">
        <f aca="false">I549*Assumptions!B24</f>
        <v>12600</v>
      </c>
      <c r="K549" s="21" t="n">
        <f aca="false">K548*(1+Assumptions!B30)</f>
        <v>15.7133746264382</v>
      </c>
      <c r="L549" s="16" t="n">
        <f aca="false">ROUND(K549*F549,0)</f>
        <v>16</v>
      </c>
      <c r="M549" s="22" t="n">
        <f aca="false">L549*Assumptions!B31</f>
        <v>4800</v>
      </c>
      <c r="N549" s="22" t="n">
        <f aca="false">J549+M549</f>
        <v>17400</v>
      </c>
      <c r="O549" s="22" t="n">
        <f aca="false">IF(DAY(B549)=1,Assumptions!B38*G549,0)</f>
        <v>0</v>
      </c>
      <c r="P549" s="22" t="n">
        <f aca="false">IF(DAY(B549)=1,Assumptions!B39*G549,0)</f>
        <v>0</v>
      </c>
      <c r="Q549" s="22" t="n">
        <f aca="false">IF(DAY(B549)=1,Assumptions!B40*G549,0)</f>
        <v>0</v>
      </c>
      <c r="R549" s="22" t="n">
        <f aca="false">IF(DAY(B549)=1,Assumptions!B41*G549,0)</f>
        <v>0</v>
      </c>
      <c r="S549" s="22" t="n">
        <f aca="false">IF(AND(DAY(B549)=1,D549&gt;=13),Assumptions!B42*G549,0)</f>
        <v>0</v>
      </c>
      <c r="T549" s="22" t="n">
        <f aca="false">IF(DAY(B549)=1,Assumptions!B43*G549,0)</f>
        <v>0</v>
      </c>
      <c r="U549" s="22" t="n">
        <f aca="false">SUM(O549:T549)</f>
        <v>0</v>
      </c>
      <c r="V549" s="22" t="n">
        <f aca="false">N549-U549</f>
        <v>17400</v>
      </c>
      <c r="W549" s="22" t="n">
        <f aca="false">W548+V549</f>
        <v>-3280147.41676255</v>
      </c>
      <c r="X549" s="23" t="str">
        <f aca="false">IF(W549&gt;=0,"YES","No")</f>
        <v>No</v>
      </c>
    </row>
    <row r="550" customFormat="false" ht="15" hidden="false" customHeight="false" outlineLevel="0" collapsed="false">
      <c r="A550" s="16" t="n">
        <v>549</v>
      </c>
      <c r="B550" s="17" t="n">
        <f aca="false">B549+1</f>
        <v>46571</v>
      </c>
      <c r="C550" s="18" t="n">
        <f aca="false">MIN(ROUNDUP(A550/365,0),5)</f>
        <v>2</v>
      </c>
      <c r="D550" s="18" t="n">
        <f aca="false">DATEDIF(Assumptions!B5,B550,"m")+1</f>
        <v>19</v>
      </c>
      <c r="E550" s="18" t="str">
        <f aca="false">TEXT(B550,"ddd")</f>
        <v>Sat</v>
      </c>
      <c r="F550" s="19" t="n">
        <f aca="false">IF(WEEKDAY(B550,2)&gt;=6,Assumptions!B34,Assumptions!B35)</f>
        <v>0.6</v>
      </c>
      <c r="G550" s="20" t="n">
        <f aca="false">IF(D550&gt;=13,(1+Assumptions!B46)^(D550-12),1)</f>
        <v>1.02118994784011</v>
      </c>
      <c r="H550" s="21" t="n">
        <f aca="false">H549*(1+IF(C550=1,Assumptions!B22,Assumptions!B23))</f>
        <v>21.4515622851278</v>
      </c>
      <c r="I550" s="16" t="n">
        <f aca="false">ROUND(H550*F550,0)</f>
        <v>13</v>
      </c>
      <c r="J550" s="22" t="n">
        <f aca="false">I550*Assumptions!B24</f>
        <v>7800</v>
      </c>
      <c r="K550" s="21" t="n">
        <f aca="false">K549*(1+Assumptions!B30)</f>
        <v>15.7185119074429</v>
      </c>
      <c r="L550" s="16" t="n">
        <f aca="false">ROUND(K550*F550,0)</f>
        <v>9</v>
      </c>
      <c r="M550" s="22" t="n">
        <f aca="false">L550*Assumptions!B31</f>
        <v>2700</v>
      </c>
      <c r="N550" s="22" t="n">
        <f aca="false">J550+M550</f>
        <v>10500</v>
      </c>
      <c r="O550" s="22" t="n">
        <f aca="false">IF(DAY(B550)=1,Assumptions!B38*G550,0)</f>
        <v>0</v>
      </c>
      <c r="P550" s="22" t="n">
        <f aca="false">IF(DAY(B550)=1,Assumptions!B39*G550,0)</f>
        <v>0</v>
      </c>
      <c r="Q550" s="22" t="n">
        <f aca="false">IF(DAY(B550)=1,Assumptions!B40*G550,0)</f>
        <v>0</v>
      </c>
      <c r="R550" s="22" t="n">
        <f aca="false">IF(DAY(B550)=1,Assumptions!B41*G550,0)</f>
        <v>0</v>
      </c>
      <c r="S550" s="22" t="n">
        <f aca="false">IF(AND(DAY(B550)=1,D550&gt;=13),Assumptions!B42*G550,0)</f>
        <v>0</v>
      </c>
      <c r="T550" s="22" t="n">
        <f aca="false">IF(DAY(B550)=1,Assumptions!B43*G550,0)</f>
        <v>0</v>
      </c>
      <c r="U550" s="22" t="n">
        <f aca="false">SUM(O550:T550)</f>
        <v>0</v>
      </c>
      <c r="V550" s="22" t="n">
        <f aca="false">N550-U550</f>
        <v>10500</v>
      </c>
      <c r="W550" s="22" t="n">
        <f aca="false">W549+V550</f>
        <v>-3269647.41676255</v>
      </c>
      <c r="X550" s="23" t="str">
        <f aca="false">IF(W550&gt;=0,"YES","No")</f>
        <v>No</v>
      </c>
    </row>
    <row r="551" customFormat="false" ht="15" hidden="false" customHeight="false" outlineLevel="0" collapsed="false">
      <c r="A551" s="16" t="n">
        <v>550</v>
      </c>
      <c r="B551" s="17" t="n">
        <f aca="false">B550+1</f>
        <v>46572</v>
      </c>
      <c r="C551" s="18" t="n">
        <f aca="false">MIN(ROUNDUP(A551/365,0),5)</f>
        <v>2</v>
      </c>
      <c r="D551" s="18" t="n">
        <f aca="false">DATEDIF(Assumptions!B5,B551,"m")+1</f>
        <v>19</v>
      </c>
      <c r="E551" s="18" t="str">
        <f aca="false">TEXT(B551,"ddd")</f>
        <v>Sun</v>
      </c>
      <c r="F551" s="19" t="n">
        <f aca="false">IF(WEEKDAY(B551,2)&gt;=6,Assumptions!B34,Assumptions!B35)</f>
        <v>0.6</v>
      </c>
      <c r="G551" s="20" t="n">
        <f aca="false">IF(D551&gt;=13,(1+Assumptions!B46)^(D551-12),1)</f>
        <v>1.02118994784011</v>
      </c>
      <c r="H551" s="21" t="n">
        <f aca="false">H550*(1+IF(C551=1,Assumptions!B22,Assumptions!B23))</f>
        <v>21.4550773745812</v>
      </c>
      <c r="I551" s="16" t="n">
        <f aca="false">ROUND(H551*F551,0)</f>
        <v>13</v>
      </c>
      <c r="J551" s="22" t="n">
        <f aca="false">I551*Assumptions!B24</f>
        <v>7800</v>
      </c>
      <c r="K551" s="21" t="n">
        <f aca="false">K550*(1+Assumptions!B30)</f>
        <v>15.723650868014</v>
      </c>
      <c r="L551" s="16" t="n">
        <f aca="false">ROUND(K551*F551,0)</f>
        <v>9</v>
      </c>
      <c r="M551" s="22" t="n">
        <f aca="false">L551*Assumptions!B31</f>
        <v>2700</v>
      </c>
      <c r="N551" s="22" t="n">
        <f aca="false">J551+M551</f>
        <v>10500</v>
      </c>
      <c r="O551" s="22" t="n">
        <f aca="false">IF(DAY(B551)=1,Assumptions!B38*G551,0)</f>
        <v>0</v>
      </c>
      <c r="P551" s="22" t="n">
        <f aca="false">IF(DAY(B551)=1,Assumptions!B39*G551,0)</f>
        <v>0</v>
      </c>
      <c r="Q551" s="22" t="n">
        <f aca="false">IF(DAY(B551)=1,Assumptions!B40*G551,0)</f>
        <v>0</v>
      </c>
      <c r="R551" s="22" t="n">
        <f aca="false">IF(DAY(B551)=1,Assumptions!B41*G551,0)</f>
        <v>0</v>
      </c>
      <c r="S551" s="22" t="n">
        <f aca="false">IF(AND(DAY(B551)=1,D551&gt;=13),Assumptions!B42*G551,0)</f>
        <v>0</v>
      </c>
      <c r="T551" s="22" t="n">
        <f aca="false">IF(DAY(B551)=1,Assumptions!B43*G551,0)</f>
        <v>0</v>
      </c>
      <c r="U551" s="22" t="n">
        <f aca="false">SUM(O551:T551)</f>
        <v>0</v>
      </c>
      <c r="V551" s="22" t="n">
        <f aca="false">N551-U551</f>
        <v>10500</v>
      </c>
      <c r="W551" s="22" t="n">
        <f aca="false">W550+V551</f>
        <v>-3259147.41676255</v>
      </c>
      <c r="X551" s="23" t="str">
        <f aca="false">IF(W551&gt;=0,"YES","No")</f>
        <v>No</v>
      </c>
    </row>
    <row r="552" customFormat="false" ht="15" hidden="false" customHeight="false" outlineLevel="0" collapsed="false">
      <c r="A552" s="16" t="n">
        <v>551</v>
      </c>
      <c r="B552" s="17" t="n">
        <f aca="false">B551+1</f>
        <v>46573</v>
      </c>
      <c r="C552" s="18" t="n">
        <f aca="false">MIN(ROUNDUP(A552/365,0),5)</f>
        <v>2</v>
      </c>
      <c r="D552" s="18" t="n">
        <f aca="false">DATEDIF(Assumptions!B5,B552,"m")+1</f>
        <v>19</v>
      </c>
      <c r="E552" s="18" t="str">
        <f aca="false">TEXT(B552,"ddd")</f>
        <v>Mon</v>
      </c>
      <c r="F552" s="19" t="n">
        <f aca="false">IF(WEEKDAY(B552,2)&gt;=6,Assumptions!B34,Assumptions!B35)</f>
        <v>1</v>
      </c>
      <c r="G552" s="20" t="n">
        <f aca="false">IF(D552&gt;=13,(1+Assumptions!B46)^(D552-12),1)</f>
        <v>1.02118994784011</v>
      </c>
      <c r="H552" s="21" t="n">
        <f aca="false">H551*(1+IF(C552=1,Assumptions!B22,Assumptions!B23))</f>
        <v>21.4585930400232</v>
      </c>
      <c r="I552" s="16" t="n">
        <f aca="false">ROUND(H552*F552,0)</f>
        <v>21</v>
      </c>
      <c r="J552" s="22" t="n">
        <f aca="false">I552*Assumptions!B24</f>
        <v>12600</v>
      </c>
      <c r="K552" s="21" t="n">
        <f aca="false">K551*(1+Assumptions!B30)</f>
        <v>15.7287915087007</v>
      </c>
      <c r="L552" s="16" t="n">
        <f aca="false">ROUND(K552*F552,0)</f>
        <v>16</v>
      </c>
      <c r="M552" s="22" t="n">
        <f aca="false">L552*Assumptions!B31</f>
        <v>4800</v>
      </c>
      <c r="N552" s="22" t="n">
        <f aca="false">J552+M552</f>
        <v>17400</v>
      </c>
      <c r="O552" s="22" t="n">
        <f aca="false">IF(DAY(B552)=1,Assumptions!B38*G552,0)</f>
        <v>0</v>
      </c>
      <c r="P552" s="22" t="n">
        <f aca="false">IF(DAY(B552)=1,Assumptions!B39*G552,0)</f>
        <v>0</v>
      </c>
      <c r="Q552" s="22" t="n">
        <f aca="false">IF(DAY(B552)=1,Assumptions!B40*G552,0)</f>
        <v>0</v>
      </c>
      <c r="R552" s="22" t="n">
        <f aca="false">IF(DAY(B552)=1,Assumptions!B41*G552,0)</f>
        <v>0</v>
      </c>
      <c r="S552" s="22" t="n">
        <f aca="false">IF(AND(DAY(B552)=1,D552&gt;=13),Assumptions!B42*G552,0)</f>
        <v>0</v>
      </c>
      <c r="T552" s="22" t="n">
        <f aca="false">IF(DAY(B552)=1,Assumptions!B43*G552,0)</f>
        <v>0</v>
      </c>
      <c r="U552" s="22" t="n">
        <f aca="false">SUM(O552:T552)</f>
        <v>0</v>
      </c>
      <c r="V552" s="22" t="n">
        <f aca="false">N552-U552</f>
        <v>17400</v>
      </c>
      <c r="W552" s="22" t="n">
        <f aca="false">W551+V552</f>
        <v>-3241747.41676255</v>
      </c>
      <c r="X552" s="23" t="str">
        <f aca="false">IF(W552&gt;=0,"YES","No")</f>
        <v>No</v>
      </c>
    </row>
    <row r="553" customFormat="false" ht="15" hidden="false" customHeight="false" outlineLevel="0" collapsed="false">
      <c r="A553" s="16" t="n">
        <v>552</v>
      </c>
      <c r="B553" s="17" t="n">
        <f aca="false">B552+1</f>
        <v>46574</v>
      </c>
      <c r="C553" s="18" t="n">
        <f aca="false">MIN(ROUNDUP(A553/365,0),5)</f>
        <v>2</v>
      </c>
      <c r="D553" s="18" t="n">
        <f aca="false">DATEDIF(Assumptions!B5,B553,"m")+1</f>
        <v>19</v>
      </c>
      <c r="E553" s="18" t="str">
        <f aca="false">TEXT(B553,"ddd")</f>
        <v>Tue</v>
      </c>
      <c r="F553" s="19" t="n">
        <f aca="false">IF(WEEKDAY(B553,2)&gt;=6,Assumptions!B34,Assumptions!B35)</f>
        <v>1</v>
      </c>
      <c r="G553" s="20" t="n">
        <f aca="false">IF(D553&gt;=13,(1+Assumptions!B46)^(D553-12),1)</f>
        <v>1.02118994784011</v>
      </c>
      <c r="H553" s="21" t="n">
        <f aca="false">H552*(1+IF(C553=1,Assumptions!B22,Assumptions!B23))</f>
        <v>21.462109281548</v>
      </c>
      <c r="I553" s="16" t="n">
        <f aca="false">ROUND(H553*F553,0)</f>
        <v>21</v>
      </c>
      <c r="J553" s="22" t="n">
        <f aca="false">I553*Assumptions!B24</f>
        <v>12600</v>
      </c>
      <c r="K553" s="21" t="n">
        <f aca="false">K552*(1+Assumptions!B30)</f>
        <v>15.7339338300521</v>
      </c>
      <c r="L553" s="16" t="n">
        <f aca="false">ROUND(K553*F553,0)</f>
        <v>16</v>
      </c>
      <c r="M553" s="22" t="n">
        <f aca="false">L553*Assumptions!B31</f>
        <v>4800</v>
      </c>
      <c r="N553" s="22" t="n">
        <f aca="false">J553+M553</f>
        <v>17400</v>
      </c>
      <c r="O553" s="22" t="n">
        <f aca="false">IF(DAY(B553)=1,Assumptions!B38*G553,0)</f>
        <v>0</v>
      </c>
      <c r="P553" s="22" t="n">
        <f aca="false">IF(DAY(B553)=1,Assumptions!B39*G553,0)</f>
        <v>0</v>
      </c>
      <c r="Q553" s="22" t="n">
        <f aca="false">IF(DAY(B553)=1,Assumptions!B40*G553,0)</f>
        <v>0</v>
      </c>
      <c r="R553" s="22" t="n">
        <f aca="false">IF(DAY(B553)=1,Assumptions!B41*G553,0)</f>
        <v>0</v>
      </c>
      <c r="S553" s="22" t="n">
        <f aca="false">IF(AND(DAY(B553)=1,D553&gt;=13),Assumptions!B42*G553,0)</f>
        <v>0</v>
      </c>
      <c r="T553" s="22" t="n">
        <f aca="false">IF(DAY(B553)=1,Assumptions!B43*G553,0)</f>
        <v>0</v>
      </c>
      <c r="U553" s="22" t="n">
        <f aca="false">SUM(O553:T553)</f>
        <v>0</v>
      </c>
      <c r="V553" s="22" t="n">
        <f aca="false">N553-U553</f>
        <v>17400</v>
      </c>
      <c r="W553" s="22" t="n">
        <f aca="false">W552+V553</f>
        <v>-3224347.41676255</v>
      </c>
      <c r="X553" s="23" t="str">
        <f aca="false">IF(W553&gt;=0,"YES","No")</f>
        <v>No</v>
      </c>
    </row>
    <row r="554" customFormat="false" ht="15" hidden="false" customHeight="false" outlineLevel="0" collapsed="false">
      <c r="A554" s="16" t="n">
        <v>553</v>
      </c>
      <c r="B554" s="17" t="n">
        <f aca="false">B553+1</f>
        <v>46575</v>
      </c>
      <c r="C554" s="18" t="n">
        <f aca="false">MIN(ROUNDUP(A554/365,0),5)</f>
        <v>2</v>
      </c>
      <c r="D554" s="18" t="n">
        <f aca="false">DATEDIF(Assumptions!B5,B554,"m")+1</f>
        <v>19</v>
      </c>
      <c r="E554" s="18" t="str">
        <f aca="false">TEXT(B554,"ddd")</f>
        <v>Wed</v>
      </c>
      <c r="F554" s="19" t="n">
        <f aca="false">IF(WEEKDAY(B554,2)&gt;=6,Assumptions!B34,Assumptions!B35)</f>
        <v>1</v>
      </c>
      <c r="G554" s="20" t="n">
        <f aca="false">IF(D554&gt;=13,(1+Assumptions!B46)^(D554-12),1)</f>
        <v>1.02118994784011</v>
      </c>
      <c r="H554" s="21" t="n">
        <f aca="false">H553*(1+IF(C554=1,Assumptions!B22,Assumptions!B23))</f>
        <v>21.4656260992502</v>
      </c>
      <c r="I554" s="16" t="n">
        <f aca="false">ROUND(H554*F554,0)</f>
        <v>21</v>
      </c>
      <c r="J554" s="22" t="n">
        <f aca="false">I554*Assumptions!B24</f>
        <v>12600</v>
      </c>
      <c r="K554" s="21" t="n">
        <f aca="false">K553*(1+Assumptions!B30)</f>
        <v>15.7390778326178</v>
      </c>
      <c r="L554" s="16" t="n">
        <f aca="false">ROUND(K554*F554,0)</f>
        <v>16</v>
      </c>
      <c r="M554" s="22" t="n">
        <f aca="false">L554*Assumptions!B31</f>
        <v>4800</v>
      </c>
      <c r="N554" s="22" t="n">
        <f aca="false">J554+M554</f>
        <v>17400</v>
      </c>
      <c r="O554" s="22" t="n">
        <f aca="false">IF(DAY(B554)=1,Assumptions!B38*G554,0)</f>
        <v>0</v>
      </c>
      <c r="P554" s="22" t="n">
        <f aca="false">IF(DAY(B554)=1,Assumptions!B39*G554,0)</f>
        <v>0</v>
      </c>
      <c r="Q554" s="22" t="n">
        <f aca="false">IF(DAY(B554)=1,Assumptions!B40*G554,0)</f>
        <v>0</v>
      </c>
      <c r="R554" s="22" t="n">
        <f aca="false">IF(DAY(B554)=1,Assumptions!B41*G554,0)</f>
        <v>0</v>
      </c>
      <c r="S554" s="22" t="n">
        <f aca="false">IF(AND(DAY(B554)=1,D554&gt;=13),Assumptions!B42*G554,0)</f>
        <v>0</v>
      </c>
      <c r="T554" s="22" t="n">
        <f aca="false">IF(DAY(B554)=1,Assumptions!B43*G554,0)</f>
        <v>0</v>
      </c>
      <c r="U554" s="22" t="n">
        <f aca="false">SUM(O554:T554)</f>
        <v>0</v>
      </c>
      <c r="V554" s="22" t="n">
        <f aca="false">N554-U554</f>
        <v>17400</v>
      </c>
      <c r="W554" s="22" t="n">
        <f aca="false">W553+V554</f>
        <v>-3206947.41676255</v>
      </c>
      <c r="X554" s="23" t="str">
        <f aca="false">IF(W554&gt;=0,"YES","No")</f>
        <v>No</v>
      </c>
    </row>
    <row r="555" customFormat="false" ht="15" hidden="false" customHeight="false" outlineLevel="0" collapsed="false">
      <c r="A555" s="16" t="n">
        <v>554</v>
      </c>
      <c r="B555" s="17" t="n">
        <f aca="false">B554+1</f>
        <v>46576</v>
      </c>
      <c r="C555" s="18" t="n">
        <f aca="false">MIN(ROUNDUP(A555/365,0),5)</f>
        <v>2</v>
      </c>
      <c r="D555" s="18" t="n">
        <f aca="false">DATEDIF(Assumptions!B5,B555,"m")+1</f>
        <v>19</v>
      </c>
      <c r="E555" s="18" t="str">
        <f aca="false">TEXT(B555,"ddd")</f>
        <v>Thu</v>
      </c>
      <c r="F555" s="19" t="n">
        <f aca="false">IF(WEEKDAY(B555,2)&gt;=6,Assumptions!B34,Assumptions!B35)</f>
        <v>1</v>
      </c>
      <c r="G555" s="20" t="n">
        <f aca="false">IF(D555&gt;=13,(1+Assumptions!B46)^(D555-12),1)</f>
        <v>1.02118994784011</v>
      </c>
      <c r="H555" s="21" t="n">
        <f aca="false">H554*(1+IF(C555=1,Assumptions!B22,Assumptions!B23))</f>
        <v>21.4691434932241</v>
      </c>
      <c r="I555" s="16" t="n">
        <f aca="false">ROUND(H555*F555,0)</f>
        <v>21</v>
      </c>
      <c r="J555" s="22" t="n">
        <f aca="false">I555*Assumptions!B24</f>
        <v>12600</v>
      </c>
      <c r="K555" s="21" t="n">
        <f aca="false">K554*(1+Assumptions!B30)</f>
        <v>15.7442235169475</v>
      </c>
      <c r="L555" s="16" t="n">
        <f aca="false">ROUND(K555*F555,0)</f>
        <v>16</v>
      </c>
      <c r="M555" s="22" t="n">
        <f aca="false">L555*Assumptions!B31</f>
        <v>4800</v>
      </c>
      <c r="N555" s="22" t="n">
        <f aca="false">J555+M555</f>
        <v>17400</v>
      </c>
      <c r="O555" s="22" t="n">
        <f aca="false">IF(DAY(B555)=1,Assumptions!B38*G555,0)</f>
        <v>0</v>
      </c>
      <c r="P555" s="22" t="n">
        <f aca="false">IF(DAY(B555)=1,Assumptions!B39*G555,0)</f>
        <v>0</v>
      </c>
      <c r="Q555" s="22" t="n">
        <f aca="false">IF(DAY(B555)=1,Assumptions!B40*G555,0)</f>
        <v>0</v>
      </c>
      <c r="R555" s="22" t="n">
        <f aca="false">IF(DAY(B555)=1,Assumptions!B41*G555,0)</f>
        <v>0</v>
      </c>
      <c r="S555" s="22" t="n">
        <f aca="false">IF(AND(DAY(B555)=1,D555&gt;=13),Assumptions!B42*G555,0)</f>
        <v>0</v>
      </c>
      <c r="T555" s="22" t="n">
        <f aca="false">IF(DAY(B555)=1,Assumptions!B43*G555,0)</f>
        <v>0</v>
      </c>
      <c r="U555" s="22" t="n">
        <f aca="false">SUM(O555:T555)</f>
        <v>0</v>
      </c>
      <c r="V555" s="22" t="n">
        <f aca="false">N555-U555</f>
        <v>17400</v>
      </c>
      <c r="W555" s="22" t="n">
        <f aca="false">W554+V555</f>
        <v>-3189547.41676255</v>
      </c>
      <c r="X555" s="23" t="str">
        <f aca="false">IF(W555&gt;=0,"YES","No")</f>
        <v>No</v>
      </c>
    </row>
    <row r="556" customFormat="false" ht="15" hidden="false" customHeight="false" outlineLevel="0" collapsed="false">
      <c r="A556" s="16" t="n">
        <v>555</v>
      </c>
      <c r="B556" s="17" t="n">
        <f aca="false">B555+1</f>
        <v>46577</v>
      </c>
      <c r="C556" s="18" t="n">
        <f aca="false">MIN(ROUNDUP(A556/365,0),5)</f>
        <v>2</v>
      </c>
      <c r="D556" s="18" t="n">
        <f aca="false">DATEDIF(Assumptions!B5,B556,"m")+1</f>
        <v>19</v>
      </c>
      <c r="E556" s="18" t="str">
        <f aca="false">TEXT(B556,"ddd")</f>
        <v>Fri</v>
      </c>
      <c r="F556" s="19" t="n">
        <f aca="false">IF(WEEKDAY(B556,2)&gt;=6,Assumptions!B34,Assumptions!B35)</f>
        <v>1</v>
      </c>
      <c r="G556" s="20" t="n">
        <f aca="false">IF(D556&gt;=13,(1+Assumptions!B46)^(D556-12),1)</f>
        <v>1.02118994784011</v>
      </c>
      <c r="H556" s="21" t="n">
        <f aca="false">H555*(1+IF(C556=1,Assumptions!B22,Assumptions!B23))</f>
        <v>21.4726614635641</v>
      </c>
      <c r="I556" s="16" t="n">
        <f aca="false">ROUND(H556*F556,0)</f>
        <v>21</v>
      </c>
      <c r="J556" s="22" t="n">
        <f aca="false">I556*Assumptions!B24</f>
        <v>12600</v>
      </c>
      <c r="K556" s="21" t="n">
        <f aca="false">K555*(1+Assumptions!B30)</f>
        <v>15.7493708835909</v>
      </c>
      <c r="L556" s="16" t="n">
        <f aca="false">ROUND(K556*F556,0)</f>
        <v>16</v>
      </c>
      <c r="M556" s="22" t="n">
        <f aca="false">L556*Assumptions!B31</f>
        <v>4800</v>
      </c>
      <c r="N556" s="22" t="n">
        <f aca="false">J556+M556</f>
        <v>17400</v>
      </c>
      <c r="O556" s="22" t="n">
        <f aca="false">IF(DAY(B556)=1,Assumptions!B38*G556,0)</f>
        <v>0</v>
      </c>
      <c r="P556" s="22" t="n">
        <f aca="false">IF(DAY(B556)=1,Assumptions!B39*G556,0)</f>
        <v>0</v>
      </c>
      <c r="Q556" s="22" t="n">
        <f aca="false">IF(DAY(B556)=1,Assumptions!B40*G556,0)</f>
        <v>0</v>
      </c>
      <c r="R556" s="22" t="n">
        <f aca="false">IF(DAY(B556)=1,Assumptions!B41*G556,0)</f>
        <v>0</v>
      </c>
      <c r="S556" s="22" t="n">
        <f aca="false">IF(AND(DAY(B556)=1,D556&gt;=13),Assumptions!B42*G556,0)</f>
        <v>0</v>
      </c>
      <c r="T556" s="22" t="n">
        <f aca="false">IF(DAY(B556)=1,Assumptions!B43*G556,0)</f>
        <v>0</v>
      </c>
      <c r="U556" s="22" t="n">
        <f aca="false">SUM(O556:T556)</f>
        <v>0</v>
      </c>
      <c r="V556" s="22" t="n">
        <f aca="false">N556-U556</f>
        <v>17400</v>
      </c>
      <c r="W556" s="22" t="n">
        <f aca="false">W555+V556</f>
        <v>-3172147.41676255</v>
      </c>
      <c r="X556" s="23" t="str">
        <f aca="false">IF(W556&gt;=0,"YES","No")</f>
        <v>No</v>
      </c>
    </row>
    <row r="557" customFormat="false" ht="15" hidden="false" customHeight="false" outlineLevel="0" collapsed="false">
      <c r="A557" s="16" t="n">
        <v>556</v>
      </c>
      <c r="B557" s="17" t="n">
        <f aca="false">B556+1</f>
        <v>46578</v>
      </c>
      <c r="C557" s="18" t="n">
        <f aca="false">MIN(ROUNDUP(A557/365,0),5)</f>
        <v>2</v>
      </c>
      <c r="D557" s="18" t="n">
        <f aca="false">DATEDIF(Assumptions!B5,B557,"m")+1</f>
        <v>19</v>
      </c>
      <c r="E557" s="18" t="str">
        <f aca="false">TEXT(B557,"ddd")</f>
        <v>Sat</v>
      </c>
      <c r="F557" s="19" t="n">
        <f aca="false">IF(WEEKDAY(B557,2)&gt;=6,Assumptions!B34,Assumptions!B35)</f>
        <v>0.6</v>
      </c>
      <c r="G557" s="20" t="n">
        <f aca="false">IF(D557&gt;=13,(1+Assumptions!B46)^(D557-12),1)</f>
        <v>1.02118994784011</v>
      </c>
      <c r="H557" s="21" t="n">
        <f aca="false">H556*(1+IF(C557=1,Assumptions!B22,Assumptions!B23))</f>
        <v>21.4761800103648</v>
      </c>
      <c r="I557" s="16" t="n">
        <f aca="false">ROUND(H557*F557,0)</f>
        <v>13</v>
      </c>
      <c r="J557" s="22" t="n">
        <f aca="false">I557*Assumptions!B24</f>
        <v>7800</v>
      </c>
      <c r="K557" s="21" t="n">
        <f aca="false">K556*(1+Assumptions!B30)</f>
        <v>15.754519933098</v>
      </c>
      <c r="L557" s="16" t="n">
        <f aca="false">ROUND(K557*F557,0)</f>
        <v>9</v>
      </c>
      <c r="M557" s="22" t="n">
        <f aca="false">L557*Assumptions!B31</f>
        <v>2700</v>
      </c>
      <c r="N557" s="22" t="n">
        <f aca="false">J557+M557</f>
        <v>10500</v>
      </c>
      <c r="O557" s="22" t="n">
        <f aca="false">IF(DAY(B557)=1,Assumptions!B38*G557,0)</f>
        <v>0</v>
      </c>
      <c r="P557" s="22" t="n">
        <f aca="false">IF(DAY(B557)=1,Assumptions!B39*G557,0)</f>
        <v>0</v>
      </c>
      <c r="Q557" s="22" t="n">
        <f aca="false">IF(DAY(B557)=1,Assumptions!B40*G557,0)</f>
        <v>0</v>
      </c>
      <c r="R557" s="22" t="n">
        <f aca="false">IF(DAY(B557)=1,Assumptions!B41*G557,0)</f>
        <v>0</v>
      </c>
      <c r="S557" s="22" t="n">
        <f aca="false">IF(AND(DAY(B557)=1,D557&gt;=13),Assumptions!B42*G557,0)</f>
        <v>0</v>
      </c>
      <c r="T557" s="22" t="n">
        <f aca="false">IF(DAY(B557)=1,Assumptions!B43*G557,0)</f>
        <v>0</v>
      </c>
      <c r="U557" s="22" t="n">
        <f aca="false">SUM(O557:T557)</f>
        <v>0</v>
      </c>
      <c r="V557" s="22" t="n">
        <f aca="false">N557-U557</f>
        <v>10500</v>
      </c>
      <c r="W557" s="22" t="n">
        <f aca="false">W556+V557</f>
        <v>-3161647.41676255</v>
      </c>
      <c r="X557" s="23" t="str">
        <f aca="false">IF(W557&gt;=0,"YES","No")</f>
        <v>No</v>
      </c>
    </row>
    <row r="558" customFormat="false" ht="15" hidden="false" customHeight="false" outlineLevel="0" collapsed="false">
      <c r="A558" s="16" t="n">
        <v>557</v>
      </c>
      <c r="B558" s="17" t="n">
        <f aca="false">B557+1</f>
        <v>46579</v>
      </c>
      <c r="C558" s="18" t="n">
        <f aca="false">MIN(ROUNDUP(A558/365,0),5)</f>
        <v>2</v>
      </c>
      <c r="D558" s="18" t="n">
        <f aca="false">DATEDIF(Assumptions!B5,B558,"m")+1</f>
        <v>19</v>
      </c>
      <c r="E558" s="18" t="str">
        <f aca="false">TEXT(B558,"ddd")</f>
        <v>Sun</v>
      </c>
      <c r="F558" s="19" t="n">
        <f aca="false">IF(WEEKDAY(B558,2)&gt;=6,Assumptions!B34,Assumptions!B35)</f>
        <v>0.6</v>
      </c>
      <c r="G558" s="20" t="n">
        <f aca="false">IF(D558&gt;=13,(1+Assumptions!B46)^(D558-12),1)</f>
        <v>1.02118994784011</v>
      </c>
      <c r="H558" s="21" t="n">
        <f aca="false">H557*(1+IF(C558=1,Assumptions!B22,Assumptions!B23))</f>
        <v>21.4796991337205</v>
      </c>
      <c r="I558" s="16" t="n">
        <f aca="false">ROUND(H558*F558,0)</f>
        <v>13</v>
      </c>
      <c r="J558" s="22" t="n">
        <f aca="false">I558*Assumptions!B24</f>
        <v>7800</v>
      </c>
      <c r="K558" s="21" t="n">
        <f aca="false">K557*(1+Assumptions!B30)</f>
        <v>15.7596706660192</v>
      </c>
      <c r="L558" s="16" t="n">
        <f aca="false">ROUND(K558*F558,0)</f>
        <v>9</v>
      </c>
      <c r="M558" s="22" t="n">
        <f aca="false">L558*Assumptions!B31</f>
        <v>2700</v>
      </c>
      <c r="N558" s="22" t="n">
        <f aca="false">J558+M558</f>
        <v>10500</v>
      </c>
      <c r="O558" s="22" t="n">
        <f aca="false">IF(DAY(B558)=1,Assumptions!B38*G558,0)</f>
        <v>0</v>
      </c>
      <c r="P558" s="22" t="n">
        <f aca="false">IF(DAY(B558)=1,Assumptions!B39*G558,0)</f>
        <v>0</v>
      </c>
      <c r="Q558" s="22" t="n">
        <f aca="false">IF(DAY(B558)=1,Assumptions!B40*G558,0)</f>
        <v>0</v>
      </c>
      <c r="R558" s="22" t="n">
        <f aca="false">IF(DAY(B558)=1,Assumptions!B41*G558,0)</f>
        <v>0</v>
      </c>
      <c r="S558" s="22" t="n">
        <f aca="false">IF(AND(DAY(B558)=1,D558&gt;=13),Assumptions!B42*G558,0)</f>
        <v>0</v>
      </c>
      <c r="T558" s="22" t="n">
        <f aca="false">IF(DAY(B558)=1,Assumptions!B43*G558,0)</f>
        <v>0</v>
      </c>
      <c r="U558" s="22" t="n">
        <f aca="false">SUM(O558:T558)</f>
        <v>0</v>
      </c>
      <c r="V558" s="22" t="n">
        <f aca="false">N558-U558</f>
        <v>10500</v>
      </c>
      <c r="W558" s="22" t="n">
        <f aca="false">W557+V558</f>
        <v>-3151147.41676255</v>
      </c>
      <c r="X558" s="23" t="str">
        <f aca="false">IF(W558&gt;=0,"YES","No")</f>
        <v>No</v>
      </c>
    </row>
    <row r="559" customFormat="false" ht="15" hidden="false" customHeight="false" outlineLevel="0" collapsed="false">
      <c r="A559" s="16" t="n">
        <v>558</v>
      </c>
      <c r="B559" s="17" t="n">
        <f aca="false">B558+1</f>
        <v>46580</v>
      </c>
      <c r="C559" s="18" t="n">
        <f aca="false">MIN(ROUNDUP(A559/365,0),5)</f>
        <v>2</v>
      </c>
      <c r="D559" s="18" t="n">
        <f aca="false">DATEDIF(Assumptions!B5,B559,"m")+1</f>
        <v>19</v>
      </c>
      <c r="E559" s="18" t="str">
        <f aca="false">TEXT(B559,"ddd")</f>
        <v>Mon</v>
      </c>
      <c r="F559" s="19" t="n">
        <f aca="false">IF(WEEKDAY(B559,2)&gt;=6,Assumptions!B34,Assumptions!B35)</f>
        <v>1</v>
      </c>
      <c r="G559" s="20" t="n">
        <f aca="false">IF(D559&gt;=13,(1+Assumptions!B46)^(D559-12),1)</f>
        <v>1.02118994784011</v>
      </c>
      <c r="H559" s="21" t="n">
        <f aca="false">H558*(1+IF(C559=1,Assumptions!B22,Assumptions!B23))</f>
        <v>21.4832188337257</v>
      </c>
      <c r="I559" s="16" t="n">
        <f aca="false">ROUND(H559*F559,0)</f>
        <v>21</v>
      </c>
      <c r="J559" s="22" t="n">
        <f aca="false">I559*Assumptions!B24</f>
        <v>12600</v>
      </c>
      <c r="K559" s="21" t="n">
        <f aca="false">K558*(1+Assumptions!B30)</f>
        <v>15.7648230829046</v>
      </c>
      <c r="L559" s="16" t="n">
        <f aca="false">ROUND(K559*F559,0)</f>
        <v>16</v>
      </c>
      <c r="M559" s="22" t="n">
        <f aca="false">L559*Assumptions!B31</f>
        <v>4800</v>
      </c>
      <c r="N559" s="22" t="n">
        <f aca="false">J559+M559</f>
        <v>17400</v>
      </c>
      <c r="O559" s="22" t="n">
        <f aca="false">IF(DAY(B559)=1,Assumptions!B38*G559,0)</f>
        <v>0</v>
      </c>
      <c r="P559" s="22" t="n">
        <f aca="false">IF(DAY(B559)=1,Assumptions!B39*G559,0)</f>
        <v>0</v>
      </c>
      <c r="Q559" s="22" t="n">
        <f aca="false">IF(DAY(B559)=1,Assumptions!B40*G559,0)</f>
        <v>0</v>
      </c>
      <c r="R559" s="22" t="n">
        <f aca="false">IF(DAY(B559)=1,Assumptions!B41*G559,0)</f>
        <v>0</v>
      </c>
      <c r="S559" s="22" t="n">
        <f aca="false">IF(AND(DAY(B559)=1,D559&gt;=13),Assumptions!B42*G559,0)</f>
        <v>0</v>
      </c>
      <c r="T559" s="22" t="n">
        <f aca="false">IF(DAY(B559)=1,Assumptions!B43*G559,0)</f>
        <v>0</v>
      </c>
      <c r="U559" s="22" t="n">
        <f aca="false">SUM(O559:T559)</f>
        <v>0</v>
      </c>
      <c r="V559" s="22" t="n">
        <f aca="false">N559-U559</f>
        <v>17400</v>
      </c>
      <c r="W559" s="22" t="n">
        <f aca="false">W558+V559</f>
        <v>-3133747.41676255</v>
      </c>
      <c r="X559" s="23" t="str">
        <f aca="false">IF(W559&gt;=0,"YES","No")</f>
        <v>No</v>
      </c>
    </row>
    <row r="560" customFormat="false" ht="15" hidden="false" customHeight="false" outlineLevel="0" collapsed="false">
      <c r="A560" s="16" t="n">
        <v>559</v>
      </c>
      <c r="B560" s="17" t="n">
        <f aca="false">B559+1</f>
        <v>46581</v>
      </c>
      <c r="C560" s="18" t="n">
        <f aca="false">MIN(ROUNDUP(A560/365,0),5)</f>
        <v>2</v>
      </c>
      <c r="D560" s="18" t="n">
        <f aca="false">DATEDIF(Assumptions!B5,B560,"m")+1</f>
        <v>19</v>
      </c>
      <c r="E560" s="18" t="str">
        <f aca="false">TEXT(B560,"ddd")</f>
        <v>Tue</v>
      </c>
      <c r="F560" s="19" t="n">
        <f aca="false">IF(WEEKDAY(B560,2)&gt;=6,Assumptions!B34,Assumptions!B35)</f>
        <v>1</v>
      </c>
      <c r="G560" s="20" t="n">
        <f aca="false">IF(D560&gt;=13,(1+Assumptions!B46)^(D560-12),1)</f>
        <v>1.02118994784011</v>
      </c>
      <c r="H560" s="21" t="n">
        <f aca="false">H559*(1+IF(C560=1,Assumptions!B22,Assumptions!B23))</f>
        <v>21.4867391104749</v>
      </c>
      <c r="I560" s="16" t="n">
        <f aca="false">ROUND(H560*F560,0)</f>
        <v>21</v>
      </c>
      <c r="J560" s="22" t="n">
        <f aca="false">I560*Assumptions!B24</f>
        <v>12600</v>
      </c>
      <c r="K560" s="21" t="n">
        <f aca="false">K559*(1+Assumptions!B30)</f>
        <v>15.769977184305</v>
      </c>
      <c r="L560" s="16" t="n">
        <f aca="false">ROUND(K560*F560,0)</f>
        <v>16</v>
      </c>
      <c r="M560" s="22" t="n">
        <f aca="false">L560*Assumptions!B31</f>
        <v>4800</v>
      </c>
      <c r="N560" s="22" t="n">
        <f aca="false">J560+M560</f>
        <v>17400</v>
      </c>
      <c r="O560" s="22" t="n">
        <f aca="false">IF(DAY(B560)=1,Assumptions!B38*G560,0)</f>
        <v>0</v>
      </c>
      <c r="P560" s="22" t="n">
        <f aca="false">IF(DAY(B560)=1,Assumptions!B39*G560,0)</f>
        <v>0</v>
      </c>
      <c r="Q560" s="22" t="n">
        <f aca="false">IF(DAY(B560)=1,Assumptions!B40*G560,0)</f>
        <v>0</v>
      </c>
      <c r="R560" s="22" t="n">
        <f aca="false">IF(DAY(B560)=1,Assumptions!B41*G560,0)</f>
        <v>0</v>
      </c>
      <c r="S560" s="22" t="n">
        <f aca="false">IF(AND(DAY(B560)=1,D560&gt;=13),Assumptions!B42*G560,0)</f>
        <v>0</v>
      </c>
      <c r="T560" s="22" t="n">
        <f aca="false">IF(DAY(B560)=1,Assumptions!B43*G560,0)</f>
        <v>0</v>
      </c>
      <c r="U560" s="22" t="n">
        <f aca="false">SUM(O560:T560)</f>
        <v>0</v>
      </c>
      <c r="V560" s="22" t="n">
        <f aca="false">N560-U560</f>
        <v>17400</v>
      </c>
      <c r="W560" s="22" t="n">
        <f aca="false">W559+V560</f>
        <v>-3116347.41676255</v>
      </c>
      <c r="X560" s="23" t="str">
        <f aca="false">IF(W560&gt;=0,"YES","No")</f>
        <v>No</v>
      </c>
    </row>
    <row r="561" customFormat="false" ht="15" hidden="false" customHeight="false" outlineLevel="0" collapsed="false">
      <c r="A561" s="16" t="n">
        <v>560</v>
      </c>
      <c r="B561" s="17" t="n">
        <f aca="false">B560+1</f>
        <v>46582</v>
      </c>
      <c r="C561" s="18" t="n">
        <f aca="false">MIN(ROUNDUP(A561/365,0),5)</f>
        <v>2</v>
      </c>
      <c r="D561" s="18" t="n">
        <f aca="false">DATEDIF(Assumptions!B5,B561,"m")+1</f>
        <v>19</v>
      </c>
      <c r="E561" s="18" t="str">
        <f aca="false">TEXT(B561,"ddd")</f>
        <v>Wed</v>
      </c>
      <c r="F561" s="19" t="n">
        <f aca="false">IF(WEEKDAY(B561,2)&gt;=6,Assumptions!B34,Assumptions!B35)</f>
        <v>1</v>
      </c>
      <c r="G561" s="20" t="n">
        <f aca="false">IF(D561&gt;=13,(1+Assumptions!B46)^(D561-12),1)</f>
        <v>1.02118994784011</v>
      </c>
      <c r="H561" s="21" t="n">
        <f aca="false">H560*(1+IF(C561=1,Assumptions!B22,Assumptions!B23))</f>
        <v>21.4902599640627</v>
      </c>
      <c r="I561" s="16" t="n">
        <f aca="false">ROUND(H561*F561,0)</f>
        <v>21</v>
      </c>
      <c r="J561" s="22" t="n">
        <f aca="false">I561*Assumptions!B24</f>
        <v>12600</v>
      </c>
      <c r="K561" s="21" t="n">
        <f aca="false">K560*(1+Assumptions!B30)</f>
        <v>15.7751329707709</v>
      </c>
      <c r="L561" s="16" t="n">
        <f aca="false">ROUND(K561*F561,0)</f>
        <v>16</v>
      </c>
      <c r="M561" s="22" t="n">
        <f aca="false">L561*Assumptions!B31</f>
        <v>4800</v>
      </c>
      <c r="N561" s="22" t="n">
        <f aca="false">J561+M561</f>
        <v>17400</v>
      </c>
      <c r="O561" s="22" t="n">
        <f aca="false">IF(DAY(B561)=1,Assumptions!B38*G561,0)</f>
        <v>0</v>
      </c>
      <c r="P561" s="22" t="n">
        <f aca="false">IF(DAY(B561)=1,Assumptions!B39*G561,0)</f>
        <v>0</v>
      </c>
      <c r="Q561" s="22" t="n">
        <f aca="false">IF(DAY(B561)=1,Assumptions!B40*G561,0)</f>
        <v>0</v>
      </c>
      <c r="R561" s="22" t="n">
        <f aca="false">IF(DAY(B561)=1,Assumptions!B41*G561,0)</f>
        <v>0</v>
      </c>
      <c r="S561" s="22" t="n">
        <f aca="false">IF(AND(DAY(B561)=1,D561&gt;=13),Assumptions!B42*G561,0)</f>
        <v>0</v>
      </c>
      <c r="T561" s="22" t="n">
        <f aca="false">IF(DAY(B561)=1,Assumptions!B43*G561,0)</f>
        <v>0</v>
      </c>
      <c r="U561" s="22" t="n">
        <f aca="false">SUM(O561:T561)</f>
        <v>0</v>
      </c>
      <c r="V561" s="22" t="n">
        <f aca="false">N561-U561</f>
        <v>17400</v>
      </c>
      <c r="W561" s="22" t="n">
        <f aca="false">W560+V561</f>
        <v>-3098947.41676255</v>
      </c>
      <c r="X561" s="23" t="str">
        <f aca="false">IF(W561&gt;=0,"YES","No")</f>
        <v>No</v>
      </c>
    </row>
    <row r="562" customFormat="false" ht="15" hidden="false" customHeight="false" outlineLevel="0" collapsed="false">
      <c r="A562" s="16" t="n">
        <v>561</v>
      </c>
      <c r="B562" s="17" t="n">
        <f aca="false">B561+1</f>
        <v>46583</v>
      </c>
      <c r="C562" s="18" t="n">
        <f aca="false">MIN(ROUNDUP(A562/365,0),5)</f>
        <v>2</v>
      </c>
      <c r="D562" s="18" t="n">
        <f aca="false">DATEDIF(Assumptions!B5,B562,"m")+1</f>
        <v>19</v>
      </c>
      <c r="E562" s="18" t="str">
        <f aca="false">TEXT(B562,"ddd")</f>
        <v>Thu</v>
      </c>
      <c r="F562" s="19" t="n">
        <f aca="false">IF(WEEKDAY(B562,2)&gt;=6,Assumptions!B34,Assumptions!B35)</f>
        <v>1</v>
      </c>
      <c r="G562" s="20" t="n">
        <f aca="false">IF(D562&gt;=13,(1+Assumptions!B46)^(D562-12),1)</f>
        <v>1.02118994784011</v>
      </c>
      <c r="H562" s="21" t="n">
        <f aca="false">H561*(1+IF(C562=1,Assumptions!B22,Assumptions!B23))</f>
        <v>21.4937813945836</v>
      </c>
      <c r="I562" s="16" t="n">
        <f aca="false">ROUND(H562*F562,0)</f>
        <v>21</v>
      </c>
      <c r="J562" s="22" t="n">
        <f aca="false">I562*Assumptions!B24</f>
        <v>12600</v>
      </c>
      <c r="K562" s="21" t="n">
        <f aca="false">K561*(1+Assumptions!B30)</f>
        <v>15.7802904428534</v>
      </c>
      <c r="L562" s="16" t="n">
        <f aca="false">ROUND(K562*F562,0)</f>
        <v>16</v>
      </c>
      <c r="M562" s="22" t="n">
        <f aca="false">L562*Assumptions!B31</f>
        <v>4800</v>
      </c>
      <c r="N562" s="22" t="n">
        <f aca="false">J562+M562</f>
        <v>17400</v>
      </c>
      <c r="O562" s="22" t="n">
        <f aca="false">IF(DAY(B562)=1,Assumptions!B38*G562,0)</f>
        <v>0</v>
      </c>
      <c r="P562" s="22" t="n">
        <f aca="false">IF(DAY(B562)=1,Assumptions!B39*G562,0)</f>
        <v>0</v>
      </c>
      <c r="Q562" s="22" t="n">
        <f aca="false">IF(DAY(B562)=1,Assumptions!B40*G562,0)</f>
        <v>0</v>
      </c>
      <c r="R562" s="22" t="n">
        <f aca="false">IF(DAY(B562)=1,Assumptions!B41*G562,0)</f>
        <v>0</v>
      </c>
      <c r="S562" s="22" t="n">
        <f aca="false">IF(AND(DAY(B562)=1,D562&gt;=13),Assumptions!B42*G562,0)</f>
        <v>0</v>
      </c>
      <c r="T562" s="22" t="n">
        <f aca="false">IF(DAY(B562)=1,Assumptions!B43*G562,0)</f>
        <v>0</v>
      </c>
      <c r="U562" s="22" t="n">
        <f aca="false">SUM(O562:T562)</f>
        <v>0</v>
      </c>
      <c r="V562" s="22" t="n">
        <f aca="false">N562-U562</f>
        <v>17400</v>
      </c>
      <c r="W562" s="22" t="n">
        <f aca="false">W561+V562</f>
        <v>-3081547.41676255</v>
      </c>
      <c r="X562" s="23" t="str">
        <f aca="false">IF(W562&gt;=0,"YES","No")</f>
        <v>No</v>
      </c>
    </row>
    <row r="563" customFormat="false" ht="15" hidden="false" customHeight="false" outlineLevel="0" collapsed="false">
      <c r="A563" s="16" t="n">
        <v>562</v>
      </c>
      <c r="B563" s="17" t="n">
        <f aca="false">B562+1</f>
        <v>46584</v>
      </c>
      <c r="C563" s="18" t="n">
        <f aca="false">MIN(ROUNDUP(A563/365,0),5)</f>
        <v>2</v>
      </c>
      <c r="D563" s="18" t="n">
        <f aca="false">DATEDIF(Assumptions!B5,B563,"m")+1</f>
        <v>19</v>
      </c>
      <c r="E563" s="18" t="str">
        <f aca="false">TEXT(B563,"ddd")</f>
        <v>Fri</v>
      </c>
      <c r="F563" s="19" t="n">
        <f aca="false">IF(WEEKDAY(B563,2)&gt;=6,Assumptions!B34,Assumptions!B35)</f>
        <v>1</v>
      </c>
      <c r="G563" s="20" t="n">
        <f aca="false">IF(D563&gt;=13,(1+Assumptions!B46)^(D563-12),1)</f>
        <v>1.02118994784011</v>
      </c>
      <c r="H563" s="21" t="n">
        <f aca="false">H562*(1+IF(C563=1,Assumptions!B22,Assumptions!B23))</f>
        <v>21.497303402132</v>
      </c>
      <c r="I563" s="16" t="n">
        <f aca="false">ROUND(H563*F563,0)</f>
        <v>21</v>
      </c>
      <c r="J563" s="22" t="n">
        <f aca="false">I563*Assumptions!B24</f>
        <v>12600</v>
      </c>
      <c r="K563" s="21" t="n">
        <f aca="false">K562*(1+Assumptions!B30)</f>
        <v>15.7854496011035</v>
      </c>
      <c r="L563" s="16" t="n">
        <f aca="false">ROUND(K563*F563,0)</f>
        <v>16</v>
      </c>
      <c r="M563" s="22" t="n">
        <f aca="false">L563*Assumptions!B31</f>
        <v>4800</v>
      </c>
      <c r="N563" s="22" t="n">
        <f aca="false">J563+M563</f>
        <v>17400</v>
      </c>
      <c r="O563" s="22" t="n">
        <f aca="false">IF(DAY(B563)=1,Assumptions!B38*G563,0)</f>
        <v>0</v>
      </c>
      <c r="P563" s="22" t="n">
        <f aca="false">IF(DAY(B563)=1,Assumptions!B39*G563,0)</f>
        <v>0</v>
      </c>
      <c r="Q563" s="22" t="n">
        <f aca="false">IF(DAY(B563)=1,Assumptions!B40*G563,0)</f>
        <v>0</v>
      </c>
      <c r="R563" s="22" t="n">
        <f aca="false">IF(DAY(B563)=1,Assumptions!B41*G563,0)</f>
        <v>0</v>
      </c>
      <c r="S563" s="22" t="n">
        <f aca="false">IF(AND(DAY(B563)=1,D563&gt;=13),Assumptions!B42*G563,0)</f>
        <v>0</v>
      </c>
      <c r="T563" s="22" t="n">
        <f aca="false">IF(DAY(B563)=1,Assumptions!B43*G563,0)</f>
        <v>0</v>
      </c>
      <c r="U563" s="22" t="n">
        <f aca="false">SUM(O563:T563)</f>
        <v>0</v>
      </c>
      <c r="V563" s="22" t="n">
        <f aca="false">N563-U563</f>
        <v>17400</v>
      </c>
      <c r="W563" s="22" t="n">
        <f aca="false">W562+V563</f>
        <v>-3064147.41676255</v>
      </c>
      <c r="X563" s="23" t="str">
        <f aca="false">IF(W563&gt;=0,"YES","No")</f>
        <v>No</v>
      </c>
    </row>
    <row r="564" customFormat="false" ht="15" hidden="false" customHeight="false" outlineLevel="0" collapsed="false">
      <c r="A564" s="16" t="n">
        <v>563</v>
      </c>
      <c r="B564" s="17" t="n">
        <f aca="false">B563+1</f>
        <v>46585</v>
      </c>
      <c r="C564" s="18" t="n">
        <f aca="false">MIN(ROUNDUP(A564/365,0),5)</f>
        <v>2</v>
      </c>
      <c r="D564" s="18" t="n">
        <f aca="false">DATEDIF(Assumptions!B5,B564,"m")+1</f>
        <v>19</v>
      </c>
      <c r="E564" s="18" t="str">
        <f aca="false">TEXT(B564,"ddd")</f>
        <v>Sat</v>
      </c>
      <c r="F564" s="19" t="n">
        <f aca="false">IF(WEEKDAY(B564,2)&gt;=6,Assumptions!B34,Assumptions!B35)</f>
        <v>0.6</v>
      </c>
      <c r="G564" s="20" t="n">
        <f aca="false">IF(D564&gt;=13,(1+Assumptions!B46)^(D564-12),1)</f>
        <v>1.02118994784011</v>
      </c>
      <c r="H564" s="21" t="n">
        <f aca="false">H563*(1+IF(C564=1,Assumptions!B22,Assumptions!B23))</f>
        <v>21.5008259868026</v>
      </c>
      <c r="I564" s="16" t="n">
        <f aca="false">ROUND(H564*F564,0)</f>
        <v>13</v>
      </c>
      <c r="J564" s="22" t="n">
        <f aca="false">I564*Assumptions!B24</f>
        <v>7800</v>
      </c>
      <c r="K564" s="21" t="n">
        <f aca="false">K563*(1+Assumptions!B30)</f>
        <v>15.7906104460725</v>
      </c>
      <c r="L564" s="16" t="n">
        <f aca="false">ROUND(K564*F564,0)</f>
        <v>9</v>
      </c>
      <c r="M564" s="22" t="n">
        <f aca="false">L564*Assumptions!B31</f>
        <v>2700</v>
      </c>
      <c r="N564" s="22" t="n">
        <f aca="false">J564+M564</f>
        <v>10500</v>
      </c>
      <c r="O564" s="22" t="n">
        <f aca="false">IF(DAY(B564)=1,Assumptions!B38*G564,0)</f>
        <v>0</v>
      </c>
      <c r="P564" s="22" t="n">
        <f aca="false">IF(DAY(B564)=1,Assumptions!B39*G564,0)</f>
        <v>0</v>
      </c>
      <c r="Q564" s="22" t="n">
        <f aca="false">IF(DAY(B564)=1,Assumptions!B40*G564,0)</f>
        <v>0</v>
      </c>
      <c r="R564" s="22" t="n">
        <f aca="false">IF(DAY(B564)=1,Assumptions!B41*G564,0)</f>
        <v>0</v>
      </c>
      <c r="S564" s="22" t="n">
        <f aca="false">IF(AND(DAY(B564)=1,D564&gt;=13),Assumptions!B42*G564,0)</f>
        <v>0</v>
      </c>
      <c r="T564" s="22" t="n">
        <f aca="false">IF(DAY(B564)=1,Assumptions!B43*G564,0)</f>
        <v>0</v>
      </c>
      <c r="U564" s="22" t="n">
        <f aca="false">SUM(O564:T564)</f>
        <v>0</v>
      </c>
      <c r="V564" s="22" t="n">
        <f aca="false">N564-U564</f>
        <v>10500</v>
      </c>
      <c r="W564" s="22" t="n">
        <f aca="false">W563+V564</f>
        <v>-3053647.41676255</v>
      </c>
      <c r="X564" s="23" t="str">
        <f aca="false">IF(W564&gt;=0,"YES","No")</f>
        <v>No</v>
      </c>
    </row>
    <row r="565" customFormat="false" ht="15" hidden="false" customHeight="false" outlineLevel="0" collapsed="false">
      <c r="A565" s="16" t="n">
        <v>564</v>
      </c>
      <c r="B565" s="17" t="n">
        <f aca="false">B564+1</f>
        <v>46586</v>
      </c>
      <c r="C565" s="18" t="n">
        <f aca="false">MIN(ROUNDUP(A565/365,0),5)</f>
        <v>2</v>
      </c>
      <c r="D565" s="18" t="n">
        <f aca="false">DATEDIF(Assumptions!B5,B565,"m")+1</f>
        <v>19</v>
      </c>
      <c r="E565" s="18" t="str">
        <f aca="false">TEXT(B565,"ddd")</f>
        <v>Sun</v>
      </c>
      <c r="F565" s="19" t="n">
        <f aca="false">IF(WEEKDAY(B565,2)&gt;=6,Assumptions!B34,Assumptions!B35)</f>
        <v>0.6</v>
      </c>
      <c r="G565" s="20" t="n">
        <f aca="false">IF(D565&gt;=13,(1+Assumptions!B46)^(D565-12),1)</f>
        <v>1.02118994784011</v>
      </c>
      <c r="H565" s="21" t="n">
        <f aca="false">H564*(1+IF(C565=1,Assumptions!B22,Assumptions!B23))</f>
        <v>21.5043491486899</v>
      </c>
      <c r="I565" s="16" t="n">
        <f aca="false">ROUND(H565*F565,0)</f>
        <v>13</v>
      </c>
      <c r="J565" s="22" t="n">
        <f aca="false">I565*Assumptions!B24</f>
        <v>7800</v>
      </c>
      <c r="K565" s="21" t="n">
        <f aca="false">K564*(1+Assumptions!B30)</f>
        <v>15.7957729783118</v>
      </c>
      <c r="L565" s="16" t="n">
        <f aca="false">ROUND(K565*F565,0)</f>
        <v>9</v>
      </c>
      <c r="M565" s="22" t="n">
        <f aca="false">L565*Assumptions!B31</f>
        <v>2700</v>
      </c>
      <c r="N565" s="22" t="n">
        <f aca="false">J565+M565</f>
        <v>10500</v>
      </c>
      <c r="O565" s="22" t="n">
        <f aca="false">IF(DAY(B565)=1,Assumptions!B38*G565,0)</f>
        <v>0</v>
      </c>
      <c r="P565" s="22" t="n">
        <f aca="false">IF(DAY(B565)=1,Assumptions!B39*G565,0)</f>
        <v>0</v>
      </c>
      <c r="Q565" s="22" t="n">
        <f aca="false">IF(DAY(B565)=1,Assumptions!B40*G565,0)</f>
        <v>0</v>
      </c>
      <c r="R565" s="22" t="n">
        <f aca="false">IF(DAY(B565)=1,Assumptions!B41*G565,0)</f>
        <v>0</v>
      </c>
      <c r="S565" s="22" t="n">
        <f aca="false">IF(AND(DAY(B565)=1,D565&gt;=13),Assumptions!B42*G565,0)</f>
        <v>0</v>
      </c>
      <c r="T565" s="22" t="n">
        <f aca="false">IF(DAY(B565)=1,Assumptions!B43*G565,0)</f>
        <v>0</v>
      </c>
      <c r="U565" s="22" t="n">
        <f aca="false">SUM(O565:T565)</f>
        <v>0</v>
      </c>
      <c r="V565" s="22" t="n">
        <f aca="false">N565-U565</f>
        <v>10500</v>
      </c>
      <c r="W565" s="22" t="n">
        <f aca="false">W564+V565</f>
        <v>-3043147.41676255</v>
      </c>
      <c r="X565" s="23" t="str">
        <f aca="false">IF(W565&gt;=0,"YES","No")</f>
        <v>No</v>
      </c>
    </row>
    <row r="566" customFormat="false" ht="15" hidden="false" customHeight="false" outlineLevel="0" collapsed="false">
      <c r="A566" s="16" t="n">
        <v>565</v>
      </c>
      <c r="B566" s="17" t="n">
        <f aca="false">B565+1</f>
        <v>46587</v>
      </c>
      <c r="C566" s="18" t="n">
        <f aca="false">MIN(ROUNDUP(A566/365,0),5)</f>
        <v>2</v>
      </c>
      <c r="D566" s="18" t="n">
        <f aca="false">DATEDIF(Assumptions!B5,B566,"m")+1</f>
        <v>19</v>
      </c>
      <c r="E566" s="18" t="str">
        <f aca="false">TEXT(B566,"ddd")</f>
        <v>Mon</v>
      </c>
      <c r="F566" s="19" t="n">
        <f aca="false">IF(WEEKDAY(B566,2)&gt;=6,Assumptions!B34,Assumptions!B35)</f>
        <v>1</v>
      </c>
      <c r="G566" s="20" t="n">
        <f aca="false">IF(D566&gt;=13,(1+Assumptions!B46)^(D566-12),1)</f>
        <v>1.02118994784011</v>
      </c>
      <c r="H566" s="21" t="n">
        <f aca="false">H565*(1+IF(C566=1,Assumptions!B22,Assumptions!B23))</f>
        <v>21.5078728878884</v>
      </c>
      <c r="I566" s="16" t="n">
        <f aca="false">ROUND(H566*F566,0)</f>
        <v>22</v>
      </c>
      <c r="J566" s="22" t="n">
        <f aca="false">I566*Assumptions!B24</f>
        <v>13200</v>
      </c>
      <c r="K566" s="21" t="n">
        <f aca="false">K565*(1+Assumptions!B30)</f>
        <v>15.8009371983731</v>
      </c>
      <c r="L566" s="16" t="n">
        <f aca="false">ROUND(K566*F566,0)</f>
        <v>16</v>
      </c>
      <c r="M566" s="22" t="n">
        <f aca="false">L566*Assumptions!B31</f>
        <v>4800</v>
      </c>
      <c r="N566" s="22" t="n">
        <f aca="false">J566+M566</f>
        <v>18000</v>
      </c>
      <c r="O566" s="22" t="n">
        <f aca="false">IF(DAY(B566)=1,Assumptions!B38*G566,0)</f>
        <v>0</v>
      </c>
      <c r="P566" s="22" t="n">
        <f aca="false">IF(DAY(B566)=1,Assumptions!B39*G566,0)</f>
        <v>0</v>
      </c>
      <c r="Q566" s="22" t="n">
        <f aca="false">IF(DAY(B566)=1,Assumptions!B40*G566,0)</f>
        <v>0</v>
      </c>
      <c r="R566" s="22" t="n">
        <f aca="false">IF(DAY(B566)=1,Assumptions!B41*G566,0)</f>
        <v>0</v>
      </c>
      <c r="S566" s="22" t="n">
        <f aca="false">IF(AND(DAY(B566)=1,D566&gt;=13),Assumptions!B42*G566,0)</f>
        <v>0</v>
      </c>
      <c r="T566" s="22" t="n">
        <f aca="false">IF(DAY(B566)=1,Assumptions!B43*G566,0)</f>
        <v>0</v>
      </c>
      <c r="U566" s="22" t="n">
        <f aca="false">SUM(O566:T566)</f>
        <v>0</v>
      </c>
      <c r="V566" s="22" t="n">
        <f aca="false">N566-U566</f>
        <v>18000</v>
      </c>
      <c r="W566" s="22" t="n">
        <f aca="false">W565+V566</f>
        <v>-3025147.41676255</v>
      </c>
      <c r="X566" s="23" t="str">
        <f aca="false">IF(W566&gt;=0,"YES","No")</f>
        <v>No</v>
      </c>
    </row>
    <row r="567" customFormat="false" ht="15" hidden="false" customHeight="false" outlineLevel="0" collapsed="false">
      <c r="A567" s="16" t="n">
        <v>566</v>
      </c>
      <c r="B567" s="17" t="n">
        <f aca="false">B566+1</f>
        <v>46588</v>
      </c>
      <c r="C567" s="18" t="n">
        <f aca="false">MIN(ROUNDUP(A567/365,0),5)</f>
        <v>2</v>
      </c>
      <c r="D567" s="18" t="n">
        <f aca="false">DATEDIF(Assumptions!B5,B567,"m")+1</f>
        <v>19</v>
      </c>
      <c r="E567" s="18" t="str">
        <f aca="false">TEXT(B567,"ddd")</f>
        <v>Tue</v>
      </c>
      <c r="F567" s="19" t="n">
        <f aca="false">IF(WEEKDAY(B567,2)&gt;=6,Assumptions!B34,Assumptions!B35)</f>
        <v>1</v>
      </c>
      <c r="G567" s="20" t="n">
        <f aca="false">IF(D567&gt;=13,(1+Assumptions!B46)^(D567-12),1)</f>
        <v>1.02118994784011</v>
      </c>
      <c r="H567" s="21" t="n">
        <f aca="false">H566*(1+IF(C567=1,Assumptions!B22,Assumptions!B23))</f>
        <v>21.5113972044929</v>
      </c>
      <c r="I567" s="16" t="n">
        <f aca="false">ROUND(H567*F567,0)</f>
        <v>22</v>
      </c>
      <c r="J567" s="22" t="n">
        <f aca="false">I567*Assumptions!B24</f>
        <v>13200</v>
      </c>
      <c r="K567" s="21" t="n">
        <f aca="false">K566*(1+Assumptions!B30)</f>
        <v>15.8061031068081</v>
      </c>
      <c r="L567" s="16" t="n">
        <f aca="false">ROUND(K567*F567,0)</f>
        <v>16</v>
      </c>
      <c r="M567" s="22" t="n">
        <f aca="false">L567*Assumptions!B31</f>
        <v>4800</v>
      </c>
      <c r="N567" s="22" t="n">
        <f aca="false">J567+M567</f>
        <v>18000</v>
      </c>
      <c r="O567" s="22" t="n">
        <f aca="false">IF(DAY(B567)=1,Assumptions!B38*G567,0)</f>
        <v>0</v>
      </c>
      <c r="P567" s="22" t="n">
        <f aca="false">IF(DAY(B567)=1,Assumptions!B39*G567,0)</f>
        <v>0</v>
      </c>
      <c r="Q567" s="22" t="n">
        <f aca="false">IF(DAY(B567)=1,Assumptions!B40*G567,0)</f>
        <v>0</v>
      </c>
      <c r="R567" s="22" t="n">
        <f aca="false">IF(DAY(B567)=1,Assumptions!B41*G567,0)</f>
        <v>0</v>
      </c>
      <c r="S567" s="22" t="n">
        <f aca="false">IF(AND(DAY(B567)=1,D567&gt;=13),Assumptions!B42*G567,0)</f>
        <v>0</v>
      </c>
      <c r="T567" s="22" t="n">
        <f aca="false">IF(DAY(B567)=1,Assumptions!B43*G567,0)</f>
        <v>0</v>
      </c>
      <c r="U567" s="22" t="n">
        <f aca="false">SUM(O567:T567)</f>
        <v>0</v>
      </c>
      <c r="V567" s="22" t="n">
        <f aca="false">N567-U567</f>
        <v>18000</v>
      </c>
      <c r="W567" s="22" t="n">
        <f aca="false">W566+V567</f>
        <v>-3007147.41676255</v>
      </c>
      <c r="X567" s="23" t="str">
        <f aca="false">IF(W567&gt;=0,"YES","No")</f>
        <v>No</v>
      </c>
    </row>
    <row r="568" customFormat="false" ht="15" hidden="false" customHeight="false" outlineLevel="0" collapsed="false">
      <c r="A568" s="16" t="n">
        <v>567</v>
      </c>
      <c r="B568" s="17" t="n">
        <f aca="false">B567+1</f>
        <v>46589</v>
      </c>
      <c r="C568" s="18" t="n">
        <f aca="false">MIN(ROUNDUP(A568/365,0),5)</f>
        <v>2</v>
      </c>
      <c r="D568" s="18" t="n">
        <f aca="false">DATEDIF(Assumptions!B5,B568,"m")+1</f>
        <v>19</v>
      </c>
      <c r="E568" s="18" t="str">
        <f aca="false">TEXT(B568,"ddd")</f>
        <v>Wed</v>
      </c>
      <c r="F568" s="19" t="n">
        <f aca="false">IF(WEEKDAY(B568,2)&gt;=6,Assumptions!B34,Assumptions!B35)</f>
        <v>1</v>
      </c>
      <c r="G568" s="20" t="n">
        <f aca="false">IF(D568&gt;=13,(1+Assumptions!B46)^(D568-12),1)</f>
        <v>1.02118994784011</v>
      </c>
      <c r="H568" s="21" t="n">
        <f aca="false">H567*(1+IF(C568=1,Assumptions!B22,Assumptions!B23))</f>
        <v>21.5149220985979</v>
      </c>
      <c r="I568" s="16" t="n">
        <f aca="false">ROUND(H568*F568,0)</f>
        <v>22</v>
      </c>
      <c r="J568" s="22" t="n">
        <f aca="false">I568*Assumptions!B24</f>
        <v>13200</v>
      </c>
      <c r="K568" s="21" t="n">
        <f aca="false">K567*(1+Assumptions!B30)</f>
        <v>15.8112707041689</v>
      </c>
      <c r="L568" s="16" t="n">
        <f aca="false">ROUND(K568*F568,0)</f>
        <v>16</v>
      </c>
      <c r="M568" s="22" t="n">
        <f aca="false">L568*Assumptions!B31</f>
        <v>4800</v>
      </c>
      <c r="N568" s="22" t="n">
        <f aca="false">J568+M568</f>
        <v>18000</v>
      </c>
      <c r="O568" s="22" t="n">
        <f aca="false">IF(DAY(B568)=1,Assumptions!B38*G568,0)</f>
        <v>0</v>
      </c>
      <c r="P568" s="22" t="n">
        <f aca="false">IF(DAY(B568)=1,Assumptions!B39*G568,0)</f>
        <v>0</v>
      </c>
      <c r="Q568" s="22" t="n">
        <f aca="false">IF(DAY(B568)=1,Assumptions!B40*G568,0)</f>
        <v>0</v>
      </c>
      <c r="R568" s="22" t="n">
        <f aca="false">IF(DAY(B568)=1,Assumptions!B41*G568,0)</f>
        <v>0</v>
      </c>
      <c r="S568" s="22" t="n">
        <f aca="false">IF(AND(DAY(B568)=1,D568&gt;=13),Assumptions!B42*G568,0)</f>
        <v>0</v>
      </c>
      <c r="T568" s="22" t="n">
        <f aca="false">IF(DAY(B568)=1,Assumptions!B43*G568,0)</f>
        <v>0</v>
      </c>
      <c r="U568" s="22" t="n">
        <f aca="false">SUM(O568:T568)</f>
        <v>0</v>
      </c>
      <c r="V568" s="22" t="n">
        <f aca="false">N568-U568</f>
        <v>18000</v>
      </c>
      <c r="W568" s="22" t="n">
        <f aca="false">W567+V568</f>
        <v>-2989147.41676255</v>
      </c>
      <c r="X568" s="23" t="str">
        <f aca="false">IF(W568&gt;=0,"YES","No")</f>
        <v>No</v>
      </c>
    </row>
    <row r="569" customFormat="false" ht="15" hidden="false" customHeight="false" outlineLevel="0" collapsed="false">
      <c r="A569" s="16" t="n">
        <v>568</v>
      </c>
      <c r="B569" s="17" t="n">
        <f aca="false">B568+1</f>
        <v>46590</v>
      </c>
      <c r="C569" s="18" t="n">
        <f aca="false">MIN(ROUNDUP(A569/365,0),5)</f>
        <v>2</v>
      </c>
      <c r="D569" s="18" t="n">
        <f aca="false">DATEDIF(Assumptions!B5,B569,"m")+1</f>
        <v>19</v>
      </c>
      <c r="E569" s="18" t="str">
        <f aca="false">TEXT(B569,"ddd")</f>
        <v>Thu</v>
      </c>
      <c r="F569" s="19" t="n">
        <f aca="false">IF(WEEKDAY(B569,2)&gt;=6,Assumptions!B34,Assumptions!B35)</f>
        <v>1</v>
      </c>
      <c r="G569" s="20" t="n">
        <f aca="false">IF(D569&gt;=13,(1+Assumptions!B46)^(D569-12),1)</f>
        <v>1.02118994784011</v>
      </c>
      <c r="H569" s="21" t="n">
        <f aca="false">H568*(1+IF(C569=1,Assumptions!B22,Assumptions!B23))</f>
        <v>21.518447570298</v>
      </c>
      <c r="I569" s="16" t="n">
        <f aca="false">ROUND(H569*F569,0)</f>
        <v>22</v>
      </c>
      <c r="J569" s="22" t="n">
        <f aca="false">I569*Assumptions!B24</f>
        <v>13200</v>
      </c>
      <c r="K569" s="21" t="n">
        <f aca="false">K568*(1+Assumptions!B30)</f>
        <v>15.8164399910077</v>
      </c>
      <c r="L569" s="16" t="n">
        <f aca="false">ROUND(K569*F569,0)</f>
        <v>16</v>
      </c>
      <c r="M569" s="22" t="n">
        <f aca="false">L569*Assumptions!B31</f>
        <v>4800</v>
      </c>
      <c r="N569" s="22" t="n">
        <f aca="false">J569+M569</f>
        <v>18000</v>
      </c>
      <c r="O569" s="22" t="n">
        <f aca="false">IF(DAY(B569)=1,Assumptions!B38*G569,0)</f>
        <v>0</v>
      </c>
      <c r="P569" s="22" t="n">
        <f aca="false">IF(DAY(B569)=1,Assumptions!B39*G569,0)</f>
        <v>0</v>
      </c>
      <c r="Q569" s="22" t="n">
        <f aca="false">IF(DAY(B569)=1,Assumptions!B40*G569,0)</f>
        <v>0</v>
      </c>
      <c r="R569" s="22" t="n">
        <f aca="false">IF(DAY(B569)=1,Assumptions!B41*G569,0)</f>
        <v>0</v>
      </c>
      <c r="S569" s="22" t="n">
        <f aca="false">IF(AND(DAY(B569)=1,D569&gt;=13),Assumptions!B42*G569,0)</f>
        <v>0</v>
      </c>
      <c r="T569" s="22" t="n">
        <f aca="false">IF(DAY(B569)=1,Assumptions!B43*G569,0)</f>
        <v>0</v>
      </c>
      <c r="U569" s="22" t="n">
        <f aca="false">SUM(O569:T569)</f>
        <v>0</v>
      </c>
      <c r="V569" s="22" t="n">
        <f aca="false">N569-U569</f>
        <v>18000</v>
      </c>
      <c r="W569" s="22" t="n">
        <f aca="false">W568+V569</f>
        <v>-2971147.41676255</v>
      </c>
      <c r="X569" s="23" t="str">
        <f aca="false">IF(W569&gt;=0,"YES","No")</f>
        <v>No</v>
      </c>
    </row>
    <row r="570" customFormat="false" ht="15" hidden="false" customHeight="false" outlineLevel="0" collapsed="false">
      <c r="A570" s="16" t="n">
        <v>569</v>
      </c>
      <c r="B570" s="17" t="n">
        <f aca="false">B569+1</f>
        <v>46591</v>
      </c>
      <c r="C570" s="18" t="n">
        <f aca="false">MIN(ROUNDUP(A570/365,0),5)</f>
        <v>2</v>
      </c>
      <c r="D570" s="18" t="n">
        <f aca="false">DATEDIF(Assumptions!B5,B570,"m")+1</f>
        <v>19</v>
      </c>
      <c r="E570" s="18" t="str">
        <f aca="false">TEXT(B570,"ddd")</f>
        <v>Fri</v>
      </c>
      <c r="F570" s="19" t="n">
        <f aca="false">IF(WEEKDAY(B570,2)&gt;=6,Assumptions!B34,Assumptions!B35)</f>
        <v>1</v>
      </c>
      <c r="G570" s="20" t="n">
        <f aca="false">IF(D570&gt;=13,(1+Assumptions!B46)^(D570-12),1)</f>
        <v>1.02118994784011</v>
      </c>
      <c r="H570" s="21" t="n">
        <f aca="false">H569*(1+IF(C570=1,Assumptions!B22,Assumptions!B23))</f>
        <v>21.5219736196879</v>
      </c>
      <c r="I570" s="16" t="n">
        <f aca="false">ROUND(H570*F570,0)</f>
        <v>22</v>
      </c>
      <c r="J570" s="22" t="n">
        <f aca="false">I570*Assumptions!B24</f>
        <v>13200</v>
      </c>
      <c r="K570" s="21" t="n">
        <f aca="false">K569*(1+Assumptions!B30)</f>
        <v>15.8216109678767</v>
      </c>
      <c r="L570" s="16" t="n">
        <f aca="false">ROUND(K570*F570,0)</f>
        <v>16</v>
      </c>
      <c r="M570" s="22" t="n">
        <f aca="false">L570*Assumptions!B31</f>
        <v>4800</v>
      </c>
      <c r="N570" s="22" t="n">
        <f aca="false">J570+M570</f>
        <v>18000</v>
      </c>
      <c r="O570" s="22" t="n">
        <f aca="false">IF(DAY(B570)=1,Assumptions!B38*G570,0)</f>
        <v>0</v>
      </c>
      <c r="P570" s="22" t="n">
        <f aca="false">IF(DAY(B570)=1,Assumptions!B39*G570,0)</f>
        <v>0</v>
      </c>
      <c r="Q570" s="22" t="n">
        <f aca="false">IF(DAY(B570)=1,Assumptions!B40*G570,0)</f>
        <v>0</v>
      </c>
      <c r="R570" s="22" t="n">
        <f aca="false">IF(DAY(B570)=1,Assumptions!B41*G570,0)</f>
        <v>0</v>
      </c>
      <c r="S570" s="22" t="n">
        <f aca="false">IF(AND(DAY(B570)=1,D570&gt;=13),Assumptions!B42*G570,0)</f>
        <v>0</v>
      </c>
      <c r="T570" s="22" t="n">
        <f aca="false">IF(DAY(B570)=1,Assumptions!B43*G570,0)</f>
        <v>0</v>
      </c>
      <c r="U570" s="22" t="n">
        <f aca="false">SUM(O570:T570)</f>
        <v>0</v>
      </c>
      <c r="V570" s="22" t="n">
        <f aca="false">N570-U570</f>
        <v>18000</v>
      </c>
      <c r="W570" s="22" t="n">
        <f aca="false">W569+V570</f>
        <v>-2953147.41676255</v>
      </c>
      <c r="X570" s="23" t="str">
        <f aca="false">IF(W570&gt;=0,"YES","No")</f>
        <v>No</v>
      </c>
    </row>
    <row r="571" customFormat="false" ht="15" hidden="false" customHeight="false" outlineLevel="0" collapsed="false">
      <c r="A571" s="16" t="n">
        <v>570</v>
      </c>
      <c r="B571" s="17" t="n">
        <f aca="false">B570+1</f>
        <v>46592</v>
      </c>
      <c r="C571" s="18" t="n">
        <f aca="false">MIN(ROUNDUP(A571/365,0),5)</f>
        <v>2</v>
      </c>
      <c r="D571" s="18" t="n">
        <f aca="false">DATEDIF(Assumptions!B5,B571,"m")+1</f>
        <v>19</v>
      </c>
      <c r="E571" s="18" t="str">
        <f aca="false">TEXT(B571,"ddd")</f>
        <v>Sat</v>
      </c>
      <c r="F571" s="19" t="n">
        <f aca="false">IF(WEEKDAY(B571,2)&gt;=6,Assumptions!B34,Assumptions!B35)</f>
        <v>0.6</v>
      </c>
      <c r="G571" s="20" t="n">
        <f aca="false">IF(D571&gt;=13,(1+Assumptions!B46)^(D571-12),1)</f>
        <v>1.02118994784011</v>
      </c>
      <c r="H571" s="21" t="n">
        <f aca="false">H570*(1+IF(C571=1,Assumptions!B22,Assumptions!B23))</f>
        <v>21.5255002468623</v>
      </c>
      <c r="I571" s="16" t="n">
        <f aca="false">ROUND(H571*F571,0)</f>
        <v>13</v>
      </c>
      <c r="J571" s="22" t="n">
        <f aca="false">I571*Assumptions!B24</f>
        <v>7800</v>
      </c>
      <c r="K571" s="21" t="n">
        <f aca="false">K570*(1+Assumptions!B30)</f>
        <v>15.8267836353286</v>
      </c>
      <c r="L571" s="16" t="n">
        <f aca="false">ROUND(K571*F571,0)</f>
        <v>9</v>
      </c>
      <c r="M571" s="22" t="n">
        <f aca="false">L571*Assumptions!B31</f>
        <v>2700</v>
      </c>
      <c r="N571" s="22" t="n">
        <f aca="false">J571+M571</f>
        <v>10500</v>
      </c>
      <c r="O571" s="22" t="n">
        <f aca="false">IF(DAY(B571)=1,Assumptions!B38*G571,0)</f>
        <v>0</v>
      </c>
      <c r="P571" s="22" t="n">
        <f aca="false">IF(DAY(B571)=1,Assumptions!B39*G571,0)</f>
        <v>0</v>
      </c>
      <c r="Q571" s="22" t="n">
        <f aca="false">IF(DAY(B571)=1,Assumptions!B40*G571,0)</f>
        <v>0</v>
      </c>
      <c r="R571" s="22" t="n">
        <f aca="false">IF(DAY(B571)=1,Assumptions!B41*G571,0)</f>
        <v>0</v>
      </c>
      <c r="S571" s="22" t="n">
        <f aca="false">IF(AND(DAY(B571)=1,D571&gt;=13),Assumptions!B42*G571,0)</f>
        <v>0</v>
      </c>
      <c r="T571" s="22" t="n">
        <f aca="false">IF(DAY(B571)=1,Assumptions!B43*G571,0)</f>
        <v>0</v>
      </c>
      <c r="U571" s="22" t="n">
        <f aca="false">SUM(O571:T571)</f>
        <v>0</v>
      </c>
      <c r="V571" s="22" t="n">
        <f aca="false">N571-U571</f>
        <v>10500</v>
      </c>
      <c r="W571" s="22" t="n">
        <f aca="false">W570+V571</f>
        <v>-2942647.41676255</v>
      </c>
      <c r="X571" s="23" t="str">
        <f aca="false">IF(W571&gt;=0,"YES","No")</f>
        <v>No</v>
      </c>
    </row>
    <row r="572" customFormat="false" ht="15" hidden="false" customHeight="false" outlineLevel="0" collapsed="false">
      <c r="A572" s="16" t="n">
        <v>571</v>
      </c>
      <c r="B572" s="17" t="n">
        <f aca="false">B571+1</f>
        <v>46593</v>
      </c>
      <c r="C572" s="18" t="n">
        <f aca="false">MIN(ROUNDUP(A572/365,0),5)</f>
        <v>2</v>
      </c>
      <c r="D572" s="18" t="n">
        <f aca="false">DATEDIF(Assumptions!B5,B572,"m")+1</f>
        <v>19</v>
      </c>
      <c r="E572" s="18" t="str">
        <f aca="false">TEXT(B572,"ddd")</f>
        <v>Sun</v>
      </c>
      <c r="F572" s="19" t="n">
        <f aca="false">IF(WEEKDAY(B572,2)&gt;=6,Assumptions!B34,Assumptions!B35)</f>
        <v>0.6</v>
      </c>
      <c r="G572" s="20" t="n">
        <f aca="false">IF(D572&gt;=13,(1+Assumptions!B46)^(D572-12),1)</f>
        <v>1.02118994784011</v>
      </c>
      <c r="H572" s="21" t="n">
        <f aca="false">H571*(1+IF(C572=1,Assumptions!B22,Assumptions!B23))</f>
        <v>21.5290274519157</v>
      </c>
      <c r="I572" s="16" t="n">
        <f aca="false">ROUND(H572*F572,0)</f>
        <v>13</v>
      </c>
      <c r="J572" s="22" t="n">
        <f aca="false">I572*Assumptions!B24</f>
        <v>7800</v>
      </c>
      <c r="K572" s="21" t="n">
        <f aca="false">K571*(1+Assumptions!B30)</f>
        <v>15.831957993916</v>
      </c>
      <c r="L572" s="16" t="n">
        <f aca="false">ROUND(K572*F572,0)</f>
        <v>9</v>
      </c>
      <c r="M572" s="22" t="n">
        <f aca="false">L572*Assumptions!B31</f>
        <v>2700</v>
      </c>
      <c r="N572" s="22" t="n">
        <f aca="false">J572+M572</f>
        <v>10500</v>
      </c>
      <c r="O572" s="22" t="n">
        <f aca="false">IF(DAY(B572)=1,Assumptions!B38*G572,0)</f>
        <v>0</v>
      </c>
      <c r="P572" s="22" t="n">
        <f aca="false">IF(DAY(B572)=1,Assumptions!B39*G572,0)</f>
        <v>0</v>
      </c>
      <c r="Q572" s="22" t="n">
        <f aca="false">IF(DAY(B572)=1,Assumptions!B40*G572,0)</f>
        <v>0</v>
      </c>
      <c r="R572" s="22" t="n">
        <f aca="false">IF(DAY(B572)=1,Assumptions!B41*G572,0)</f>
        <v>0</v>
      </c>
      <c r="S572" s="22" t="n">
        <f aca="false">IF(AND(DAY(B572)=1,D572&gt;=13),Assumptions!B42*G572,0)</f>
        <v>0</v>
      </c>
      <c r="T572" s="22" t="n">
        <f aca="false">IF(DAY(B572)=1,Assumptions!B43*G572,0)</f>
        <v>0</v>
      </c>
      <c r="U572" s="22" t="n">
        <f aca="false">SUM(O572:T572)</f>
        <v>0</v>
      </c>
      <c r="V572" s="22" t="n">
        <f aca="false">N572-U572</f>
        <v>10500</v>
      </c>
      <c r="W572" s="22" t="n">
        <f aca="false">W571+V572</f>
        <v>-2932147.41676255</v>
      </c>
      <c r="X572" s="23" t="str">
        <f aca="false">IF(W572&gt;=0,"YES","No")</f>
        <v>No</v>
      </c>
    </row>
    <row r="573" customFormat="false" ht="15" hidden="false" customHeight="false" outlineLevel="0" collapsed="false">
      <c r="A573" s="16" t="n">
        <v>572</v>
      </c>
      <c r="B573" s="17" t="n">
        <f aca="false">B572+1</f>
        <v>46594</v>
      </c>
      <c r="C573" s="18" t="n">
        <f aca="false">MIN(ROUNDUP(A573/365,0),5)</f>
        <v>2</v>
      </c>
      <c r="D573" s="18" t="n">
        <f aca="false">DATEDIF(Assumptions!B5,B573,"m")+1</f>
        <v>19</v>
      </c>
      <c r="E573" s="18" t="str">
        <f aca="false">TEXT(B573,"ddd")</f>
        <v>Mon</v>
      </c>
      <c r="F573" s="19" t="n">
        <f aca="false">IF(WEEKDAY(B573,2)&gt;=6,Assumptions!B34,Assumptions!B35)</f>
        <v>1</v>
      </c>
      <c r="G573" s="20" t="n">
        <f aca="false">IF(D573&gt;=13,(1+Assumptions!B46)^(D573-12),1)</f>
        <v>1.02118994784011</v>
      </c>
      <c r="H573" s="21" t="n">
        <f aca="false">H572*(1+IF(C573=1,Assumptions!B22,Assumptions!B23))</f>
        <v>21.532555234943</v>
      </c>
      <c r="I573" s="16" t="n">
        <f aca="false">ROUND(H573*F573,0)</f>
        <v>22</v>
      </c>
      <c r="J573" s="22" t="n">
        <f aca="false">I573*Assumptions!B24</f>
        <v>13200</v>
      </c>
      <c r="K573" s="21" t="n">
        <f aca="false">K572*(1+Assumptions!B30)</f>
        <v>15.8371340441918</v>
      </c>
      <c r="L573" s="16" t="n">
        <f aca="false">ROUND(K573*F573,0)</f>
        <v>16</v>
      </c>
      <c r="M573" s="22" t="n">
        <f aca="false">L573*Assumptions!B31</f>
        <v>4800</v>
      </c>
      <c r="N573" s="22" t="n">
        <f aca="false">J573+M573</f>
        <v>18000</v>
      </c>
      <c r="O573" s="22" t="n">
        <f aca="false">IF(DAY(B573)=1,Assumptions!B38*G573,0)</f>
        <v>0</v>
      </c>
      <c r="P573" s="22" t="n">
        <f aca="false">IF(DAY(B573)=1,Assumptions!B39*G573,0)</f>
        <v>0</v>
      </c>
      <c r="Q573" s="22" t="n">
        <f aca="false">IF(DAY(B573)=1,Assumptions!B40*G573,0)</f>
        <v>0</v>
      </c>
      <c r="R573" s="22" t="n">
        <f aca="false">IF(DAY(B573)=1,Assumptions!B41*G573,0)</f>
        <v>0</v>
      </c>
      <c r="S573" s="22" t="n">
        <f aca="false">IF(AND(DAY(B573)=1,D573&gt;=13),Assumptions!B42*G573,0)</f>
        <v>0</v>
      </c>
      <c r="T573" s="22" t="n">
        <f aca="false">IF(DAY(B573)=1,Assumptions!B43*G573,0)</f>
        <v>0</v>
      </c>
      <c r="U573" s="22" t="n">
        <f aca="false">SUM(O573:T573)</f>
        <v>0</v>
      </c>
      <c r="V573" s="22" t="n">
        <f aca="false">N573-U573</f>
        <v>18000</v>
      </c>
      <c r="W573" s="22" t="n">
        <f aca="false">W572+V573</f>
        <v>-2914147.41676255</v>
      </c>
      <c r="X573" s="23" t="str">
        <f aca="false">IF(W573&gt;=0,"YES","No")</f>
        <v>No</v>
      </c>
    </row>
    <row r="574" customFormat="false" ht="15" hidden="false" customHeight="false" outlineLevel="0" collapsed="false">
      <c r="A574" s="16" t="n">
        <v>573</v>
      </c>
      <c r="B574" s="17" t="n">
        <f aca="false">B573+1</f>
        <v>46595</v>
      </c>
      <c r="C574" s="18" t="n">
        <f aca="false">MIN(ROUNDUP(A574/365,0),5)</f>
        <v>2</v>
      </c>
      <c r="D574" s="18" t="n">
        <f aca="false">DATEDIF(Assumptions!B5,B574,"m")+1</f>
        <v>19</v>
      </c>
      <c r="E574" s="18" t="str">
        <f aca="false">TEXT(B574,"ddd")</f>
        <v>Tue</v>
      </c>
      <c r="F574" s="19" t="n">
        <f aca="false">IF(WEEKDAY(B574,2)&gt;=6,Assumptions!B34,Assumptions!B35)</f>
        <v>1</v>
      </c>
      <c r="G574" s="20" t="n">
        <f aca="false">IF(D574&gt;=13,(1+Assumptions!B46)^(D574-12),1)</f>
        <v>1.02118994784011</v>
      </c>
      <c r="H574" s="21" t="n">
        <f aca="false">H573*(1+IF(C574=1,Assumptions!B22,Assumptions!B23))</f>
        <v>21.5360835960388</v>
      </c>
      <c r="I574" s="16" t="n">
        <f aca="false">ROUND(H574*F574,0)</f>
        <v>22</v>
      </c>
      <c r="J574" s="22" t="n">
        <f aca="false">I574*Assumptions!B24</f>
        <v>13200</v>
      </c>
      <c r="K574" s="21" t="n">
        <f aca="false">K573*(1+Assumptions!B30)</f>
        <v>15.8423117867091</v>
      </c>
      <c r="L574" s="16" t="n">
        <f aca="false">ROUND(K574*F574,0)</f>
        <v>16</v>
      </c>
      <c r="M574" s="22" t="n">
        <f aca="false">L574*Assumptions!B31</f>
        <v>4800</v>
      </c>
      <c r="N574" s="22" t="n">
        <f aca="false">J574+M574</f>
        <v>18000</v>
      </c>
      <c r="O574" s="22" t="n">
        <f aca="false">IF(DAY(B574)=1,Assumptions!B38*G574,0)</f>
        <v>0</v>
      </c>
      <c r="P574" s="22" t="n">
        <f aca="false">IF(DAY(B574)=1,Assumptions!B39*G574,0)</f>
        <v>0</v>
      </c>
      <c r="Q574" s="22" t="n">
        <f aca="false">IF(DAY(B574)=1,Assumptions!B40*G574,0)</f>
        <v>0</v>
      </c>
      <c r="R574" s="22" t="n">
        <f aca="false">IF(DAY(B574)=1,Assumptions!B41*G574,0)</f>
        <v>0</v>
      </c>
      <c r="S574" s="22" t="n">
        <f aca="false">IF(AND(DAY(B574)=1,D574&gt;=13),Assumptions!B42*G574,0)</f>
        <v>0</v>
      </c>
      <c r="T574" s="22" t="n">
        <f aca="false">IF(DAY(B574)=1,Assumptions!B43*G574,0)</f>
        <v>0</v>
      </c>
      <c r="U574" s="22" t="n">
        <f aca="false">SUM(O574:T574)</f>
        <v>0</v>
      </c>
      <c r="V574" s="22" t="n">
        <f aca="false">N574-U574</f>
        <v>18000</v>
      </c>
      <c r="W574" s="22" t="n">
        <f aca="false">W573+V574</f>
        <v>-2896147.41676255</v>
      </c>
      <c r="X574" s="23" t="str">
        <f aca="false">IF(W574&gt;=0,"YES","No")</f>
        <v>No</v>
      </c>
    </row>
    <row r="575" customFormat="false" ht="15" hidden="false" customHeight="false" outlineLevel="0" collapsed="false">
      <c r="A575" s="16" t="n">
        <v>574</v>
      </c>
      <c r="B575" s="17" t="n">
        <f aca="false">B574+1</f>
        <v>46596</v>
      </c>
      <c r="C575" s="18" t="n">
        <f aca="false">MIN(ROUNDUP(A575/365,0),5)</f>
        <v>2</v>
      </c>
      <c r="D575" s="18" t="n">
        <f aca="false">DATEDIF(Assumptions!B5,B575,"m")+1</f>
        <v>19</v>
      </c>
      <c r="E575" s="18" t="str">
        <f aca="false">TEXT(B575,"ddd")</f>
        <v>Wed</v>
      </c>
      <c r="F575" s="19" t="n">
        <f aca="false">IF(WEEKDAY(B575,2)&gt;=6,Assumptions!B34,Assumptions!B35)</f>
        <v>1</v>
      </c>
      <c r="G575" s="20" t="n">
        <f aca="false">IF(D575&gt;=13,(1+Assumptions!B46)^(D575-12),1)</f>
        <v>1.02118994784011</v>
      </c>
      <c r="H575" s="21" t="n">
        <f aca="false">H574*(1+IF(C575=1,Assumptions!B22,Assumptions!B23))</f>
        <v>21.5396125352979</v>
      </c>
      <c r="I575" s="16" t="n">
        <f aca="false">ROUND(H575*F575,0)</f>
        <v>22</v>
      </c>
      <c r="J575" s="22" t="n">
        <f aca="false">I575*Assumptions!B24</f>
        <v>13200</v>
      </c>
      <c r="K575" s="21" t="n">
        <f aca="false">K574*(1+Assumptions!B30)</f>
        <v>15.8474912220212</v>
      </c>
      <c r="L575" s="16" t="n">
        <f aca="false">ROUND(K575*F575,0)</f>
        <v>16</v>
      </c>
      <c r="M575" s="22" t="n">
        <f aca="false">L575*Assumptions!B31</f>
        <v>4800</v>
      </c>
      <c r="N575" s="22" t="n">
        <f aca="false">J575+M575</f>
        <v>18000</v>
      </c>
      <c r="O575" s="22" t="n">
        <f aca="false">IF(DAY(B575)=1,Assumptions!B38*G575,0)</f>
        <v>0</v>
      </c>
      <c r="P575" s="22" t="n">
        <f aca="false">IF(DAY(B575)=1,Assumptions!B39*G575,0)</f>
        <v>0</v>
      </c>
      <c r="Q575" s="22" t="n">
        <f aca="false">IF(DAY(B575)=1,Assumptions!B40*G575,0)</f>
        <v>0</v>
      </c>
      <c r="R575" s="22" t="n">
        <f aca="false">IF(DAY(B575)=1,Assumptions!B41*G575,0)</f>
        <v>0</v>
      </c>
      <c r="S575" s="22" t="n">
        <f aca="false">IF(AND(DAY(B575)=1,D575&gt;=13),Assumptions!B42*G575,0)</f>
        <v>0</v>
      </c>
      <c r="T575" s="22" t="n">
        <f aca="false">IF(DAY(B575)=1,Assumptions!B43*G575,0)</f>
        <v>0</v>
      </c>
      <c r="U575" s="22" t="n">
        <f aca="false">SUM(O575:T575)</f>
        <v>0</v>
      </c>
      <c r="V575" s="22" t="n">
        <f aca="false">N575-U575</f>
        <v>18000</v>
      </c>
      <c r="W575" s="22" t="n">
        <f aca="false">W574+V575</f>
        <v>-2878147.41676255</v>
      </c>
      <c r="X575" s="23" t="str">
        <f aca="false">IF(W575&gt;=0,"YES","No")</f>
        <v>No</v>
      </c>
    </row>
    <row r="576" customFormat="false" ht="15" hidden="false" customHeight="false" outlineLevel="0" collapsed="false">
      <c r="A576" s="16" t="n">
        <v>575</v>
      </c>
      <c r="B576" s="17" t="n">
        <f aca="false">B575+1</f>
        <v>46597</v>
      </c>
      <c r="C576" s="18" t="n">
        <f aca="false">MIN(ROUNDUP(A576/365,0),5)</f>
        <v>2</v>
      </c>
      <c r="D576" s="18" t="n">
        <f aca="false">DATEDIF(Assumptions!B5,B576,"m")+1</f>
        <v>19</v>
      </c>
      <c r="E576" s="18" t="str">
        <f aca="false">TEXT(B576,"ddd")</f>
        <v>Thu</v>
      </c>
      <c r="F576" s="19" t="n">
        <f aca="false">IF(WEEKDAY(B576,2)&gt;=6,Assumptions!B34,Assumptions!B35)</f>
        <v>1</v>
      </c>
      <c r="G576" s="20" t="n">
        <f aca="false">IF(D576&gt;=13,(1+Assumptions!B46)^(D576-12),1)</f>
        <v>1.02118994784011</v>
      </c>
      <c r="H576" s="21" t="n">
        <f aca="false">H575*(1+IF(C576=1,Assumptions!B22,Assumptions!B23))</f>
        <v>21.5431420528149</v>
      </c>
      <c r="I576" s="16" t="n">
        <f aca="false">ROUND(H576*F576,0)</f>
        <v>22</v>
      </c>
      <c r="J576" s="22" t="n">
        <f aca="false">I576*Assumptions!B24</f>
        <v>13200</v>
      </c>
      <c r="K576" s="21" t="n">
        <f aca="false">K575*(1+Assumptions!B30)</f>
        <v>15.8526723506815</v>
      </c>
      <c r="L576" s="16" t="n">
        <f aca="false">ROUND(K576*F576,0)</f>
        <v>16</v>
      </c>
      <c r="M576" s="22" t="n">
        <f aca="false">L576*Assumptions!B31</f>
        <v>4800</v>
      </c>
      <c r="N576" s="22" t="n">
        <f aca="false">J576+M576</f>
        <v>18000</v>
      </c>
      <c r="O576" s="22" t="n">
        <f aca="false">IF(DAY(B576)=1,Assumptions!B38*G576,0)</f>
        <v>0</v>
      </c>
      <c r="P576" s="22" t="n">
        <f aca="false">IF(DAY(B576)=1,Assumptions!B39*G576,0)</f>
        <v>0</v>
      </c>
      <c r="Q576" s="22" t="n">
        <f aca="false">IF(DAY(B576)=1,Assumptions!B40*G576,0)</f>
        <v>0</v>
      </c>
      <c r="R576" s="22" t="n">
        <f aca="false">IF(DAY(B576)=1,Assumptions!B41*G576,0)</f>
        <v>0</v>
      </c>
      <c r="S576" s="22" t="n">
        <f aca="false">IF(AND(DAY(B576)=1,D576&gt;=13),Assumptions!B42*G576,0)</f>
        <v>0</v>
      </c>
      <c r="T576" s="22" t="n">
        <f aca="false">IF(DAY(B576)=1,Assumptions!B43*G576,0)</f>
        <v>0</v>
      </c>
      <c r="U576" s="22" t="n">
        <f aca="false">SUM(O576:T576)</f>
        <v>0</v>
      </c>
      <c r="V576" s="22" t="n">
        <f aca="false">N576-U576</f>
        <v>18000</v>
      </c>
      <c r="W576" s="22" t="n">
        <f aca="false">W575+V576</f>
        <v>-2860147.41676255</v>
      </c>
      <c r="X576" s="23" t="str">
        <f aca="false">IF(W576&gt;=0,"YES","No")</f>
        <v>No</v>
      </c>
    </row>
    <row r="577" customFormat="false" ht="15" hidden="false" customHeight="false" outlineLevel="0" collapsed="false">
      <c r="A577" s="16" t="n">
        <v>576</v>
      </c>
      <c r="B577" s="17" t="n">
        <f aca="false">B576+1</f>
        <v>46598</v>
      </c>
      <c r="C577" s="18" t="n">
        <f aca="false">MIN(ROUNDUP(A577/365,0),5)</f>
        <v>2</v>
      </c>
      <c r="D577" s="18" t="n">
        <f aca="false">DATEDIF(Assumptions!B5,B577,"m")+1</f>
        <v>19</v>
      </c>
      <c r="E577" s="18" t="str">
        <f aca="false">TEXT(B577,"ddd")</f>
        <v>Fri</v>
      </c>
      <c r="F577" s="19" t="n">
        <f aca="false">IF(WEEKDAY(B577,2)&gt;=6,Assumptions!B34,Assumptions!B35)</f>
        <v>1</v>
      </c>
      <c r="G577" s="20" t="n">
        <f aca="false">IF(D577&gt;=13,(1+Assumptions!B46)^(D577-12),1)</f>
        <v>1.02118994784011</v>
      </c>
      <c r="H577" s="21" t="n">
        <f aca="false">H576*(1+IF(C577=1,Assumptions!B22,Assumptions!B23))</f>
        <v>21.5466721486847</v>
      </c>
      <c r="I577" s="16" t="n">
        <f aca="false">ROUND(H577*F577,0)</f>
        <v>22</v>
      </c>
      <c r="J577" s="22" t="n">
        <f aca="false">I577*Assumptions!B24</f>
        <v>13200</v>
      </c>
      <c r="K577" s="21" t="n">
        <f aca="false">K576*(1+Assumptions!B30)</f>
        <v>15.8578551732437</v>
      </c>
      <c r="L577" s="16" t="n">
        <f aca="false">ROUND(K577*F577,0)</f>
        <v>16</v>
      </c>
      <c r="M577" s="22" t="n">
        <f aca="false">L577*Assumptions!B31</f>
        <v>4800</v>
      </c>
      <c r="N577" s="22" t="n">
        <f aca="false">J577+M577</f>
        <v>18000</v>
      </c>
      <c r="O577" s="22" t="n">
        <f aca="false">IF(DAY(B577)=1,Assumptions!B38*G577,0)</f>
        <v>0</v>
      </c>
      <c r="P577" s="22" t="n">
        <f aca="false">IF(DAY(B577)=1,Assumptions!B39*G577,0)</f>
        <v>0</v>
      </c>
      <c r="Q577" s="22" t="n">
        <f aca="false">IF(DAY(B577)=1,Assumptions!B40*G577,0)</f>
        <v>0</v>
      </c>
      <c r="R577" s="22" t="n">
        <f aca="false">IF(DAY(B577)=1,Assumptions!B41*G577,0)</f>
        <v>0</v>
      </c>
      <c r="S577" s="22" t="n">
        <f aca="false">IF(AND(DAY(B577)=1,D577&gt;=13),Assumptions!B42*G577,0)</f>
        <v>0</v>
      </c>
      <c r="T577" s="22" t="n">
        <f aca="false">IF(DAY(B577)=1,Assumptions!B43*G577,0)</f>
        <v>0</v>
      </c>
      <c r="U577" s="22" t="n">
        <f aca="false">SUM(O577:T577)</f>
        <v>0</v>
      </c>
      <c r="V577" s="22" t="n">
        <f aca="false">N577-U577</f>
        <v>18000</v>
      </c>
      <c r="W577" s="22" t="n">
        <f aca="false">W576+V577</f>
        <v>-2842147.41676255</v>
      </c>
      <c r="X577" s="23" t="str">
        <f aca="false">IF(W577&gt;=0,"YES","No")</f>
        <v>No</v>
      </c>
    </row>
    <row r="578" customFormat="false" ht="15" hidden="false" customHeight="false" outlineLevel="0" collapsed="false">
      <c r="A578" s="16" t="n">
        <v>577</v>
      </c>
      <c r="B578" s="17" t="n">
        <f aca="false">B577+1</f>
        <v>46599</v>
      </c>
      <c r="C578" s="18" t="n">
        <f aca="false">MIN(ROUNDUP(A578/365,0),5)</f>
        <v>2</v>
      </c>
      <c r="D578" s="18" t="n">
        <f aca="false">DATEDIF(Assumptions!B5,B578,"m")+1</f>
        <v>19</v>
      </c>
      <c r="E578" s="18" t="str">
        <f aca="false">TEXT(B578,"ddd")</f>
        <v>Sat</v>
      </c>
      <c r="F578" s="19" t="n">
        <f aca="false">IF(WEEKDAY(B578,2)&gt;=6,Assumptions!B34,Assumptions!B35)</f>
        <v>0.6</v>
      </c>
      <c r="G578" s="20" t="n">
        <f aca="false">IF(D578&gt;=13,(1+Assumptions!B46)^(D578-12),1)</f>
        <v>1.02118994784011</v>
      </c>
      <c r="H578" s="21" t="n">
        <f aca="false">H577*(1+IF(C578=1,Assumptions!B22,Assumptions!B23))</f>
        <v>21.550202823002</v>
      </c>
      <c r="I578" s="16" t="n">
        <f aca="false">ROUND(H578*F578,0)</f>
        <v>13</v>
      </c>
      <c r="J578" s="22" t="n">
        <f aca="false">I578*Assumptions!B24</f>
        <v>7800</v>
      </c>
      <c r="K578" s="21" t="n">
        <f aca="false">K577*(1+Assumptions!B30)</f>
        <v>15.8630396902614</v>
      </c>
      <c r="L578" s="16" t="n">
        <f aca="false">ROUND(K578*F578,0)</f>
        <v>10</v>
      </c>
      <c r="M578" s="22" t="n">
        <f aca="false">L578*Assumptions!B31</f>
        <v>3000</v>
      </c>
      <c r="N578" s="22" t="n">
        <f aca="false">J578+M578</f>
        <v>10800</v>
      </c>
      <c r="O578" s="22" t="n">
        <f aca="false">IF(DAY(B578)=1,Assumptions!B38*G578,0)</f>
        <v>0</v>
      </c>
      <c r="P578" s="22" t="n">
        <f aca="false">IF(DAY(B578)=1,Assumptions!B39*G578,0)</f>
        <v>0</v>
      </c>
      <c r="Q578" s="22" t="n">
        <f aca="false">IF(DAY(B578)=1,Assumptions!B40*G578,0)</f>
        <v>0</v>
      </c>
      <c r="R578" s="22" t="n">
        <f aca="false">IF(DAY(B578)=1,Assumptions!B41*G578,0)</f>
        <v>0</v>
      </c>
      <c r="S578" s="22" t="n">
        <f aca="false">IF(AND(DAY(B578)=1,D578&gt;=13),Assumptions!B42*G578,0)</f>
        <v>0</v>
      </c>
      <c r="T578" s="22" t="n">
        <f aca="false">IF(DAY(B578)=1,Assumptions!B43*G578,0)</f>
        <v>0</v>
      </c>
      <c r="U578" s="22" t="n">
        <f aca="false">SUM(O578:T578)</f>
        <v>0</v>
      </c>
      <c r="V578" s="22" t="n">
        <f aca="false">N578-U578</f>
        <v>10800</v>
      </c>
      <c r="W578" s="22" t="n">
        <f aca="false">W577+V578</f>
        <v>-2831347.41676255</v>
      </c>
      <c r="X578" s="23" t="str">
        <f aca="false">IF(W578&gt;=0,"YES","No")</f>
        <v>No</v>
      </c>
    </row>
    <row r="579" customFormat="false" ht="15" hidden="false" customHeight="false" outlineLevel="0" collapsed="false">
      <c r="A579" s="16" t="n">
        <v>578</v>
      </c>
      <c r="B579" s="17" t="n">
        <f aca="false">B578+1</f>
        <v>46600</v>
      </c>
      <c r="C579" s="18" t="n">
        <f aca="false">MIN(ROUNDUP(A579/365,0),5)</f>
        <v>2</v>
      </c>
      <c r="D579" s="18" t="n">
        <f aca="false">DATEDIF(Assumptions!B5,B579,"m")+1</f>
        <v>20</v>
      </c>
      <c r="E579" s="18" t="str">
        <f aca="false">TEXT(B579,"ddd")</f>
        <v>Sun</v>
      </c>
      <c r="F579" s="19" t="n">
        <f aca="false">IF(WEEKDAY(B579,2)&gt;=6,Assumptions!B34,Assumptions!B35)</f>
        <v>0.6</v>
      </c>
      <c r="G579" s="20" t="n">
        <f aca="false">IF(D579&gt;=13,(1+Assumptions!B46)^(D579-12),1)</f>
        <v>1.02425351768363</v>
      </c>
      <c r="H579" s="21" t="n">
        <f aca="false">H578*(1+IF(C579=1,Assumptions!B22,Assumptions!B23))</f>
        <v>21.5537340758616</v>
      </c>
      <c r="I579" s="16" t="n">
        <f aca="false">ROUND(H579*F579,0)</f>
        <v>13</v>
      </c>
      <c r="J579" s="22" t="n">
        <f aca="false">I579*Assumptions!B24</f>
        <v>7800</v>
      </c>
      <c r="K579" s="21" t="n">
        <f aca="false">K578*(1+Assumptions!B30)</f>
        <v>15.8682259022887</v>
      </c>
      <c r="L579" s="16" t="n">
        <f aca="false">ROUND(K579*F579,0)</f>
        <v>10</v>
      </c>
      <c r="M579" s="22" t="n">
        <f aca="false">L579*Assumptions!B31</f>
        <v>3000</v>
      </c>
      <c r="N579" s="22" t="n">
        <f aca="false">J579+M579</f>
        <v>10800</v>
      </c>
      <c r="O579" s="22" t="n">
        <f aca="false">IF(DAY(B579)=1,Assumptions!B38*G579,0)</f>
        <v>153638.027652544</v>
      </c>
      <c r="P579" s="22" t="n">
        <f aca="false">IF(DAY(B579)=1,Assumptions!B39*G579,0)</f>
        <v>40970.1407073451</v>
      </c>
      <c r="Q579" s="22" t="n">
        <f aca="false">IF(DAY(B579)=1,Assumptions!B40*G579,0)</f>
        <v>30727.6055305088</v>
      </c>
      <c r="R579" s="22" t="n">
        <f aca="false">IF(DAY(B579)=1,Assumptions!B41*G579,0)</f>
        <v>20485.0703536726</v>
      </c>
      <c r="S579" s="22" t="n">
        <f aca="false">IF(AND(DAY(B579)=1,D579&gt;=13),Assumptions!B42*G579,0)</f>
        <v>153638.027652544</v>
      </c>
      <c r="T579" s="22" t="n">
        <f aca="false">IF(DAY(B579)=1,Assumptions!B43*G579,0)</f>
        <v>20485.0703536726</v>
      </c>
      <c r="U579" s="22" t="n">
        <f aca="false">SUM(O579:T579)</f>
        <v>419943.942250287</v>
      </c>
      <c r="V579" s="22" t="n">
        <f aca="false">N579-U579</f>
        <v>-409143.942250287</v>
      </c>
      <c r="W579" s="22" t="n">
        <f aca="false">W578+V579</f>
        <v>-3240491.35901284</v>
      </c>
      <c r="X579" s="23" t="str">
        <f aca="false">IF(W579&gt;=0,"YES","No")</f>
        <v>No</v>
      </c>
    </row>
    <row r="580" customFormat="false" ht="15" hidden="false" customHeight="false" outlineLevel="0" collapsed="false">
      <c r="A580" s="16" t="n">
        <v>579</v>
      </c>
      <c r="B580" s="17" t="n">
        <f aca="false">B579+1</f>
        <v>46601</v>
      </c>
      <c r="C580" s="18" t="n">
        <f aca="false">MIN(ROUNDUP(A580/365,0),5)</f>
        <v>2</v>
      </c>
      <c r="D580" s="18" t="n">
        <f aca="false">DATEDIF(Assumptions!B5,B580,"m")+1</f>
        <v>20</v>
      </c>
      <c r="E580" s="18" t="str">
        <f aca="false">TEXT(B580,"ddd")</f>
        <v>Mon</v>
      </c>
      <c r="F580" s="19" t="n">
        <f aca="false">IF(WEEKDAY(B580,2)&gt;=6,Assumptions!B34,Assumptions!B35)</f>
        <v>1</v>
      </c>
      <c r="G580" s="20" t="n">
        <f aca="false">IF(D580&gt;=13,(1+Assumptions!B46)^(D580-12),1)</f>
        <v>1.02425351768363</v>
      </c>
      <c r="H580" s="21" t="n">
        <f aca="false">H579*(1+IF(C580=1,Assumptions!B22,Assumptions!B23))</f>
        <v>21.5572659073582</v>
      </c>
      <c r="I580" s="16" t="n">
        <f aca="false">ROUND(H580*F580,0)</f>
        <v>22</v>
      </c>
      <c r="J580" s="22" t="n">
        <f aca="false">I580*Assumptions!B24</f>
        <v>13200</v>
      </c>
      <c r="K580" s="21" t="n">
        <f aca="false">K579*(1+Assumptions!B30)</f>
        <v>15.8734138098798</v>
      </c>
      <c r="L580" s="16" t="n">
        <f aca="false">ROUND(K580*F580,0)</f>
        <v>16</v>
      </c>
      <c r="M580" s="22" t="n">
        <f aca="false">L580*Assumptions!B31</f>
        <v>4800</v>
      </c>
      <c r="N580" s="22" t="n">
        <f aca="false">J580+M580</f>
        <v>18000</v>
      </c>
      <c r="O580" s="22" t="n">
        <f aca="false">IF(DAY(B580)=1,Assumptions!B38*G580,0)</f>
        <v>0</v>
      </c>
      <c r="P580" s="22" t="n">
        <f aca="false">IF(DAY(B580)=1,Assumptions!B39*G580,0)</f>
        <v>0</v>
      </c>
      <c r="Q580" s="22" t="n">
        <f aca="false">IF(DAY(B580)=1,Assumptions!B40*G580,0)</f>
        <v>0</v>
      </c>
      <c r="R580" s="22" t="n">
        <f aca="false">IF(DAY(B580)=1,Assumptions!B41*G580,0)</f>
        <v>0</v>
      </c>
      <c r="S580" s="22" t="n">
        <f aca="false">IF(AND(DAY(B580)=1,D580&gt;=13),Assumptions!B42*G580,0)</f>
        <v>0</v>
      </c>
      <c r="T580" s="22" t="n">
        <f aca="false">IF(DAY(B580)=1,Assumptions!B43*G580,0)</f>
        <v>0</v>
      </c>
      <c r="U580" s="22" t="n">
        <f aca="false">SUM(O580:T580)</f>
        <v>0</v>
      </c>
      <c r="V580" s="22" t="n">
        <f aca="false">N580-U580</f>
        <v>18000</v>
      </c>
      <c r="W580" s="22" t="n">
        <f aca="false">W579+V580</f>
        <v>-3222491.35901284</v>
      </c>
      <c r="X580" s="23" t="str">
        <f aca="false">IF(W580&gt;=0,"YES","No")</f>
        <v>No</v>
      </c>
    </row>
    <row r="581" customFormat="false" ht="15" hidden="false" customHeight="false" outlineLevel="0" collapsed="false">
      <c r="A581" s="16" t="n">
        <v>580</v>
      </c>
      <c r="B581" s="17" t="n">
        <f aca="false">B580+1</f>
        <v>46602</v>
      </c>
      <c r="C581" s="18" t="n">
        <f aca="false">MIN(ROUNDUP(A581/365,0),5)</f>
        <v>2</v>
      </c>
      <c r="D581" s="18" t="n">
        <f aca="false">DATEDIF(Assumptions!B5,B581,"m")+1</f>
        <v>20</v>
      </c>
      <c r="E581" s="18" t="str">
        <f aca="false">TEXT(B581,"ddd")</f>
        <v>Tue</v>
      </c>
      <c r="F581" s="19" t="n">
        <f aca="false">IF(WEEKDAY(B581,2)&gt;=6,Assumptions!B34,Assumptions!B35)</f>
        <v>1</v>
      </c>
      <c r="G581" s="20" t="n">
        <f aca="false">IF(D581&gt;=13,(1+Assumptions!B46)^(D581-12),1)</f>
        <v>1.02425351768363</v>
      </c>
      <c r="H581" s="21" t="n">
        <f aca="false">H580*(1+IF(C581=1,Assumptions!B22,Assumptions!B23))</f>
        <v>21.5607983175868</v>
      </c>
      <c r="I581" s="16" t="n">
        <f aca="false">ROUND(H581*F581,0)</f>
        <v>22</v>
      </c>
      <c r="J581" s="22" t="n">
        <f aca="false">I581*Assumptions!B24</f>
        <v>13200</v>
      </c>
      <c r="K581" s="21" t="n">
        <f aca="false">K580*(1+Assumptions!B30)</f>
        <v>15.878603413589</v>
      </c>
      <c r="L581" s="16" t="n">
        <f aca="false">ROUND(K581*F581,0)</f>
        <v>16</v>
      </c>
      <c r="M581" s="22" t="n">
        <f aca="false">L581*Assumptions!B31</f>
        <v>4800</v>
      </c>
      <c r="N581" s="22" t="n">
        <f aca="false">J581+M581</f>
        <v>18000</v>
      </c>
      <c r="O581" s="22" t="n">
        <f aca="false">IF(DAY(B581)=1,Assumptions!B38*G581,0)</f>
        <v>0</v>
      </c>
      <c r="P581" s="22" t="n">
        <f aca="false">IF(DAY(B581)=1,Assumptions!B39*G581,0)</f>
        <v>0</v>
      </c>
      <c r="Q581" s="22" t="n">
        <f aca="false">IF(DAY(B581)=1,Assumptions!B40*G581,0)</f>
        <v>0</v>
      </c>
      <c r="R581" s="22" t="n">
        <f aca="false">IF(DAY(B581)=1,Assumptions!B41*G581,0)</f>
        <v>0</v>
      </c>
      <c r="S581" s="22" t="n">
        <f aca="false">IF(AND(DAY(B581)=1,D581&gt;=13),Assumptions!B42*G581,0)</f>
        <v>0</v>
      </c>
      <c r="T581" s="22" t="n">
        <f aca="false">IF(DAY(B581)=1,Assumptions!B43*G581,0)</f>
        <v>0</v>
      </c>
      <c r="U581" s="22" t="n">
        <f aca="false">SUM(O581:T581)</f>
        <v>0</v>
      </c>
      <c r="V581" s="22" t="n">
        <f aca="false">N581-U581</f>
        <v>18000</v>
      </c>
      <c r="W581" s="22" t="n">
        <f aca="false">W580+V581</f>
        <v>-3204491.35901284</v>
      </c>
      <c r="X581" s="23" t="str">
        <f aca="false">IF(W581&gt;=0,"YES","No")</f>
        <v>No</v>
      </c>
    </row>
    <row r="582" customFormat="false" ht="15" hidden="false" customHeight="false" outlineLevel="0" collapsed="false">
      <c r="A582" s="16" t="n">
        <v>581</v>
      </c>
      <c r="B582" s="17" t="n">
        <f aca="false">B581+1</f>
        <v>46603</v>
      </c>
      <c r="C582" s="18" t="n">
        <f aca="false">MIN(ROUNDUP(A582/365,0),5)</f>
        <v>2</v>
      </c>
      <c r="D582" s="18" t="n">
        <f aca="false">DATEDIF(Assumptions!B5,B582,"m")+1</f>
        <v>20</v>
      </c>
      <c r="E582" s="18" t="str">
        <f aca="false">TEXT(B582,"ddd")</f>
        <v>Wed</v>
      </c>
      <c r="F582" s="19" t="n">
        <f aca="false">IF(WEEKDAY(B582,2)&gt;=6,Assumptions!B34,Assumptions!B35)</f>
        <v>1</v>
      </c>
      <c r="G582" s="20" t="n">
        <f aca="false">IF(D582&gt;=13,(1+Assumptions!B46)^(D582-12),1)</f>
        <v>1.02425351768363</v>
      </c>
      <c r="H582" s="21" t="n">
        <f aca="false">H581*(1+IF(C582=1,Assumptions!B22,Assumptions!B23))</f>
        <v>21.5643313066421</v>
      </c>
      <c r="I582" s="16" t="n">
        <f aca="false">ROUND(H582*F582,0)</f>
        <v>22</v>
      </c>
      <c r="J582" s="22" t="n">
        <f aca="false">I582*Assumptions!B24</f>
        <v>13200</v>
      </c>
      <c r="K582" s="21" t="n">
        <f aca="false">K581*(1+Assumptions!B30)</f>
        <v>15.8837947139708</v>
      </c>
      <c r="L582" s="16" t="n">
        <f aca="false">ROUND(K582*F582,0)</f>
        <v>16</v>
      </c>
      <c r="M582" s="22" t="n">
        <f aca="false">L582*Assumptions!B31</f>
        <v>4800</v>
      </c>
      <c r="N582" s="22" t="n">
        <f aca="false">J582+M582</f>
        <v>18000</v>
      </c>
      <c r="O582" s="22" t="n">
        <f aca="false">IF(DAY(B582)=1,Assumptions!B38*G582,0)</f>
        <v>0</v>
      </c>
      <c r="P582" s="22" t="n">
        <f aca="false">IF(DAY(B582)=1,Assumptions!B39*G582,0)</f>
        <v>0</v>
      </c>
      <c r="Q582" s="22" t="n">
        <f aca="false">IF(DAY(B582)=1,Assumptions!B40*G582,0)</f>
        <v>0</v>
      </c>
      <c r="R582" s="22" t="n">
        <f aca="false">IF(DAY(B582)=1,Assumptions!B41*G582,0)</f>
        <v>0</v>
      </c>
      <c r="S582" s="22" t="n">
        <f aca="false">IF(AND(DAY(B582)=1,D582&gt;=13),Assumptions!B42*G582,0)</f>
        <v>0</v>
      </c>
      <c r="T582" s="22" t="n">
        <f aca="false">IF(DAY(B582)=1,Assumptions!B43*G582,0)</f>
        <v>0</v>
      </c>
      <c r="U582" s="22" t="n">
        <f aca="false">SUM(O582:T582)</f>
        <v>0</v>
      </c>
      <c r="V582" s="22" t="n">
        <f aca="false">N582-U582</f>
        <v>18000</v>
      </c>
      <c r="W582" s="22" t="n">
        <f aca="false">W581+V582</f>
        <v>-3186491.35901284</v>
      </c>
      <c r="X582" s="23" t="str">
        <f aca="false">IF(W582&gt;=0,"YES","No")</f>
        <v>No</v>
      </c>
    </row>
    <row r="583" customFormat="false" ht="15" hidden="false" customHeight="false" outlineLevel="0" collapsed="false">
      <c r="A583" s="16" t="n">
        <v>582</v>
      </c>
      <c r="B583" s="17" t="n">
        <f aca="false">B582+1</f>
        <v>46604</v>
      </c>
      <c r="C583" s="18" t="n">
        <f aca="false">MIN(ROUNDUP(A583/365,0),5)</f>
        <v>2</v>
      </c>
      <c r="D583" s="18" t="n">
        <f aca="false">DATEDIF(Assumptions!B5,B583,"m")+1</f>
        <v>20</v>
      </c>
      <c r="E583" s="18" t="str">
        <f aca="false">TEXT(B583,"ddd")</f>
        <v>Thu</v>
      </c>
      <c r="F583" s="19" t="n">
        <f aca="false">IF(WEEKDAY(B583,2)&gt;=6,Assumptions!B34,Assumptions!B35)</f>
        <v>1</v>
      </c>
      <c r="G583" s="20" t="n">
        <f aca="false">IF(D583&gt;=13,(1+Assumptions!B46)^(D583-12),1)</f>
        <v>1.02425351768363</v>
      </c>
      <c r="H583" s="21" t="n">
        <f aca="false">H582*(1+IF(C583=1,Assumptions!B22,Assumptions!B23))</f>
        <v>21.5678648746191</v>
      </c>
      <c r="I583" s="16" t="n">
        <f aca="false">ROUND(H583*F583,0)</f>
        <v>22</v>
      </c>
      <c r="J583" s="22" t="n">
        <f aca="false">I583*Assumptions!B24</f>
        <v>13200</v>
      </c>
      <c r="K583" s="21" t="n">
        <f aca="false">K582*(1+Assumptions!B30)</f>
        <v>15.88898771158</v>
      </c>
      <c r="L583" s="16" t="n">
        <f aca="false">ROUND(K583*F583,0)</f>
        <v>16</v>
      </c>
      <c r="M583" s="22" t="n">
        <f aca="false">L583*Assumptions!B31</f>
        <v>4800</v>
      </c>
      <c r="N583" s="22" t="n">
        <f aca="false">J583+M583</f>
        <v>18000</v>
      </c>
      <c r="O583" s="22" t="n">
        <f aca="false">IF(DAY(B583)=1,Assumptions!B38*G583,0)</f>
        <v>0</v>
      </c>
      <c r="P583" s="22" t="n">
        <f aca="false">IF(DAY(B583)=1,Assumptions!B39*G583,0)</f>
        <v>0</v>
      </c>
      <c r="Q583" s="22" t="n">
        <f aca="false">IF(DAY(B583)=1,Assumptions!B40*G583,0)</f>
        <v>0</v>
      </c>
      <c r="R583" s="22" t="n">
        <f aca="false">IF(DAY(B583)=1,Assumptions!B41*G583,0)</f>
        <v>0</v>
      </c>
      <c r="S583" s="22" t="n">
        <f aca="false">IF(AND(DAY(B583)=1,D583&gt;=13),Assumptions!B42*G583,0)</f>
        <v>0</v>
      </c>
      <c r="T583" s="22" t="n">
        <f aca="false">IF(DAY(B583)=1,Assumptions!B43*G583,0)</f>
        <v>0</v>
      </c>
      <c r="U583" s="22" t="n">
        <f aca="false">SUM(O583:T583)</f>
        <v>0</v>
      </c>
      <c r="V583" s="22" t="n">
        <f aca="false">N583-U583</f>
        <v>18000</v>
      </c>
      <c r="W583" s="22" t="n">
        <f aca="false">W582+V583</f>
        <v>-3168491.35901284</v>
      </c>
      <c r="X583" s="23" t="str">
        <f aca="false">IF(W583&gt;=0,"YES","No")</f>
        <v>No</v>
      </c>
    </row>
    <row r="584" customFormat="false" ht="15" hidden="false" customHeight="false" outlineLevel="0" collapsed="false">
      <c r="A584" s="16" t="n">
        <v>583</v>
      </c>
      <c r="B584" s="17" t="n">
        <f aca="false">B583+1</f>
        <v>46605</v>
      </c>
      <c r="C584" s="18" t="n">
        <f aca="false">MIN(ROUNDUP(A584/365,0),5)</f>
        <v>2</v>
      </c>
      <c r="D584" s="18" t="n">
        <f aca="false">DATEDIF(Assumptions!B5,B584,"m")+1</f>
        <v>20</v>
      </c>
      <c r="E584" s="18" t="str">
        <f aca="false">TEXT(B584,"ddd")</f>
        <v>Fri</v>
      </c>
      <c r="F584" s="19" t="n">
        <f aca="false">IF(WEEKDAY(B584,2)&gt;=6,Assumptions!B34,Assumptions!B35)</f>
        <v>1</v>
      </c>
      <c r="G584" s="20" t="n">
        <f aca="false">IF(D584&gt;=13,(1+Assumptions!B46)^(D584-12),1)</f>
        <v>1.02425351768363</v>
      </c>
      <c r="H584" s="21" t="n">
        <f aca="false">H583*(1+IF(C584=1,Assumptions!B22,Assumptions!B23))</f>
        <v>21.5713990216124</v>
      </c>
      <c r="I584" s="16" t="n">
        <f aca="false">ROUND(H584*F584,0)</f>
        <v>22</v>
      </c>
      <c r="J584" s="22" t="n">
        <f aca="false">I584*Assumptions!B24</f>
        <v>13200</v>
      </c>
      <c r="K584" s="21" t="n">
        <f aca="false">K583*(1+Assumptions!B30)</f>
        <v>15.8941824069713</v>
      </c>
      <c r="L584" s="16" t="n">
        <f aca="false">ROUND(K584*F584,0)</f>
        <v>16</v>
      </c>
      <c r="M584" s="22" t="n">
        <f aca="false">L584*Assumptions!B31</f>
        <v>4800</v>
      </c>
      <c r="N584" s="22" t="n">
        <f aca="false">J584+M584</f>
        <v>18000</v>
      </c>
      <c r="O584" s="22" t="n">
        <f aca="false">IF(DAY(B584)=1,Assumptions!B38*G584,0)</f>
        <v>0</v>
      </c>
      <c r="P584" s="22" t="n">
        <f aca="false">IF(DAY(B584)=1,Assumptions!B39*G584,0)</f>
        <v>0</v>
      </c>
      <c r="Q584" s="22" t="n">
        <f aca="false">IF(DAY(B584)=1,Assumptions!B40*G584,0)</f>
        <v>0</v>
      </c>
      <c r="R584" s="22" t="n">
        <f aca="false">IF(DAY(B584)=1,Assumptions!B41*G584,0)</f>
        <v>0</v>
      </c>
      <c r="S584" s="22" t="n">
        <f aca="false">IF(AND(DAY(B584)=1,D584&gt;=13),Assumptions!B42*G584,0)</f>
        <v>0</v>
      </c>
      <c r="T584" s="22" t="n">
        <f aca="false">IF(DAY(B584)=1,Assumptions!B43*G584,0)</f>
        <v>0</v>
      </c>
      <c r="U584" s="22" t="n">
        <f aca="false">SUM(O584:T584)</f>
        <v>0</v>
      </c>
      <c r="V584" s="22" t="n">
        <f aca="false">N584-U584</f>
        <v>18000</v>
      </c>
      <c r="W584" s="22" t="n">
        <f aca="false">W583+V584</f>
        <v>-3150491.35901284</v>
      </c>
      <c r="X584" s="23" t="str">
        <f aca="false">IF(W584&gt;=0,"YES","No")</f>
        <v>No</v>
      </c>
    </row>
    <row r="585" customFormat="false" ht="15" hidden="false" customHeight="false" outlineLevel="0" collapsed="false">
      <c r="A585" s="16" t="n">
        <v>584</v>
      </c>
      <c r="B585" s="17" t="n">
        <f aca="false">B584+1</f>
        <v>46606</v>
      </c>
      <c r="C585" s="18" t="n">
        <f aca="false">MIN(ROUNDUP(A585/365,0),5)</f>
        <v>2</v>
      </c>
      <c r="D585" s="18" t="n">
        <f aca="false">DATEDIF(Assumptions!B5,B585,"m")+1</f>
        <v>20</v>
      </c>
      <c r="E585" s="18" t="str">
        <f aca="false">TEXT(B585,"ddd")</f>
        <v>Sat</v>
      </c>
      <c r="F585" s="19" t="n">
        <f aca="false">IF(WEEKDAY(B585,2)&gt;=6,Assumptions!B34,Assumptions!B35)</f>
        <v>0.6</v>
      </c>
      <c r="G585" s="20" t="n">
        <f aca="false">IF(D585&gt;=13,(1+Assumptions!B46)^(D585-12),1)</f>
        <v>1.02425351768363</v>
      </c>
      <c r="H585" s="21" t="n">
        <f aca="false">H584*(1+IF(C585=1,Assumptions!B22,Assumptions!B23))</f>
        <v>21.5749337477171</v>
      </c>
      <c r="I585" s="16" t="n">
        <f aca="false">ROUND(H585*F585,0)</f>
        <v>13</v>
      </c>
      <c r="J585" s="22" t="n">
        <f aca="false">I585*Assumptions!B24</f>
        <v>7800</v>
      </c>
      <c r="K585" s="21" t="n">
        <f aca="false">K584*(1+Assumptions!B30)</f>
        <v>15.8993788007</v>
      </c>
      <c r="L585" s="16" t="n">
        <f aca="false">ROUND(K585*F585,0)</f>
        <v>10</v>
      </c>
      <c r="M585" s="22" t="n">
        <f aca="false">L585*Assumptions!B31</f>
        <v>3000</v>
      </c>
      <c r="N585" s="22" t="n">
        <f aca="false">J585+M585</f>
        <v>10800</v>
      </c>
      <c r="O585" s="22" t="n">
        <f aca="false">IF(DAY(B585)=1,Assumptions!B38*G585,0)</f>
        <v>0</v>
      </c>
      <c r="P585" s="22" t="n">
        <f aca="false">IF(DAY(B585)=1,Assumptions!B39*G585,0)</f>
        <v>0</v>
      </c>
      <c r="Q585" s="22" t="n">
        <f aca="false">IF(DAY(B585)=1,Assumptions!B40*G585,0)</f>
        <v>0</v>
      </c>
      <c r="R585" s="22" t="n">
        <f aca="false">IF(DAY(B585)=1,Assumptions!B41*G585,0)</f>
        <v>0</v>
      </c>
      <c r="S585" s="22" t="n">
        <f aca="false">IF(AND(DAY(B585)=1,D585&gt;=13),Assumptions!B42*G585,0)</f>
        <v>0</v>
      </c>
      <c r="T585" s="22" t="n">
        <f aca="false">IF(DAY(B585)=1,Assumptions!B43*G585,0)</f>
        <v>0</v>
      </c>
      <c r="U585" s="22" t="n">
        <f aca="false">SUM(O585:T585)</f>
        <v>0</v>
      </c>
      <c r="V585" s="22" t="n">
        <f aca="false">N585-U585</f>
        <v>10800</v>
      </c>
      <c r="W585" s="22" t="n">
        <f aca="false">W584+V585</f>
        <v>-3139691.35901284</v>
      </c>
      <c r="X585" s="23" t="str">
        <f aca="false">IF(W585&gt;=0,"YES","No")</f>
        <v>No</v>
      </c>
    </row>
    <row r="586" customFormat="false" ht="15" hidden="false" customHeight="false" outlineLevel="0" collapsed="false">
      <c r="A586" s="16" t="n">
        <v>585</v>
      </c>
      <c r="B586" s="17" t="n">
        <f aca="false">B585+1</f>
        <v>46607</v>
      </c>
      <c r="C586" s="18" t="n">
        <f aca="false">MIN(ROUNDUP(A586/365,0),5)</f>
        <v>2</v>
      </c>
      <c r="D586" s="18" t="n">
        <f aca="false">DATEDIF(Assumptions!B5,B586,"m")+1</f>
        <v>20</v>
      </c>
      <c r="E586" s="18" t="str">
        <f aca="false">TEXT(B586,"ddd")</f>
        <v>Sun</v>
      </c>
      <c r="F586" s="19" t="n">
        <f aca="false">IF(WEEKDAY(B586,2)&gt;=6,Assumptions!B34,Assumptions!B35)</f>
        <v>0.6</v>
      </c>
      <c r="G586" s="20" t="n">
        <f aca="false">IF(D586&gt;=13,(1+Assumptions!B46)^(D586-12),1)</f>
        <v>1.02425351768363</v>
      </c>
      <c r="H586" s="21" t="n">
        <f aca="false">H585*(1+IF(C586=1,Assumptions!B22,Assumptions!B23))</f>
        <v>21.5784690530281</v>
      </c>
      <c r="I586" s="16" t="n">
        <f aca="false">ROUND(H586*F586,0)</f>
        <v>13</v>
      </c>
      <c r="J586" s="22" t="n">
        <f aca="false">I586*Assumptions!B24</f>
        <v>7800</v>
      </c>
      <c r="K586" s="21" t="n">
        <f aca="false">K585*(1+Assumptions!B30)</f>
        <v>15.9045768933211</v>
      </c>
      <c r="L586" s="16" t="n">
        <f aca="false">ROUND(K586*F586,0)</f>
        <v>10</v>
      </c>
      <c r="M586" s="22" t="n">
        <f aca="false">L586*Assumptions!B31</f>
        <v>3000</v>
      </c>
      <c r="N586" s="22" t="n">
        <f aca="false">J586+M586</f>
        <v>10800</v>
      </c>
      <c r="O586" s="22" t="n">
        <f aca="false">IF(DAY(B586)=1,Assumptions!B38*G586,0)</f>
        <v>0</v>
      </c>
      <c r="P586" s="22" t="n">
        <f aca="false">IF(DAY(B586)=1,Assumptions!B39*G586,0)</f>
        <v>0</v>
      </c>
      <c r="Q586" s="22" t="n">
        <f aca="false">IF(DAY(B586)=1,Assumptions!B40*G586,0)</f>
        <v>0</v>
      </c>
      <c r="R586" s="22" t="n">
        <f aca="false">IF(DAY(B586)=1,Assumptions!B41*G586,0)</f>
        <v>0</v>
      </c>
      <c r="S586" s="22" t="n">
        <f aca="false">IF(AND(DAY(B586)=1,D586&gt;=13),Assumptions!B42*G586,0)</f>
        <v>0</v>
      </c>
      <c r="T586" s="22" t="n">
        <f aca="false">IF(DAY(B586)=1,Assumptions!B43*G586,0)</f>
        <v>0</v>
      </c>
      <c r="U586" s="22" t="n">
        <f aca="false">SUM(O586:T586)</f>
        <v>0</v>
      </c>
      <c r="V586" s="22" t="n">
        <f aca="false">N586-U586</f>
        <v>10800</v>
      </c>
      <c r="W586" s="22" t="n">
        <f aca="false">W585+V586</f>
        <v>-3128891.35901284</v>
      </c>
      <c r="X586" s="23" t="str">
        <f aca="false">IF(W586&gt;=0,"YES","No")</f>
        <v>No</v>
      </c>
    </row>
    <row r="587" customFormat="false" ht="15" hidden="false" customHeight="false" outlineLevel="0" collapsed="false">
      <c r="A587" s="16" t="n">
        <v>586</v>
      </c>
      <c r="B587" s="17" t="n">
        <f aca="false">B586+1</f>
        <v>46608</v>
      </c>
      <c r="C587" s="18" t="n">
        <f aca="false">MIN(ROUNDUP(A587/365,0),5)</f>
        <v>2</v>
      </c>
      <c r="D587" s="18" t="n">
        <f aca="false">DATEDIF(Assumptions!B5,B587,"m")+1</f>
        <v>20</v>
      </c>
      <c r="E587" s="18" t="str">
        <f aca="false">TEXT(B587,"ddd")</f>
        <v>Mon</v>
      </c>
      <c r="F587" s="19" t="n">
        <f aca="false">IF(WEEKDAY(B587,2)&gt;=6,Assumptions!B34,Assumptions!B35)</f>
        <v>1</v>
      </c>
      <c r="G587" s="20" t="n">
        <f aca="false">IF(D587&gt;=13,(1+Assumptions!B46)^(D587-12),1)</f>
        <v>1.02425351768363</v>
      </c>
      <c r="H587" s="21" t="n">
        <f aca="false">H586*(1+IF(C587=1,Assumptions!B22,Assumptions!B23))</f>
        <v>21.5820049376402</v>
      </c>
      <c r="I587" s="16" t="n">
        <f aca="false">ROUND(H587*F587,0)</f>
        <v>22</v>
      </c>
      <c r="J587" s="22" t="n">
        <f aca="false">I587*Assumptions!B24</f>
        <v>13200</v>
      </c>
      <c r="K587" s="21" t="n">
        <f aca="false">K586*(1+Assumptions!B30)</f>
        <v>15.9097766853903</v>
      </c>
      <c r="L587" s="16" t="n">
        <f aca="false">ROUND(K587*F587,0)</f>
        <v>16</v>
      </c>
      <c r="M587" s="22" t="n">
        <f aca="false">L587*Assumptions!B31</f>
        <v>4800</v>
      </c>
      <c r="N587" s="22" t="n">
        <f aca="false">J587+M587</f>
        <v>18000</v>
      </c>
      <c r="O587" s="22" t="n">
        <f aca="false">IF(DAY(B587)=1,Assumptions!B38*G587,0)</f>
        <v>0</v>
      </c>
      <c r="P587" s="22" t="n">
        <f aca="false">IF(DAY(B587)=1,Assumptions!B39*G587,0)</f>
        <v>0</v>
      </c>
      <c r="Q587" s="22" t="n">
        <f aca="false">IF(DAY(B587)=1,Assumptions!B40*G587,0)</f>
        <v>0</v>
      </c>
      <c r="R587" s="22" t="n">
        <f aca="false">IF(DAY(B587)=1,Assumptions!B41*G587,0)</f>
        <v>0</v>
      </c>
      <c r="S587" s="22" t="n">
        <f aca="false">IF(AND(DAY(B587)=1,D587&gt;=13),Assumptions!B42*G587,0)</f>
        <v>0</v>
      </c>
      <c r="T587" s="22" t="n">
        <f aca="false">IF(DAY(B587)=1,Assumptions!B43*G587,0)</f>
        <v>0</v>
      </c>
      <c r="U587" s="22" t="n">
        <f aca="false">SUM(O587:T587)</f>
        <v>0</v>
      </c>
      <c r="V587" s="22" t="n">
        <f aca="false">N587-U587</f>
        <v>18000</v>
      </c>
      <c r="W587" s="22" t="n">
        <f aca="false">W586+V587</f>
        <v>-3110891.35901284</v>
      </c>
      <c r="X587" s="23" t="str">
        <f aca="false">IF(W587&gt;=0,"YES","No")</f>
        <v>No</v>
      </c>
    </row>
    <row r="588" customFormat="false" ht="15" hidden="false" customHeight="false" outlineLevel="0" collapsed="false">
      <c r="A588" s="16" t="n">
        <v>587</v>
      </c>
      <c r="B588" s="17" t="n">
        <f aca="false">B587+1</f>
        <v>46609</v>
      </c>
      <c r="C588" s="18" t="n">
        <f aca="false">MIN(ROUNDUP(A588/365,0),5)</f>
        <v>2</v>
      </c>
      <c r="D588" s="18" t="n">
        <f aca="false">DATEDIF(Assumptions!B5,B588,"m")+1</f>
        <v>20</v>
      </c>
      <c r="E588" s="18" t="str">
        <f aca="false">TEXT(B588,"ddd")</f>
        <v>Tue</v>
      </c>
      <c r="F588" s="19" t="n">
        <f aca="false">IF(WEEKDAY(B588,2)&gt;=6,Assumptions!B34,Assumptions!B35)</f>
        <v>1</v>
      </c>
      <c r="G588" s="20" t="n">
        <f aca="false">IF(D588&gt;=13,(1+Assumptions!B46)^(D588-12),1)</f>
        <v>1.02425351768363</v>
      </c>
      <c r="H588" s="21" t="n">
        <f aca="false">H587*(1+IF(C588=1,Assumptions!B22,Assumptions!B23))</f>
        <v>21.5855414016483</v>
      </c>
      <c r="I588" s="16" t="n">
        <f aca="false">ROUND(H588*F588,0)</f>
        <v>22</v>
      </c>
      <c r="J588" s="22" t="n">
        <f aca="false">I588*Assumptions!B24</f>
        <v>13200</v>
      </c>
      <c r="K588" s="21" t="n">
        <f aca="false">K587*(1+Assumptions!B30)</f>
        <v>15.914978177463</v>
      </c>
      <c r="L588" s="16" t="n">
        <f aca="false">ROUND(K588*F588,0)</f>
        <v>16</v>
      </c>
      <c r="M588" s="22" t="n">
        <f aca="false">L588*Assumptions!B31</f>
        <v>4800</v>
      </c>
      <c r="N588" s="22" t="n">
        <f aca="false">J588+M588</f>
        <v>18000</v>
      </c>
      <c r="O588" s="22" t="n">
        <f aca="false">IF(DAY(B588)=1,Assumptions!B38*G588,0)</f>
        <v>0</v>
      </c>
      <c r="P588" s="22" t="n">
        <f aca="false">IF(DAY(B588)=1,Assumptions!B39*G588,0)</f>
        <v>0</v>
      </c>
      <c r="Q588" s="22" t="n">
        <f aca="false">IF(DAY(B588)=1,Assumptions!B40*G588,0)</f>
        <v>0</v>
      </c>
      <c r="R588" s="22" t="n">
        <f aca="false">IF(DAY(B588)=1,Assumptions!B41*G588,0)</f>
        <v>0</v>
      </c>
      <c r="S588" s="22" t="n">
        <f aca="false">IF(AND(DAY(B588)=1,D588&gt;=13),Assumptions!B42*G588,0)</f>
        <v>0</v>
      </c>
      <c r="T588" s="22" t="n">
        <f aca="false">IF(DAY(B588)=1,Assumptions!B43*G588,0)</f>
        <v>0</v>
      </c>
      <c r="U588" s="22" t="n">
        <f aca="false">SUM(O588:T588)</f>
        <v>0</v>
      </c>
      <c r="V588" s="22" t="n">
        <f aca="false">N588-U588</f>
        <v>18000</v>
      </c>
      <c r="W588" s="22" t="n">
        <f aca="false">W587+V588</f>
        <v>-3092891.35901284</v>
      </c>
      <c r="X588" s="23" t="str">
        <f aca="false">IF(W588&gt;=0,"YES","No")</f>
        <v>No</v>
      </c>
    </row>
    <row r="589" customFormat="false" ht="15" hidden="false" customHeight="false" outlineLevel="0" collapsed="false">
      <c r="A589" s="16" t="n">
        <v>588</v>
      </c>
      <c r="B589" s="17" t="n">
        <f aca="false">B588+1</f>
        <v>46610</v>
      </c>
      <c r="C589" s="18" t="n">
        <f aca="false">MIN(ROUNDUP(A589/365,0),5)</f>
        <v>2</v>
      </c>
      <c r="D589" s="18" t="n">
        <f aca="false">DATEDIF(Assumptions!B5,B589,"m")+1</f>
        <v>20</v>
      </c>
      <c r="E589" s="18" t="str">
        <f aca="false">TEXT(B589,"ddd")</f>
        <v>Wed</v>
      </c>
      <c r="F589" s="19" t="n">
        <f aca="false">IF(WEEKDAY(B589,2)&gt;=6,Assumptions!B34,Assumptions!B35)</f>
        <v>1</v>
      </c>
      <c r="G589" s="20" t="n">
        <f aca="false">IF(D589&gt;=13,(1+Assumptions!B46)^(D589-12),1)</f>
        <v>1.02425351768363</v>
      </c>
      <c r="H589" s="21" t="n">
        <f aca="false">H588*(1+IF(C589=1,Assumptions!B22,Assumptions!B23))</f>
        <v>21.5890784451474</v>
      </c>
      <c r="I589" s="16" t="n">
        <f aca="false">ROUND(H589*F589,0)</f>
        <v>22</v>
      </c>
      <c r="J589" s="22" t="n">
        <f aca="false">I589*Assumptions!B24</f>
        <v>13200</v>
      </c>
      <c r="K589" s="21" t="n">
        <f aca="false">K588*(1+Assumptions!B30)</f>
        <v>15.9201813700951</v>
      </c>
      <c r="L589" s="16" t="n">
        <f aca="false">ROUND(K589*F589,0)</f>
        <v>16</v>
      </c>
      <c r="M589" s="22" t="n">
        <f aca="false">L589*Assumptions!B31</f>
        <v>4800</v>
      </c>
      <c r="N589" s="22" t="n">
        <f aca="false">J589+M589</f>
        <v>18000</v>
      </c>
      <c r="O589" s="22" t="n">
        <f aca="false">IF(DAY(B589)=1,Assumptions!B38*G589,0)</f>
        <v>0</v>
      </c>
      <c r="P589" s="22" t="n">
        <f aca="false">IF(DAY(B589)=1,Assumptions!B39*G589,0)</f>
        <v>0</v>
      </c>
      <c r="Q589" s="22" t="n">
        <f aca="false">IF(DAY(B589)=1,Assumptions!B40*G589,0)</f>
        <v>0</v>
      </c>
      <c r="R589" s="22" t="n">
        <f aca="false">IF(DAY(B589)=1,Assumptions!B41*G589,0)</f>
        <v>0</v>
      </c>
      <c r="S589" s="22" t="n">
        <f aca="false">IF(AND(DAY(B589)=1,D589&gt;=13),Assumptions!B42*G589,0)</f>
        <v>0</v>
      </c>
      <c r="T589" s="22" t="n">
        <f aca="false">IF(DAY(B589)=1,Assumptions!B43*G589,0)</f>
        <v>0</v>
      </c>
      <c r="U589" s="22" t="n">
        <f aca="false">SUM(O589:T589)</f>
        <v>0</v>
      </c>
      <c r="V589" s="22" t="n">
        <f aca="false">N589-U589</f>
        <v>18000</v>
      </c>
      <c r="W589" s="22" t="n">
        <f aca="false">W588+V589</f>
        <v>-3074891.35901284</v>
      </c>
      <c r="X589" s="23" t="str">
        <f aca="false">IF(W589&gt;=0,"YES","No")</f>
        <v>No</v>
      </c>
    </row>
    <row r="590" customFormat="false" ht="15" hidden="false" customHeight="false" outlineLevel="0" collapsed="false">
      <c r="A590" s="16" t="n">
        <v>589</v>
      </c>
      <c r="B590" s="17" t="n">
        <f aca="false">B589+1</f>
        <v>46611</v>
      </c>
      <c r="C590" s="18" t="n">
        <f aca="false">MIN(ROUNDUP(A590/365,0),5)</f>
        <v>2</v>
      </c>
      <c r="D590" s="18" t="n">
        <f aca="false">DATEDIF(Assumptions!B5,B590,"m")+1</f>
        <v>20</v>
      </c>
      <c r="E590" s="18" t="str">
        <f aca="false">TEXT(B590,"ddd")</f>
        <v>Thu</v>
      </c>
      <c r="F590" s="19" t="n">
        <f aca="false">IF(WEEKDAY(B590,2)&gt;=6,Assumptions!B34,Assumptions!B35)</f>
        <v>1</v>
      </c>
      <c r="G590" s="20" t="n">
        <f aca="false">IF(D590&gt;=13,(1+Assumptions!B46)^(D590-12),1)</f>
        <v>1.02425351768363</v>
      </c>
      <c r="H590" s="21" t="n">
        <f aca="false">H589*(1+IF(C590=1,Assumptions!B22,Assumptions!B23))</f>
        <v>21.5926160682325</v>
      </c>
      <c r="I590" s="16" t="n">
        <f aca="false">ROUND(H590*F590,0)</f>
        <v>22</v>
      </c>
      <c r="J590" s="22" t="n">
        <f aca="false">I590*Assumptions!B24</f>
        <v>13200</v>
      </c>
      <c r="K590" s="21" t="n">
        <f aca="false">K589*(1+Assumptions!B30)</f>
        <v>15.9253862638425</v>
      </c>
      <c r="L590" s="16" t="n">
        <f aca="false">ROUND(K590*F590,0)</f>
        <v>16</v>
      </c>
      <c r="M590" s="22" t="n">
        <f aca="false">L590*Assumptions!B31</f>
        <v>4800</v>
      </c>
      <c r="N590" s="22" t="n">
        <f aca="false">J590+M590</f>
        <v>18000</v>
      </c>
      <c r="O590" s="22" t="n">
        <f aca="false">IF(DAY(B590)=1,Assumptions!B38*G590,0)</f>
        <v>0</v>
      </c>
      <c r="P590" s="22" t="n">
        <f aca="false">IF(DAY(B590)=1,Assumptions!B39*G590,0)</f>
        <v>0</v>
      </c>
      <c r="Q590" s="22" t="n">
        <f aca="false">IF(DAY(B590)=1,Assumptions!B40*G590,0)</f>
        <v>0</v>
      </c>
      <c r="R590" s="22" t="n">
        <f aca="false">IF(DAY(B590)=1,Assumptions!B41*G590,0)</f>
        <v>0</v>
      </c>
      <c r="S590" s="22" t="n">
        <f aca="false">IF(AND(DAY(B590)=1,D590&gt;=13),Assumptions!B42*G590,0)</f>
        <v>0</v>
      </c>
      <c r="T590" s="22" t="n">
        <f aca="false">IF(DAY(B590)=1,Assumptions!B43*G590,0)</f>
        <v>0</v>
      </c>
      <c r="U590" s="22" t="n">
        <f aca="false">SUM(O590:T590)</f>
        <v>0</v>
      </c>
      <c r="V590" s="22" t="n">
        <f aca="false">N590-U590</f>
        <v>18000</v>
      </c>
      <c r="W590" s="22" t="n">
        <f aca="false">W589+V590</f>
        <v>-3056891.35901284</v>
      </c>
      <c r="X590" s="23" t="str">
        <f aca="false">IF(W590&gt;=0,"YES","No")</f>
        <v>No</v>
      </c>
    </row>
    <row r="591" customFormat="false" ht="15" hidden="false" customHeight="false" outlineLevel="0" collapsed="false">
      <c r="A591" s="16" t="n">
        <v>590</v>
      </c>
      <c r="B591" s="17" t="n">
        <f aca="false">B590+1</f>
        <v>46612</v>
      </c>
      <c r="C591" s="18" t="n">
        <f aca="false">MIN(ROUNDUP(A591/365,0),5)</f>
        <v>2</v>
      </c>
      <c r="D591" s="18" t="n">
        <f aca="false">DATEDIF(Assumptions!B5,B591,"m")+1</f>
        <v>20</v>
      </c>
      <c r="E591" s="18" t="str">
        <f aca="false">TEXT(B591,"ddd")</f>
        <v>Fri</v>
      </c>
      <c r="F591" s="19" t="n">
        <f aca="false">IF(WEEKDAY(B591,2)&gt;=6,Assumptions!B34,Assumptions!B35)</f>
        <v>1</v>
      </c>
      <c r="G591" s="20" t="n">
        <f aca="false">IF(D591&gt;=13,(1+Assumptions!B46)^(D591-12),1)</f>
        <v>1.02425351768363</v>
      </c>
      <c r="H591" s="21" t="n">
        <f aca="false">H590*(1+IF(C591=1,Assumptions!B22,Assumptions!B23))</f>
        <v>21.5961542709985</v>
      </c>
      <c r="I591" s="16" t="n">
        <f aca="false">ROUND(H591*F591,0)</f>
        <v>22</v>
      </c>
      <c r="J591" s="22" t="n">
        <f aca="false">I591*Assumptions!B24</f>
        <v>13200</v>
      </c>
      <c r="K591" s="21" t="n">
        <f aca="false">K590*(1+Assumptions!B30)</f>
        <v>15.9305928592614</v>
      </c>
      <c r="L591" s="16" t="n">
        <f aca="false">ROUND(K591*F591,0)</f>
        <v>16</v>
      </c>
      <c r="M591" s="22" t="n">
        <f aca="false">L591*Assumptions!B31</f>
        <v>4800</v>
      </c>
      <c r="N591" s="22" t="n">
        <f aca="false">J591+M591</f>
        <v>18000</v>
      </c>
      <c r="O591" s="22" t="n">
        <f aca="false">IF(DAY(B591)=1,Assumptions!B38*G591,0)</f>
        <v>0</v>
      </c>
      <c r="P591" s="22" t="n">
        <f aca="false">IF(DAY(B591)=1,Assumptions!B39*G591,0)</f>
        <v>0</v>
      </c>
      <c r="Q591" s="22" t="n">
        <f aca="false">IF(DAY(B591)=1,Assumptions!B40*G591,0)</f>
        <v>0</v>
      </c>
      <c r="R591" s="22" t="n">
        <f aca="false">IF(DAY(B591)=1,Assumptions!B41*G591,0)</f>
        <v>0</v>
      </c>
      <c r="S591" s="22" t="n">
        <f aca="false">IF(AND(DAY(B591)=1,D591&gt;=13),Assumptions!B42*G591,0)</f>
        <v>0</v>
      </c>
      <c r="T591" s="22" t="n">
        <f aca="false">IF(DAY(B591)=1,Assumptions!B43*G591,0)</f>
        <v>0</v>
      </c>
      <c r="U591" s="22" t="n">
        <f aca="false">SUM(O591:T591)</f>
        <v>0</v>
      </c>
      <c r="V591" s="22" t="n">
        <f aca="false">N591-U591</f>
        <v>18000</v>
      </c>
      <c r="W591" s="22" t="n">
        <f aca="false">W590+V591</f>
        <v>-3038891.35901284</v>
      </c>
      <c r="X591" s="23" t="str">
        <f aca="false">IF(W591&gt;=0,"YES","No")</f>
        <v>No</v>
      </c>
    </row>
    <row r="592" customFormat="false" ht="15" hidden="false" customHeight="false" outlineLevel="0" collapsed="false">
      <c r="A592" s="16" t="n">
        <v>591</v>
      </c>
      <c r="B592" s="17" t="n">
        <f aca="false">B591+1</f>
        <v>46613</v>
      </c>
      <c r="C592" s="18" t="n">
        <f aca="false">MIN(ROUNDUP(A592/365,0),5)</f>
        <v>2</v>
      </c>
      <c r="D592" s="18" t="n">
        <f aca="false">DATEDIF(Assumptions!B5,B592,"m")+1</f>
        <v>20</v>
      </c>
      <c r="E592" s="18" t="str">
        <f aca="false">TEXT(B592,"ddd")</f>
        <v>Sat</v>
      </c>
      <c r="F592" s="19" t="n">
        <f aca="false">IF(WEEKDAY(B592,2)&gt;=6,Assumptions!B34,Assumptions!B35)</f>
        <v>0.6</v>
      </c>
      <c r="G592" s="20" t="n">
        <f aca="false">IF(D592&gt;=13,(1+Assumptions!B46)^(D592-12),1)</f>
        <v>1.02425351768363</v>
      </c>
      <c r="H592" s="21" t="n">
        <f aca="false">H591*(1+IF(C592=1,Assumptions!B22,Assumptions!B23))</f>
        <v>21.5996930535405</v>
      </c>
      <c r="I592" s="16" t="n">
        <f aca="false">ROUND(H592*F592,0)</f>
        <v>13</v>
      </c>
      <c r="J592" s="22" t="n">
        <f aca="false">I592*Assumptions!B24</f>
        <v>7800</v>
      </c>
      <c r="K592" s="21" t="n">
        <f aca="false">K591*(1+Assumptions!B30)</f>
        <v>15.9358011569082</v>
      </c>
      <c r="L592" s="16" t="n">
        <f aca="false">ROUND(K592*F592,0)</f>
        <v>10</v>
      </c>
      <c r="M592" s="22" t="n">
        <f aca="false">L592*Assumptions!B31</f>
        <v>3000</v>
      </c>
      <c r="N592" s="22" t="n">
        <f aca="false">J592+M592</f>
        <v>10800</v>
      </c>
      <c r="O592" s="22" t="n">
        <f aca="false">IF(DAY(B592)=1,Assumptions!B38*G592,0)</f>
        <v>0</v>
      </c>
      <c r="P592" s="22" t="n">
        <f aca="false">IF(DAY(B592)=1,Assumptions!B39*G592,0)</f>
        <v>0</v>
      </c>
      <c r="Q592" s="22" t="n">
        <f aca="false">IF(DAY(B592)=1,Assumptions!B40*G592,0)</f>
        <v>0</v>
      </c>
      <c r="R592" s="22" t="n">
        <f aca="false">IF(DAY(B592)=1,Assumptions!B41*G592,0)</f>
        <v>0</v>
      </c>
      <c r="S592" s="22" t="n">
        <f aca="false">IF(AND(DAY(B592)=1,D592&gt;=13),Assumptions!B42*G592,0)</f>
        <v>0</v>
      </c>
      <c r="T592" s="22" t="n">
        <f aca="false">IF(DAY(B592)=1,Assumptions!B43*G592,0)</f>
        <v>0</v>
      </c>
      <c r="U592" s="22" t="n">
        <f aca="false">SUM(O592:T592)</f>
        <v>0</v>
      </c>
      <c r="V592" s="22" t="n">
        <f aca="false">N592-U592</f>
        <v>10800</v>
      </c>
      <c r="W592" s="22" t="n">
        <f aca="false">W591+V592</f>
        <v>-3028091.35901284</v>
      </c>
      <c r="X592" s="23" t="str">
        <f aca="false">IF(W592&gt;=0,"YES","No")</f>
        <v>No</v>
      </c>
    </row>
    <row r="593" customFormat="false" ht="15" hidden="false" customHeight="false" outlineLevel="0" collapsed="false">
      <c r="A593" s="16" t="n">
        <v>592</v>
      </c>
      <c r="B593" s="17" t="n">
        <f aca="false">B592+1</f>
        <v>46614</v>
      </c>
      <c r="C593" s="18" t="n">
        <f aca="false">MIN(ROUNDUP(A593/365,0),5)</f>
        <v>2</v>
      </c>
      <c r="D593" s="18" t="n">
        <f aca="false">DATEDIF(Assumptions!B5,B593,"m")+1</f>
        <v>20</v>
      </c>
      <c r="E593" s="18" t="str">
        <f aca="false">TEXT(B593,"ddd")</f>
        <v>Sun</v>
      </c>
      <c r="F593" s="19" t="n">
        <f aca="false">IF(WEEKDAY(B593,2)&gt;=6,Assumptions!B34,Assumptions!B35)</f>
        <v>0.6</v>
      </c>
      <c r="G593" s="20" t="n">
        <f aca="false">IF(D593&gt;=13,(1+Assumptions!B46)^(D593-12),1)</f>
        <v>1.02425351768363</v>
      </c>
      <c r="H593" s="21" t="n">
        <f aca="false">H592*(1+IF(C593=1,Assumptions!B22,Assumptions!B23))</f>
        <v>21.6032324159534</v>
      </c>
      <c r="I593" s="16" t="n">
        <f aca="false">ROUND(H593*F593,0)</f>
        <v>13</v>
      </c>
      <c r="J593" s="22" t="n">
        <f aca="false">I593*Assumptions!B24</f>
        <v>7800</v>
      </c>
      <c r="K593" s="21" t="n">
        <f aca="false">K592*(1+Assumptions!B30)</f>
        <v>15.9410111573393</v>
      </c>
      <c r="L593" s="16" t="n">
        <f aca="false">ROUND(K593*F593,0)</f>
        <v>10</v>
      </c>
      <c r="M593" s="22" t="n">
        <f aca="false">L593*Assumptions!B31</f>
        <v>3000</v>
      </c>
      <c r="N593" s="22" t="n">
        <f aca="false">J593+M593</f>
        <v>10800</v>
      </c>
      <c r="O593" s="22" t="n">
        <f aca="false">IF(DAY(B593)=1,Assumptions!B38*G593,0)</f>
        <v>0</v>
      </c>
      <c r="P593" s="22" t="n">
        <f aca="false">IF(DAY(B593)=1,Assumptions!B39*G593,0)</f>
        <v>0</v>
      </c>
      <c r="Q593" s="22" t="n">
        <f aca="false">IF(DAY(B593)=1,Assumptions!B40*G593,0)</f>
        <v>0</v>
      </c>
      <c r="R593" s="22" t="n">
        <f aca="false">IF(DAY(B593)=1,Assumptions!B41*G593,0)</f>
        <v>0</v>
      </c>
      <c r="S593" s="22" t="n">
        <f aca="false">IF(AND(DAY(B593)=1,D593&gt;=13),Assumptions!B42*G593,0)</f>
        <v>0</v>
      </c>
      <c r="T593" s="22" t="n">
        <f aca="false">IF(DAY(B593)=1,Assumptions!B43*G593,0)</f>
        <v>0</v>
      </c>
      <c r="U593" s="22" t="n">
        <f aca="false">SUM(O593:T593)</f>
        <v>0</v>
      </c>
      <c r="V593" s="22" t="n">
        <f aca="false">N593-U593</f>
        <v>10800</v>
      </c>
      <c r="W593" s="22" t="n">
        <f aca="false">W592+V593</f>
        <v>-3017291.35901284</v>
      </c>
      <c r="X593" s="23" t="str">
        <f aca="false">IF(W593&gt;=0,"YES","No")</f>
        <v>No</v>
      </c>
    </row>
    <row r="594" customFormat="false" ht="15" hidden="false" customHeight="false" outlineLevel="0" collapsed="false">
      <c r="A594" s="16" t="n">
        <v>593</v>
      </c>
      <c r="B594" s="17" t="n">
        <f aca="false">B593+1</f>
        <v>46615</v>
      </c>
      <c r="C594" s="18" t="n">
        <f aca="false">MIN(ROUNDUP(A594/365,0),5)</f>
        <v>2</v>
      </c>
      <c r="D594" s="18" t="n">
        <f aca="false">DATEDIF(Assumptions!B5,B594,"m")+1</f>
        <v>20</v>
      </c>
      <c r="E594" s="18" t="str">
        <f aca="false">TEXT(B594,"ddd")</f>
        <v>Mon</v>
      </c>
      <c r="F594" s="19" t="n">
        <f aca="false">IF(WEEKDAY(B594,2)&gt;=6,Assumptions!B34,Assumptions!B35)</f>
        <v>1</v>
      </c>
      <c r="G594" s="20" t="n">
        <f aca="false">IF(D594&gt;=13,(1+Assumptions!B46)^(D594-12),1)</f>
        <v>1.02425351768363</v>
      </c>
      <c r="H594" s="21" t="n">
        <f aca="false">H593*(1+IF(C594=1,Assumptions!B22,Assumptions!B23))</f>
        <v>21.6067723583322</v>
      </c>
      <c r="I594" s="16" t="n">
        <f aca="false">ROUND(H594*F594,0)</f>
        <v>22</v>
      </c>
      <c r="J594" s="22" t="n">
        <f aca="false">I594*Assumptions!B24</f>
        <v>13200</v>
      </c>
      <c r="K594" s="21" t="n">
        <f aca="false">K593*(1+Assumptions!B30)</f>
        <v>15.9462228611115</v>
      </c>
      <c r="L594" s="16" t="n">
        <f aca="false">ROUND(K594*F594,0)</f>
        <v>16</v>
      </c>
      <c r="M594" s="22" t="n">
        <f aca="false">L594*Assumptions!B31</f>
        <v>4800</v>
      </c>
      <c r="N594" s="22" t="n">
        <f aca="false">J594+M594</f>
        <v>18000</v>
      </c>
      <c r="O594" s="22" t="n">
        <f aca="false">IF(DAY(B594)=1,Assumptions!B38*G594,0)</f>
        <v>0</v>
      </c>
      <c r="P594" s="22" t="n">
        <f aca="false">IF(DAY(B594)=1,Assumptions!B39*G594,0)</f>
        <v>0</v>
      </c>
      <c r="Q594" s="22" t="n">
        <f aca="false">IF(DAY(B594)=1,Assumptions!B40*G594,0)</f>
        <v>0</v>
      </c>
      <c r="R594" s="22" t="n">
        <f aca="false">IF(DAY(B594)=1,Assumptions!B41*G594,0)</f>
        <v>0</v>
      </c>
      <c r="S594" s="22" t="n">
        <f aca="false">IF(AND(DAY(B594)=1,D594&gt;=13),Assumptions!B42*G594,0)</f>
        <v>0</v>
      </c>
      <c r="T594" s="22" t="n">
        <f aca="false">IF(DAY(B594)=1,Assumptions!B43*G594,0)</f>
        <v>0</v>
      </c>
      <c r="U594" s="22" t="n">
        <f aca="false">SUM(O594:T594)</f>
        <v>0</v>
      </c>
      <c r="V594" s="22" t="n">
        <f aca="false">N594-U594</f>
        <v>18000</v>
      </c>
      <c r="W594" s="22" t="n">
        <f aca="false">W593+V594</f>
        <v>-2999291.35901284</v>
      </c>
      <c r="X594" s="23" t="str">
        <f aca="false">IF(W594&gt;=0,"YES","No")</f>
        <v>No</v>
      </c>
    </row>
    <row r="595" customFormat="false" ht="15" hidden="false" customHeight="false" outlineLevel="0" collapsed="false">
      <c r="A595" s="16" t="n">
        <v>594</v>
      </c>
      <c r="B595" s="17" t="n">
        <f aca="false">B594+1</f>
        <v>46616</v>
      </c>
      <c r="C595" s="18" t="n">
        <f aca="false">MIN(ROUNDUP(A595/365,0),5)</f>
        <v>2</v>
      </c>
      <c r="D595" s="18" t="n">
        <f aca="false">DATEDIF(Assumptions!B5,B595,"m")+1</f>
        <v>20</v>
      </c>
      <c r="E595" s="18" t="str">
        <f aca="false">TEXT(B595,"ddd")</f>
        <v>Tue</v>
      </c>
      <c r="F595" s="19" t="n">
        <f aca="false">IF(WEEKDAY(B595,2)&gt;=6,Assumptions!B34,Assumptions!B35)</f>
        <v>1</v>
      </c>
      <c r="G595" s="20" t="n">
        <f aca="false">IF(D595&gt;=13,(1+Assumptions!B46)^(D595-12),1)</f>
        <v>1.02425351768363</v>
      </c>
      <c r="H595" s="21" t="n">
        <f aca="false">H594*(1+IF(C595=1,Assumptions!B22,Assumptions!B23))</f>
        <v>21.6103128807719</v>
      </c>
      <c r="I595" s="16" t="n">
        <f aca="false">ROUND(H595*F595,0)</f>
        <v>22</v>
      </c>
      <c r="J595" s="22" t="n">
        <f aca="false">I595*Assumptions!B24</f>
        <v>13200</v>
      </c>
      <c r="K595" s="21" t="n">
        <f aca="false">K594*(1+Assumptions!B30)</f>
        <v>15.9514362687816</v>
      </c>
      <c r="L595" s="16" t="n">
        <f aca="false">ROUND(K595*F595,0)</f>
        <v>16</v>
      </c>
      <c r="M595" s="22" t="n">
        <f aca="false">L595*Assumptions!B31</f>
        <v>4800</v>
      </c>
      <c r="N595" s="22" t="n">
        <f aca="false">J595+M595</f>
        <v>18000</v>
      </c>
      <c r="O595" s="22" t="n">
        <f aca="false">IF(DAY(B595)=1,Assumptions!B38*G595,0)</f>
        <v>0</v>
      </c>
      <c r="P595" s="22" t="n">
        <f aca="false">IF(DAY(B595)=1,Assumptions!B39*G595,0)</f>
        <v>0</v>
      </c>
      <c r="Q595" s="22" t="n">
        <f aca="false">IF(DAY(B595)=1,Assumptions!B40*G595,0)</f>
        <v>0</v>
      </c>
      <c r="R595" s="22" t="n">
        <f aca="false">IF(DAY(B595)=1,Assumptions!B41*G595,0)</f>
        <v>0</v>
      </c>
      <c r="S595" s="22" t="n">
        <f aca="false">IF(AND(DAY(B595)=1,D595&gt;=13),Assumptions!B42*G595,0)</f>
        <v>0</v>
      </c>
      <c r="T595" s="22" t="n">
        <f aca="false">IF(DAY(B595)=1,Assumptions!B43*G595,0)</f>
        <v>0</v>
      </c>
      <c r="U595" s="22" t="n">
        <f aca="false">SUM(O595:T595)</f>
        <v>0</v>
      </c>
      <c r="V595" s="22" t="n">
        <f aca="false">N595-U595</f>
        <v>18000</v>
      </c>
      <c r="W595" s="22" t="n">
        <f aca="false">W594+V595</f>
        <v>-2981291.35901284</v>
      </c>
      <c r="X595" s="23" t="str">
        <f aca="false">IF(W595&gt;=0,"YES","No")</f>
        <v>No</v>
      </c>
    </row>
    <row r="596" customFormat="false" ht="15" hidden="false" customHeight="false" outlineLevel="0" collapsed="false">
      <c r="A596" s="16" t="n">
        <v>595</v>
      </c>
      <c r="B596" s="17" t="n">
        <f aca="false">B595+1</f>
        <v>46617</v>
      </c>
      <c r="C596" s="18" t="n">
        <f aca="false">MIN(ROUNDUP(A596/365,0),5)</f>
        <v>2</v>
      </c>
      <c r="D596" s="18" t="n">
        <f aca="false">DATEDIF(Assumptions!B5,B596,"m")+1</f>
        <v>20</v>
      </c>
      <c r="E596" s="18" t="str">
        <f aca="false">TEXT(B596,"ddd")</f>
        <v>Wed</v>
      </c>
      <c r="F596" s="19" t="n">
        <f aca="false">IF(WEEKDAY(B596,2)&gt;=6,Assumptions!B34,Assumptions!B35)</f>
        <v>1</v>
      </c>
      <c r="G596" s="20" t="n">
        <f aca="false">IF(D596&gt;=13,(1+Assumptions!B46)^(D596-12),1)</f>
        <v>1.02425351768363</v>
      </c>
      <c r="H596" s="21" t="n">
        <f aca="false">H595*(1+IF(C596=1,Assumptions!B22,Assumptions!B23))</f>
        <v>21.6138539833677</v>
      </c>
      <c r="I596" s="16" t="n">
        <f aca="false">ROUND(H596*F596,0)</f>
        <v>22</v>
      </c>
      <c r="J596" s="22" t="n">
        <f aca="false">I596*Assumptions!B24</f>
        <v>13200</v>
      </c>
      <c r="K596" s="21" t="n">
        <f aca="false">K595*(1+Assumptions!B30)</f>
        <v>15.9566513809068</v>
      </c>
      <c r="L596" s="16" t="n">
        <f aca="false">ROUND(K596*F596,0)</f>
        <v>16</v>
      </c>
      <c r="M596" s="22" t="n">
        <f aca="false">L596*Assumptions!B31</f>
        <v>4800</v>
      </c>
      <c r="N596" s="22" t="n">
        <f aca="false">J596+M596</f>
        <v>18000</v>
      </c>
      <c r="O596" s="22" t="n">
        <f aca="false">IF(DAY(B596)=1,Assumptions!B38*G596,0)</f>
        <v>0</v>
      </c>
      <c r="P596" s="22" t="n">
        <f aca="false">IF(DAY(B596)=1,Assumptions!B39*G596,0)</f>
        <v>0</v>
      </c>
      <c r="Q596" s="22" t="n">
        <f aca="false">IF(DAY(B596)=1,Assumptions!B40*G596,0)</f>
        <v>0</v>
      </c>
      <c r="R596" s="22" t="n">
        <f aca="false">IF(DAY(B596)=1,Assumptions!B41*G596,0)</f>
        <v>0</v>
      </c>
      <c r="S596" s="22" t="n">
        <f aca="false">IF(AND(DAY(B596)=1,D596&gt;=13),Assumptions!B42*G596,0)</f>
        <v>0</v>
      </c>
      <c r="T596" s="22" t="n">
        <f aca="false">IF(DAY(B596)=1,Assumptions!B43*G596,0)</f>
        <v>0</v>
      </c>
      <c r="U596" s="22" t="n">
        <f aca="false">SUM(O596:T596)</f>
        <v>0</v>
      </c>
      <c r="V596" s="22" t="n">
        <f aca="false">N596-U596</f>
        <v>18000</v>
      </c>
      <c r="W596" s="22" t="n">
        <f aca="false">W595+V596</f>
        <v>-2963291.35901284</v>
      </c>
      <c r="X596" s="23" t="str">
        <f aca="false">IF(W596&gt;=0,"YES","No")</f>
        <v>No</v>
      </c>
    </row>
    <row r="597" customFormat="false" ht="15" hidden="false" customHeight="false" outlineLevel="0" collapsed="false">
      <c r="A597" s="16" t="n">
        <v>596</v>
      </c>
      <c r="B597" s="17" t="n">
        <f aca="false">B596+1</f>
        <v>46618</v>
      </c>
      <c r="C597" s="18" t="n">
        <f aca="false">MIN(ROUNDUP(A597/365,0),5)</f>
        <v>2</v>
      </c>
      <c r="D597" s="18" t="n">
        <f aca="false">DATEDIF(Assumptions!B5,B597,"m")+1</f>
        <v>20</v>
      </c>
      <c r="E597" s="18" t="str">
        <f aca="false">TEXT(B597,"ddd")</f>
        <v>Thu</v>
      </c>
      <c r="F597" s="19" t="n">
        <f aca="false">IF(WEEKDAY(B597,2)&gt;=6,Assumptions!B34,Assumptions!B35)</f>
        <v>1</v>
      </c>
      <c r="G597" s="20" t="n">
        <f aca="false">IF(D597&gt;=13,(1+Assumptions!B46)^(D597-12),1)</f>
        <v>1.02425351768363</v>
      </c>
      <c r="H597" s="21" t="n">
        <f aca="false">H596*(1+IF(C597=1,Assumptions!B22,Assumptions!B23))</f>
        <v>21.6173956662146</v>
      </c>
      <c r="I597" s="16" t="n">
        <f aca="false">ROUND(H597*F597,0)</f>
        <v>22</v>
      </c>
      <c r="J597" s="22" t="n">
        <f aca="false">I597*Assumptions!B24</f>
        <v>13200</v>
      </c>
      <c r="K597" s="21" t="n">
        <f aca="false">K596*(1+Assumptions!B30)</f>
        <v>15.9618681980442</v>
      </c>
      <c r="L597" s="16" t="n">
        <f aca="false">ROUND(K597*F597,0)</f>
        <v>16</v>
      </c>
      <c r="M597" s="22" t="n">
        <f aca="false">L597*Assumptions!B31</f>
        <v>4800</v>
      </c>
      <c r="N597" s="22" t="n">
        <f aca="false">J597+M597</f>
        <v>18000</v>
      </c>
      <c r="O597" s="22" t="n">
        <f aca="false">IF(DAY(B597)=1,Assumptions!B38*G597,0)</f>
        <v>0</v>
      </c>
      <c r="P597" s="22" t="n">
        <f aca="false">IF(DAY(B597)=1,Assumptions!B39*G597,0)</f>
        <v>0</v>
      </c>
      <c r="Q597" s="22" t="n">
        <f aca="false">IF(DAY(B597)=1,Assumptions!B40*G597,0)</f>
        <v>0</v>
      </c>
      <c r="R597" s="22" t="n">
        <f aca="false">IF(DAY(B597)=1,Assumptions!B41*G597,0)</f>
        <v>0</v>
      </c>
      <c r="S597" s="22" t="n">
        <f aca="false">IF(AND(DAY(B597)=1,D597&gt;=13),Assumptions!B42*G597,0)</f>
        <v>0</v>
      </c>
      <c r="T597" s="22" t="n">
        <f aca="false">IF(DAY(B597)=1,Assumptions!B43*G597,0)</f>
        <v>0</v>
      </c>
      <c r="U597" s="22" t="n">
        <f aca="false">SUM(O597:T597)</f>
        <v>0</v>
      </c>
      <c r="V597" s="22" t="n">
        <f aca="false">N597-U597</f>
        <v>18000</v>
      </c>
      <c r="W597" s="22" t="n">
        <f aca="false">W596+V597</f>
        <v>-2945291.35901284</v>
      </c>
      <c r="X597" s="23" t="str">
        <f aca="false">IF(W597&gt;=0,"YES","No")</f>
        <v>No</v>
      </c>
    </row>
    <row r="598" customFormat="false" ht="15" hidden="false" customHeight="false" outlineLevel="0" collapsed="false">
      <c r="A598" s="16" t="n">
        <v>597</v>
      </c>
      <c r="B598" s="17" t="n">
        <f aca="false">B597+1</f>
        <v>46619</v>
      </c>
      <c r="C598" s="18" t="n">
        <f aca="false">MIN(ROUNDUP(A598/365,0),5)</f>
        <v>2</v>
      </c>
      <c r="D598" s="18" t="n">
        <f aca="false">DATEDIF(Assumptions!B5,B598,"m")+1</f>
        <v>20</v>
      </c>
      <c r="E598" s="18" t="str">
        <f aca="false">TEXT(B598,"ddd")</f>
        <v>Fri</v>
      </c>
      <c r="F598" s="19" t="n">
        <f aca="false">IF(WEEKDAY(B598,2)&gt;=6,Assumptions!B34,Assumptions!B35)</f>
        <v>1</v>
      </c>
      <c r="G598" s="20" t="n">
        <f aca="false">IF(D598&gt;=13,(1+Assumptions!B46)^(D598-12),1)</f>
        <v>1.02425351768363</v>
      </c>
      <c r="H598" s="21" t="n">
        <f aca="false">H597*(1+IF(C598=1,Assumptions!B22,Assumptions!B23))</f>
        <v>21.6209379294077</v>
      </c>
      <c r="I598" s="16" t="n">
        <f aca="false">ROUND(H598*F598,0)</f>
        <v>22</v>
      </c>
      <c r="J598" s="22" t="n">
        <f aca="false">I598*Assumptions!B24</f>
        <v>13200</v>
      </c>
      <c r="K598" s="21" t="n">
        <f aca="false">K597*(1+Assumptions!B30)</f>
        <v>15.9670867207513</v>
      </c>
      <c r="L598" s="16" t="n">
        <f aca="false">ROUND(K598*F598,0)</f>
        <v>16</v>
      </c>
      <c r="M598" s="22" t="n">
        <f aca="false">L598*Assumptions!B31</f>
        <v>4800</v>
      </c>
      <c r="N598" s="22" t="n">
        <f aca="false">J598+M598</f>
        <v>18000</v>
      </c>
      <c r="O598" s="22" t="n">
        <f aca="false">IF(DAY(B598)=1,Assumptions!B38*G598,0)</f>
        <v>0</v>
      </c>
      <c r="P598" s="22" t="n">
        <f aca="false">IF(DAY(B598)=1,Assumptions!B39*G598,0)</f>
        <v>0</v>
      </c>
      <c r="Q598" s="22" t="n">
        <f aca="false">IF(DAY(B598)=1,Assumptions!B40*G598,0)</f>
        <v>0</v>
      </c>
      <c r="R598" s="22" t="n">
        <f aca="false">IF(DAY(B598)=1,Assumptions!B41*G598,0)</f>
        <v>0</v>
      </c>
      <c r="S598" s="22" t="n">
        <f aca="false">IF(AND(DAY(B598)=1,D598&gt;=13),Assumptions!B42*G598,0)</f>
        <v>0</v>
      </c>
      <c r="T598" s="22" t="n">
        <f aca="false">IF(DAY(B598)=1,Assumptions!B43*G598,0)</f>
        <v>0</v>
      </c>
      <c r="U598" s="22" t="n">
        <f aca="false">SUM(O598:T598)</f>
        <v>0</v>
      </c>
      <c r="V598" s="22" t="n">
        <f aca="false">N598-U598</f>
        <v>18000</v>
      </c>
      <c r="W598" s="22" t="n">
        <f aca="false">W597+V598</f>
        <v>-2927291.35901284</v>
      </c>
      <c r="X598" s="23" t="str">
        <f aca="false">IF(W598&gt;=0,"YES","No")</f>
        <v>No</v>
      </c>
    </row>
    <row r="599" customFormat="false" ht="15" hidden="false" customHeight="false" outlineLevel="0" collapsed="false">
      <c r="A599" s="16" t="n">
        <v>598</v>
      </c>
      <c r="B599" s="17" t="n">
        <f aca="false">B598+1</f>
        <v>46620</v>
      </c>
      <c r="C599" s="18" t="n">
        <f aca="false">MIN(ROUNDUP(A599/365,0),5)</f>
        <v>2</v>
      </c>
      <c r="D599" s="18" t="n">
        <f aca="false">DATEDIF(Assumptions!B5,B599,"m")+1</f>
        <v>20</v>
      </c>
      <c r="E599" s="18" t="str">
        <f aca="false">TEXT(B599,"ddd")</f>
        <v>Sat</v>
      </c>
      <c r="F599" s="19" t="n">
        <f aca="false">IF(WEEKDAY(B599,2)&gt;=6,Assumptions!B34,Assumptions!B35)</f>
        <v>0.6</v>
      </c>
      <c r="G599" s="20" t="n">
        <f aca="false">IF(D599&gt;=13,(1+Assumptions!B46)^(D599-12),1)</f>
        <v>1.02425351768363</v>
      </c>
      <c r="H599" s="21" t="n">
        <f aca="false">H598*(1+IF(C599=1,Assumptions!B22,Assumptions!B23))</f>
        <v>21.624480773042</v>
      </c>
      <c r="I599" s="16" t="n">
        <f aca="false">ROUND(H599*F599,0)</f>
        <v>13</v>
      </c>
      <c r="J599" s="22" t="n">
        <f aca="false">I599*Assumptions!B24</f>
        <v>7800</v>
      </c>
      <c r="K599" s="21" t="n">
        <f aca="false">K598*(1+Assumptions!B30)</f>
        <v>15.9723069495857</v>
      </c>
      <c r="L599" s="16" t="n">
        <f aca="false">ROUND(K599*F599,0)</f>
        <v>10</v>
      </c>
      <c r="M599" s="22" t="n">
        <f aca="false">L599*Assumptions!B31</f>
        <v>3000</v>
      </c>
      <c r="N599" s="22" t="n">
        <f aca="false">J599+M599</f>
        <v>10800</v>
      </c>
      <c r="O599" s="22" t="n">
        <f aca="false">IF(DAY(B599)=1,Assumptions!B38*G599,0)</f>
        <v>0</v>
      </c>
      <c r="P599" s="22" t="n">
        <f aca="false">IF(DAY(B599)=1,Assumptions!B39*G599,0)</f>
        <v>0</v>
      </c>
      <c r="Q599" s="22" t="n">
        <f aca="false">IF(DAY(B599)=1,Assumptions!B40*G599,0)</f>
        <v>0</v>
      </c>
      <c r="R599" s="22" t="n">
        <f aca="false">IF(DAY(B599)=1,Assumptions!B41*G599,0)</f>
        <v>0</v>
      </c>
      <c r="S599" s="22" t="n">
        <f aca="false">IF(AND(DAY(B599)=1,D599&gt;=13),Assumptions!B42*G599,0)</f>
        <v>0</v>
      </c>
      <c r="T599" s="22" t="n">
        <f aca="false">IF(DAY(B599)=1,Assumptions!B43*G599,0)</f>
        <v>0</v>
      </c>
      <c r="U599" s="22" t="n">
        <f aca="false">SUM(O599:T599)</f>
        <v>0</v>
      </c>
      <c r="V599" s="22" t="n">
        <f aca="false">N599-U599</f>
        <v>10800</v>
      </c>
      <c r="W599" s="22" t="n">
        <f aca="false">W598+V599</f>
        <v>-2916491.35901284</v>
      </c>
      <c r="X599" s="23" t="str">
        <f aca="false">IF(W599&gt;=0,"YES","No")</f>
        <v>No</v>
      </c>
    </row>
    <row r="600" customFormat="false" ht="15" hidden="false" customHeight="false" outlineLevel="0" collapsed="false">
      <c r="A600" s="16" t="n">
        <v>599</v>
      </c>
      <c r="B600" s="17" t="n">
        <f aca="false">B599+1</f>
        <v>46621</v>
      </c>
      <c r="C600" s="18" t="n">
        <f aca="false">MIN(ROUNDUP(A600/365,0),5)</f>
        <v>2</v>
      </c>
      <c r="D600" s="18" t="n">
        <f aca="false">DATEDIF(Assumptions!B5,B600,"m")+1</f>
        <v>20</v>
      </c>
      <c r="E600" s="18" t="str">
        <f aca="false">TEXT(B600,"ddd")</f>
        <v>Sun</v>
      </c>
      <c r="F600" s="19" t="n">
        <f aca="false">IF(WEEKDAY(B600,2)&gt;=6,Assumptions!B34,Assumptions!B35)</f>
        <v>0.6</v>
      </c>
      <c r="G600" s="20" t="n">
        <f aca="false">IF(D600&gt;=13,(1+Assumptions!B46)^(D600-12),1)</f>
        <v>1.02425351768363</v>
      </c>
      <c r="H600" s="21" t="n">
        <f aca="false">H599*(1+IF(C600=1,Assumptions!B22,Assumptions!B23))</f>
        <v>21.6280241972127</v>
      </c>
      <c r="I600" s="16" t="n">
        <f aca="false">ROUND(H600*F600,0)</f>
        <v>13</v>
      </c>
      <c r="J600" s="22" t="n">
        <f aca="false">I600*Assumptions!B24</f>
        <v>7800</v>
      </c>
      <c r="K600" s="21" t="n">
        <f aca="false">K599*(1+Assumptions!B30)</f>
        <v>15.9775288851052</v>
      </c>
      <c r="L600" s="16" t="n">
        <f aca="false">ROUND(K600*F600,0)</f>
        <v>10</v>
      </c>
      <c r="M600" s="22" t="n">
        <f aca="false">L600*Assumptions!B31</f>
        <v>3000</v>
      </c>
      <c r="N600" s="22" t="n">
        <f aca="false">J600+M600</f>
        <v>10800</v>
      </c>
      <c r="O600" s="22" t="n">
        <f aca="false">IF(DAY(B600)=1,Assumptions!B38*G600,0)</f>
        <v>0</v>
      </c>
      <c r="P600" s="22" t="n">
        <f aca="false">IF(DAY(B600)=1,Assumptions!B39*G600,0)</f>
        <v>0</v>
      </c>
      <c r="Q600" s="22" t="n">
        <f aca="false">IF(DAY(B600)=1,Assumptions!B40*G600,0)</f>
        <v>0</v>
      </c>
      <c r="R600" s="22" t="n">
        <f aca="false">IF(DAY(B600)=1,Assumptions!B41*G600,0)</f>
        <v>0</v>
      </c>
      <c r="S600" s="22" t="n">
        <f aca="false">IF(AND(DAY(B600)=1,D600&gt;=13),Assumptions!B42*G600,0)</f>
        <v>0</v>
      </c>
      <c r="T600" s="22" t="n">
        <f aca="false">IF(DAY(B600)=1,Assumptions!B43*G600,0)</f>
        <v>0</v>
      </c>
      <c r="U600" s="22" t="n">
        <f aca="false">SUM(O600:T600)</f>
        <v>0</v>
      </c>
      <c r="V600" s="22" t="n">
        <f aca="false">N600-U600</f>
        <v>10800</v>
      </c>
      <c r="W600" s="22" t="n">
        <f aca="false">W599+V600</f>
        <v>-2905691.35901284</v>
      </c>
      <c r="X600" s="23" t="str">
        <f aca="false">IF(W600&gt;=0,"YES","No")</f>
        <v>No</v>
      </c>
    </row>
    <row r="601" customFormat="false" ht="15" hidden="false" customHeight="false" outlineLevel="0" collapsed="false">
      <c r="A601" s="16" t="n">
        <v>600</v>
      </c>
      <c r="B601" s="17" t="n">
        <f aca="false">B600+1</f>
        <v>46622</v>
      </c>
      <c r="C601" s="18" t="n">
        <f aca="false">MIN(ROUNDUP(A601/365,0),5)</f>
        <v>2</v>
      </c>
      <c r="D601" s="18" t="n">
        <f aca="false">DATEDIF(Assumptions!B5,B601,"m")+1</f>
        <v>20</v>
      </c>
      <c r="E601" s="18" t="str">
        <f aca="false">TEXT(B601,"ddd")</f>
        <v>Mon</v>
      </c>
      <c r="F601" s="19" t="n">
        <f aca="false">IF(WEEKDAY(B601,2)&gt;=6,Assumptions!B34,Assumptions!B35)</f>
        <v>1</v>
      </c>
      <c r="G601" s="20" t="n">
        <f aca="false">IF(D601&gt;=13,(1+Assumptions!B46)^(D601-12),1)</f>
        <v>1.02425351768363</v>
      </c>
      <c r="H601" s="21" t="n">
        <f aca="false">H600*(1+IF(C601=1,Assumptions!B22,Assumptions!B23))</f>
        <v>21.631568202015</v>
      </c>
      <c r="I601" s="16" t="n">
        <f aca="false">ROUND(H601*F601,0)</f>
        <v>22</v>
      </c>
      <c r="J601" s="22" t="n">
        <f aca="false">I601*Assumptions!B24</f>
        <v>13200</v>
      </c>
      <c r="K601" s="21" t="n">
        <f aca="false">K600*(1+Assumptions!B30)</f>
        <v>15.9827525278678</v>
      </c>
      <c r="L601" s="16" t="n">
        <f aca="false">ROUND(K601*F601,0)</f>
        <v>16</v>
      </c>
      <c r="M601" s="22" t="n">
        <f aca="false">L601*Assumptions!B31</f>
        <v>4800</v>
      </c>
      <c r="N601" s="22" t="n">
        <f aca="false">J601+M601</f>
        <v>18000</v>
      </c>
      <c r="O601" s="22" t="n">
        <f aca="false">IF(DAY(B601)=1,Assumptions!B38*G601,0)</f>
        <v>0</v>
      </c>
      <c r="P601" s="22" t="n">
        <f aca="false">IF(DAY(B601)=1,Assumptions!B39*G601,0)</f>
        <v>0</v>
      </c>
      <c r="Q601" s="22" t="n">
        <f aca="false">IF(DAY(B601)=1,Assumptions!B40*G601,0)</f>
        <v>0</v>
      </c>
      <c r="R601" s="22" t="n">
        <f aca="false">IF(DAY(B601)=1,Assumptions!B41*G601,0)</f>
        <v>0</v>
      </c>
      <c r="S601" s="22" t="n">
        <f aca="false">IF(AND(DAY(B601)=1,D601&gt;=13),Assumptions!B42*G601,0)</f>
        <v>0</v>
      </c>
      <c r="T601" s="22" t="n">
        <f aca="false">IF(DAY(B601)=1,Assumptions!B43*G601,0)</f>
        <v>0</v>
      </c>
      <c r="U601" s="22" t="n">
        <f aca="false">SUM(O601:T601)</f>
        <v>0</v>
      </c>
      <c r="V601" s="22" t="n">
        <f aca="false">N601-U601</f>
        <v>18000</v>
      </c>
      <c r="W601" s="22" t="n">
        <f aca="false">W600+V601</f>
        <v>-2887691.35901284</v>
      </c>
      <c r="X601" s="23" t="str">
        <f aca="false">IF(W601&gt;=0,"YES","No")</f>
        <v>No</v>
      </c>
    </row>
    <row r="602" customFormat="false" ht="15" hidden="false" customHeight="false" outlineLevel="0" collapsed="false">
      <c r="A602" s="16" t="n">
        <v>601</v>
      </c>
      <c r="B602" s="17" t="n">
        <f aca="false">B601+1</f>
        <v>46623</v>
      </c>
      <c r="C602" s="18" t="n">
        <f aca="false">MIN(ROUNDUP(A602/365,0),5)</f>
        <v>2</v>
      </c>
      <c r="D602" s="18" t="n">
        <f aca="false">DATEDIF(Assumptions!B5,B602,"m")+1</f>
        <v>20</v>
      </c>
      <c r="E602" s="18" t="str">
        <f aca="false">TEXT(B602,"ddd")</f>
        <v>Tue</v>
      </c>
      <c r="F602" s="19" t="n">
        <f aca="false">IF(WEEKDAY(B602,2)&gt;=6,Assumptions!B34,Assumptions!B35)</f>
        <v>1</v>
      </c>
      <c r="G602" s="20" t="n">
        <f aca="false">IF(D602&gt;=13,(1+Assumptions!B46)^(D602-12),1)</f>
        <v>1.02425351768363</v>
      </c>
      <c r="H602" s="21" t="n">
        <f aca="false">H601*(1+IF(C602=1,Assumptions!B22,Assumptions!B23))</f>
        <v>21.6351127875438</v>
      </c>
      <c r="I602" s="16" t="n">
        <f aca="false">ROUND(H602*F602,0)</f>
        <v>22</v>
      </c>
      <c r="J602" s="22" t="n">
        <f aca="false">I602*Assumptions!B24</f>
        <v>13200</v>
      </c>
      <c r="K602" s="21" t="n">
        <f aca="false">K601*(1+Assumptions!B30)</f>
        <v>15.9879778784317</v>
      </c>
      <c r="L602" s="16" t="n">
        <f aca="false">ROUND(K602*F602,0)</f>
        <v>16</v>
      </c>
      <c r="M602" s="22" t="n">
        <f aca="false">L602*Assumptions!B31</f>
        <v>4800</v>
      </c>
      <c r="N602" s="22" t="n">
        <f aca="false">J602+M602</f>
        <v>18000</v>
      </c>
      <c r="O602" s="22" t="n">
        <f aca="false">IF(DAY(B602)=1,Assumptions!B38*G602,0)</f>
        <v>0</v>
      </c>
      <c r="P602" s="22" t="n">
        <f aca="false">IF(DAY(B602)=1,Assumptions!B39*G602,0)</f>
        <v>0</v>
      </c>
      <c r="Q602" s="22" t="n">
        <f aca="false">IF(DAY(B602)=1,Assumptions!B40*G602,0)</f>
        <v>0</v>
      </c>
      <c r="R602" s="22" t="n">
        <f aca="false">IF(DAY(B602)=1,Assumptions!B41*G602,0)</f>
        <v>0</v>
      </c>
      <c r="S602" s="22" t="n">
        <f aca="false">IF(AND(DAY(B602)=1,D602&gt;=13),Assumptions!B42*G602,0)</f>
        <v>0</v>
      </c>
      <c r="T602" s="22" t="n">
        <f aca="false">IF(DAY(B602)=1,Assumptions!B43*G602,0)</f>
        <v>0</v>
      </c>
      <c r="U602" s="22" t="n">
        <f aca="false">SUM(O602:T602)</f>
        <v>0</v>
      </c>
      <c r="V602" s="22" t="n">
        <f aca="false">N602-U602</f>
        <v>18000</v>
      </c>
      <c r="W602" s="22" t="n">
        <f aca="false">W601+V602</f>
        <v>-2869691.35901284</v>
      </c>
      <c r="X602" s="23" t="str">
        <f aca="false">IF(W602&gt;=0,"YES","No")</f>
        <v>No</v>
      </c>
    </row>
    <row r="603" customFormat="false" ht="15" hidden="false" customHeight="false" outlineLevel="0" collapsed="false">
      <c r="A603" s="16" t="n">
        <v>602</v>
      </c>
      <c r="B603" s="17" t="n">
        <f aca="false">B602+1</f>
        <v>46624</v>
      </c>
      <c r="C603" s="18" t="n">
        <f aca="false">MIN(ROUNDUP(A603/365,0),5)</f>
        <v>2</v>
      </c>
      <c r="D603" s="18" t="n">
        <f aca="false">DATEDIF(Assumptions!B5,B603,"m")+1</f>
        <v>20</v>
      </c>
      <c r="E603" s="18" t="str">
        <f aca="false">TEXT(B603,"ddd")</f>
        <v>Wed</v>
      </c>
      <c r="F603" s="19" t="n">
        <f aca="false">IF(WEEKDAY(B603,2)&gt;=6,Assumptions!B34,Assumptions!B35)</f>
        <v>1</v>
      </c>
      <c r="G603" s="20" t="n">
        <f aca="false">IF(D603&gt;=13,(1+Assumptions!B46)^(D603-12),1)</f>
        <v>1.02425351768363</v>
      </c>
      <c r="H603" s="21" t="n">
        <f aca="false">H602*(1+IF(C603=1,Assumptions!B22,Assumptions!B23))</f>
        <v>21.6386579538945</v>
      </c>
      <c r="I603" s="16" t="n">
        <f aca="false">ROUND(H603*F603,0)</f>
        <v>22</v>
      </c>
      <c r="J603" s="22" t="n">
        <f aca="false">I603*Assumptions!B24</f>
        <v>13200</v>
      </c>
      <c r="K603" s="21" t="n">
        <f aca="false">K602*(1+Assumptions!B30)</f>
        <v>15.9932049373551</v>
      </c>
      <c r="L603" s="16" t="n">
        <f aca="false">ROUND(K603*F603,0)</f>
        <v>16</v>
      </c>
      <c r="M603" s="22" t="n">
        <f aca="false">L603*Assumptions!B31</f>
        <v>4800</v>
      </c>
      <c r="N603" s="22" t="n">
        <f aca="false">J603+M603</f>
        <v>18000</v>
      </c>
      <c r="O603" s="22" t="n">
        <f aca="false">IF(DAY(B603)=1,Assumptions!B38*G603,0)</f>
        <v>0</v>
      </c>
      <c r="P603" s="22" t="n">
        <f aca="false">IF(DAY(B603)=1,Assumptions!B39*G603,0)</f>
        <v>0</v>
      </c>
      <c r="Q603" s="22" t="n">
        <f aca="false">IF(DAY(B603)=1,Assumptions!B40*G603,0)</f>
        <v>0</v>
      </c>
      <c r="R603" s="22" t="n">
        <f aca="false">IF(DAY(B603)=1,Assumptions!B41*G603,0)</f>
        <v>0</v>
      </c>
      <c r="S603" s="22" t="n">
        <f aca="false">IF(AND(DAY(B603)=1,D603&gt;=13),Assumptions!B42*G603,0)</f>
        <v>0</v>
      </c>
      <c r="T603" s="22" t="n">
        <f aca="false">IF(DAY(B603)=1,Assumptions!B43*G603,0)</f>
        <v>0</v>
      </c>
      <c r="U603" s="22" t="n">
        <f aca="false">SUM(O603:T603)</f>
        <v>0</v>
      </c>
      <c r="V603" s="22" t="n">
        <f aca="false">N603-U603</f>
        <v>18000</v>
      </c>
      <c r="W603" s="22" t="n">
        <f aca="false">W602+V603</f>
        <v>-2851691.35901284</v>
      </c>
      <c r="X603" s="23" t="str">
        <f aca="false">IF(W603&gt;=0,"YES","No")</f>
        <v>No</v>
      </c>
    </row>
    <row r="604" customFormat="false" ht="15" hidden="false" customHeight="false" outlineLevel="0" collapsed="false">
      <c r="A604" s="16" t="n">
        <v>603</v>
      </c>
      <c r="B604" s="17" t="n">
        <f aca="false">B603+1</f>
        <v>46625</v>
      </c>
      <c r="C604" s="18" t="n">
        <f aca="false">MIN(ROUNDUP(A604/365,0),5)</f>
        <v>2</v>
      </c>
      <c r="D604" s="18" t="n">
        <f aca="false">DATEDIF(Assumptions!B5,B604,"m")+1</f>
        <v>20</v>
      </c>
      <c r="E604" s="18" t="str">
        <f aca="false">TEXT(B604,"ddd")</f>
        <v>Thu</v>
      </c>
      <c r="F604" s="19" t="n">
        <f aca="false">IF(WEEKDAY(B604,2)&gt;=6,Assumptions!B34,Assumptions!B35)</f>
        <v>1</v>
      </c>
      <c r="G604" s="20" t="n">
        <f aca="false">IF(D604&gt;=13,(1+Assumptions!B46)^(D604-12),1)</f>
        <v>1.02425351768363</v>
      </c>
      <c r="H604" s="21" t="n">
        <f aca="false">H603*(1+IF(C604=1,Assumptions!B22,Assumptions!B23))</f>
        <v>21.6422037011622</v>
      </c>
      <c r="I604" s="16" t="n">
        <f aca="false">ROUND(H604*F604,0)</f>
        <v>22</v>
      </c>
      <c r="J604" s="22" t="n">
        <f aca="false">I604*Assumptions!B24</f>
        <v>13200</v>
      </c>
      <c r="K604" s="21" t="n">
        <f aca="false">K603*(1+Assumptions!B30)</f>
        <v>15.9984337051967</v>
      </c>
      <c r="L604" s="16" t="n">
        <f aca="false">ROUND(K604*F604,0)</f>
        <v>16</v>
      </c>
      <c r="M604" s="22" t="n">
        <f aca="false">L604*Assumptions!B31</f>
        <v>4800</v>
      </c>
      <c r="N604" s="22" t="n">
        <f aca="false">J604+M604</f>
        <v>18000</v>
      </c>
      <c r="O604" s="22" t="n">
        <f aca="false">IF(DAY(B604)=1,Assumptions!B38*G604,0)</f>
        <v>0</v>
      </c>
      <c r="P604" s="22" t="n">
        <f aca="false">IF(DAY(B604)=1,Assumptions!B39*G604,0)</f>
        <v>0</v>
      </c>
      <c r="Q604" s="22" t="n">
        <f aca="false">IF(DAY(B604)=1,Assumptions!B40*G604,0)</f>
        <v>0</v>
      </c>
      <c r="R604" s="22" t="n">
        <f aca="false">IF(DAY(B604)=1,Assumptions!B41*G604,0)</f>
        <v>0</v>
      </c>
      <c r="S604" s="22" t="n">
        <f aca="false">IF(AND(DAY(B604)=1,D604&gt;=13),Assumptions!B42*G604,0)</f>
        <v>0</v>
      </c>
      <c r="T604" s="22" t="n">
        <f aca="false">IF(DAY(B604)=1,Assumptions!B43*G604,0)</f>
        <v>0</v>
      </c>
      <c r="U604" s="22" t="n">
        <f aca="false">SUM(O604:T604)</f>
        <v>0</v>
      </c>
      <c r="V604" s="22" t="n">
        <f aca="false">N604-U604</f>
        <v>18000</v>
      </c>
      <c r="W604" s="22" t="n">
        <f aca="false">W603+V604</f>
        <v>-2833691.35901284</v>
      </c>
      <c r="X604" s="23" t="str">
        <f aca="false">IF(W604&gt;=0,"YES","No")</f>
        <v>No</v>
      </c>
    </row>
    <row r="605" customFormat="false" ht="15" hidden="false" customHeight="false" outlineLevel="0" collapsed="false">
      <c r="A605" s="16" t="n">
        <v>604</v>
      </c>
      <c r="B605" s="17" t="n">
        <f aca="false">B604+1</f>
        <v>46626</v>
      </c>
      <c r="C605" s="18" t="n">
        <f aca="false">MIN(ROUNDUP(A605/365,0),5)</f>
        <v>2</v>
      </c>
      <c r="D605" s="18" t="n">
        <f aca="false">DATEDIF(Assumptions!B5,B605,"m")+1</f>
        <v>20</v>
      </c>
      <c r="E605" s="18" t="str">
        <f aca="false">TEXT(B605,"ddd")</f>
        <v>Fri</v>
      </c>
      <c r="F605" s="19" t="n">
        <f aca="false">IF(WEEKDAY(B605,2)&gt;=6,Assumptions!B34,Assumptions!B35)</f>
        <v>1</v>
      </c>
      <c r="G605" s="20" t="n">
        <f aca="false">IF(D605&gt;=13,(1+Assumptions!B46)^(D605-12),1)</f>
        <v>1.02425351768363</v>
      </c>
      <c r="H605" s="21" t="n">
        <f aca="false">H604*(1+IF(C605=1,Assumptions!B22,Assumptions!B23))</f>
        <v>21.645750029442</v>
      </c>
      <c r="I605" s="16" t="n">
        <f aca="false">ROUND(H605*F605,0)</f>
        <v>22</v>
      </c>
      <c r="J605" s="22" t="n">
        <f aca="false">I605*Assumptions!B24</f>
        <v>13200</v>
      </c>
      <c r="K605" s="21" t="n">
        <f aca="false">K604*(1+Assumptions!B30)</f>
        <v>16.0036641825151</v>
      </c>
      <c r="L605" s="16" t="n">
        <f aca="false">ROUND(K605*F605,0)</f>
        <v>16</v>
      </c>
      <c r="M605" s="22" t="n">
        <f aca="false">L605*Assumptions!B31</f>
        <v>4800</v>
      </c>
      <c r="N605" s="22" t="n">
        <f aca="false">J605+M605</f>
        <v>18000</v>
      </c>
      <c r="O605" s="22" t="n">
        <f aca="false">IF(DAY(B605)=1,Assumptions!B38*G605,0)</f>
        <v>0</v>
      </c>
      <c r="P605" s="22" t="n">
        <f aca="false">IF(DAY(B605)=1,Assumptions!B39*G605,0)</f>
        <v>0</v>
      </c>
      <c r="Q605" s="22" t="n">
        <f aca="false">IF(DAY(B605)=1,Assumptions!B40*G605,0)</f>
        <v>0</v>
      </c>
      <c r="R605" s="22" t="n">
        <f aca="false">IF(DAY(B605)=1,Assumptions!B41*G605,0)</f>
        <v>0</v>
      </c>
      <c r="S605" s="22" t="n">
        <f aca="false">IF(AND(DAY(B605)=1,D605&gt;=13),Assumptions!B42*G605,0)</f>
        <v>0</v>
      </c>
      <c r="T605" s="22" t="n">
        <f aca="false">IF(DAY(B605)=1,Assumptions!B43*G605,0)</f>
        <v>0</v>
      </c>
      <c r="U605" s="22" t="n">
        <f aca="false">SUM(O605:T605)</f>
        <v>0</v>
      </c>
      <c r="V605" s="22" t="n">
        <f aca="false">N605-U605</f>
        <v>18000</v>
      </c>
      <c r="W605" s="22" t="n">
        <f aca="false">W604+V605</f>
        <v>-2815691.35901284</v>
      </c>
      <c r="X605" s="23" t="str">
        <f aca="false">IF(W605&gt;=0,"YES","No")</f>
        <v>No</v>
      </c>
    </row>
    <row r="606" customFormat="false" ht="15" hidden="false" customHeight="false" outlineLevel="0" collapsed="false">
      <c r="A606" s="16" t="n">
        <v>605</v>
      </c>
      <c r="B606" s="17" t="n">
        <f aca="false">B605+1</f>
        <v>46627</v>
      </c>
      <c r="C606" s="18" t="n">
        <f aca="false">MIN(ROUNDUP(A606/365,0),5)</f>
        <v>2</v>
      </c>
      <c r="D606" s="18" t="n">
        <f aca="false">DATEDIF(Assumptions!B5,B606,"m")+1</f>
        <v>20</v>
      </c>
      <c r="E606" s="18" t="str">
        <f aca="false">TEXT(B606,"ddd")</f>
        <v>Sat</v>
      </c>
      <c r="F606" s="19" t="n">
        <f aca="false">IF(WEEKDAY(B606,2)&gt;=6,Assumptions!B34,Assumptions!B35)</f>
        <v>0.6</v>
      </c>
      <c r="G606" s="20" t="n">
        <f aca="false">IF(D606&gt;=13,(1+Assumptions!B46)^(D606-12),1)</f>
        <v>1.02425351768363</v>
      </c>
      <c r="H606" s="21" t="n">
        <f aca="false">H605*(1+IF(C606=1,Assumptions!B22,Assumptions!B23))</f>
        <v>21.6492969388292</v>
      </c>
      <c r="I606" s="16" t="n">
        <f aca="false">ROUND(H606*F606,0)</f>
        <v>13</v>
      </c>
      <c r="J606" s="22" t="n">
        <f aca="false">I606*Assumptions!B24</f>
        <v>7800</v>
      </c>
      <c r="K606" s="21" t="n">
        <f aca="false">K605*(1+Assumptions!B30)</f>
        <v>16.0088963698692</v>
      </c>
      <c r="L606" s="16" t="n">
        <f aca="false">ROUND(K606*F606,0)</f>
        <v>10</v>
      </c>
      <c r="M606" s="22" t="n">
        <f aca="false">L606*Assumptions!B31</f>
        <v>3000</v>
      </c>
      <c r="N606" s="22" t="n">
        <f aca="false">J606+M606</f>
        <v>10800</v>
      </c>
      <c r="O606" s="22" t="n">
        <f aca="false">IF(DAY(B606)=1,Assumptions!B38*G606,0)</f>
        <v>0</v>
      </c>
      <c r="P606" s="22" t="n">
        <f aca="false">IF(DAY(B606)=1,Assumptions!B39*G606,0)</f>
        <v>0</v>
      </c>
      <c r="Q606" s="22" t="n">
        <f aca="false">IF(DAY(B606)=1,Assumptions!B40*G606,0)</f>
        <v>0</v>
      </c>
      <c r="R606" s="22" t="n">
        <f aca="false">IF(DAY(B606)=1,Assumptions!B41*G606,0)</f>
        <v>0</v>
      </c>
      <c r="S606" s="22" t="n">
        <f aca="false">IF(AND(DAY(B606)=1,D606&gt;=13),Assumptions!B42*G606,0)</f>
        <v>0</v>
      </c>
      <c r="T606" s="22" t="n">
        <f aca="false">IF(DAY(B606)=1,Assumptions!B43*G606,0)</f>
        <v>0</v>
      </c>
      <c r="U606" s="22" t="n">
        <f aca="false">SUM(O606:T606)</f>
        <v>0</v>
      </c>
      <c r="V606" s="22" t="n">
        <f aca="false">N606-U606</f>
        <v>10800</v>
      </c>
      <c r="W606" s="22" t="n">
        <f aca="false">W605+V606</f>
        <v>-2804891.35901284</v>
      </c>
      <c r="X606" s="23" t="str">
        <f aca="false">IF(W606&gt;=0,"YES","No")</f>
        <v>No</v>
      </c>
    </row>
    <row r="607" customFormat="false" ht="15" hidden="false" customHeight="false" outlineLevel="0" collapsed="false">
      <c r="A607" s="16" t="n">
        <v>606</v>
      </c>
      <c r="B607" s="17" t="n">
        <f aca="false">B606+1</f>
        <v>46628</v>
      </c>
      <c r="C607" s="18" t="n">
        <f aca="false">MIN(ROUNDUP(A607/365,0),5)</f>
        <v>2</v>
      </c>
      <c r="D607" s="18" t="n">
        <f aca="false">DATEDIF(Assumptions!B5,B607,"m")+1</f>
        <v>20</v>
      </c>
      <c r="E607" s="18" t="str">
        <f aca="false">TEXT(B607,"ddd")</f>
        <v>Sun</v>
      </c>
      <c r="F607" s="19" t="n">
        <f aca="false">IF(WEEKDAY(B607,2)&gt;=6,Assumptions!B34,Assumptions!B35)</f>
        <v>0.6</v>
      </c>
      <c r="G607" s="20" t="n">
        <f aca="false">IF(D607&gt;=13,(1+Assumptions!B46)^(D607-12),1)</f>
        <v>1.02425351768363</v>
      </c>
      <c r="H607" s="21" t="n">
        <f aca="false">H606*(1+IF(C607=1,Assumptions!B22,Assumptions!B23))</f>
        <v>21.652844429419</v>
      </c>
      <c r="I607" s="16" t="n">
        <f aca="false">ROUND(H607*F607,0)</f>
        <v>13</v>
      </c>
      <c r="J607" s="22" t="n">
        <f aca="false">I607*Assumptions!B24</f>
        <v>7800</v>
      </c>
      <c r="K607" s="21" t="n">
        <f aca="false">K606*(1+Assumptions!B30)</f>
        <v>16.014130267818</v>
      </c>
      <c r="L607" s="16" t="n">
        <f aca="false">ROUND(K607*F607,0)</f>
        <v>10</v>
      </c>
      <c r="M607" s="22" t="n">
        <f aca="false">L607*Assumptions!B31</f>
        <v>3000</v>
      </c>
      <c r="N607" s="22" t="n">
        <f aca="false">J607+M607</f>
        <v>10800</v>
      </c>
      <c r="O607" s="22" t="n">
        <f aca="false">IF(DAY(B607)=1,Assumptions!B38*G607,0)</f>
        <v>0</v>
      </c>
      <c r="P607" s="22" t="n">
        <f aca="false">IF(DAY(B607)=1,Assumptions!B39*G607,0)</f>
        <v>0</v>
      </c>
      <c r="Q607" s="22" t="n">
        <f aca="false">IF(DAY(B607)=1,Assumptions!B40*G607,0)</f>
        <v>0</v>
      </c>
      <c r="R607" s="22" t="n">
        <f aca="false">IF(DAY(B607)=1,Assumptions!B41*G607,0)</f>
        <v>0</v>
      </c>
      <c r="S607" s="22" t="n">
        <f aca="false">IF(AND(DAY(B607)=1,D607&gt;=13),Assumptions!B42*G607,0)</f>
        <v>0</v>
      </c>
      <c r="T607" s="22" t="n">
        <f aca="false">IF(DAY(B607)=1,Assumptions!B43*G607,0)</f>
        <v>0</v>
      </c>
      <c r="U607" s="22" t="n">
        <f aca="false">SUM(O607:T607)</f>
        <v>0</v>
      </c>
      <c r="V607" s="22" t="n">
        <f aca="false">N607-U607</f>
        <v>10800</v>
      </c>
      <c r="W607" s="22" t="n">
        <f aca="false">W606+V607</f>
        <v>-2794091.35901284</v>
      </c>
      <c r="X607" s="23" t="str">
        <f aca="false">IF(W607&gt;=0,"YES","No")</f>
        <v>No</v>
      </c>
    </row>
    <row r="608" customFormat="false" ht="15" hidden="false" customHeight="false" outlineLevel="0" collapsed="false">
      <c r="A608" s="16" t="n">
        <v>607</v>
      </c>
      <c r="B608" s="17" t="n">
        <f aca="false">B607+1</f>
        <v>46629</v>
      </c>
      <c r="C608" s="18" t="n">
        <f aca="false">MIN(ROUNDUP(A608/365,0),5)</f>
        <v>2</v>
      </c>
      <c r="D608" s="18" t="n">
        <f aca="false">DATEDIF(Assumptions!B5,B608,"m")+1</f>
        <v>20</v>
      </c>
      <c r="E608" s="18" t="str">
        <f aca="false">TEXT(B608,"ddd")</f>
        <v>Mon</v>
      </c>
      <c r="F608" s="19" t="n">
        <f aca="false">IF(WEEKDAY(B608,2)&gt;=6,Assumptions!B34,Assumptions!B35)</f>
        <v>1</v>
      </c>
      <c r="G608" s="20" t="n">
        <f aca="false">IF(D608&gt;=13,(1+Assumptions!B46)^(D608-12),1)</f>
        <v>1.02425351768363</v>
      </c>
      <c r="H608" s="21" t="n">
        <f aca="false">H607*(1+IF(C608=1,Assumptions!B22,Assumptions!B23))</f>
        <v>21.6563925013067</v>
      </c>
      <c r="I608" s="16" t="n">
        <f aca="false">ROUND(H608*F608,0)</f>
        <v>22</v>
      </c>
      <c r="J608" s="22" t="n">
        <f aca="false">I608*Assumptions!B24</f>
        <v>13200</v>
      </c>
      <c r="K608" s="21" t="n">
        <f aca="false">K607*(1+Assumptions!B30)</f>
        <v>16.0193658769209</v>
      </c>
      <c r="L608" s="16" t="n">
        <f aca="false">ROUND(K608*F608,0)</f>
        <v>16</v>
      </c>
      <c r="M608" s="22" t="n">
        <f aca="false">L608*Assumptions!B31</f>
        <v>4800</v>
      </c>
      <c r="N608" s="22" t="n">
        <f aca="false">J608+M608</f>
        <v>18000</v>
      </c>
      <c r="O608" s="22" t="n">
        <f aca="false">IF(DAY(B608)=1,Assumptions!B38*G608,0)</f>
        <v>0</v>
      </c>
      <c r="P608" s="22" t="n">
        <f aca="false">IF(DAY(B608)=1,Assumptions!B39*G608,0)</f>
        <v>0</v>
      </c>
      <c r="Q608" s="22" t="n">
        <f aca="false">IF(DAY(B608)=1,Assumptions!B40*G608,0)</f>
        <v>0</v>
      </c>
      <c r="R608" s="22" t="n">
        <f aca="false">IF(DAY(B608)=1,Assumptions!B41*G608,0)</f>
        <v>0</v>
      </c>
      <c r="S608" s="22" t="n">
        <f aca="false">IF(AND(DAY(B608)=1,D608&gt;=13),Assumptions!B42*G608,0)</f>
        <v>0</v>
      </c>
      <c r="T608" s="22" t="n">
        <f aca="false">IF(DAY(B608)=1,Assumptions!B43*G608,0)</f>
        <v>0</v>
      </c>
      <c r="U608" s="22" t="n">
        <f aca="false">SUM(O608:T608)</f>
        <v>0</v>
      </c>
      <c r="V608" s="22" t="n">
        <f aca="false">N608-U608</f>
        <v>18000</v>
      </c>
      <c r="W608" s="22" t="n">
        <f aca="false">W607+V608</f>
        <v>-2776091.35901284</v>
      </c>
      <c r="X608" s="23" t="str">
        <f aca="false">IF(W608&gt;=0,"YES","No")</f>
        <v>No</v>
      </c>
    </row>
    <row r="609" customFormat="false" ht="15" hidden="false" customHeight="false" outlineLevel="0" collapsed="false">
      <c r="A609" s="16" t="n">
        <v>608</v>
      </c>
      <c r="B609" s="17" t="n">
        <f aca="false">B608+1</f>
        <v>46630</v>
      </c>
      <c r="C609" s="18" t="n">
        <f aca="false">MIN(ROUNDUP(A609/365,0),5)</f>
        <v>2</v>
      </c>
      <c r="D609" s="18" t="n">
        <f aca="false">DATEDIF(Assumptions!B5,B609,"m")+1</f>
        <v>20</v>
      </c>
      <c r="E609" s="18" t="str">
        <f aca="false">TEXT(B609,"ddd")</f>
        <v>Tue</v>
      </c>
      <c r="F609" s="19" t="n">
        <f aca="false">IF(WEEKDAY(B609,2)&gt;=6,Assumptions!B34,Assumptions!B35)</f>
        <v>1</v>
      </c>
      <c r="G609" s="20" t="n">
        <f aca="false">IF(D609&gt;=13,(1+Assumptions!B46)^(D609-12),1)</f>
        <v>1.02425351768363</v>
      </c>
      <c r="H609" s="21" t="n">
        <f aca="false">H608*(1+IF(C609=1,Assumptions!B22,Assumptions!B23))</f>
        <v>21.6599411545874</v>
      </c>
      <c r="I609" s="16" t="n">
        <f aca="false">ROUND(H609*F609,0)</f>
        <v>22</v>
      </c>
      <c r="J609" s="22" t="n">
        <f aca="false">I609*Assumptions!B24</f>
        <v>13200</v>
      </c>
      <c r="K609" s="21" t="n">
        <f aca="false">K608*(1+Assumptions!B30)</f>
        <v>16.0246031977373</v>
      </c>
      <c r="L609" s="16" t="n">
        <f aca="false">ROUND(K609*F609,0)</f>
        <v>16</v>
      </c>
      <c r="M609" s="22" t="n">
        <f aca="false">L609*Assumptions!B31</f>
        <v>4800</v>
      </c>
      <c r="N609" s="22" t="n">
        <f aca="false">J609+M609</f>
        <v>18000</v>
      </c>
      <c r="O609" s="22" t="n">
        <f aca="false">IF(DAY(B609)=1,Assumptions!B38*G609,0)</f>
        <v>0</v>
      </c>
      <c r="P609" s="22" t="n">
        <f aca="false">IF(DAY(B609)=1,Assumptions!B39*G609,0)</f>
        <v>0</v>
      </c>
      <c r="Q609" s="22" t="n">
        <f aca="false">IF(DAY(B609)=1,Assumptions!B40*G609,0)</f>
        <v>0</v>
      </c>
      <c r="R609" s="22" t="n">
        <f aca="false">IF(DAY(B609)=1,Assumptions!B41*G609,0)</f>
        <v>0</v>
      </c>
      <c r="S609" s="22" t="n">
        <f aca="false">IF(AND(DAY(B609)=1,D609&gt;=13),Assumptions!B42*G609,0)</f>
        <v>0</v>
      </c>
      <c r="T609" s="22" t="n">
        <f aca="false">IF(DAY(B609)=1,Assumptions!B43*G609,0)</f>
        <v>0</v>
      </c>
      <c r="U609" s="22" t="n">
        <f aca="false">SUM(O609:T609)</f>
        <v>0</v>
      </c>
      <c r="V609" s="22" t="n">
        <f aca="false">N609-U609</f>
        <v>18000</v>
      </c>
      <c r="W609" s="22" t="n">
        <f aca="false">W608+V609</f>
        <v>-2758091.35901284</v>
      </c>
      <c r="X609" s="23" t="str">
        <f aca="false">IF(W609&gt;=0,"YES","No")</f>
        <v>No</v>
      </c>
    </row>
    <row r="610" customFormat="false" ht="15" hidden="false" customHeight="false" outlineLevel="0" collapsed="false">
      <c r="A610" s="16" t="n">
        <v>609</v>
      </c>
      <c r="B610" s="17" t="n">
        <f aca="false">B609+1</f>
        <v>46631</v>
      </c>
      <c r="C610" s="18" t="n">
        <f aca="false">MIN(ROUNDUP(A610/365,0),5)</f>
        <v>2</v>
      </c>
      <c r="D610" s="18" t="n">
        <f aca="false">DATEDIF(Assumptions!B5,B610,"m")+1</f>
        <v>21</v>
      </c>
      <c r="E610" s="18" t="str">
        <f aca="false">TEXT(B610,"ddd")</f>
        <v>Wed</v>
      </c>
      <c r="F610" s="19" t="n">
        <f aca="false">IF(WEEKDAY(B610,2)&gt;=6,Assumptions!B34,Assumptions!B35)</f>
        <v>1</v>
      </c>
      <c r="G610" s="20" t="n">
        <f aca="false">IF(D610&gt;=13,(1+Assumptions!B46)^(D610-12),1)</f>
        <v>1.02732627823668</v>
      </c>
      <c r="H610" s="21" t="n">
        <f aca="false">H609*(1+IF(C610=1,Assumptions!B22,Assumptions!B23))</f>
        <v>21.6634903893565</v>
      </c>
      <c r="I610" s="16" t="n">
        <f aca="false">ROUND(H610*F610,0)</f>
        <v>22</v>
      </c>
      <c r="J610" s="22" t="n">
        <f aca="false">I610*Assumptions!B24</f>
        <v>13200</v>
      </c>
      <c r="K610" s="21" t="n">
        <f aca="false">K609*(1+Assumptions!B30)</f>
        <v>16.0298422308268</v>
      </c>
      <c r="L610" s="16" t="n">
        <f aca="false">ROUND(K610*F610,0)</f>
        <v>16</v>
      </c>
      <c r="M610" s="22" t="n">
        <f aca="false">L610*Assumptions!B31</f>
        <v>4800</v>
      </c>
      <c r="N610" s="22" t="n">
        <f aca="false">J610+M610</f>
        <v>18000</v>
      </c>
      <c r="O610" s="22" t="n">
        <f aca="false">IF(DAY(B610)=1,Assumptions!B38*G610,0)</f>
        <v>154098.941735502</v>
      </c>
      <c r="P610" s="22" t="n">
        <f aca="false">IF(DAY(B610)=1,Assumptions!B39*G610,0)</f>
        <v>41093.0511294671</v>
      </c>
      <c r="Q610" s="22" t="n">
        <f aca="false">IF(DAY(B610)=1,Assumptions!B40*G610,0)</f>
        <v>30819.7883471004</v>
      </c>
      <c r="R610" s="22" t="n">
        <f aca="false">IF(DAY(B610)=1,Assumptions!B41*G610,0)</f>
        <v>20546.5255647336</v>
      </c>
      <c r="S610" s="22" t="n">
        <f aca="false">IF(AND(DAY(B610)=1,D610&gt;=13),Assumptions!B42*G610,0)</f>
        <v>154098.941735502</v>
      </c>
      <c r="T610" s="22" t="n">
        <f aca="false">IF(DAY(B610)=1,Assumptions!B43*G610,0)</f>
        <v>20546.5255647336</v>
      </c>
      <c r="U610" s="22" t="n">
        <f aca="false">SUM(O610:T610)</f>
        <v>421203.774077038</v>
      </c>
      <c r="V610" s="22" t="n">
        <f aca="false">N610-U610</f>
        <v>-403203.774077038</v>
      </c>
      <c r="W610" s="22" t="n">
        <f aca="false">W609+V610</f>
        <v>-3161295.13308988</v>
      </c>
      <c r="X610" s="23" t="str">
        <f aca="false">IF(W610&gt;=0,"YES","No")</f>
        <v>No</v>
      </c>
    </row>
    <row r="611" customFormat="false" ht="15" hidden="false" customHeight="false" outlineLevel="0" collapsed="false">
      <c r="A611" s="16" t="n">
        <v>610</v>
      </c>
      <c r="B611" s="17" t="n">
        <f aca="false">B610+1</f>
        <v>46632</v>
      </c>
      <c r="C611" s="18" t="n">
        <f aca="false">MIN(ROUNDUP(A611/365,0),5)</f>
        <v>2</v>
      </c>
      <c r="D611" s="18" t="n">
        <f aca="false">DATEDIF(Assumptions!B5,B611,"m")+1</f>
        <v>21</v>
      </c>
      <c r="E611" s="18" t="str">
        <f aca="false">TEXT(B611,"ddd")</f>
        <v>Thu</v>
      </c>
      <c r="F611" s="19" t="n">
        <f aca="false">IF(WEEKDAY(B611,2)&gt;=6,Assumptions!B34,Assumptions!B35)</f>
        <v>1</v>
      </c>
      <c r="G611" s="20" t="n">
        <f aca="false">IF(D611&gt;=13,(1+Assumptions!B46)^(D611-12),1)</f>
        <v>1.02732627823668</v>
      </c>
      <c r="H611" s="21" t="n">
        <f aca="false">H610*(1+IF(C611=1,Assumptions!B22,Assumptions!B23))</f>
        <v>21.6670402057092</v>
      </c>
      <c r="I611" s="16" t="n">
        <f aca="false">ROUND(H611*F611,0)</f>
        <v>22</v>
      </c>
      <c r="J611" s="22" t="n">
        <f aca="false">I611*Assumptions!B24</f>
        <v>13200</v>
      </c>
      <c r="K611" s="21" t="n">
        <f aca="false">K610*(1+Assumptions!B30)</f>
        <v>16.0350829767492</v>
      </c>
      <c r="L611" s="16" t="n">
        <f aca="false">ROUND(K611*F611,0)</f>
        <v>16</v>
      </c>
      <c r="M611" s="22" t="n">
        <f aca="false">L611*Assumptions!B31</f>
        <v>4800</v>
      </c>
      <c r="N611" s="22" t="n">
        <f aca="false">J611+M611</f>
        <v>18000</v>
      </c>
      <c r="O611" s="22" t="n">
        <f aca="false">IF(DAY(B611)=1,Assumptions!B38*G611,0)</f>
        <v>0</v>
      </c>
      <c r="P611" s="22" t="n">
        <f aca="false">IF(DAY(B611)=1,Assumptions!B39*G611,0)</f>
        <v>0</v>
      </c>
      <c r="Q611" s="22" t="n">
        <f aca="false">IF(DAY(B611)=1,Assumptions!B40*G611,0)</f>
        <v>0</v>
      </c>
      <c r="R611" s="22" t="n">
        <f aca="false">IF(DAY(B611)=1,Assumptions!B41*G611,0)</f>
        <v>0</v>
      </c>
      <c r="S611" s="22" t="n">
        <f aca="false">IF(AND(DAY(B611)=1,D611&gt;=13),Assumptions!B42*G611,0)</f>
        <v>0</v>
      </c>
      <c r="T611" s="22" t="n">
        <f aca="false">IF(DAY(B611)=1,Assumptions!B43*G611,0)</f>
        <v>0</v>
      </c>
      <c r="U611" s="22" t="n">
        <f aca="false">SUM(O611:T611)</f>
        <v>0</v>
      </c>
      <c r="V611" s="22" t="n">
        <f aca="false">N611-U611</f>
        <v>18000</v>
      </c>
      <c r="W611" s="22" t="n">
        <f aca="false">W610+V611</f>
        <v>-3143295.13308988</v>
      </c>
      <c r="X611" s="23" t="str">
        <f aca="false">IF(W611&gt;=0,"YES","No")</f>
        <v>No</v>
      </c>
    </row>
    <row r="612" customFormat="false" ht="15" hidden="false" customHeight="false" outlineLevel="0" collapsed="false">
      <c r="A612" s="16" t="n">
        <v>611</v>
      </c>
      <c r="B612" s="17" t="n">
        <f aca="false">B611+1</f>
        <v>46633</v>
      </c>
      <c r="C612" s="18" t="n">
        <f aca="false">MIN(ROUNDUP(A612/365,0),5)</f>
        <v>2</v>
      </c>
      <c r="D612" s="18" t="n">
        <f aca="false">DATEDIF(Assumptions!B5,B612,"m")+1</f>
        <v>21</v>
      </c>
      <c r="E612" s="18" t="str">
        <f aca="false">TEXT(B612,"ddd")</f>
        <v>Fri</v>
      </c>
      <c r="F612" s="19" t="n">
        <f aca="false">IF(WEEKDAY(B612,2)&gt;=6,Assumptions!B34,Assumptions!B35)</f>
        <v>1</v>
      </c>
      <c r="G612" s="20" t="n">
        <f aca="false">IF(D612&gt;=13,(1+Assumptions!B46)^(D612-12),1)</f>
        <v>1.02732627823668</v>
      </c>
      <c r="H612" s="21" t="n">
        <f aca="false">H611*(1+IF(C612=1,Assumptions!B22,Assumptions!B23))</f>
        <v>21.6705906037409</v>
      </c>
      <c r="I612" s="16" t="n">
        <f aca="false">ROUND(H612*F612,0)</f>
        <v>22</v>
      </c>
      <c r="J612" s="22" t="n">
        <f aca="false">I612*Assumptions!B24</f>
        <v>13200</v>
      </c>
      <c r="K612" s="21" t="n">
        <f aca="false">K611*(1+Assumptions!B30)</f>
        <v>16.0403254360646</v>
      </c>
      <c r="L612" s="16" t="n">
        <f aca="false">ROUND(K612*F612,0)</f>
        <v>16</v>
      </c>
      <c r="M612" s="22" t="n">
        <f aca="false">L612*Assumptions!B31</f>
        <v>4800</v>
      </c>
      <c r="N612" s="22" t="n">
        <f aca="false">J612+M612</f>
        <v>18000</v>
      </c>
      <c r="O612" s="22" t="n">
        <f aca="false">IF(DAY(B612)=1,Assumptions!B38*G612,0)</f>
        <v>0</v>
      </c>
      <c r="P612" s="22" t="n">
        <f aca="false">IF(DAY(B612)=1,Assumptions!B39*G612,0)</f>
        <v>0</v>
      </c>
      <c r="Q612" s="22" t="n">
        <f aca="false">IF(DAY(B612)=1,Assumptions!B40*G612,0)</f>
        <v>0</v>
      </c>
      <c r="R612" s="22" t="n">
        <f aca="false">IF(DAY(B612)=1,Assumptions!B41*G612,0)</f>
        <v>0</v>
      </c>
      <c r="S612" s="22" t="n">
        <f aca="false">IF(AND(DAY(B612)=1,D612&gt;=13),Assumptions!B42*G612,0)</f>
        <v>0</v>
      </c>
      <c r="T612" s="22" t="n">
        <f aca="false">IF(DAY(B612)=1,Assumptions!B43*G612,0)</f>
        <v>0</v>
      </c>
      <c r="U612" s="22" t="n">
        <f aca="false">SUM(O612:T612)</f>
        <v>0</v>
      </c>
      <c r="V612" s="22" t="n">
        <f aca="false">N612-U612</f>
        <v>18000</v>
      </c>
      <c r="W612" s="22" t="n">
        <f aca="false">W611+V612</f>
        <v>-3125295.13308988</v>
      </c>
      <c r="X612" s="23" t="str">
        <f aca="false">IF(W612&gt;=0,"YES","No")</f>
        <v>No</v>
      </c>
    </row>
    <row r="613" customFormat="false" ht="15" hidden="false" customHeight="false" outlineLevel="0" collapsed="false">
      <c r="A613" s="16" t="n">
        <v>612</v>
      </c>
      <c r="B613" s="17" t="n">
        <f aca="false">B612+1</f>
        <v>46634</v>
      </c>
      <c r="C613" s="18" t="n">
        <f aca="false">MIN(ROUNDUP(A613/365,0),5)</f>
        <v>2</v>
      </c>
      <c r="D613" s="18" t="n">
        <f aca="false">DATEDIF(Assumptions!B5,B613,"m")+1</f>
        <v>21</v>
      </c>
      <c r="E613" s="18" t="str">
        <f aca="false">TEXT(B613,"ddd")</f>
        <v>Sat</v>
      </c>
      <c r="F613" s="19" t="n">
        <f aca="false">IF(WEEKDAY(B613,2)&gt;=6,Assumptions!B34,Assumptions!B35)</f>
        <v>0.6</v>
      </c>
      <c r="G613" s="20" t="n">
        <f aca="false">IF(D613&gt;=13,(1+Assumptions!B46)^(D613-12),1)</f>
        <v>1.02732627823668</v>
      </c>
      <c r="H613" s="21" t="n">
        <f aca="false">H612*(1+IF(C613=1,Assumptions!B22,Assumptions!B23))</f>
        <v>21.6741415835469</v>
      </c>
      <c r="I613" s="16" t="n">
        <f aca="false">ROUND(H613*F613,0)</f>
        <v>13</v>
      </c>
      <c r="J613" s="22" t="n">
        <f aca="false">I613*Assumptions!B24</f>
        <v>7800</v>
      </c>
      <c r="K613" s="21" t="n">
        <f aca="false">K612*(1+Assumptions!B30)</f>
        <v>16.0455696093329</v>
      </c>
      <c r="L613" s="16" t="n">
        <f aca="false">ROUND(K613*F613,0)</f>
        <v>10</v>
      </c>
      <c r="M613" s="22" t="n">
        <f aca="false">L613*Assumptions!B31</f>
        <v>3000</v>
      </c>
      <c r="N613" s="22" t="n">
        <f aca="false">J613+M613</f>
        <v>10800</v>
      </c>
      <c r="O613" s="22" t="n">
        <f aca="false">IF(DAY(B613)=1,Assumptions!B38*G613,0)</f>
        <v>0</v>
      </c>
      <c r="P613" s="22" t="n">
        <f aca="false">IF(DAY(B613)=1,Assumptions!B39*G613,0)</f>
        <v>0</v>
      </c>
      <c r="Q613" s="22" t="n">
        <f aca="false">IF(DAY(B613)=1,Assumptions!B40*G613,0)</f>
        <v>0</v>
      </c>
      <c r="R613" s="22" t="n">
        <f aca="false">IF(DAY(B613)=1,Assumptions!B41*G613,0)</f>
        <v>0</v>
      </c>
      <c r="S613" s="22" t="n">
        <f aca="false">IF(AND(DAY(B613)=1,D613&gt;=13),Assumptions!B42*G613,0)</f>
        <v>0</v>
      </c>
      <c r="T613" s="22" t="n">
        <f aca="false">IF(DAY(B613)=1,Assumptions!B43*G613,0)</f>
        <v>0</v>
      </c>
      <c r="U613" s="22" t="n">
        <f aca="false">SUM(O613:T613)</f>
        <v>0</v>
      </c>
      <c r="V613" s="22" t="n">
        <f aca="false">N613-U613</f>
        <v>10800</v>
      </c>
      <c r="W613" s="22" t="n">
        <f aca="false">W612+V613</f>
        <v>-3114495.13308988</v>
      </c>
      <c r="X613" s="23" t="str">
        <f aca="false">IF(W613&gt;=0,"YES","No")</f>
        <v>No</v>
      </c>
    </row>
    <row r="614" customFormat="false" ht="15" hidden="false" customHeight="false" outlineLevel="0" collapsed="false">
      <c r="A614" s="16" t="n">
        <v>613</v>
      </c>
      <c r="B614" s="17" t="n">
        <f aca="false">B613+1</f>
        <v>46635</v>
      </c>
      <c r="C614" s="18" t="n">
        <f aca="false">MIN(ROUNDUP(A614/365,0),5)</f>
        <v>2</v>
      </c>
      <c r="D614" s="18" t="n">
        <f aca="false">DATEDIF(Assumptions!B5,B614,"m")+1</f>
        <v>21</v>
      </c>
      <c r="E614" s="18" t="str">
        <f aca="false">TEXT(B614,"ddd")</f>
        <v>Sun</v>
      </c>
      <c r="F614" s="19" t="n">
        <f aca="false">IF(WEEKDAY(B614,2)&gt;=6,Assumptions!B34,Assumptions!B35)</f>
        <v>0.6</v>
      </c>
      <c r="G614" s="20" t="n">
        <f aca="false">IF(D614&gt;=13,(1+Assumptions!B46)^(D614-12),1)</f>
        <v>1.02732627823668</v>
      </c>
      <c r="H614" s="21" t="n">
        <f aca="false">H613*(1+IF(C614=1,Assumptions!B22,Assumptions!B23))</f>
        <v>21.6776931452224</v>
      </c>
      <c r="I614" s="16" t="n">
        <f aca="false">ROUND(H614*F614,0)</f>
        <v>13</v>
      </c>
      <c r="J614" s="22" t="n">
        <f aca="false">I614*Assumptions!B24</f>
        <v>7800</v>
      </c>
      <c r="K614" s="21" t="n">
        <f aca="false">K613*(1+Assumptions!B30)</f>
        <v>16.0508154971147</v>
      </c>
      <c r="L614" s="16" t="n">
        <f aca="false">ROUND(K614*F614,0)</f>
        <v>10</v>
      </c>
      <c r="M614" s="22" t="n">
        <f aca="false">L614*Assumptions!B31</f>
        <v>3000</v>
      </c>
      <c r="N614" s="22" t="n">
        <f aca="false">J614+M614</f>
        <v>10800</v>
      </c>
      <c r="O614" s="22" t="n">
        <f aca="false">IF(DAY(B614)=1,Assumptions!B38*G614,0)</f>
        <v>0</v>
      </c>
      <c r="P614" s="22" t="n">
        <f aca="false">IF(DAY(B614)=1,Assumptions!B39*G614,0)</f>
        <v>0</v>
      </c>
      <c r="Q614" s="22" t="n">
        <f aca="false">IF(DAY(B614)=1,Assumptions!B40*G614,0)</f>
        <v>0</v>
      </c>
      <c r="R614" s="22" t="n">
        <f aca="false">IF(DAY(B614)=1,Assumptions!B41*G614,0)</f>
        <v>0</v>
      </c>
      <c r="S614" s="22" t="n">
        <f aca="false">IF(AND(DAY(B614)=1,D614&gt;=13),Assumptions!B42*G614,0)</f>
        <v>0</v>
      </c>
      <c r="T614" s="22" t="n">
        <f aca="false">IF(DAY(B614)=1,Assumptions!B43*G614,0)</f>
        <v>0</v>
      </c>
      <c r="U614" s="22" t="n">
        <f aca="false">SUM(O614:T614)</f>
        <v>0</v>
      </c>
      <c r="V614" s="22" t="n">
        <f aca="false">N614-U614</f>
        <v>10800</v>
      </c>
      <c r="W614" s="22" t="n">
        <f aca="false">W613+V614</f>
        <v>-3103695.13308988</v>
      </c>
      <c r="X614" s="23" t="str">
        <f aca="false">IF(W614&gt;=0,"YES","No")</f>
        <v>No</v>
      </c>
    </row>
    <row r="615" customFormat="false" ht="15" hidden="false" customHeight="false" outlineLevel="0" collapsed="false">
      <c r="A615" s="16" t="n">
        <v>614</v>
      </c>
      <c r="B615" s="17" t="n">
        <f aca="false">B614+1</f>
        <v>46636</v>
      </c>
      <c r="C615" s="18" t="n">
        <f aca="false">MIN(ROUNDUP(A615/365,0),5)</f>
        <v>2</v>
      </c>
      <c r="D615" s="18" t="n">
        <f aca="false">DATEDIF(Assumptions!B5,B615,"m")+1</f>
        <v>21</v>
      </c>
      <c r="E615" s="18" t="str">
        <f aca="false">TEXT(B615,"ddd")</f>
        <v>Mon</v>
      </c>
      <c r="F615" s="19" t="n">
        <f aca="false">IF(WEEKDAY(B615,2)&gt;=6,Assumptions!B34,Assumptions!B35)</f>
        <v>1</v>
      </c>
      <c r="G615" s="20" t="n">
        <f aca="false">IF(D615&gt;=13,(1+Assumptions!B46)^(D615-12),1)</f>
        <v>1.02732627823668</v>
      </c>
      <c r="H615" s="21" t="n">
        <f aca="false">H614*(1+IF(C615=1,Assumptions!B22,Assumptions!B23))</f>
        <v>21.6812452888628</v>
      </c>
      <c r="I615" s="16" t="n">
        <f aca="false">ROUND(H615*F615,0)</f>
        <v>22</v>
      </c>
      <c r="J615" s="22" t="n">
        <f aca="false">I615*Assumptions!B24</f>
        <v>13200</v>
      </c>
      <c r="K615" s="21" t="n">
        <f aca="false">K614*(1+Assumptions!B30)</f>
        <v>16.0560630999705</v>
      </c>
      <c r="L615" s="16" t="n">
        <f aca="false">ROUND(K615*F615,0)</f>
        <v>16</v>
      </c>
      <c r="M615" s="22" t="n">
        <f aca="false">L615*Assumptions!B31</f>
        <v>4800</v>
      </c>
      <c r="N615" s="22" t="n">
        <f aca="false">J615+M615</f>
        <v>18000</v>
      </c>
      <c r="O615" s="22" t="n">
        <f aca="false">IF(DAY(B615)=1,Assumptions!B38*G615,0)</f>
        <v>0</v>
      </c>
      <c r="P615" s="22" t="n">
        <f aca="false">IF(DAY(B615)=1,Assumptions!B39*G615,0)</f>
        <v>0</v>
      </c>
      <c r="Q615" s="22" t="n">
        <f aca="false">IF(DAY(B615)=1,Assumptions!B40*G615,0)</f>
        <v>0</v>
      </c>
      <c r="R615" s="22" t="n">
        <f aca="false">IF(DAY(B615)=1,Assumptions!B41*G615,0)</f>
        <v>0</v>
      </c>
      <c r="S615" s="22" t="n">
        <f aca="false">IF(AND(DAY(B615)=1,D615&gt;=13),Assumptions!B42*G615,0)</f>
        <v>0</v>
      </c>
      <c r="T615" s="22" t="n">
        <f aca="false">IF(DAY(B615)=1,Assumptions!B43*G615,0)</f>
        <v>0</v>
      </c>
      <c r="U615" s="22" t="n">
        <f aca="false">SUM(O615:T615)</f>
        <v>0</v>
      </c>
      <c r="V615" s="22" t="n">
        <f aca="false">N615-U615</f>
        <v>18000</v>
      </c>
      <c r="W615" s="22" t="n">
        <f aca="false">W614+V615</f>
        <v>-3085695.13308988</v>
      </c>
      <c r="X615" s="23" t="str">
        <f aca="false">IF(W615&gt;=0,"YES","No")</f>
        <v>No</v>
      </c>
    </row>
    <row r="616" customFormat="false" ht="15" hidden="false" customHeight="false" outlineLevel="0" collapsed="false">
      <c r="A616" s="16" t="n">
        <v>615</v>
      </c>
      <c r="B616" s="17" t="n">
        <f aca="false">B615+1</f>
        <v>46637</v>
      </c>
      <c r="C616" s="18" t="n">
        <f aca="false">MIN(ROUNDUP(A616/365,0),5)</f>
        <v>2</v>
      </c>
      <c r="D616" s="18" t="n">
        <f aca="false">DATEDIF(Assumptions!B5,B616,"m")+1</f>
        <v>21</v>
      </c>
      <c r="E616" s="18" t="str">
        <f aca="false">TEXT(B616,"ddd")</f>
        <v>Tue</v>
      </c>
      <c r="F616" s="19" t="n">
        <f aca="false">IF(WEEKDAY(B616,2)&gt;=6,Assumptions!B34,Assumptions!B35)</f>
        <v>1</v>
      </c>
      <c r="G616" s="20" t="n">
        <f aca="false">IF(D616&gt;=13,(1+Assumptions!B46)^(D616-12),1)</f>
        <v>1.02732627823668</v>
      </c>
      <c r="H616" s="21" t="n">
        <f aca="false">H615*(1+IF(C616=1,Assumptions!B22,Assumptions!B23))</f>
        <v>21.6847980145636</v>
      </c>
      <c r="I616" s="16" t="n">
        <f aca="false">ROUND(H616*F616,0)</f>
        <v>22</v>
      </c>
      <c r="J616" s="22" t="n">
        <f aca="false">I616*Assumptions!B24</f>
        <v>13200</v>
      </c>
      <c r="K616" s="21" t="n">
        <f aca="false">K615*(1+Assumptions!B30)</f>
        <v>16.0613124184609</v>
      </c>
      <c r="L616" s="16" t="n">
        <f aca="false">ROUND(K616*F616,0)</f>
        <v>16</v>
      </c>
      <c r="M616" s="22" t="n">
        <f aca="false">L616*Assumptions!B31</f>
        <v>4800</v>
      </c>
      <c r="N616" s="22" t="n">
        <f aca="false">J616+M616</f>
        <v>18000</v>
      </c>
      <c r="O616" s="22" t="n">
        <f aca="false">IF(DAY(B616)=1,Assumptions!B38*G616,0)</f>
        <v>0</v>
      </c>
      <c r="P616" s="22" t="n">
        <f aca="false">IF(DAY(B616)=1,Assumptions!B39*G616,0)</f>
        <v>0</v>
      </c>
      <c r="Q616" s="22" t="n">
        <f aca="false">IF(DAY(B616)=1,Assumptions!B40*G616,0)</f>
        <v>0</v>
      </c>
      <c r="R616" s="22" t="n">
        <f aca="false">IF(DAY(B616)=1,Assumptions!B41*G616,0)</f>
        <v>0</v>
      </c>
      <c r="S616" s="22" t="n">
        <f aca="false">IF(AND(DAY(B616)=1,D616&gt;=13),Assumptions!B42*G616,0)</f>
        <v>0</v>
      </c>
      <c r="T616" s="22" t="n">
        <f aca="false">IF(DAY(B616)=1,Assumptions!B43*G616,0)</f>
        <v>0</v>
      </c>
      <c r="U616" s="22" t="n">
        <f aca="false">SUM(O616:T616)</f>
        <v>0</v>
      </c>
      <c r="V616" s="22" t="n">
        <f aca="false">N616-U616</f>
        <v>18000</v>
      </c>
      <c r="W616" s="22" t="n">
        <f aca="false">W615+V616</f>
        <v>-3067695.13308988</v>
      </c>
      <c r="X616" s="23" t="str">
        <f aca="false">IF(W616&gt;=0,"YES","No")</f>
        <v>No</v>
      </c>
    </row>
    <row r="617" customFormat="false" ht="15" hidden="false" customHeight="false" outlineLevel="0" collapsed="false">
      <c r="A617" s="16" t="n">
        <v>616</v>
      </c>
      <c r="B617" s="17" t="n">
        <f aca="false">B616+1</f>
        <v>46638</v>
      </c>
      <c r="C617" s="18" t="n">
        <f aca="false">MIN(ROUNDUP(A617/365,0),5)</f>
        <v>2</v>
      </c>
      <c r="D617" s="18" t="n">
        <f aca="false">DATEDIF(Assumptions!B5,B617,"m")+1</f>
        <v>21</v>
      </c>
      <c r="E617" s="18" t="str">
        <f aca="false">TEXT(B617,"ddd")</f>
        <v>Wed</v>
      </c>
      <c r="F617" s="19" t="n">
        <f aca="false">IF(WEEKDAY(B617,2)&gt;=6,Assumptions!B34,Assumptions!B35)</f>
        <v>1</v>
      </c>
      <c r="G617" s="20" t="n">
        <f aca="false">IF(D617&gt;=13,(1+Assumptions!B46)^(D617-12),1)</f>
        <v>1.02732627823668</v>
      </c>
      <c r="H617" s="21" t="n">
        <f aca="false">H616*(1+IF(C617=1,Assumptions!B22,Assumptions!B23))</f>
        <v>21.68835132242</v>
      </c>
      <c r="I617" s="16" t="n">
        <f aca="false">ROUND(H617*F617,0)</f>
        <v>22</v>
      </c>
      <c r="J617" s="22" t="n">
        <f aca="false">I617*Assumptions!B24</f>
        <v>13200</v>
      </c>
      <c r="K617" s="21" t="n">
        <f aca="false">K616*(1+Assumptions!B30)</f>
        <v>16.066563453147</v>
      </c>
      <c r="L617" s="16" t="n">
        <f aca="false">ROUND(K617*F617,0)</f>
        <v>16</v>
      </c>
      <c r="M617" s="22" t="n">
        <f aca="false">L617*Assumptions!B31</f>
        <v>4800</v>
      </c>
      <c r="N617" s="22" t="n">
        <f aca="false">J617+M617</f>
        <v>18000</v>
      </c>
      <c r="O617" s="22" t="n">
        <f aca="false">IF(DAY(B617)=1,Assumptions!B38*G617,0)</f>
        <v>0</v>
      </c>
      <c r="P617" s="22" t="n">
        <f aca="false">IF(DAY(B617)=1,Assumptions!B39*G617,0)</f>
        <v>0</v>
      </c>
      <c r="Q617" s="22" t="n">
        <f aca="false">IF(DAY(B617)=1,Assumptions!B40*G617,0)</f>
        <v>0</v>
      </c>
      <c r="R617" s="22" t="n">
        <f aca="false">IF(DAY(B617)=1,Assumptions!B41*G617,0)</f>
        <v>0</v>
      </c>
      <c r="S617" s="22" t="n">
        <f aca="false">IF(AND(DAY(B617)=1,D617&gt;=13),Assumptions!B42*G617,0)</f>
        <v>0</v>
      </c>
      <c r="T617" s="22" t="n">
        <f aca="false">IF(DAY(B617)=1,Assumptions!B43*G617,0)</f>
        <v>0</v>
      </c>
      <c r="U617" s="22" t="n">
        <f aca="false">SUM(O617:T617)</f>
        <v>0</v>
      </c>
      <c r="V617" s="22" t="n">
        <f aca="false">N617-U617</f>
        <v>18000</v>
      </c>
      <c r="W617" s="22" t="n">
        <f aca="false">W616+V617</f>
        <v>-3049695.13308988</v>
      </c>
      <c r="X617" s="23" t="str">
        <f aca="false">IF(W617&gt;=0,"YES","No")</f>
        <v>No</v>
      </c>
    </row>
    <row r="618" customFormat="false" ht="15" hidden="false" customHeight="false" outlineLevel="0" collapsed="false">
      <c r="A618" s="16" t="n">
        <v>617</v>
      </c>
      <c r="B618" s="17" t="n">
        <f aca="false">B617+1</f>
        <v>46639</v>
      </c>
      <c r="C618" s="18" t="n">
        <f aca="false">MIN(ROUNDUP(A618/365,0),5)</f>
        <v>2</v>
      </c>
      <c r="D618" s="18" t="n">
        <f aca="false">DATEDIF(Assumptions!B5,B618,"m")+1</f>
        <v>21</v>
      </c>
      <c r="E618" s="18" t="str">
        <f aca="false">TEXT(B618,"ddd")</f>
        <v>Thu</v>
      </c>
      <c r="F618" s="19" t="n">
        <f aca="false">IF(WEEKDAY(B618,2)&gt;=6,Assumptions!B34,Assumptions!B35)</f>
        <v>1</v>
      </c>
      <c r="G618" s="20" t="n">
        <f aca="false">IF(D618&gt;=13,(1+Assumptions!B46)^(D618-12),1)</f>
        <v>1.02732627823668</v>
      </c>
      <c r="H618" s="21" t="n">
        <f aca="false">H617*(1+IF(C618=1,Assumptions!B22,Assumptions!B23))</f>
        <v>21.6919052125275</v>
      </c>
      <c r="I618" s="16" t="n">
        <f aca="false">ROUND(H618*F618,0)</f>
        <v>22</v>
      </c>
      <c r="J618" s="22" t="n">
        <f aca="false">I618*Assumptions!B24</f>
        <v>13200</v>
      </c>
      <c r="K618" s="21" t="n">
        <f aca="false">K617*(1+Assumptions!B30)</f>
        <v>16.0718162045897</v>
      </c>
      <c r="L618" s="16" t="n">
        <f aca="false">ROUND(K618*F618,0)</f>
        <v>16</v>
      </c>
      <c r="M618" s="22" t="n">
        <f aca="false">L618*Assumptions!B31</f>
        <v>4800</v>
      </c>
      <c r="N618" s="22" t="n">
        <f aca="false">J618+M618</f>
        <v>18000</v>
      </c>
      <c r="O618" s="22" t="n">
        <f aca="false">IF(DAY(B618)=1,Assumptions!B38*G618,0)</f>
        <v>0</v>
      </c>
      <c r="P618" s="22" t="n">
        <f aca="false">IF(DAY(B618)=1,Assumptions!B39*G618,0)</f>
        <v>0</v>
      </c>
      <c r="Q618" s="22" t="n">
        <f aca="false">IF(DAY(B618)=1,Assumptions!B40*G618,0)</f>
        <v>0</v>
      </c>
      <c r="R618" s="22" t="n">
        <f aca="false">IF(DAY(B618)=1,Assumptions!B41*G618,0)</f>
        <v>0</v>
      </c>
      <c r="S618" s="22" t="n">
        <f aca="false">IF(AND(DAY(B618)=1,D618&gt;=13),Assumptions!B42*G618,0)</f>
        <v>0</v>
      </c>
      <c r="T618" s="22" t="n">
        <f aca="false">IF(DAY(B618)=1,Assumptions!B43*G618,0)</f>
        <v>0</v>
      </c>
      <c r="U618" s="22" t="n">
        <f aca="false">SUM(O618:T618)</f>
        <v>0</v>
      </c>
      <c r="V618" s="22" t="n">
        <f aca="false">N618-U618</f>
        <v>18000</v>
      </c>
      <c r="W618" s="22" t="n">
        <f aca="false">W617+V618</f>
        <v>-3031695.13308988</v>
      </c>
      <c r="X618" s="23" t="str">
        <f aca="false">IF(W618&gt;=0,"YES","No")</f>
        <v>No</v>
      </c>
    </row>
    <row r="619" customFormat="false" ht="15" hidden="false" customHeight="false" outlineLevel="0" collapsed="false">
      <c r="A619" s="16" t="n">
        <v>618</v>
      </c>
      <c r="B619" s="17" t="n">
        <f aca="false">B618+1</f>
        <v>46640</v>
      </c>
      <c r="C619" s="18" t="n">
        <f aca="false">MIN(ROUNDUP(A619/365,0),5)</f>
        <v>2</v>
      </c>
      <c r="D619" s="18" t="n">
        <f aca="false">DATEDIF(Assumptions!B5,B619,"m")+1</f>
        <v>21</v>
      </c>
      <c r="E619" s="18" t="str">
        <f aca="false">TEXT(B619,"ddd")</f>
        <v>Fri</v>
      </c>
      <c r="F619" s="19" t="n">
        <f aca="false">IF(WEEKDAY(B619,2)&gt;=6,Assumptions!B34,Assumptions!B35)</f>
        <v>1</v>
      </c>
      <c r="G619" s="20" t="n">
        <f aca="false">IF(D619&gt;=13,(1+Assumptions!B46)^(D619-12),1)</f>
        <v>1.02732627823668</v>
      </c>
      <c r="H619" s="21" t="n">
        <f aca="false">H618*(1+IF(C619=1,Assumptions!B22,Assumptions!B23))</f>
        <v>21.6954596849814</v>
      </c>
      <c r="I619" s="16" t="n">
        <f aca="false">ROUND(H619*F619,0)</f>
        <v>22</v>
      </c>
      <c r="J619" s="22" t="n">
        <f aca="false">I619*Assumptions!B24</f>
        <v>13200</v>
      </c>
      <c r="K619" s="21" t="n">
        <f aca="false">K618*(1+Assumptions!B30)</f>
        <v>16.0770706733503</v>
      </c>
      <c r="L619" s="16" t="n">
        <f aca="false">ROUND(K619*F619,0)</f>
        <v>16</v>
      </c>
      <c r="M619" s="22" t="n">
        <f aca="false">L619*Assumptions!B31</f>
        <v>4800</v>
      </c>
      <c r="N619" s="22" t="n">
        <f aca="false">J619+M619</f>
        <v>18000</v>
      </c>
      <c r="O619" s="22" t="n">
        <f aca="false">IF(DAY(B619)=1,Assumptions!B38*G619,0)</f>
        <v>0</v>
      </c>
      <c r="P619" s="22" t="n">
        <f aca="false">IF(DAY(B619)=1,Assumptions!B39*G619,0)</f>
        <v>0</v>
      </c>
      <c r="Q619" s="22" t="n">
        <f aca="false">IF(DAY(B619)=1,Assumptions!B40*G619,0)</f>
        <v>0</v>
      </c>
      <c r="R619" s="22" t="n">
        <f aca="false">IF(DAY(B619)=1,Assumptions!B41*G619,0)</f>
        <v>0</v>
      </c>
      <c r="S619" s="22" t="n">
        <f aca="false">IF(AND(DAY(B619)=1,D619&gt;=13),Assumptions!B42*G619,0)</f>
        <v>0</v>
      </c>
      <c r="T619" s="22" t="n">
        <f aca="false">IF(DAY(B619)=1,Assumptions!B43*G619,0)</f>
        <v>0</v>
      </c>
      <c r="U619" s="22" t="n">
        <f aca="false">SUM(O619:T619)</f>
        <v>0</v>
      </c>
      <c r="V619" s="22" t="n">
        <f aca="false">N619-U619</f>
        <v>18000</v>
      </c>
      <c r="W619" s="22" t="n">
        <f aca="false">W618+V619</f>
        <v>-3013695.13308988</v>
      </c>
      <c r="X619" s="23" t="str">
        <f aca="false">IF(W619&gt;=0,"YES","No")</f>
        <v>No</v>
      </c>
    </row>
    <row r="620" customFormat="false" ht="15" hidden="false" customHeight="false" outlineLevel="0" collapsed="false">
      <c r="A620" s="16" t="n">
        <v>619</v>
      </c>
      <c r="B620" s="17" t="n">
        <f aca="false">B619+1</f>
        <v>46641</v>
      </c>
      <c r="C620" s="18" t="n">
        <f aca="false">MIN(ROUNDUP(A620/365,0),5)</f>
        <v>2</v>
      </c>
      <c r="D620" s="18" t="n">
        <f aca="false">DATEDIF(Assumptions!B5,B620,"m")+1</f>
        <v>21</v>
      </c>
      <c r="E620" s="18" t="str">
        <f aca="false">TEXT(B620,"ddd")</f>
        <v>Sat</v>
      </c>
      <c r="F620" s="19" t="n">
        <f aca="false">IF(WEEKDAY(B620,2)&gt;=6,Assumptions!B34,Assumptions!B35)</f>
        <v>0.6</v>
      </c>
      <c r="G620" s="20" t="n">
        <f aca="false">IF(D620&gt;=13,(1+Assumptions!B46)^(D620-12),1)</f>
        <v>1.02732627823668</v>
      </c>
      <c r="H620" s="21" t="n">
        <f aca="false">H619*(1+IF(C620=1,Assumptions!B22,Assumptions!B23))</f>
        <v>21.6990147398773</v>
      </c>
      <c r="I620" s="16" t="n">
        <f aca="false">ROUND(H620*F620,0)</f>
        <v>13</v>
      </c>
      <c r="J620" s="22" t="n">
        <f aca="false">I620*Assumptions!B24</f>
        <v>7800</v>
      </c>
      <c r="K620" s="21" t="n">
        <f aca="false">K619*(1+Assumptions!B30)</f>
        <v>16.0823268599904</v>
      </c>
      <c r="L620" s="16" t="n">
        <f aca="false">ROUND(K620*F620,0)</f>
        <v>10</v>
      </c>
      <c r="M620" s="22" t="n">
        <f aca="false">L620*Assumptions!B31</f>
        <v>3000</v>
      </c>
      <c r="N620" s="22" t="n">
        <f aca="false">J620+M620</f>
        <v>10800</v>
      </c>
      <c r="O620" s="22" t="n">
        <f aca="false">IF(DAY(B620)=1,Assumptions!B38*G620,0)</f>
        <v>0</v>
      </c>
      <c r="P620" s="22" t="n">
        <f aca="false">IF(DAY(B620)=1,Assumptions!B39*G620,0)</f>
        <v>0</v>
      </c>
      <c r="Q620" s="22" t="n">
        <f aca="false">IF(DAY(B620)=1,Assumptions!B40*G620,0)</f>
        <v>0</v>
      </c>
      <c r="R620" s="22" t="n">
        <f aca="false">IF(DAY(B620)=1,Assumptions!B41*G620,0)</f>
        <v>0</v>
      </c>
      <c r="S620" s="22" t="n">
        <f aca="false">IF(AND(DAY(B620)=1,D620&gt;=13),Assumptions!B42*G620,0)</f>
        <v>0</v>
      </c>
      <c r="T620" s="22" t="n">
        <f aca="false">IF(DAY(B620)=1,Assumptions!B43*G620,0)</f>
        <v>0</v>
      </c>
      <c r="U620" s="22" t="n">
        <f aca="false">SUM(O620:T620)</f>
        <v>0</v>
      </c>
      <c r="V620" s="22" t="n">
        <f aca="false">N620-U620</f>
        <v>10800</v>
      </c>
      <c r="W620" s="22" t="n">
        <f aca="false">W619+V620</f>
        <v>-3002895.13308988</v>
      </c>
      <c r="X620" s="23" t="str">
        <f aca="false">IF(W620&gt;=0,"YES","No")</f>
        <v>No</v>
      </c>
    </row>
    <row r="621" customFormat="false" ht="15" hidden="false" customHeight="false" outlineLevel="0" collapsed="false">
      <c r="A621" s="16" t="n">
        <v>620</v>
      </c>
      <c r="B621" s="17" t="n">
        <f aca="false">B620+1</f>
        <v>46642</v>
      </c>
      <c r="C621" s="18" t="n">
        <f aca="false">MIN(ROUNDUP(A621/365,0),5)</f>
        <v>2</v>
      </c>
      <c r="D621" s="18" t="n">
        <f aca="false">DATEDIF(Assumptions!B5,B621,"m")+1</f>
        <v>21</v>
      </c>
      <c r="E621" s="18" t="str">
        <f aca="false">TEXT(B621,"ddd")</f>
        <v>Sun</v>
      </c>
      <c r="F621" s="19" t="n">
        <f aca="false">IF(WEEKDAY(B621,2)&gt;=6,Assumptions!B34,Assumptions!B35)</f>
        <v>0.6</v>
      </c>
      <c r="G621" s="20" t="n">
        <f aca="false">IF(D621&gt;=13,(1+Assumptions!B46)^(D621-12),1)</f>
        <v>1.02732627823668</v>
      </c>
      <c r="H621" s="21" t="n">
        <f aca="false">H620*(1+IF(C621=1,Assumptions!B22,Assumptions!B23))</f>
        <v>21.7025703773105</v>
      </c>
      <c r="I621" s="16" t="n">
        <f aca="false">ROUND(H621*F621,0)</f>
        <v>13</v>
      </c>
      <c r="J621" s="22" t="n">
        <f aca="false">I621*Assumptions!B24</f>
        <v>7800</v>
      </c>
      <c r="K621" s="21" t="n">
        <f aca="false">K620*(1+Assumptions!B30)</f>
        <v>16.0875847650714</v>
      </c>
      <c r="L621" s="16" t="n">
        <f aca="false">ROUND(K621*F621,0)</f>
        <v>10</v>
      </c>
      <c r="M621" s="22" t="n">
        <f aca="false">L621*Assumptions!B31</f>
        <v>3000</v>
      </c>
      <c r="N621" s="22" t="n">
        <f aca="false">J621+M621</f>
        <v>10800</v>
      </c>
      <c r="O621" s="22" t="n">
        <f aca="false">IF(DAY(B621)=1,Assumptions!B38*G621,0)</f>
        <v>0</v>
      </c>
      <c r="P621" s="22" t="n">
        <f aca="false">IF(DAY(B621)=1,Assumptions!B39*G621,0)</f>
        <v>0</v>
      </c>
      <c r="Q621" s="22" t="n">
        <f aca="false">IF(DAY(B621)=1,Assumptions!B40*G621,0)</f>
        <v>0</v>
      </c>
      <c r="R621" s="22" t="n">
        <f aca="false">IF(DAY(B621)=1,Assumptions!B41*G621,0)</f>
        <v>0</v>
      </c>
      <c r="S621" s="22" t="n">
        <f aca="false">IF(AND(DAY(B621)=1,D621&gt;=13),Assumptions!B42*G621,0)</f>
        <v>0</v>
      </c>
      <c r="T621" s="22" t="n">
        <f aca="false">IF(DAY(B621)=1,Assumptions!B43*G621,0)</f>
        <v>0</v>
      </c>
      <c r="U621" s="22" t="n">
        <f aca="false">SUM(O621:T621)</f>
        <v>0</v>
      </c>
      <c r="V621" s="22" t="n">
        <f aca="false">N621-U621</f>
        <v>10800</v>
      </c>
      <c r="W621" s="22" t="n">
        <f aca="false">W620+V621</f>
        <v>-2992095.13308988</v>
      </c>
      <c r="X621" s="23" t="str">
        <f aca="false">IF(W621&gt;=0,"YES","No")</f>
        <v>No</v>
      </c>
    </row>
    <row r="622" customFormat="false" ht="15" hidden="false" customHeight="false" outlineLevel="0" collapsed="false">
      <c r="A622" s="16" t="n">
        <v>621</v>
      </c>
      <c r="B622" s="17" t="n">
        <f aca="false">B621+1</f>
        <v>46643</v>
      </c>
      <c r="C622" s="18" t="n">
        <f aca="false">MIN(ROUNDUP(A622/365,0),5)</f>
        <v>2</v>
      </c>
      <c r="D622" s="18" t="n">
        <f aca="false">DATEDIF(Assumptions!B5,B622,"m")+1</f>
        <v>21</v>
      </c>
      <c r="E622" s="18" t="str">
        <f aca="false">TEXT(B622,"ddd")</f>
        <v>Mon</v>
      </c>
      <c r="F622" s="19" t="n">
        <f aca="false">IF(WEEKDAY(B622,2)&gt;=6,Assumptions!B34,Assumptions!B35)</f>
        <v>1</v>
      </c>
      <c r="G622" s="20" t="n">
        <f aca="false">IF(D622&gt;=13,(1+Assumptions!B46)^(D622-12),1)</f>
        <v>1.02732627823668</v>
      </c>
      <c r="H622" s="21" t="n">
        <f aca="false">H621*(1+IF(C622=1,Assumptions!B22,Assumptions!B23))</f>
        <v>21.7061265973764</v>
      </c>
      <c r="I622" s="16" t="n">
        <f aca="false">ROUND(H622*F622,0)</f>
        <v>22</v>
      </c>
      <c r="J622" s="22" t="n">
        <f aca="false">I622*Assumptions!B24</f>
        <v>13200</v>
      </c>
      <c r="K622" s="21" t="n">
        <f aca="false">K621*(1+Assumptions!B30)</f>
        <v>16.0928443891554</v>
      </c>
      <c r="L622" s="16" t="n">
        <f aca="false">ROUND(K622*F622,0)</f>
        <v>16</v>
      </c>
      <c r="M622" s="22" t="n">
        <f aca="false">L622*Assumptions!B31</f>
        <v>4800</v>
      </c>
      <c r="N622" s="22" t="n">
        <f aca="false">J622+M622</f>
        <v>18000</v>
      </c>
      <c r="O622" s="22" t="n">
        <f aca="false">IF(DAY(B622)=1,Assumptions!B38*G622,0)</f>
        <v>0</v>
      </c>
      <c r="P622" s="22" t="n">
        <f aca="false">IF(DAY(B622)=1,Assumptions!B39*G622,0)</f>
        <v>0</v>
      </c>
      <c r="Q622" s="22" t="n">
        <f aca="false">IF(DAY(B622)=1,Assumptions!B40*G622,0)</f>
        <v>0</v>
      </c>
      <c r="R622" s="22" t="n">
        <f aca="false">IF(DAY(B622)=1,Assumptions!B41*G622,0)</f>
        <v>0</v>
      </c>
      <c r="S622" s="22" t="n">
        <f aca="false">IF(AND(DAY(B622)=1,D622&gt;=13),Assumptions!B42*G622,0)</f>
        <v>0</v>
      </c>
      <c r="T622" s="22" t="n">
        <f aca="false">IF(DAY(B622)=1,Assumptions!B43*G622,0)</f>
        <v>0</v>
      </c>
      <c r="U622" s="22" t="n">
        <f aca="false">SUM(O622:T622)</f>
        <v>0</v>
      </c>
      <c r="V622" s="22" t="n">
        <f aca="false">N622-U622</f>
        <v>18000</v>
      </c>
      <c r="W622" s="22" t="n">
        <f aca="false">W621+V622</f>
        <v>-2974095.13308988</v>
      </c>
      <c r="X622" s="23" t="str">
        <f aca="false">IF(W622&gt;=0,"YES","No")</f>
        <v>No</v>
      </c>
    </row>
    <row r="623" customFormat="false" ht="15" hidden="false" customHeight="false" outlineLevel="0" collapsed="false">
      <c r="A623" s="16" t="n">
        <v>622</v>
      </c>
      <c r="B623" s="17" t="n">
        <f aca="false">B622+1</f>
        <v>46644</v>
      </c>
      <c r="C623" s="18" t="n">
        <f aca="false">MIN(ROUNDUP(A623/365,0),5)</f>
        <v>2</v>
      </c>
      <c r="D623" s="18" t="n">
        <f aca="false">DATEDIF(Assumptions!B5,B623,"m")+1</f>
        <v>21</v>
      </c>
      <c r="E623" s="18" t="str">
        <f aca="false">TEXT(B623,"ddd")</f>
        <v>Tue</v>
      </c>
      <c r="F623" s="19" t="n">
        <f aca="false">IF(WEEKDAY(B623,2)&gt;=6,Assumptions!B34,Assumptions!B35)</f>
        <v>1</v>
      </c>
      <c r="G623" s="20" t="n">
        <f aca="false">IF(D623&gt;=13,(1+Assumptions!B46)^(D623-12),1)</f>
        <v>1.02732627823668</v>
      </c>
      <c r="H623" s="21" t="n">
        <f aca="false">H622*(1+IF(C623=1,Assumptions!B22,Assumptions!B23))</f>
        <v>21.7096834001707</v>
      </c>
      <c r="I623" s="16" t="n">
        <f aca="false">ROUND(H623*F623,0)</f>
        <v>22</v>
      </c>
      <c r="J623" s="22" t="n">
        <f aca="false">I623*Assumptions!B24</f>
        <v>13200</v>
      </c>
      <c r="K623" s="21" t="n">
        <f aca="false">K622*(1+Assumptions!B30)</f>
        <v>16.0981057328042</v>
      </c>
      <c r="L623" s="16" t="n">
        <f aca="false">ROUND(K623*F623,0)</f>
        <v>16</v>
      </c>
      <c r="M623" s="22" t="n">
        <f aca="false">L623*Assumptions!B31</f>
        <v>4800</v>
      </c>
      <c r="N623" s="22" t="n">
        <f aca="false">J623+M623</f>
        <v>18000</v>
      </c>
      <c r="O623" s="22" t="n">
        <f aca="false">IF(DAY(B623)=1,Assumptions!B38*G623,0)</f>
        <v>0</v>
      </c>
      <c r="P623" s="22" t="n">
        <f aca="false">IF(DAY(B623)=1,Assumptions!B39*G623,0)</f>
        <v>0</v>
      </c>
      <c r="Q623" s="22" t="n">
        <f aca="false">IF(DAY(B623)=1,Assumptions!B40*G623,0)</f>
        <v>0</v>
      </c>
      <c r="R623" s="22" t="n">
        <f aca="false">IF(DAY(B623)=1,Assumptions!B41*G623,0)</f>
        <v>0</v>
      </c>
      <c r="S623" s="22" t="n">
        <f aca="false">IF(AND(DAY(B623)=1,D623&gt;=13),Assumptions!B42*G623,0)</f>
        <v>0</v>
      </c>
      <c r="T623" s="22" t="n">
        <f aca="false">IF(DAY(B623)=1,Assumptions!B43*G623,0)</f>
        <v>0</v>
      </c>
      <c r="U623" s="22" t="n">
        <f aca="false">SUM(O623:T623)</f>
        <v>0</v>
      </c>
      <c r="V623" s="22" t="n">
        <f aca="false">N623-U623</f>
        <v>18000</v>
      </c>
      <c r="W623" s="22" t="n">
        <f aca="false">W622+V623</f>
        <v>-2956095.13308988</v>
      </c>
      <c r="X623" s="23" t="str">
        <f aca="false">IF(W623&gt;=0,"YES","No")</f>
        <v>No</v>
      </c>
    </row>
    <row r="624" customFormat="false" ht="15" hidden="false" customHeight="false" outlineLevel="0" collapsed="false">
      <c r="A624" s="16" t="n">
        <v>623</v>
      </c>
      <c r="B624" s="17" t="n">
        <f aca="false">B623+1</f>
        <v>46645</v>
      </c>
      <c r="C624" s="18" t="n">
        <f aca="false">MIN(ROUNDUP(A624/365,0),5)</f>
        <v>2</v>
      </c>
      <c r="D624" s="18" t="n">
        <f aca="false">DATEDIF(Assumptions!B5,B624,"m")+1</f>
        <v>21</v>
      </c>
      <c r="E624" s="18" t="str">
        <f aca="false">TEXT(B624,"ddd")</f>
        <v>Wed</v>
      </c>
      <c r="F624" s="19" t="n">
        <f aca="false">IF(WEEKDAY(B624,2)&gt;=6,Assumptions!B34,Assumptions!B35)</f>
        <v>1</v>
      </c>
      <c r="G624" s="20" t="n">
        <f aca="false">IF(D624&gt;=13,(1+Assumptions!B46)^(D624-12),1)</f>
        <v>1.02732627823668</v>
      </c>
      <c r="H624" s="21" t="n">
        <f aca="false">H623*(1+IF(C624=1,Assumptions!B22,Assumptions!B23))</f>
        <v>21.7132407857887</v>
      </c>
      <c r="I624" s="16" t="n">
        <f aca="false">ROUND(H624*F624,0)</f>
        <v>22</v>
      </c>
      <c r="J624" s="22" t="n">
        <f aca="false">I624*Assumptions!B24</f>
        <v>13200</v>
      </c>
      <c r="K624" s="21" t="n">
        <f aca="false">K623*(1+Assumptions!B30)</f>
        <v>16.10336879658</v>
      </c>
      <c r="L624" s="16" t="n">
        <f aca="false">ROUND(K624*F624,0)</f>
        <v>16</v>
      </c>
      <c r="M624" s="22" t="n">
        <f aca="false">L624*Assumptions!B31</f>
        <v>4800</v>
      </c>
      <c r="N624" s="22" t="n">
        <f aca="false">J624+M624</f>
        <v>18000</v>
      </c>
      <c r="O624" s="22" t="n">
        <f aca="false">IF(DAY(B624)=1,Assumptions!B38*G624,0)</f>
        <v>0</v>
      </c>
      <c r="P624" s="22" t="n">
        <f aca="false">IF(DAY(B624)=1,Assumptions!B39*G624,0)</f>
        <v>0</v>
      </c>
      <c r="Q624" s="22" t="n">
        <f aca="false">IF(DAY(B624)=1,Assumptions!B40*G624,0)</f>
        <v>0</v>
      </c>
      <c r="R624" s="22" t="n">
        <f aca="false">IF(DAY(B624)=1,Assumptions!B41*G624,0)</f>
        <v>0</v>
      </c>
      <c r="S624" s="22" t="n">
        <f aca="false">IF(AND(DAY(B624)=1,D624&gt;=13),Assumptions!B42*G624,0)</f>
        <v>0</v>
      </c>
      <c r="T624" s="22" t="n">
        <f aca="false">IF(DAY(B624)=1,Assumptions!B43*G624,0)</f>
        <v>0</v>
      </c>
      <c r="U624" s="22" t="n">
        <f aca="false">SUM(O624:T624)</f>
        <v>0</v>
      </c>
      <c r="V624" s="22" t="n">
        <f aca="false">N624-U624</f>
        <v>18000</v>
      </c>
      <c r="W624" s="22" t="n">
        <f aca="false">W623+V624</f>
        <v>-2938095.13308988</v>
      </c>
      <c r="X624" s="23" t="str">
        <f aca="false">IF(W624&gt;=0,"YES","No")</f>
        <v>No</v>
      </c>
    </row>
    <row r="625" customFormat="false" ht="15" hidden="false" customHeight="false" outlineLevel="0" collapsed="false">
      <c r="A625" s="16" t="n">
        <v>624</v>
      </c>
      <c r="B625" s="17" t="n">
        <f aca="false">B624+1</f>
        <v>46646</v>
      </c>
      <c r="C625" s="18" t="n">
        <f aca="false">MIN(ROUNDUP(A625/365,0),5)</f>
        <v>2</v>
      </c>
      <c r="D625" s="18" t="n">
        <f aca="false">DATEDIF(Assumptions!B5,B625,"m")+1</f>
        <v>21</v>
      </c>
      <c r="E625" s="18" t="str">
        <f aca="false">TEXT(B625,"ddd")</f>
        <v>Thu</v>
      </c>
      <c r="F625" s="19" t="n">
        <f aca="false">IF(WEEKDAY(B625,2)&gt;=6,Assumptions!B34,Assumptions!B35)</f>
        <v>1</v>
      </c>
      <c r="G625" s="20" t="n">
        <f aca="false">IF(D625&gt;=13,(1+Assumptions!B46)^(D625-12),1)</f>
        <v>1.02732627823668</v>
      </c>
      <c r="H625" s="21" t="n">
        <f aca="false">H624*(1+IF(C625=1,Assumptions!B22,Assumptions!B23))</f>
        <v>21.7167987543259</v>
      </c>
      <c r="I625" s="16" t="n">
        <f aca="false">ROUND(H625*F625,0)</f>
        <v>22</v>
      </c>
      <c r="J625" s="22" t="n">
        <f aca="false">I625*Assumptions!B24</f>
        <v>13200</v>
      </c>
      <c r="K625" s="21" t="n">
        <f aca="false">K624*(1+Assumptions!B30)</f>
        <v>16.1086335810453</v>
      </c>
      <c r="L625" s="16" t="n">
        <f aca="false">ROUND(K625*F625,0)</f>
        <v>16</v>
      </c>
      <c r="M625" s="22" t="n">
        <f aca="false">L625*Assumptions!B31</f>
        <v>4800</v>
      </c>
      <c r="N625" s="22" t="n">
        <f aca="false">J625+M625</f>
        <v>18000</v>
      </c>
      <c r="O625" s="22" t="n">
        <f aca="false">IF(DAY(B625)=1,Assumptions!B38*G625,0)</f>
        <v>0</v>
      </c>
      <c r="P625" s="22" t="n">
        <f aca="false">IF(DAY(B625)=1,Assumptions!B39*G625,0)</f>
        <v>0</v>
      </c>
      <c r="Q625" s="22" t="n">
        <f aca="false">IF(DAY(B625)=1,Assumptions!B40*G625,0)</f>
        <v>0</v>
      </c>
      <c r="R625" s="22" t="n">
        <f aca="false">IF(DAY(B625)=1,Assumptions!B41*G625,0)</f>
        <v>0</v>
      </c>
      <c r="S625" s="22" t="n">
        <f aca="false">IF(AND(DAY(B625)=1,D625&gt;=13),Assumptions!B42*G625,0)</f>
        <v>0</v>
      </c>
      <c r="T625" s="22" t="n">
        <f aca="false">IF(DAY(B625)=1,Assumptions!B43*G625,0)</f>
        <v>0</v>
      </c>
      <c r="U625" s="22" t="n">
        <f aca="false">SUM(O625:T625)</f>
        <v>0</v>
      </c>
      <c r="V625" s="22" t="n">
        <f aca="false">N625-U625</f>
        <v>18000</v>
      </c>
      <c r="W625" s="22" t="n">
        <f aca="false">W624+V625</f>
        <v>-2920095.13308988</v>
      </c>
      <c r="X625" s="23" t="str">
        <f aca="false">IF(W625&gt;=0,"YES","No")</f>
        <v>No</v>
      </c>
    </row>
    <row r="626" customFormat="false" ht="15" hidden="false" customHeight="false" outlineLevel="0" collapsed="false">
      <c r="A626" s="16" t="n">
        <v>625</v>
      </c>
      <c r="B626" s="17" t="n">
        <f aca="false">B625+1</f>
        <v>46647</v>
      </c>
      <c r="C626" s="18" t="n">
        <f aca="false">MIN(ROUNDUP(A626/365,0),5)</f>
        <v>2</v>
      </c>
      <c r="D626" s="18" t="n">
        <f aca="false">DATEDIF(Assumptions!B5,B626,"m")+1</f>
        <v>21</v>
      </c>
      <c r="E626" s="18" t="str">
        <f aca="false">TEXT(B626,"ddd")</f>
        <v>Fri</v>
      </c>
      <c r="F626" s="19" t="n">
        <f aca="false">IF(WEEKDAY(B626,2)&gt;=6,Assumptions!B34,Assumptions!B35)</f>
        <v>1</v>
      </c>
      <c r="G626" s="20" t="n">
        <f aca="false">IF(D626&gt;=13,(1+Assumptions!B46)^(D626-12),1)</f>
        <v>1.02732627823668</v>
      </c>
      <c r="H626" s="21" t="n">
        <f aca="false">H625*(1+IF(C626=1,Assumptions!B22,Assumptions!B23))</f>
        <v>21.7203573058779</v>
      </c>
      <c r="I626" s="16" t="n">
        <f aca="false">ROUND(H626*F626,0)</f>
        <v>22</v>
      </c>
      <c r="J626" s="22" t="n">
        <f aca="false">I626*Assumptions!B24</f>
        <v>13200</v>
      </c>
      <c r="K626" s="21" t="n">
        <f aca="false">K625*(1+Assumptions!B30)</f>
        <v>16.1139000867626</v>
      </c>
      <c r="L626" s="16" t="n">
        <f aca="false">ROUND(K626*F626,0)</f>
        <v>16</v>
      </c>
      <c r="M626" s="22" t="n">
        <f aca="false">L626*Assumptions!B31</f>
        <v>4800</v>
      </c>
      <c r="N626" s="22" t="n">
        <f aca="false">J626+M626</f>
        <v>18000</v>
      </c>
      <c r="O626" s="22" t="n">
        <f aca="false">IF(DAY(B626)=1,Assumptions!B38*G626,0)</f>
        <v>0</v>
      </c>
      <c r="P626" s="22" t="n">
        <f aca="false">IF(DAY(B626)=1,Assumptions!B39*G626,0)</f>
        <v>0</v>
      </c>
      <c r="Q626" s="22" t="n">
        <f aca="false">IF(DAY(B626)=1,Assumptions!B40*G626,0)</f>
        <v>0</v>
      </c>
      <c r="R626" s="22" t="n">
        <f aca="false">IF(DAY(B626)=1,Assumptions!B41*G626,0)</f>
        <v>0</v>
      </c>
      <c r="S626" s="22" t="n">
        <f aca="false">IF(AND(DAY(B626)=1,D626&gt;=13),Assumptions!B42*G626,0)</f>
        <v>0</v>
      </c>
      <c r="T626" s="22" t="n">
        <f aca="false">IF(DAY(B626)=1,Assumptions!B43*G626,0)</f>
        <v>0</v>
      </c>
      <c r="U626" s="22" t="n">
        <f aca="false">SUM(O626:T626)</f>
        <v>0</v>
      </c>
      <c r="V626" s="22" t="n">
        <f aca="false">N626-U626</f>
        <v>18000</v>
      </c>
      <c r="W626" s="22" t="n">
        <f aca="false">W625+V626</f>
        <v>-2902095.13308988</v>
      </c>
      <c r="X626" s="23" t="str">
        <f aca="false">IF(W626&gt;=0,"YES","No")</f>
        <v>No</v>
      </c>
    </row>
    <row r="627" customFormat="false" ht="15" hidden="false" customHeight="false" outlineLevel="0" collapsed="false">
      <c r="A627" s="16" t="n">
        <v>626</v>
      </c>
      <c r="B627" s="17" t="n">
        <f aca="false">B626+1</f>
        <v>46648</v>
      </c>
      <c r="C627" s="18" t="n">
        <f aca="false">MIN(ROUNDUP(A627/365,0),5)</f>
        <v>2</v>
      </c>
      <c r="D627" s="18" t="n">
        <f aca="false">DATEDIF(Assumptions!B5,B627,"m")+1</f>
        <v>21</v>
      </c>
      <c r="E627" s="18" t="str">
        <f aca="false">TEXT(B627,"ddd")</f>
        <v>Sat</v>
      </c>
      <c r="F627" s="19" t="n">
        <f aca="false">IF(WEEKDAY(B627,2)&gt;=6,Assumptions!B34,Assumptions!B35)</f>
        <v>0.6</v>
      </c>
      <c r="G627" s="20" t="n">
        <f aca="false">IF(D627&gt;=13,(1+Assumptions!B46)^(D627-12),1)</f>
        <v>1.02732627823668</v>
      </c>
      <c r="H627" s="21" t="n">
        <f aca="false">H626*(1+IF(C627=1,Assumptions!B22,Assumptions!B23))</f>
        <v>21.7239164405403</v>
      </c>
      <c r="I627" s="16" t="n">
        <f aca="false">ROUND(H627*F627,0)</f>
        <v>13</v>
      </c>
      <c r="J627" s="22" t="n">
        <f aca="false">I627*Assumptions!B24</f>
        <v>7800</v>
      </c>
      <c r="K627" s="21" t="n">
        <f aca="false">K626*(1+Assumptions!B30)</f>
        <v>16.1191683142946</v>
      </c>
      <c r="L627" s="16" t="n">
        <f aca="false">ROUND(K627*F627,0)</f>
        <v>10</v>
      </c>
      <c r="M627" s="22" t="n">
        <f aca="false">L627*Assumptions!B31</f>
        <v>3000</v>
      </c>
      <c r="N627" s="22" t="n">
        <f aca="false">J627+M627</f>
        <v>10800</v>
      </c>
      <c r="O627" s="22" t="n">
        <f aca="false">IF(DAY(B627)=1,Assumptions!B38*G627,0)</f>
        <v>0</v>
      </c>
      <c r="P627" s="22" t="n">
        <f aca="false">IF(DAY(B627)=1,Assumptions!B39*G627,0)</f>
        <v>0</v>
      </c>
      <c r="Q627" s="22" t="n">
        <f aca="false">IF(DAY(B627)=1,Assumptions!B40*G627,0)</f>
        <v>0</v>
      </c>
      <c r="R627" s="22" t="n">
        <f aca="false">IF(DAY(B627)=1,Assumptions!B41*G627,0)</f>
        <v>0</v>
      </c>
      <c r="S627" s="22" t="n">
        <f aca="false">IF(AND(DAY(B627)=1,D627&gt;=13),Assumptions!B42*G627,0)</f>
        <v>0</v>
      </c>
      <c r="T627" s="22" t="n">
        <f aca="false">IF(DAY(B627)=1,Assumptions!B43*G627,0)</f>
        <v>0</v>
      </c>
      <c r="U627" s="22" t="n">
        <f aca="false">SUM(O627:T627)</f>
        <v>0</v>
      </c>
      <c r="V627" s="22" t="n">
        <f aca="false">N627-U627</f>
        <v>10800</v>
      </c>
      <c r="W627" s="22" t="n">
        <f aca="false">W626+V627</f>
        <v>-2891295.13308988</v>
      </c>
      <c r="X627" s="23" t="str">
        <f aca="false">IF(W627&gt;=0,"YES","No")</f>
        <v>No</v>
      </c>
    </row>
    <row r="628" customFormat="false" ht="15" hidden="false" customHeight="false" outlineLevel="0" collapsed="false">
      <c r="A628" s="16" t="n">
        <v>627</v>
      </c>
      <c r="B628" s="17" t="n">
        <f aca="false">B627+1</f>
        <v>46649</v>
      </c>
      <c r="C628" s="18" t="n">
        <f aca="false">MIN(ROUNDUP(A628/365,0),5)</f>
        <v>2</v>
      </c>
      <c r="D628" s="18" t="n">
        <f aca="false">DATEDIF(Assumptions!B5,B628,"m")+1</f>
        <v>21</v>
      </c>
      <c r="E628" s="18" t="str">
        <f aca="false">TEXT(B628,"ddd")</f>
        <v>Sun</v>
      </c>
      <c r="F628" s="19" t="n">
        <f aca="false">IF(WEEKDAY(B628,2)&gt;=6,Assumptions!B34,Assumptions!B35)</f>
        <v>0.6</v>
      </c>
      <c r="G628" s="20" t="n">
        <f aca="false">IF(D628&gt;=13,(1+Assumptions!B46)^(D628-12),1)</f>
        <v>1.02732627823668</v>
      </c>
      <c r="H628" s="21" t="n">
        <f aca="false">H627*(1+IF(C628=1,Assumptions!B22,Assumptions!B23))</f>
        <v>21.7274761584084</v>
      </c>
      <c r="I628" s="16" t="n">
        <f aca="false">ROUND(H628*F628,0)</f>
        <v>13</v>
      </c>
      <c r="J628" s="22" t="n">
        <f aca="false">I628*Assumptions!B24</f>
        <v>7800</v>
      </c>
      <c r="K628" s="21" t="n">
        <f aca="false">K627*(1+Assumptions!B30)</f>
        <v>16.1244382642042</v>
      </c>
      <c r="L628" s="16" t="n">
        <f aca="false">ROUND(K628*F628,0)</f>
        <v>10</v>
      </c>
      <c r="M628" s="22" t="n">
        <f aca="false">L628*Assumptions!B31</f>
        <v>3000</v>
      </c>
      <c r="N628" s="22" t="n">
        <f aca="false">J628+M628</f>
        <v>10800</v>
      </c>
      <c r="O628" s="22" t="n">
        <f aca="false">IF(DAY(B628)=1,Assumptions!B38*G628,0)</f>
        <v>0</v>
      </c>
      <c r="P628" s="22" t="n">
        <f aca="false">IF(DAY(B628)=1,Assumptions!B39*G628,0)</f>
        <v>0</v>
      </c>
      <c r="Q628" s="22" t="n">
        <f aca="false">IF(DAY(B628)=1,Assumptions!B40*G628,0)</f>
        <v>0</v>
      </c>
      <c r="R628" s="22" t="n">
        <f aca="false">IF(DAY(B628)=1,Assumptions!B41*G628,0)</f>
        <v>0</v>
      </c>
      <c r="S628" s="22" t="n">
        <f aca="false">IF(AND(DAY(B628)=1,D628&gt;=13),Assumptions!B42*G628,0)</f>
        <v>0</v>
      </c>
      <c r="T628" s="22" t="n">
        <f aca="false">IF(DAY(B628)=1,Assumptions!B43*G628,0)</f>
        <v>0</v>
      </c>
      <c r="U628" s="22" t="n">
        <f aca="false">SUM(O628:T628)</f>
        <v>0</v>
      </c>
      <c r="V628" s="22" t="n">
        <f aca="false">N628-U628</f>
        <v>10800</v>
      </c>
      <c r="W628" s="22" t="n">
        <f aca="false">W627+V628</f>
        <v>-2880495.13308988</v>
      </c>
      <c r="X628" s="23" t="str">
        <f aca="false">IF(W628&gt;=0,"YES","No")</f>
        <v>No</v>
      </c>
    </row>
    <row r="629" customFormat="false" ht="15" hidden="false" customHeight="false" outlineLevel="0" collapsed="false">
      <c r="A629" s="16" t="n">
        <v>628</v>
      </c>
      <c r="B629" s="17" t="n">
        <f aca="false">B628+1</f>
        <v>46650</v>
      </c>
      <c r="C629" s="18" t="n">
        <f aca="false">MIN(ROUNDUP(A629/365,0),5)</f>
        <v>2</v>
      </c>
      <c r="D629" s="18" t="n">
        <f aca="false">DATEDIF(Assumptions!B5,B629,"m")+1</f>
        <v>21</v>
      </c>
      <c r="E629" s="18" t="str">
        <f aca="false">TEXT(B629,"ddd")</f>
        <v>Mon</v>
      </c>
      <c r="F629" s="19" t="n">
        <f aca="false">IF(WEEKDAY(B629,2)&gt;=6,Assumptions!B34,Assumptions!B35)</f>
        <v>1</v>
      </c>
      <c r="G629" s="20" t="n">
        <f aca="false">IF(D629&gt;=13,(1+Assumptions!B46)^(D629-12),1)</f>
        <v>1.02732627823668</v>
      </c>
      <c r="H629" s="21" t="n">
        <f aca="false">H628*(1+IF(C629=1,Assumptions!B22,Assumptions!B23))</f>
        <v>21.731036459578</v>
      </c>
      <c r="I629" s="16" t="n">
        <f aca="false">ROUND(H629*F629,0)</f>
        <v>22</v>
      </c>
      <c r="J629" s="22" t="n">
        <f aca="false">I629*Assumptions!B24</f>
        <v>13200</v>
      </c>
      <c r="K629" s="21" t="n">
        <f aca="false">K628*(1+Assumptions!B30)</f>
        <v>16.1297099370546</v>
      </c>
      <c r="L629" s="16" t="n">
        <f aca="false">ROUND(K629*F629,0)</f>
        <v>16</v>
      </c>
      <c r="M629" s="22" t="n">
        <f aca="false">L629*Assumptions!B31</f>
        <v>4800</v>
      </c>
      <c r="N629" s="22" t="n">
        <f aca="false">J629+M629</f>
        <v>18000</v>
      </c>
      <c r="O629" s="22" t="n">
        <f aca="false">IF(DAY(B629)=1,Assumptions!B38*G629,0)</f>
        <v>0</v>
      </c>
      <c r="P629" s="22" t="n">
        <f aca="false">IF(DAY(B629)=1,Assumptions!B39*G629,0)</f>
        <v>0</v>
      </c>
      <c r="Q629" s="22" t="n">
        <f aca="false">IF(DAY(B629)=1,Assumptions!B40*G629,0)</f>
        <v>0</v>
      </c>
      <c r="R629" s="22" t="n">
        <f aca="false">IF(DAY(B629)=1,Assumptions!B41*G629,0)</f>
        <v>0</v>
      </c>
      <c r="S629" s="22" t="n">
        <f aca="false">IF(AND(DAY(B629)=1,D629&gt;=13),Assumptions!B42*G629,0)</f>
        <v>0</v>
      </c>
      <c r="T629" s="22" t="n">
        <f aca="false">IF(DAY(B629)=1,Assumptions!B43*G629,0)</f>
        <v>0</v>
      </c>
      <c r="U629" s="22" t="n">
        <f aca="false">SUM(O629:T629)</f>
        <v>0</v>
      </c>
      <c r="V629" s="22" t="n">
        <f aca="false">N629-U629</f>
        <v>18000</v>
      </c>
      <c r="W629" s="22" t="n">
        <f aca="false">W628+V629</f>
        <v>-2862495.13308988</v>
      </c>
      <c r="X629" s="23" t="str">
        <f aca="false">IF(W629&gt;=0,"YES","No")</f>
        <v>No</v>
      </c>
    </row>
    <row r="630" customFormat="false" ht="15" hidden="false" customHeight="false" outlineLevel="0" collapsed="false">
      <c r="A630" s="16" t="n">
        <v>629</v>
      </c>
      <c r="B630" s="17" t="n">
        <f aca="false">B629+1</f>
        <v>46651</v>
      </c>
      <c r="C630" s="18" t="n">
        <f aca="false">MIN(ROUNDUP(A630/365,0),5)</f>
        <v>2</v>
      </c>
      <c r="D630" s="18" t="n">
        <f aca="false">DATEDIF(Assumptions!B5,B630,"m")+1</f>
        <v>21</v>
      </c>
      <c r="E630" s="18" t="str">
        <f aca="false">TEXT(B630,"ddd")</f>
        <v>Tue</v>
      </c>
      <c r="F630" s="19" t="n">
        <f aca="false">IF(WEEKDAY(B630,2)&gt;=6,Assumptions!B34,Assumptions!B35)</f>
        <v>1</v>
      </c>
      <c r="G630" s="20" t="n">
        <f aca="false">IF(D630&gt;=13,(1+Assumptions!B46)^(D630-12),1)</f>
        <v>1.02732627823668</v>
      </c>
      <c r="H630" s="21" t="n">
        <f aca="false">H629*(1+IF(C630=1,Assumptions!B22,Assumptions!B23))</f>
        <v>21.7345973441446</v>
      </c>
      <c r="I630" s="16" t="n">
        <f aca="false">ROUND(H630*F630,0)</f>
        <v>22</v>
      </c>
      <c r="J630" s="22" t="n">
        <f aca="false">I630*Assumptions!B24</f>
        <v>13200</v>
      </c>
      <c r="K630" s="21" t="n">
        <f aca="false">K629*(1+Assumptions!B30)</f>
        <v>16.134983333409</v>
      </c>
      <c r="L630" s="16" t="n">
        <f aca="false">ROUND(K630*F630,0)</f>
        <v>16</v>
      </c>
      <c r="M630" s="22" t="n">
        <f aca="false">L630*Assumptions!B31</f>
        <v>4800</v>
      </c>
      <c r="N630" s="22" t="n">
        <f aca="false">J630+M630</f>
        <v>18000</v>
      </c>
      <c r="O630" s="22" t="n">
        <f aca="false">IF(DAY(B630)=1,Assumptions!B38*G630,0)</f>
        <v>0</v>
      </c>
      <c r="P630" s="22" t="n">
        <f aca="false">IF(DAY(B630)=1,Assumptions!B39*G630,0)</f>
        <v>0</v>
      </c>
      <c r="Q630" s="22" t="n">
        <f aca="false">IF(DAY(B630)=1,Assumptions!B40*G630,0)</f>
        <v>0</v>
      </c>
      <c r="R630" s="22" t="n">
        <f aca="false">IF(DAY(B630)=1,Assumptions!B41*G630,0)</f>
        <v>0</v>
      </c>
      <c r="S630" s="22" t="n">
        <f aca="false">IF(AND(DAY(B630)=1,D630&gt;=13),Assumptions!B42*G630,0)</f>
        <v>0</v>
      </c>
      <c r="T630" s="22" t="n">
        <f aca="false">IF(DAY(B630)=1,Assumptions!B43*G630,0)</f>
        <v>0</v>
      </c>
      <c r="U630" s="22" t="n">
        <f aca="false">SUM(O630:T630)</f>
        <v>0</v>
      </c>
      <c r="V630" s="22" t="n">
        <f aca="false">N630-U630</f>
        <v>18000</v>
      </c>
      <c r="W630" s="22" t="n">
        <f aca="false">W629+V630</f>
        <v>-2844495.13308988</v>
      </c>
      <c r="X630" s="23" t="str">
        <f aca="false">IF(W630&gt;=0,"YES","No")</f>
        <v>No</v>
      </c>
    </row>
    <row r="631" customFormat="false" ht="15" hidden="false" customHeight="false" outlineLevel="0" collapsed="false">
      <c r="A631" s="16" t="n">
        <v>630</v>
      </c>
      <c r="B631" s="17" t="n">
        <f aca="false">B630+1</f>
        <v>46652</v>
      </c>
      <c r="C631" s="18" t="n">
        <f aca="false">MIN(ROUNDUP(A631/365,0),5)</f>
        <v>2</v>
      </c>
      <c r="D631" s="18" t="n">
        <f aca="false">DATEDIF(Assumptions!B5,B631,"m")+1</f>
        <v>21</v>
      </c>
      <c r="E631" s="18" t="str">
        <f aca="false">TEXT(B631,"ddd")</f>
        <v>Wed</v>
      </c>
      <c r="F631" s="19" t="n">
        <f aca="false">IF(WEEKDAY(B631,2)&gt;=6,Assumptions!B34,Assumptions!B35)</f>
        <v>1</v>
      </c>
      <c r="G631" s="20" t="n">
        <f aca="false">IF(D631&gt;=13,(1+Assumptions!B46)^(D631-12),1)</f>
        <v>1.02732627823668</v>
      </c>
      <c r="H631" s="21" t="n">
        <f aca="false">H630*(1+IF(C631=1,Assumptions!B22,Assumptions!B23))</f>
        <v>21.7381588122038</v>
      </c>
      <c r="I631" s="16" t="n">
        <f aca="false">ROUND(H631*F631,0)</f>
        <v>22</v>
      </c>
      <c r="J631" s="22" t="n">
        <f aca="false">I631*Assumptions!B24</f>
        <v>13200</v>
      </c>
      <c r="K631" s="21" t="n">
        <f aca="false">K630*(1+Assumptions!B30)</f>
        <v>16.140258453831</v>
      </c>
      <c r="L631" s="16" t="n">
        <f aca="false">ROUND(K631*F631,0)</f>
        <v>16</v>
      </c>
      <c r="M631" s="22" t="n">
        <f aca="false">L631*Assumptions!B31</f>
        <v>4800</v>
      </c>
      <c r="N631" s="22" t="n">
        <f aca="false">J631+M631</f>
        <v>18000</v>
      </c>
      <c r="O631" s="22" t="n">
        <f aca="false">IF(DAY(B631)=1,Assumptions!B38*G631,0)</f>
        <v>0</v>
      </c>
      <c r="P631" s="22" t="n">
        <f aca="false">IF(DAY(B631)=1,Assumptions!B39*G631,0)</f>
        <v>0</v>
      </c>
      <c r="Q631" s="22" t="n">
        <f aca="false">IF(DAY(B631)=1,Assumptions!B40*G631,0)</f>
        <v>0</v>
      </c>
      <c r="R631" s="22" t="n">
        <f aca="false">IF(DAY(B631)=1,Assumptions!B41*G631,0)</f>
        <v>0</v>
      </c>
      <c r="S631" s="22" t="n">
        <f aca="false">IF(AND(DAY(B631)=1,D631&gt;=13),Assumptions!B42*G631,0)</f>
        <v>0</v>
      </c>
      <c r="T631" s="22" t="n">
        <f aca="false">IF(DAY(B631)=1,Assumptions!B43*G631,0)</f>
        <v>0</v>
      </c>
      <c r="U631" s="22" t="n">
        <f aca="false">SUM(O631:T631)</f>
        <v>0</v>
      </c>
      <c r="V631" s="22" t="n">
        <f aca="false">N631-U631</f>
        <v>18000</v>
      </c>
      <c r="W631" s="22" t="n">
        <f aca="false">W630+V631</f>
        <v>-2826495.13308988</v>
      </c>
      <c r="X631" s="23" t="str">
        <f aca="false">IF(W631&gt;=0,"YES","No")</f>
        <v>No</v>
      </c>
    </row>
    <row r="632" customFormat="false" ht="15" hidden="false" customHeight="false" outlineLevel="0" collapsed="false">
      <c r="A632" s="16" t="n">
        <v>631</v>
      </c>
      <c r="B632" s="17" t="n">
        <f aca="false">B631+1</f>
        <v>46653</v>
      </c>
      <c r="C632" s="18" t="n">
        <f aca="false">MIN(ROUNDUP(A632/365,0),5)</f>
        <v>2</v>
      </c>
      <c r="D632" s="18" t="n">
        <f aca="false">DATEDIF(Assumptions!B5,B632,"m")+1</f>
        <v>21</v>
      </c>
      <c r="E632" s="18" t="str">
        <f aca="false">TEXT(B632,"ddd")</f>
        <v>Thu</v>
      </c>
      <c r="F632" s="19" t="n">
        <f aca="false">IF(WEEKDAY(B632,2)&gt;=6,Assumptions!B34,Assumptions!B35)</f>
        <v>1</v>
      </c>
      <c r="G632" s="20" t="n">
        <f aca="false">IF(D632&gt;=13,(1+Assumptions!B46)^(D632-12),1)</f>
        <v>1.02732627823668</v>
      </c>
      <c r="H632" s="21" t="n">
        <f aca="false">H631*(1+IF(C632=1,Assumptions!B22,Assumptions!B23))</f>
        <v>21.7417208638512</v>
      </c>
      <c r="I632" s="16" t="n">
        <f aca="false">ROUND(H632*F632,0)</f>
        <v>22</v>
      </c>
      <c r="J632" s="22" t="n">
        <f aca="false">I632*Assumptions!B24</f>
        <v>13200</v>
      </c>
      <c r="K632" s="21" t="n">
        <f aca="false">K631*(1+Assumptions!B30)</f>
        <v>16.1455352988841</v>
      </c>
      <c r="L632" s="16" t="n">
        <f aca="false">ROUND(K632*F632,0)</f>
        <v>16</v>
      </c>
      <c r="M632" s="22" t="n">
        <f aca="false">L632*Assumptions!B31</f>
        <v>4800</v>
      </c>
      <c r="N632" s="22" t="n">
        <f aca="false">J632+M632</f>
        <v>18000</v>
      </c>
      <c r="O632" s="22" t="n">
        <f aca="false">IF(DAY(B632)=1,Assumptions!B38*G632,0)</f>
        <v>0</v>
      </c>
      <c r="P632" s="22" t="n">
        <f aca="false">IF(DAY(B632)=1,Assumptions!B39*G632,0)</f>
        <v>0</v>
      </c>
      <c r="Q632" s="22" t="n">
        <f aca="false">IF(DAY(B632)=1,Assumptions!B40*G632,0)</f>
        <v>0</v>
      </c>
      <c r="R632" s="22" t="n">
        <f aca="false">IF(DAY(B632)=1,Assumptions!B41*G632,0)</f>
        <v>0</v>
      </c>
      <c r="S632" s="22" t="n">
        <f aca="false">IF(AND(DAY(B632)=1,D632&gt;=13),Assumptions!B42*G632,0)</f>
        <v>0</v>
      </c>
      <c r="T632" s="22" t="n">
        <f aca="false">IF(DAY(B632)=1,Assumptions!B43*G632,0)</f>
        <v>0</v>
      </c>
      <c r="U632" s="22" t="n">
        <f aca="false">SUM(O632:T632)</f>
        <v>0</v>
      </c>
      <c r="V632" s="22" t="n">
        <f aca="false">N632-U632</f>
        <v>18000</v>
      </c>
      <c r="W632" s="22" t="n">
        <f aca="false">W631+V632</f>
        <v>-2808495.13308988</v>
      </c>
      <c r="X632" s="23" t="str">
        <f aca="false">IF(W632&gt;=0,"YES","No")</f>
        <v>No</v>
      </c>
    </row>
    <row r="633" customFormat="false" ht="15" hidden="false" customHeight="false" outlineLevel="0" collapsed="false">
      <c r="A633" s="16" t="n">
        <v>632</v>
      </c>
      <c r="B633" s="17" t="n">
        <f aca="false">B632+1</f>
        <v>46654</v>
      </c>
      <c r="C633" s="18" t="n">
        <f aca="false">MIN(ROUNDUP(A633/365,0),5)</f>
        <v>2</v>
      </c>
      <c r="D633" s="18" t="n">
        <f aca="false">DATEDIF(Assumptions!B5,B633,"m")+1</f>
        <v>21</v>
      </c>
      <c r="E633" s="18" t="str">
        <f aca="false">TEXT(B633,"ddd")</f>
        <v>Fri</v>
      </c>
      <c r="F633" s="19" t="n">
        <f aca="false">IF(WEEKDAY(B633,2)&gt;=6,Assumptions!B34,Assumptions!B35)</f>
        <v>1</v>
      </c>
      <c r="G633" s="20" t="n">
        <f aca="false">IF(D633&gt;=13,(1+Assumptions!B46)^(D633-12),1)</f>
        <v>1.02732627823668</v>
      </c>
      <c r="H633" s="21" t="n">
        <f aca="false">H632*(1+IF(C633=1,Assumptions!B22,Assumptions!B23))</f>
        <v>21.7452834991825</v>
      </c>
      <c r="I633" s="16" t="n">
        <f aca="false">ROUND(H633*F633,0)</f>
        <v>22</v>
      </c>
      <c r="J633" s="22" t="n">
        <f aca="false">I633*Assumptions!B24</f>
        <v>13200</v>
      </c>
      <c r="K633" s="21" t="n">
        <f aca="false">K632*(1+Assumptions!B30)</f>
        <v>16.1508138691323</v>
      </c>
      <c r="L633" s="16" t="n">
        <f aca="false">ROUND(K633*F633,0)</f>
        <v>16</v>
      </c>
      <c r="M633" s="22" t="n">
        <f aca="false">L633*Assumptions!B31</f>
        <v>4800</v>
      </c>
      <c r="N633" s="22" t="n">
        <f aca="false">J633+M633</f>
        <v>18000</v>
      </c>
      <c r="O633" s="22" t="n">
        <f aca="false">IF(DAY(B633)=1,Assumptions!B38*G633,0)</f>
        <v>0</v>
      </c>
      <c r="P633" s="22" t="n">
        <f aca="false">IF(DAY(B633)=1,Assumptions!B39*G633,0)</f>
        <v>0</v>
      </c>
      <c r="Q633" s="22" t="n">
        <f aca="false">IF(DAY(B633)=1,Assumptions!B40*G633,0)</f>
        <v>0</v>
      </c>
      <c r="R633" s="22" t="n">
        <f aca="false">IF(DAY(B633)=1,Assumptions!B41*G633,0)</f>
        <v>0</v>
      </c>
      <c r="S633" s="22" t="n">
        <f aca="false">IF(AND(DAY(B633)=1,D633&gt;=13),Assumptions!B42*G633,0)</f>
        <v>0</v>
      </c>
      <c r="T633" s="22" t="n">
        <f aca="false">IF(DAY(B633)=1,Assumptions!B43*G633,0)</f>
        <v>0</v>
      </c>
      <c r="U633" s="22" t="n">
        <f aca="false">SUM(O633:T633)</f>
        <v>0</v>
      </c>
      <c r="V633" s="22" t="n">
        <f aca="false">N633-U633</f>
        <v>18000</v>
      </c>
      <c r="W633" s="22" t="n">
        <f aca="false">W632+V633</f>
        <v>-2790495.13308988</v>
      </c>
      <c r="X633" s="23" t="str">
        <f aca="false">IF(W633&gt;=0,"YES","No")</f>
        <v>No</v>
      </c>
    </row>
    <row r="634" customFormat="false" ht="15" hidden="false" customHeight="false" outlineLevel="0" collapsed="false">
      <c r="A634" s="16" t="n">
        <v>633</v>
      </c>
      <c r="B634" s="17" t="n">
        <f aca="false">B633+1</f>
        <v>46655</v>
      </c>
      <c r="C634" s="18" t="n">
        <f aca="false">MIN(ROUNDUP(A634/365,0),5)</f>
        <v>2</v>
      </c>
      <c r="D634" s="18" t="n">
        <f aca="false">DATEDIF(Assumptions!B5,B634,"m")+1</f>
        <v>21</v>
      </c>
      <c r="E634" s="18" t="str">
        <f aca="false">TEXT(B634,"ddd")</f>
        <v>Sat</v>
      </c>
      <c r="F634" s="19" t="n">
        <f aca="false">IF(WEEKDAY(B634,2)&gt;=6,Assumptions!B34,Assumptions!B35)</f>
        <v>0.6</v>
      </c>
      <c r="G634" s="20" t="n">
        <f aca="false">IF(D634&gt;=13,(1+Assumptions!B46)^(D634-12),1)</f>
        <v>1.02732627823668</v>
      </c>
      <c r="H634" s="21" t="n">
        <f aca="false">H633*(1+IF(C634=1,Assumptions!B22,Assumptions!B23))</f>
        <v>21.7488467182932</v>
      </c>
      <c r="I634" s="16" t="n">
        <f aca="false">ROUND(H634*F634,0)</f>
        <v>13</v>
      </c>
      <c r="J634" s="22" t="n">
        <f aca="false">I634*Assumptions!B24</f>
        <v>7800</v>
      </c>
      <c r="K634" s="21" t="n">
        <f aca="false">K633*(1+Assumptions!B30)</f>
        <v>16.1560941651396</v>
      </c>
      <c r="L634" s="16" t="n">
        <f aca="false">ROUND(K634*F634,0)</f>
        <v>10</v>
      </c>
      <c r="M634" s="22" t="n">
        <f aca="false">L634*Assumptions!B31</f>
        <v>3000</v>
      </c>
      <c r="N634" s="22" t="n">
        <f aca="false">J634+M634</f>
        <v>10800</v>
      </c>
      <c r="O634" s="22" t="n">
        <f aca="false">IF(DAY(B634)=1,Assumptions!B38*G634,0)</f>
        <v>0</v>
      </c>
      <c r="P634" s="22" t="n">
        <f aca="false">IF(DAY(B634)=1,Assumptions!B39*G634,0)</f>
        <v>0</v>
      </c>
      <c r="Q634" s="22" t="n">
        <f aca="false">IF(DAY(B634)=1,Assumptions!B40*G634,0)</f>
        <v>0</v>
      </c>
      <c r="R634" s="22" t="n">
        <f aca="false">IF(DAY(B634)=1,Assumptions!B41*G634,0)</f>
        <v>0</v>
      </c>
      <c r="S634" s="22" t="n">
        <f aca="false">IF(AND(DAY(B634)=1,D634&gt;=13),Assumptions!B42*G634,0)</f>
        <v>0</v>
      </c>
      <c r="T634" s="22" t="n">
        <f aca="false">IF(DAY(B634)=1,Assumptions!B43*G634,0)</f>
        <v>0</v>
      </c>
      <c r="U634" s="22" t="n">
        <f aca="false">SUM(O634:T634)</f>
        <v>0</v>
      </c>
      <c r="V634" s="22" t="n">
        <f aca="false">N634-U634</f>
        <v>10800</v>
      </c>
      <c r="W634" s="22" t="n">
        <f aca="false">W633+V634</f>
        <v>-2779695.13308988</v>
      </c>
      <c r="X634" s="23" t="str">
        <f aca="false">IF(W634&gt;=0,"YES","No")</f>
        <v>No</v>
      </c>
    </row>
    <row r="635" customFormat="false" ht="15" hidden="false" customHeight="false" outlineLevel="0" collapsed="false">
      <c r="A635" s="16" t="n">
        <v>634</v>
      </c>
      <c r="B635" s="17" t="n">
        <f aca="false">B634+1</f>
        <v>46656</v>
      </c>
      <c r="C635" s="18" t="n">
        <f aca="false">MIN(ROUNDUP(A635/365,0),5)</f>
        <v>2</v>
      </c>
      <c r="D635" s="18" t="n">
        <f aca="false">DATEDIF(Assumptions!B5,B635,"m")+1</f>
        <v>21</v>
      </c>
      <c r="E635" s="18" t="str">
        <f aca="false">TEXT(B635,"ddd")</f>
        <v>Sun</v>
      </c>
      <c r="F635" s="19" t="n">
        <f aca="false">IF(WEEKDAY(B635,2)&gt;=6,Assumptions!B34,Assumptions!B35)</f>
        <v>0.6</v>
      </c>
      <c r="G635" s="20" t="n">
        <f aca="false">IF(D635&gt;=13,(1+Assumptions!B46)^(D635-12),1)</f>
        <v>1.02732627823668</v>
      </c>
      <c r="H635" s="21" t="n">
        <f aca="false">H634*(1+IF(C635=1,Assumptions!B22,Assumptions!B23))</f>
        <v>21.7524105212791</v>
      </c>
      <c r="I635" s="16" t="n">
        <f aca="false">ROUND(H635*F635,0)</f>
        <v>13</v>
      </c>
      <c r="J635" s="22" t="n">
        <f aca="false">I635*Assumptions!B24</f>
        <v>7800</v>
      </c>
      <c r="K635" s="21" t="n">
        <f aca="false">K634*(1+Assumptions!B30)</f>
        <v>16.1613761874701</v>
      </c>
      <c r="L635" s="16" t="n">
        <f aca="false">ROUND(K635*F635,0)</f>
        <v>10</v>
      </c>
      <c r="M635" s="22" t="n">
        <f aca="false">L635*Assumptions!B31</f>
        <v>3000</v>
      </c>
      <c r="N635" s="22" t="n">
        <f aca="false">J635+M635</f>
        <v>10800</v>
      </c>
      <c r="O635" s="22" t="n">
        <f aca="false">IF(DAY(B635)=1,Assumptions!B38*G635,0)</f>
        <v>0</v>
      </c>
      <c r="P635" s="22" t="n">
        <f aca="false">IF(DAY(B635)=1,Assumptions!B39*G635,0)</f>
        <v>0</v>
      </c>
      <c r="Q635" s="22" t="n">
        <f aca="false">IF(DAY(B635)=1,Assumptions!B40*G635,0)</f>
        <v>0</v>
      </c>
      <c r="R635" s="22" t="n">
        <f aca="false">IF(DAY(B635)=1,Assumptions!B41*G635,0)</f>
        <v>0</v>
      </c>
      <c r="S635" s="22" t="n">
        <f aca="false">IF(AND(DAY(B635)=1,D635&gt;=13),Assumptions!B42*G635,0)</f>
        <v>0</v>
      </c>
      <c r="T635" s="22" t="n">
        <f aca="false">IF(DAY(B635)=1,Assumptions!B43*G635,0)</f>
        <v>0</v>
      </c>
      <c r="U635" s="22" t="n">
        <f aca="false">SUM(O635:T635)</f>
        <v>0</v>
      </c>
      <c r="V635" s="22" t="n">
        <f aca="false">N635-U635</f>
        <v>10800</v>
      </c>
      <c r="W635" s="22" t="n">
        <f aca="false">W634+V635</f>
        <v>-2768895.13308988</v>
      </c>
      <c r="X635" s="23" t="str">
        <f aca="false">IF(W635&gt;=0,"YES","No")</f>
        <v>No</v>
      </c>
    </row>
    <row r="636" customFormat="false" ht="15" hidden="false" customHeight="false" outlineLevel="0" collapsed="false">
      <c r="A636" s="16" t="n">
        <v>635</v>
      </c>
      <c r="B636" s="17" t="n">
        <f aca="false">B635+1</f>
        <v>46657</v>
      </c>
      <c r="C636" s="18" t="n">
        <f aca="false">MIN(ROUNDUP(A636/365,0),5)</f>
        <v>2</v>
      </c>
      <c r="D636" s="18" t="n">
        <f aca="false">DATEDIF(Assumptions!B5,B636,"m")+1</f>
        <v>21</v>
      </c>
      <c r="E636" s="18" t="str">
        <f aca="false">TEXT(B636,"ddd")</f>
        <v>Mon</v>
      </c>
      <c r="F636" s="19" t="n">
        <f aca="false">IF(WEEKDAY(B636,2)&gt;=6,Assumptions!B34,Assumptions!B35)</f>
        <v>1</v>
      </c>
      <c r="G636" s="20" t="n">
        <f aca="false">IF(D636&gt;=13,(1+Assumptions!B46)^(D636-12),1)</f>
        <v>1.02732627823668</v>
      </c>
      <c r="H636" s="21" t="n">
        <f aca="false">H635*(1+IF(C636=1,Assumptions!B22,Assumptions!B23))</f>
        <v>21.7559749082358</v>
      </c>
      <c r="I636" s="16" t="n">
        <f aca="false">ROUND(H636*F636,0)</f>
        <v>22</v>
      </c>
      <c r="J636" s="22" t="n">
        <f aca="false">I636*Assumptions!B24</f>
        <v>13200</v>
      </c>
      <c r="K636" s="21" t="n">
        <f aca="false">K635*(1+Assumptions!B30)</f>
        <v>16.1666599366883</v>
      </c>
      <c r="L636" s="16" t="n">
        <f aca="false">ROUND(K636*F636,0)</f>
        <v>16</v>
      </c>
      <c r="M636" s="22" t="n">
        <f aca="false">L636*Assumptions!B31</f>
        <v>4800</v>
      </c>
      <c r="N636" s="22" t="n">
        <f aca="false">J636+M636</f>
        <v>18000</v>
      </c>
      <c r="O636" s="22" t="n">
        <f aca="false">IF(DAY(B636)=1,Assumptions!B38*G636,0)</f>
        <v>0</v>
      </c>
      <c r="P636" s="22" t="n">
        <f aca="false">IF(DAY(B636)=1,Assumptions!B39*G636,0)</f>
        <v>0</v>
      </c>
      <c r="Q636" s="22" t="n">
        <f aca="false">IF(DAY(B636)=1,Assumptions!B40*G636,0)</f>
        <v>0</v>
      </c>
      <c r="R636" s="22" t="n">
        <f aca="false">IF(DAY(B636)=1,Assumptions!B41*G636,0)</f>
        <v>0</v>
      </c>
      <c r="S636" s="22" t="n">
        <f aca="false">IF(AND(DAY(B636)=1,D636&gt;=13),Assumptions!B42*G636,0)</f>
        <v>0</v>
      </c>
      <c r="T636" s="22" t="n">
        <f aca="false">IF(DAY(B636)=1,Assumptions!B43*G636,0)</f>
        <v>0</v>
      </c>
      <c r="U636" s="22" t="n">
        <f aca="false">SUM(O636:T636)</f>
        <v>0</v>
      </c>
      <c r="V636" s="22" t="n">
        <f aca="false">N636-U636</f>
        <v>18000</v>
      </c>
      <c r="W636" s="22" t="n">
        <f aca="false">W635+V636</f>
        <v>-2750895.13308988</v>
      </c>
      <c r="X636" s="23" t="str">
        <f aca="false">IF(W636&gt;=0,"YES","No")</f>
        <v>No</v>
      </c>
    </row>
    <row r="637" customFormat="false" ht="15" hidden="false" customHeight="false" outlineLevel="0" collapsed="false">
      <c r="A637" s="16" t="n">
        <v>636</v>
      </c>
      <c r="B637" s="17" t="n">
        <f aca="false">B636+1</f>
        <v>46658</v>
      </c>
      <c r="C637" s="18" t="n">
        <f aca="false">MIN(ROUNDUP(A637/365,0),5)</f>
        <v>2</v>
      </c>
      <c r="D637" s="18" t="n">
        <f aca="false">DATEDIF(Assumptions!B5,B637,"m")+1</f>
        <v>21</v>
      </c>
      <c r="E637" s="18" t="str">
        <f aca="false">TEXT(B637,"ddd")</f>
        <v>Tue</v>
      </c>
      <c r="F637" s="19" t="n">
        <f aca="false">IF(WEEKDAY(B637,2)&gt;=6,Assumptions!B34,Assumptions!B35)</f>
        <v>1</v>
      </c>
      <c r="G637" s="20" t="n">
        <f aca="false">IF(D637&gt;=13,(1+Assumptions!B46)^(D637-12),1)</f>
        <v>1.02732627823668</v>
      </c>
      <c r="H637" s="21" t="n">
        <f aca="false">H636*(1+IF(C637=1,Assumptions!B22,Assumptions!B23))</f>
        <v>21.7595398792589</v>
      </c>
      <c r="I637" s="16" t="n">
        <f aca="false">ROUND(H637*F637,0)</f>
        <v>22</v>
      </c>
      <c r="J637" s="22" t="n">
        <f aca="false">I637*Assumptions!B24</f>
        <v>13200</v>
      </c>
      <c r="K637" s="21" t="n">
        <f aca="false">K636*(1+Assumptions!B30)</f>
        <v>16.1719454133588</v>
      </c>
      <c r="L637" s="16" t="n">
        <f aca="false">ROUND(K637*F637,0)</f>
        <v>16</v>
      </c>
      <c r="M637" s="22" t="n">
        <f aca="false">L637*Assumptions!B31</f>
        <v>4800</v>
      </c>
      <c r="N637" s="22" t="n">
        <f aca="false">J637+M637</f>
        <v>18000</v>
      </c>
      <c r="O637" s="22" t="n">
        <f aca="false">IF(DAY(B637)=1,Assumptions!B38*G637,0)</f>
        <v>0</v>
      </c>
      <c r="P637" s="22" t="n">
        <f aca="false">IF(DAY(B637)=1,Assumptions!B39*G637,0)</f>
        <v>0</v>
      </c>
      <c r="Q637" s="22" t="n">
        <f aca="false">IF(DAY(B637)=1,Assumptions!B40*G637,0)</f>
        <v>0</v>
      </c>
      <c r="R637" s="22" t="n">
        <f aca="false">IF(DAY(B637)=1,Assumptions!B41*G637,0)</f>
        <v>0</v>
      </c>
      <c r="S637" s="22" t="n">
        <f aca="false">IF(AND(DAY(B637)=1,D637&gt;=13),Assumptions!B42*G637,0)</f>
        <v>0</v>
      </c>
      <c r="T637" s="22" t="n">
        <f aca="false">IF(DAY(B637)=1,Assumptions!B43*G637,0)</f>
        <v>0</v>
      </c>
      <c r="U637" s="22" t="n">
        <f aca="false">SUM(O637:T637)</f>
        <v>0</v>
      </c>
      <c r="V637" s="22" t="n">
        <f aca="false">N637-U637</f>
        <v>18000</v>
      </c>
      <c r="W637" s="22" t="n">
        <f aca="false">W636+V637</f>
        <v>-2732895.13308988</v>
      </c>
      <c r="X637" s="23" t="str">
        <f aca="false">IF(W637&gt;=0,"YES","No")</f>
        <v>No</v>
      </c>
    </row>
    <row r="638" customFormat="false" ht="15" hidden="false" customHeight="false" outlineLevel="0" collapsed="false">
      <c r="A638" s="16" t="n">
        <v>637</v>
      </c>
      <c r="B638" s="17" t="n">
        <f aca="false">B637+1</f>
        <v>46659</v>
      </c>
      <c r="C638" s="18" t="n">
        <f aca="false">MIN(ROUNDUP(A638/365,0),5)</f>
        <v>2</v>
      </c>
      <c r="D638" s="18" t="n">
        <f aca="false">DATEDIF(Assumptions!B5,B638,"m")+1</f>
        <v>21</v>
      </c>
      <c r="E638" s="18" t="str">
        <f aca="false">TEXT(B638,"ddd")</f>
        <v>Wed</v>
      </c>
      <c r="F638" s="19" t="n">
        <f aca="false">IF(WEEKDAY(B638,2)&gt;=6,Assumptions!B34,Assumptions!B35)</f>
        <v>1</v>
      </c>
      <c r="G638" s="20" t="n">
        <f aca="false">IF(D638&gt;=13,(1+Assumptions!B46)^(D638-12),1)</f>
        <v>1.02732627823668</v>
      </c>
      <c r="H638" s="21" t="n">
        <f aca="false">H637*(1+IF(C638=1,Assumptions!B22,Assumptions!B23))</f>
        <v>21.7631054344443</v>
      </c>
      <c r="I638" s="16" t="n">
        <f aca="false">ROUND(H638*F638,0)</f>
        <v>22</v>
      </c>
      <c r="J638" s="22" t="n">
        <f aca="false">I638*Assumptions!B24</f>
        <v>13200</v>
      </c>
      <c r="K638" s="21" t="n">
        <f aca="false">K637*(1+Assumptions!B30)</f>
        <v>16.1772326180463</v>
      </c>
      <c r="L638" s="16" t="n">
        <f aca="false">ROUND(K638*F638,0)</f>
        <v>16</v>
      </c>
      <c r="M638" s="22" t="n">
        <f aca="false">L638*Assumptions!B31</f>
        <v>4800</v>
      </c>
      <c r="N638" s="22" t="n">
        <f aca="false">J638+M638</f>
        <v>18000</v>
      </c>
      <c r="O638" s="22" t="n">
        <f aca="false">IF(DAY(B638)=1,Assumptions!B38*G638,0)</f>
        <v>0</v>
      </c>
      <c r="P638" s="22" t="n">
        <f aca="false">IF(DAY(B638)=1,Assumptions!B39*G638,0)</f>
        <v>0</v>
      </c>
      <c r="Q638" s="22" t="n">
        <f aca="false">IF(DAY(B638)=1,Assumptions!B40*G638,0)</f>
        <v>0</v>
      </c>
      <c r="R638" s="22" t="n">
        <f aca="false">IF(DAY(B638)=1,Assumptions!B41*G638,0)</f>
        <v>0</v>
      </c>
      <c r="S638" s="22" t="n">
        <f aca="false">IF(AND(DAY(B638)=1,D638&gt;=13),Assumptions!B42*G638,0)</f>
        <v>0</v>
      </c>
      <c r="T638" s="22" t="n">
        <f aca="false">IF(DAY(B638)=1,Assumptions!B43*G638,0)</f>
        <v>0</v>
      </c>
      <c r="U638" s="22" t="n">
        <f aca="false">SUM(O638:T638)</f>
        <v>0</v>
      </c>
      <c r="V638" s="22" t="n">
        <f aca="false">N638-U638</f>
        <v>18000</v>
      </c>
      <c r="W638" s="22" t="n">
        <f aca="false">W637+V638</f>
        <v>-2714895.13308988</v>
      </c>
      <c r="X638" s="23" t="str">
        <f aca="false">IF(W638&gt;=0,"YES","No")</f>
        <v>No</v>
      </c>
    </row>
    <row r="639" customFormat="false" ht="15" hidden="false" customHeight="false" outlineLevel="0" collapsed="false">
      <c r="A639" s="16" t="n">
        <v>638</v>
      </c>
      <c r="B639" s="17" t="n">
        <f aca="false">B638+1</f>
        <v>46660</v>
      </c>
      <c r="C639" s="18" t="n">
        <f aca="false">MIN(ROUNDUP(A639/365,0),5)</f>
        <v>2</v>
      </c>
      <c r="D639" s="18" t="n">
        <f aca="false">DATEDIF(Assumptions!B5,B639,"m")+1</f>
        <v>21</v>
      </c>
      <c r="E639" s="18" t="str">
        <f aca="false">TEXT(B639,"ddd")</f>
        <v>Thu</v>
      </c>
      <c r="F639" s="19" t="n">
        <f aca="false">IF(WEEKDAY(B639,2)&gt;=6,Assumptions!B34,Assumptions!B35)</f>
        <v>1</v>
      </c>
      <c r="G639" s="20" t="n">
        <f aca="false">IF(D639&gt;=13,(1+Assumptions!B46)^(D639-12),1)</f>
        <v>1.02732627823668</v>
      </c>
      <c r="H639" s="21" t="n">
        <f aca="false">H638*(1+IF(C639=1,Assumptions!B22,Assumptions!B23))</f>
        <v>21.7666715738876</v>
      </c>
      <c r="I639" s="16" t="n">
        <f aca="false">ROUND(H639*F639,0)</f>
        <v>22</v>
      </c>
      <c r="J639" s="22" t="n">
        <f aca="false">I639*Assumptions!B24</f>
        <v>13200</v>
      </c>
      <c r="K639" s="21" t="n">
        <f aca="false">K638*(1+Assumptions!B30)</f>
        <v>16.1825215513157</v>
      </c>
      <c r="L639" s="16" t="n">
        <f aca="false">ROUND(K639*F639,0)</f>
        <v>16</v>
      </c>
      <c r="M639" s="22" t="n">
        <f aca="false">L639*Assumptions!B31</f>
        <v>4800</v>
      </c>
      <c r="N639" s="22" t="n">
        <f aca="false">J639+M639</f>
        <v>18000</v>
      </c>
      <c r="O639" s="22" t="n">
        <f aca="false">IF(DAY(B639)=1,Assumptions!B38*G639,0)</f>
        <v>0</v>
      </c>
      <c r="P639" s="22" t="n">
        <f aca="false">IF(DAY(B639)=1,Assumptions!B39*G639,0)</f>
        <v>0</v>
      </c>
      <c r="Q639" s="22" t="n">
        <f aca="false">IF(DAY(B639)=1,Assumptions!B40*G639,0)</f>
        <v>0</v>
      </c>
      <c r="R639" s="22" t="n">
        <f aca="false">IF(DAY(B639)=1,Assumptions!B41*G639,0)</f>
        <v>0</v>
      </c>
      <c r="S639" s="22" t="n">
        <f aca="false">IF(AND(DAY(B639)=1,D639&gt;=13),Assumptions!B42*G639,0)</f>
        <v>0</v>
      </c>
      <c r="T639" s="22" t="n">
        <f aca="false">IF(DAY(B639)=1,Assumptions!B43*G639,0)</f>
        <v>0</v>
      </c>
      <c r="U639" s="22" t="n">
        <f aca="false">SUM(O639:T639)</f>
        <v>0</v>
      </c>
      <c r="V639" s="22" t="n">
        <f aca="false">N639-U639</f>
        <v>18000</v>
      </c>
      <c r="W639" s="22" t="n">
        <f aca="false">W638+V639</f>
        <v>-2696895.13308988</v>
      </c>
      <c r="X639" s="23" t="str">
        <f aca="false">IF(W639&gt;=0,"YES","No")</f>
        <v>No</v>
      </c>
    </row>
    <row r="640" customFormat="false" ht="15" hidden="false" customHeight="false" outlineLevel="0" collapsed="false">
      <c r="A640" s="16" t="n">
        <v>639</v>
      </c>
      <c r="B640" s="17" t="n">
        <f aca="false">B639+1</f>
        <v>46661</v>
      </c>
      <c r="C640" s="18" t="n">
        <f aca="false">MIN(ROUNDUP(A640/365,0),5)</f>
        <v>2</v>
      </c>
      <c r="D640" s="18" t="n">
        <f aca="false">DATEDIF(Assumptions!B5,B640,"m")+1</f>
        <v>22</v>
      </c>
      <c r="E640" s="18" t="str">
        <f aca="false">TEXT(B640,"ddd")</f>
        <v>Fri</v>
      </c>
      <c r="F640" s="19" t="n">
        <f aca="false">IF(WEEKDAY(B640,2)&gt;=6,Assumptions!B34,Assumptions!B35)</f>
        <v>1</v>
      </c>
      <c r="G640" s="20" t="n">
        <f aca="false">IF(D640&gt;=13,(1+Assumptions!B46)^(D640-12),1)</f>
        <v>1.03040825707139</v>
      </c>
      <c r="H640" s="21" t="n">
        <f aca="false">H639*(1+IF(C640=1,Assumptions!B22,Assumptions!B23))</f>
        <v>21.7702382976846</v>
      </c>
      <c r="I640" s="16" t="n">
        <f aca="false">ROUND(H640*F640,0)</f>
        <v>22</v>
      </c>
      <c r="J640" s="22" t="n">
        <f aca="false">I640*Assumptions!B24</f>
        <v>13200</v>
      </c>
      <c r="K640" s="21" t="n">
        <f aca="false">K639*(1+Assumptions!B30)</f>
        <v>16.1878122137323</v>
      </c>
      <c r="L640" s="16" t="n">
        <f aca="false">ROUND(K640*F640,0)</f>
        <v>16</v>
      </c>
      <c r="M640" s="22" t="n">
        <f aca="false">L640*Assumptions!B31</f>
        <v>4800</v>
      </c>
      <c r="N640" s="22" t="n">
        <f aca="false">J640+M640</f>
        <v>18000</v>
      </c>
      <c r="O640" s="22" t="n">
        <f aca="false">IF(DAY(B640)=1,Assumptions!B38*G640,0)</f>
        <v>154561.238560708</v>
      </c>
      <c r="P640" s="22" t="n">
        <f aca="false">IF(DAY(B640)=1,Assumptions!B39*G640,0)</f>
        <v>41216.3302828555</v>
      </c>
      <c r="Q640" s="22" t="n">
        <f aca="false">IF(DAY(B640)=1,Assumptions!B40*G640,0)</f>
        <v>30912.2477121416</v>
      </c>
      <c r="R640" s="22" t="n">
        <f aca="false">IF(DAY(B640)=1,Assumptions!B41*G640,0)</f>
        <v>20608.1651414278</v>
      </c>
      <c r="S640" s="22" t="n">
        <f aca="false">IF(AND(DAY(B640)=1,D640&gt;=13),Assumptions!B42*G640,0)</f>
        <v>154561.238560708</v>
      </c>
      <c r="T640" s="22" t="n">
        <f aca="false">IF(DAY(B640)=1,Assumptions!B43*G640,0)</f>
        <v>20608.1651414278</v>
      </c>
      <c r="U640" s="22" t="n">
        <f aca="false">SUM(O640:T640)</f>
        <v>422467.385399269</v>
      </c>
      <c r="V640" s="22" t="n">
        <f aca="false">N640-U640</f>
        <v>-404467.385399269</v>
      </c>
      <c r="W640" s="22" t="n">
        <f aca="false">W639+V640</f>
        <v>-3101362.51848915</v>
      </c>
      <c r="X640" s="23" t="str">
        <f aca="false">IF(W640&gt;=0,"YES","No")</f>
        <v>No</v>
      </c>
    </row>
    <row r="641" customFormat="false" ht="15" hidden="false" customHeight="false" outlineLevel="0" collapsed="false">
      <c r="A641" s="16" t="n">
        <v>640</v>
      </c>
      <c r="B641" s="17" t="n">
        <f aca="false">B640+1</f>
        <v>46662</v>
      </c>
      <c r="C641" s="18" t="n">
        <f aca="false">MIN(ROUNDUP(A641/365,0),5)</f>
        <v>2</v>
      </c>
      <c r="D641" s="18" t="n">
        <f aca="false">DATEDIF(Assumptions!B5,B641,"m")+1</f>
        <v>22</v>
      </c>
      <c r="E641" s="18" t="str">
        <f aca="false">TEXT(B641,"ddd")</f>
        <v>Sat</v>
      </c>
      <c r="F641" s="19" t="n">
        <f aca="false">IF(WEEKDAY(B641,2)&gt;=6,Assumptions!B34,Assumptions!B35)</f>
        <v>0.6</v>
      </c>
      <c r="G641" s="20" t="n">
        <f aca="false">IF(D641&gt;=13,(1+Assumptions!B46)^(D641-12),1)</f>
        <v>1.03040825707139</v>
      </c>
      <c r="H641" s="21" t="n">
        <f aca="false">H640*(1+IF(C641=1,Assumptions!B22,Assumptions!B23))</f>
        <v>21.7738056059311</v>
      </c>
      <c r="I641" s="16" t="n">
        <f aca="false">ROUND(H641*F641,0)</f>
        <v>13</v>
      </c>
      <c r="J641" s="22" t="n">
        <f aca="false">I641*Assumptions!B24</f>
        <v>7800</v>
      </c>
      <c r="K641" s="21" t="n">
        <f aca="false">K640*(1+Assumptions!B30)</f>
        <v>16.1931046058613</v>
      </c>
      <c r="L641" s="16" t="n">
        <f aca="false">ROUND(K641*F641,0)</f>
        <v>10</v>
      </c>
      <c r="M641" s="22" t="n">
        <f aca="false">L641*Assumptions!B31</f>
        <v>3000</v>
      </c>
      <c r="N641" s="22" t="n">
        <f aca="false">J641+M641</f>
        <v>10800</v>
      </c>
      <c r="O641" s="22" t="n">
        <f aca="false">IF(DAY(B641)=1,Assumptions!B38*G641,0)</f>
        <v>0</v>
      </c>
      <c r="P641" s="22" t="n">
        <f aca="false">IF(DAY(B641)=1,Assumptions!B39*G641,0)</f>
        <v>0</v>
      </c>
      <c r="Q641" s="22" t="n">
        <f aca="false">IF(DAY(B641)=1,Assumptions!B40*G641,0)</f>
        <v>0</v>
      </c>
      <c r="R641" s="22" t="n">
        <f aca="false">IF(DAY(B641)=1,Assumptions!B41*G641,0)</f>
        <v>0</v>
      </c>
      <c r="S641" s="22" t="n">
        <f aca="false">IF(AND(DAY(B641)=1,D641&gt;=13),Assumptions!B42*G641,0)</f>
        <v>0</v>
      </c>
      <c r="T641" s="22" t="n">
        <f aca="false">IF(DAY(B641)=1,Assumptions!B43*G641,0)</f>
        <v>0</v>
      </c>
      <c r="U641" s="22" t="n">
        <f aca="false">SUM(O641:T641)</f>
        <v>0</v>
      </c>
      <c r="V641" s="22" t="n">
        <f aca="false">N641-U641</f>
        <v>10800</v>
      </c>
      <c r="W641" s="22" t="n">
        <f aca="false">W640+V641</f>
        <v>-3090562.51848915</v>
      </c>
      <c r="X641" s="23" t="str">
        <f aca="false">IF(W641&gt;=0,"YES","No")</f>
        <v>No</v>
      </c>
    </row>
    <row r="642" customFormat="false" ht="15" hidden="false" customHeight="false" outlineLevel="0" collapsed="false">
      <c r="A642" s="16" t="n">
        <v>641</v>
      </c>
      <c r="B642" s="17" t="n">
        <f aca="false">B641+1</f>
        <v>46663</v>
      </c>
      <c r="C642" s="18" t="n">
        <f aca="false">MIN(ROUNDUP(A642/365,0),5)</f>
        <v>2</v>
      </c>
      <c r="D642" s="18" t="n">
        <f aca="false">DATEDIF(Assumptions!B5,B642,"m")+1</f>
        <v>22</v>
      </c>
      <c r="E642" s="18" t="str">
        <f aca="false">TEXT(B642,"ddd")</f>
        <v>Sun</v>
      </c>
      <c r="F642" s="19" t="n">
        <f aca="false">IF(WEEKDAY(B642,2)&gt;=6,Assumptions!B34,Assumptions!B35)</f>
        <v>0.6</v>
      </c>
      <c r="G642" s="20" t="n">
        <f aca="false">IF(D642&gt;=13,(1+Assumptions!B46)^(D642-12),1)</f>
        <v>1.03040825707139</v>
      </c>
      <c r="H642" s="21" t="n">
        <f aca="false">H641*(1+IF(C642=1,Assumptions!B22,Assumptions!B23))</f>
        <v>21.7773734987227</v>
      </c>
      <c r="I642" s="16" t="n">
        <f aca="false">ROUND(H642*F642,0)</f>
        <v>13</v>
      </c>
      <c r="J642" s="22" t="n">
        <f aca="false">I642*Assumptions!B24</f>
        <v>7800</v>
      </c>
      <c r="K642" s="21" t="n">
        <f aca="false">K641*(1+Assumptions!B30)</f>
        <v>16.1983987282683</v>
      </c>
      <c r="L642" s="16" t="n">
        <f aca="false">ROUND(K642*F642,0)</f>
        <v>10</v>
      </c>
      <c r="M642" s="22" t="n">
        <f aca="false">L642*Assumptions!B31</f>
        <v>3000</v>
      </c>
      <c r="N642" s="22" t="n">
        <f aca="false">J642+M642</f>
        <v>10800</v>
      </c>
      <c r="O642" s="22" t="n">
        <f aca="false">IF(DAY(B642)=1,Assumptions!B38*G642,0)</f>
        <v>0</v>
      </c>
      <c r="P642" s="22" t="n">
        <f aca="false">IF(DAY(B642)=1,Assumptions!B39*G642,0)</f>
        <v>0</v>
      </c>
      <c r="Q642" s="22" t="n">
        <f aca="false">IF(DAY(B642)=1,Assumptions!B40*G642,0)</f>
        <v>0</v>
      </c>
      <c r="R642" s="22" t="n">
        <f aca="false">IF(DAY(B642)=1,Assumptions!B41*G642,0)</f>
        <v>0</v>
      </c>
      <c r="S642" s="22" t="n">
        <f aca="false">IF(AND(DAY(B642)=1,D642&gt;=13),Assumptions!B42*G642,0)</f>
        <v>0</v>
      </c>
      <c r="T642" s="22" t="n">
        <f aca="false">IF(DAY(B642)=1,Assumptions!B43*G642,0)</f>
        <v>0</v>
      </c>
      <c r="U642" s="22" t="n">
        <f aca="false">SUM(O642:T642)</f>
        <v>0</v>
      </c>
      <c r="V642" s="22" t="n">
        <f aca="false">N642-U642</f>
        <v>10800</v>
      </c>
      <c r="W642" s="22" t="n">
        <f aca="false">W641+V642</f>
        <v>-3079762.51848915</v>
      </c>
      <c r="X642" s="23" t="str">
        <f aca="false">IF(W642&gt;=0,"YES","No")</f>
        <v>No</v>
      </c>
    </row>
    <row r="643" customFormat="false" ht="15" hidden="false" customHeight="false" outlineLevel="0" collapsed="false">
      <c r="A643" s="16" t="n">
        <v>642</v>
      </c>
      <c r="B643" s="17" t="n">
        <f aca="false">B642+1</f>
        <v>46664</v>
      </c>
      <c r="C643" s="18" t="n">
        <f aca="false">MIN(ROUNDUP(A643/365,0),5)</f>
        <v>2</v>
      </c>
      <c r="D643" s="18" t="n">
        <f aca="false">DATEDIF(Assumptions!B5,B643,"m")+1</f>
        <v>22</v>
      </c>
      <c r="E643" s="18" t="str">
        <f aca="false">TEXT(B643,"ddd")</f>
        <v>Mon</v>
      </c>
      <c r="F643" s="19" t="n">
        <f aca="false">IF(WEEKDAY(B643,2)&gt;=6,Assumptions!B34,Assumptions!B35)</f>
        <v>1</v>
      </c>
      <c r="G643" s="20" t="n">
        <f aca="false">IF(D643&gt;=13,(1+Assumptions!B46)^(D643-12),1)</f>
        <v>1.03040825707139</v>
      </c>
      <c r="H643" s="21" t="n">
        <f aca="false">H642*(1+IF(C643=1,Assumptions!B22,Assumptions!B23))</f>
        <v>21.7809419761552</v>
      </c>
      <c r="I643" s="16" t="n">
        <f aca="false">ROUND(H643*F643,0)</f>
        <v>22</v>
      </c>
      <c r="J643" s="22" t="n">
        <f aca="false">I643*Assumptions!B24</f>
        <v>13200</v>
      </c>
      <c r="K643" s="21" t="n">
        <f aca="false">K642*(1+Assumptions!B30)</f>
        <v>16.2036945815189</v>
      </c>
      <c r="L643" s="16" t="n">
        <f aca="false">ROUND(K643*F643,0)</f>
        <v>16</v>
      </c>
      <c r="M643" s="22" t="n">
        <f aca="false">L643*Assumptions!B31</f>
        <v>4800</v>
      </c>
      <c r="N643" s="22" t="n">
        <f aca="false">J643+M643</f>
        <v>18000</v>
      </c>
      <c r="O643" s="22" t="n">
        <f aca="false">IF(DAY(B643)=1,Assumptions!B38*G643,0)</f>
        <v>0</v>
      </c>
      <c r="P643" s="22" t="n">
        <f aca="false">IF(DAY(B643)=1,Assumptions!B39*G643,0)</f>
        <v>0</v>
      </c>
      <c r="Q643" s="22" t="n">
        <f aca="false">IF(DAY(B643)=1,Assumptions!B40*G643,0)</f>
        <v>0</v>
      </c>
      <c r="R643" s="22" t="n">
        <f aca="false">IF(DAY(B643)=1,Assumptions!B41*G643,0)</f>
        <v>0</v>
      </c>
      <c r="S643" s="22" t="n">
        <f aca="false">IF(AND(DAY(B643)=1,D643&gt;=13),Assumptions!B42*G643,0)</f>
        <v>0</v>
      </c>
      <c r="T643" s="22" t="n">
        <f aca="false">IF(DAY(B643)=1,Assumptions!B43*G643,0)</f>
        <v>0</v>
      </c>
      <c r="U643" s="22" t="n">
        <f aca="false">SUM(O643:T643)</f>
        <v>0</v>
      </c>
      <c r="V643" s="22" t="n">
        <f aca="false">N643-U643</f>
        <v>18000</v>
      </c>
      <c r="W643" s="22" t="n">
        <f aca="false">W642+V643</f>
        <v>-3061762.51848915</v>
      </c>
      <c r="X643" s="23" t="str">
        <f aca="false">IF(W643&gt;=0,"YES","No")</f>
        <v>No</v>
      </c>
    </row>
    <row r="644" customFormat="false" ht="15" hidden="false" customHeight="false" outlineLevel="0" collapsed="false">
      <c r="A644" s="16" t="n">
        <v>643</v>
      </c>
      <c r="B644" s="17" t="n">
        <f aca="false">B643+1</f>
        <v>46665</v>
      </c>
      <c r="C644" s="18" t="n">
        <f aca="false">MIN(ROUNDUP(A644/365,0),5)</f>
        <v>2</v>
      </c>
      <c r="D644" s="18" t="n">
        <f aca="false">DATEDIF(Assumptions!B5,B644,"m")+1</f>
        <v>22</v>
      </c>
      <c r="E644" s="18" t="str">
        <f aca="false">TEXT(B644,"ddd")</f>
        <v>Tue</v>
      </c>
      <c r="F644" s="19" t="n">
        <f aca="false">IF(WEEKDAY(B644,2)&gt;=6,Assumptions!B34,Assumptions!B35)</f>
        <v>1</v>
      </c>
      <c r="G644" s="20" t="n">
        <f aca="false">IF(D644&gt;=13,(1+Assumptions!B46)^(D644-12),1)</f>
        <v>1.03040825707139</v>
      </c>
      <c r="H644" s="21" t="n">
        <f aca="false">H643*(1+IF(C644=1,Assumptions!B22,Assumptions!B23))</f>
        <v>21.7845110383246</v>
      </c>
      <c r="I644" s="16" t="n">
        <f aca="false">ROUND(H644*F644,0)</f>
        <v>22</v>
      </c>
      <c r="J644" s="22" t="n">
        <f aca="false">I644*Assumptions!B24</f>
        <v>13200</v>
      </c>
      <c r="K644" s="21" t="n">
        <f aca="false">K643*(1+Assumptions!B30)</f>
        <v>16.208992166179</v>
      </c>
      <c r="L644" s="16" t="n">
        <f aca="false">ROUND(K644*F644,0)</f>
        <v>16</v>
      </c>
      <c r="M644" s="22" t="n">
        <f aca="false">L644*Assumptions!B31</f>
        <v>4800</v>
      </c>
      <c r="N644" s="22" t="n">
        <f aca="false">J644+M644</f>
        <v>18000</v>
      </c>
      <c r="O644" s="22" t="n">
        <f aca="false">IF(DAY(B644)=1,Assumptions!B38*G644,0)</f>
        <v>0</v>
      </c>
      <c r="P644" s="22" t="n">
        <f aca="false">IF(DAY(B644)=1,Assumptions!B39*G644,0)</f>
        <v>0</v>
      </c>
      <c r="Q644" s="22" t="n">
        <f aca="false">IF(DAY(B644)=1,Assumptions!B40*G644,0)</f>
        <v>0</v>
      </c>
      <c r="R644" s="22" t="n">
        <f aca="false">IF(DAY(B644)=1,Assumptions!B41*G644,0)</f>
        <v>0</v>
      </c>
      <c r="S644" s="22" t="n">
        <f aca="false">IF(AND(DAY(B644)=1,D644&gt;=13),Assumptions!B42*G644,0)</f>
        <v>0</v>
      </c>
      <c r="T644" s="22" t="n">
        <f aca="false">IF(DAY(B644)=1,Assumptions!B43*G644,0)</f>
        <v>0</v>
      </c>
      <c r="U644" s="22" t="n">
        <f aca="false">SUM(O644:T644)</f>
        <v>0</v>
      </c>
      <c r="V644" s="22" t="n">
        <f aca="false">N644-U644</f>
        <v>18000</v>
      </c>
      <c r="W644" s="22" t="n">
        <f aca="false">W643+V644</f>
        <v>-3043762.51848915</v>
      </c>
      <c r="X644" s="23" t="str">
        <f aca="false">IF(W644&gt;=0,"YES","No")</f>
        <v>No</v>
      </c>
    </row>
    <row r="645" customFormat="false" ht="15" hidden="false" customHeight="false" outlineLevel="0" collapsed="false">
      <c r="A645" s="16" t="n">
        <v>644</v>
      </c>
      <c r="B645" s="17" t="n">
        <f aca="false">B644+1</f>
        <v>46666</v>
      </c>
      <c r="C645" s="18" t="n">
        <f aca="false">MIN(ROUNDUP(A645/365,0),5)</f>
        <v>2</v>
      </c>
      <c r="D645" s="18" t="n">
        <f aca="false">DATEDIF(Assumptions!B5,B645,"m")+1</f>
        <v>22</v>
      </c>
      <c r="E645" s="18" t="str">
        <f aca="false">TEXT(B645,"ddd")</f>
        <v>Wed</v>
      </c>
      <c r="F645" s="19" t="n">
        <f aca="false">IF(WEEKDAY(B645,2)&gt;=6,Assumptions!B34,Assumptions!B35)</f>
        <v>1</v>
      </c>
      <c r="G645" s="20" t="n">
        <f aca="false">IF(D645&gt;=13,(1+Assumptions!B46)^(D645-12),1)</f>
        <v>1.03040825707139</v>
      </c>
      <c r="H645" s="21" t="n">
        <f aca="false">H644*(1+IF(C645=1,Assumptions!B22,Assumptions!B23))</f>
        <v>21.7880806853266</v>
      </c>
      <c r="I645" s="16" t="n">
        <f aca="false">ROUND(H645*F645,0)</f>
        <v>22</v>
      </c>
      <c r="J645" s="22" t="n">
        <f aca="false">I645*Assumptions!B24</f>
        <v>13200</v>
      </c>
      <c r="K645" s="21" t="n">
        <f aca="false">K644*(1+Assumptions!B30)</f>
        <v>16.2142914828147</v>
      </c>
      <c r="L645" s="16" t="n">
        <f aca="false">ROUND(K645*F645,0)</f>
        <v>16</v>
      </c>
      <c r="M645" s="22" t="n">
        <f aca="false">L645*Assumptions!B31</f>
        <v>4800</v>
      </c>
      <c r="N645" s="22" t="n">
        <f aca="false">J645+M645</f>
        <v>18000</v>
      </c>
      <c r="O645" s="22" t="n">
        <f aca="false">IF(DAY(B645)=1,Assumptions!B38*G645,0)</f>
        <v>0</v>
      </c>
      <c r="P645" s="22" t="n">
        <f aca="false">IF(DAY(B645)=1,Assumptions!B39*G645,0)</f>
        <v>0</v>
      </c>
      <c r="Q645" s="22" t="n">
        <f aca="false">IF(DAY(B645)=1,Assumptions!B40*G645,0)</f>
        <v>0</v>
      </c>
      <c r="R645" s="22" t="n">
        <f aca="false">IF(DAY(B645)=1,Assumptions!B41*G645,0)</f>
        <v>0</v>
      </c>
      <c r="S645" s="22" t="n">
        <f aca="false">IF(AND(DAY(B645)=1,D645&gt;=13),Assumptions!B42*G645,0)</f>
        <v>0</v>
      </c>
      <c r="T645" s="22" t="n">
        <f aca="false">IF(DAY(B645)=1,Assumptions!B43*G645,0)</f>
        <v>0</v>
      </c>
      <c r="U645" s="22" t="n">
        <f aca="false">SUM(O645:T645)</f>
        <v>0</v>
      </c>
      <c r="V645" s="22" t="n">
        <f aca="false">N645-U645</f>
        <v>18000</v>
      </c>
      <c r="W645" s="22" t="n">
        <f aca="false">W644+V645</f>
        <v>-3025762.51848915</v>
      </c>
      <c r="X645" s="23" t="str">
        <f aca="false">IF(W645&gt;=0,"YES","No")</f>
        <v>No</v>
      </c>
    </row>
    <row r="646" customFormat="false" ht="15" hidden="false" customHeight="false" outlineLevel="0" collapsed="false">
      <c r="A646" s="16" t="n">
        <v>645</v>
      </c>
      <c r="B646" s="17" t="n">
        <f aca="false">B645+1</f>
        <v>46667</v>
      </c>
      <c r="C646" s="18" t="n">
        <f aca="false">MIN(ROUNDUP(A646/365,0),5)</f>
        <v>2</v>
      </c>
      <c r="D646" s="18" t="n">
        <f aca="false">DATEDIF(Assumptions!B5,B646,"m")+1</f>
        <v>22</v>
      </c>
      <c r="E646" s="18" t="str">
        <f aca="false">TEXT(B646,"ddd")</f>
        <v>Thu</v>
      </c>
      <c r="F646" s="19" t="n">
        <f aca="false">IF(WEEKDAY(B646,2)&gt;=6,Assumptions!B34,Assumptions!B35)</f>
        <v>1</v>
      </c>
      <c r="G646" s="20" t="n">
        <f aca="false">IF(D646&gt;=13,(1+Assumptions!B46)^(D646-12),1)</f>
        <v>1.03040825707139</v>
      </c>
      <c r="H646" s="21" t="n">
        <f aca="false">H645*(1+IF(C646=1,Assumptions!B22,Assumptions!B23))</f>
        <v>21.7916509172569</v>
      </c>
      <c r="I646" s="16" t="n">
        <f aca="false">ROUND(H646*F646,0)</f>
        <v>22</v>
      </c>
      <c r="J646" s="22" t="n">
        <f aca="false">I646*Assumptions!B24</f>
        <v>13200</v>
      </c>
      <c r="K646" s="21" t="n">
        <f aca="false">K645*(1+Assumptions!B30)</f>
        <v>16.2195925319922</v>
      </c>
      <c r="L646" s="16" t="n">
        <f aca="false">ROUND(K646*F646,0)</f>
        <v>16</v>
      </c>
      <c r="M646" s="22" t="n">
        <f aca="false">L646*Assumptions!B31</f>
        <v>4800</v>
      </c>
      <c r="N646" s="22" t="n">
        <f aca="false">J646+M646</f>
        <v>18000</v>
      </c>
      <c r="O646" s="22" t="n">
        <f aca="false">IF(DAY(B646)=1,Assumptions!B38*G646,0)</f>
        <v>0</v>
      </c>
      <c r="P646" s="22" t="n">
        <f aca="false">IF(DAY(B646)=1,Assumptions!B39*G646,0)</f>
        <v>0</v>
      </c>
      <c r="Q646" s="22" t="n">
        <f aca="false">IF(DAY(B646)=1,Assumptions!B40*G646,0)</f>
        <v>0</v>
      </c>
      <c r="R646" s="22" t="n">
        <f aca="false">IF(DAY(B646)=1,Assumptions!B41*G646,0)</f>
        <v>0</v>
      </c>
      <c r="S646" s="22" t="n">
        <f aca="false">IF(AND(DAY(B646)=1,D646&gt;=13),Assumptions!B42*G646,0)</f>
        <v>0</v>
      </c>
      <c r="T646" s="22" t="n">
        <f aca="false">IF(DAY(B646)=1,Assumptions!B43*G646,0)</f>
        <v>0</v>
      </c>
      <c r="U646" s="22" t="n">
        <f aca="false">SUM(O646:T646)</f>
        <v>0</v>
      </c>
      <c r="V646" s="22" t="n">
        <f aca="false">N646-U646</f>
        <v>18000</v>
      </c>
      <c r="W646" s="22" t="n">
        <f aca="false">W645+V646</f>
        <v>-3007762.51848915</v>
      </c>
      <c r="X646" s="23" t="str">
        <f aca="false">IF(W646&gt;=0,"YES","No")</f>
        <v>No</v>
      </c>
    </row>
    <row r="647" customFormat="false" ht="15" hidden="false" customHeight="false" outlineLevel="0" collapsed="false">
      <c r="A647" s="16" t="n">
        <v>646</v>
      </c>
      <c r="B647" s="17" t="n">
        <f aca="false">B646+1</f>
        <v>46668</v>
      </c>
      <c r="C647" s="18" t="n">
        <f aca="false">MIN(ROUNDUP(A647/365,0),5)</f>
        <v>2</v>
      </c>
      <c r="D647" s="18" t="n">
        <f aca="false">DATEDIF(Assumptions!B5,B647,"m")+1</f>
        <v>22</v>
      </c>
      <c r="E647" s="18" t="str">
        <f aca="false">TEXT(B647,"ddd")</f>
        <v>Fri</v>
      </c>
      <c r="F647" s="19" t="n">
        <f aca="false">IF(WEEKDAY(B647,2)&gt;=6,Assumptions!B34,Assumptions!B35)</f>
        <v>1</v>
      </c>
      <c r="G647" s="20" t="n">
        <f aca="false">IF(D647&gt;=13,(1+Assumptions!B46)^(D647-12),1)</f>
        <v>1.03040825707139</v>
      </c>
      <c r="H647" s="21" t="n">
        <f aca="false">H646*(1+IF(C647=1,Assumptions!B22,Assumptions!B23))</f>
        <v>21.7952217342116</v>
      </c>
      <c r="I647" s="16" t="n">
        <f aca="false">ROUND(H647*F647,0)</f>
        <v>22</v>
      </c>
      <c r="J647" s="22" t="n">
        <f aca="false">I647*Assumptions!B24</f>
        <v>13200</v>
      </c>
      <c r="K647" s="21" t="n">
        <f aca="false">K646*(1+Assumptions!B30)</f>
        <v>16.224895314278</v>
      </c>
      <c r="L647" s="16" t="n">
        <f aca="false">ROUND(K647*F647,0)</f>
        <v>16</v>
      </c>
      <c r="M647" s="22" t="n">
        <f aca="false">L647*Assumptions!B31</f>
        <v>4800</v>
      </c>
      <c r="N647" s="22" t="n">
        <f aca="false">J647+M647</f>
        <v>18000</v>
      </c>
      <c r="O647" s="22" t="n">
        <f aca="false">IF(DAY(B647)=1,Assumptions!B38*G647,0)</f>
        <v>0</v>
      </c>
      <c r="P647" s="22" t="n">
        <f aca="false">IF(DAY(B647)=1,Assumptions!B39*G647,0)</f>
        <v>0</v>
      </c>
      <c r="Q647" s="22" t="n">
        <f aca="false">IF(DAY(B647)=1,Assumptions!B40*G647,0)</f>
        <v>0</v>
      </c>
      <c r="R647" s="22" t="n">
        <f aca="false">IF(DAY(B647)=1,Assumptions!B41*G647,0)</f>
        <v>0</v>
      </c>
      <c r="S647" s="22" t="n">
        <f aca="false">IF(AND(DAY(B647)=1,D647&gt;=13),Assumptions!B42*G647,0)</f>
        <v>0</v>
      </c>
      <c r="T647" s="22" t="n">
        <f aca="false">IF(DAY(B647)=1,Assumptions!B43*G647,0)</f>
        <v>0</v>
      </c>
      <c r="U647" s="22" t="n">
        <f aca="false">SUM(O647:T647)</f>
        <v>0</v>
      </c>
      <c r="V647" s="22" t="n">
        <f aca="false">N647-U647</f>
        <v>18000</v>
      </c>
      <c r="W647" s="22" t="n">
        <f aca="false">W646+V647</f>
        <v>-2989762.51848915</v>
      </c>
      <c r="X647" s="23" t="str">
        <f aca="false">IF(W647&gt;=0,"YES","No")</f>
        <v>No</v>
      </c>
    </row>
    <row r="648" customFormat="false" ht="15" hidden="false" customHeight="false" outlineLevel="0" collapsed="false">
      <c r="A648" s="16" t="n">
        <v>647</v>
      </c>
      <c r="B648" s="17" t="n">
        <f aca="false">B647+1</f>
        <v>46669</v>
      </c>
      <c r="C648" s="18" t="n">
        <f aca="false">MIN(ROUNDUP(A648/365,0),5)</f>
        <v>2</v>
      </c>
      <c r="D648" s="18" t="n">
        <f aca="false">DATEDIF(Assumptions!B5,B648,"m")+1</f>
        <v>22</v>
      </c>
      <c r="E648" s="18" t="str">
        <f aca="false">TEXT(B648,"ddd")</f>
        <v>Sat</v>
      </c>
      <c r="F648" s="19" t="n">
        <f aca="false">IF(WEEKDAY(B648,2)&gt;=6,Assumptions!B34,Assumptions!B35)</f>
        <v>0.6</v>
      </c>
      <c r="G648" s="20" t="n">
        <f aca="false">IF(D648&gt;=13,(1+Assumptions!B46)^(D648-12),1)</f>
        <v>1.03040825707139</v>
      </c>
      <c r="H648" s="21" t="n">
        <f aca="false">H647*(1+IF(C648=1,Assumptions!B22,Assumptions!B23))</f>
        <v>21.7987931362864</v>
      </c>
      <c r="I648" s="16" t="n">
        <f aca="false">ROUND(H648*F648,0)</f>
        <v>13</v>
      </c>
      <c r="J648" s="22" t="n">
        <f aca="false">I648*Assumptions!B24</f>
        <v>7800</v>
      </c>
      <c r="K648" s="21" t="n">
        <f aca="false">K647*(1+Assumptions!B30)</f>
        <v>16.2301998302386</v>
      </c>
      <c r="L648" s="16" t="n">
        <f aca="false">ROUND(K648*F648,0)</f>
        <v>10</v>
      </c>
      <c r="M648" s="22" t="n">
        <f aca="false">L648*Assumptions!B31</f>
        <v>3000</v>
      </c>
      <c r="N648" s="22" t="n">
        <f aca="false">J648+M648</f>
        <v>10800</v>
      </c>
      <c r="O648" s="22" t="n">
        <f aca="false">IF(DAY(B648)=1,Assumptions!B38*G648,0)</f>
        <v>0</v>
      </c>
      <c r="P648" s="22" t="n">
        <f aca="false">IF(DAY(B648)=1,Assumptions!B39*G648,0)</f>
        <v>0</v>
      </c>
      <c r="Q648" s="22" t="n">
        <f aca="false">IF(DAY(B648)=1,Assumptions!B40*G648,0)</f>
        <v>0</v>
      </c>
      <c r="R648" s="22" t="n">
        <f aca="false">IF(DAY(B648)=1,Assumptions!B41*G648,0)</f>
        <v>0</v>
      </c>
      <c r="S648" s="22" t="n">
        <f aca="false">IF(AND(DAY(B648)=1,D648&gt;=13),Assumptions!B42*G648,0)</f>
        <v>0</v>
      </c>
      <c r="T648" s="22" t="n">
        <f aca="false">IF(DAY(B648)=1,Assumptions!B43*G648,0)</f>
        <v>0</v>
      </c>
      <c r="U648" s="22" t="n">
        <f aca="false">SUM(O648:T648)</f>
        <v>0</v>
      </c>
      <c r="V648" s="22" t="n">
        <f aca="false">N648-U648</f>
        <v>10800</v>
      </c>
      <c r="W648" s="22" t="n">
        <f aca="false">W647+V648</f>
        <v>-2978962.51848915</v>
      </c>
      <c r="X648" s="23" t="str">
        <f aca="false">IF(W648&gt;=0,"YES","No")</f>
        <v>No</v>
      </c>
    </row>
    <row r="649" customFormat="false" ht="15" hidden="false" customHeight="false" outlineLevel="0" collapsed="false">
      <c r="A649" s="16" t="n">
        <v>648</v>
      </c>
      <c r="B649" s="17" t="n">
        <f aca="false">B648+1</f>
        <v>46670</v>
      </c>
      <c r="C649" s="18" t="n">
        <f aca="false">MIN(ROUNDUP(A649/365,0),5)</f>
        <v>2</v>
      </c>
      <c r="D649" s="18" t="n">
        <f aca="false">DATEDIF(Assumptions!B5,B649,"m")+1</f>
        <v>22</v>
      </c>
      <c r="E649" s="18" t="str">
        <f aca="false">TEXT(B649,"ddd")</f>
        <v>Sun</v>
      </c>
      <c r="F649" s="19" t="n">
        <f aca="false">IF(WEEKDAY(B649,2)&gt;=6,Assumptions!B34,Assumptions!B35)</f>
        <v>0.6</v>
      </c>
      <c r="G649" s="20" t="n">
        <f aca="false">IF(D649&gt;=13,(1+Assumptions!B46)^(D649-12),1)</f>
        <v>1.03040825707139</v>
      </c>
      <c r="H649" s="21" t="n">
        <f aca="false">H648*(1+IF(C649=1,Assumptions!B22,Assumptions!B23))</f>
        <v>21.8023651235772</v>
      </c>
      <c r="I649" s="16" t="n">
        <f aca="false">ROUND(H649*F649,0)</f>
        <v>13</v>
      </c>
      <c r="J649" s="22" t="n">
        <f aca="false">I649*Assumptions!B24</f>
        <v>7800</v>
      </c>
      <c r="K649" s="21" t="n">
        <f aca="false">K648*(1+Assumptions!B30)</f>
        <v>16.2355060804409</v>
      </c>
      <c r="L649" s="16" t="n">
        <f aca="false">ROUND(K649*F649,0)</f>
        <v>10</v>
      </c>
      <c r="M649" s="22" t="n">
        <f aca="false">L649*Assumptions!B31</f>
        <v>3000</v>
      </c>
      <c r="N649" s="22" t="n">
        <f aca="false">J649+M649</f>
        <v>10800</v>
      </c>
      <c r="O649" s="22" t="n">
        <f aca="false">IF(DAY(B649)=1,Assumptions!B38*G649,0)</f>
        <v>0</v>
      </c>
      <c r="P649" s="22" t="n">
        <f aca="false">IF(DAY(B649)=1,Assumptions!B39*G649,0)</f>
        <v>0</v>
      </c>
      <c r="Q649" s="22" t="n">
        <f aca="false">IF(DAY(B649)=1,Assumptions!B40*G649,0)</f>
        <v>0</v>
      </c>
      <c r="R649" s="22" t="n">
        <f aca="false">IF(DAY(B649)=1,Assumptions!B41*G649,0)</f>
        <v>0</v>
      </c>
      <c r="S649" s="22" t="n">
        <f aca="false">IF(AND(DAY(B649)=1,D649&gt;=13),Assumptions!B42*G649,0)</f>
        <v>0</v>
      </c>
      <c r="T649" s="22" t="n">
        <f aca="false">IF(DAY(B649)=1,Assumptions!B43*G649,0)</f>
        <v>0</v>
      </c>
      <c r="U649" s="22" t="n">
        <f aca="false">SUM(O649:T649)</f>
        <v>0</v>
      </c>
      <c r="V649" s="22" t="n">
        <f aca="false">N649-U649</f>
        <v>10800</v>
      </c>
      <c r="W649" s="22" t="n">
        <f aca="false">W648+V649</f>
        <v>-2968162.51848915</v>
      </c>
      <c r="X649" s="23" t="str">
        <f aca="false">IF(W649&gt;=0,"YES","No")</f>
        <v>No</v>
      </c>
    </row>
    <row r="650" customFormat="false" ht="15" hidden="false" customHeight="false" outlineLevel="0" collapsed="false">
      <c r="A650" s="16" t="n">
        <v>649</v>
      </c>
      <c r="B650" s="17" t="n">
        <f aca="false">B649+1</f>
        <v>46671</v>
      </c>
      <c r="C650" s="18" t="n">
        <f aca="false">MIN(ROUNDUP(A650/365,0),5)</f>
        <v>2</v>
      </c>
      <c r="D650" s="18" t="n">
        <f aca="false">DATEDIF(Assumptions!B5,B650,"m")+1</f>
        <v>22</v>
      </c>
      <c r="E650" s="18" t="str">
        <f aca="false">TEXT(B650,"ddd")</f>
        <v>Mon</v>
      </c>
      <c r="F650" s="19" t="n">
        <f aca="false">IF(WEEKDAY(B650,2)&gt;=6,Assumptions!B34,Assumptions!B35)</f>
        <v>1</v>
      </c>
      <c r="G650" s="20" t="n">
        <f aca="false">IF(D650&gt;=13,(1+Assumptions!B46)^(D650-12),1)</f>
        <v>1.03040825707139</v>
      </c>
      <c r="H650" s="21" t="n">
        <f aca="false">H649*(1+IF(C650=1,Assumptions!B22,Assumptions!B23))</f>
        <v>21.8059376961799</v>
      </c>
      <c r="I650" s="16" t="n">
        <f aca="false">ROUND(H650*F650,0)</f>
        <v>22</v>
      </c>
      <c r="J650" s="22" t="n">
        <f aca="false">I650*Assumptions!B24</f>
        <v>13200</v>
      </c>
      <c r="K650" s="21" t="n">
        <f aca="false">K649*(1+Assumptions!B30)</f>
        <v>16.2408140654519</v>
      </c>
      <c r="L650" s="16" t="n">
        <f aca="false">ROUND(K650*F650,0)</f>
        <v>16</v>
      </c>
      <c r="M650" s="22" t="n">
        <f aca="false">L650*Assumptions!B31</f>
        <v>4800</v>
      </c>
      <c r="N650" s="22" t="n">
        <f aca="false">J650+M650</f>
        <v>18000</v>
      </c>
      <c r="O650" s="22" t="n">
        <f aca="false">IF(DAY(B650)=1,Assumptions!B38*G650,0)</f>
        <v>0</v>
      </c>
      <c r="P650" s="22" t="n">
        <f aca="false">IF(DAY(B650)=1,Assumptions!B39*G650,0)</f>
        <v>0</v>
      </c>
      <c r="Q650" s="22" t="n">
        <f aca="false">IF(DAY(B650)=1,Assumptions!B40*G650,0)</f>
        <v>0</v>
      </c>
      <c r="R650" s="22" t="n">
        <f aca="false">IF(DAY(B650)=1,Assumptions!B41*G650,0)</f>
        <v>0</v>
      </c>
      <c r="S650" s="22" t="n">
        <f aca="false">IF(AND(DAY(B650)=1,D650&gt;=13),Assumptions!B42*G650,0)</f>
        <v>0</v>
      </c>
      <c r="T650" s="22" t="n">
        <f aca="false">IF(DAY(B650)=1,Assumptions!B43*G650,0)</f>
        <v>0</v>
      </c>
      <c r="U650" s="22" t="n">
        <f aca="false">SUM(O650:T650)</f>
        <v>0</v>
      </c>
      <c r="V650" s="22" t="n">
        <f aca="false">N650-U650</f>
        <v>18000</v>
      </c>
      <c r="W650" s="22" t="n">
        <f aca="false">W649+V650</f>
        <v>-2950162.51848915</v>
      </c>
      <c r="X650" s="23" t="str">
        <f aca="false">IF(W650&gt;=0,"YES","No")</f>
        <v>No</v>
      </c>
    </row>
    <row r="651" customFormat="false" ht="15" hidden="false" customHeight="false" outlineLevel="0" collapsed="false">
      <c r="A651" s="16" t="n">
        <v>650</v>
      </c>
      <c r="B651" s="17" t="n">
        <f aca="false">B650+1</f>
        <v>46672</v>
      </c>
      <c r="C651" s="18" t="n">
        <f aca="false">MIN(ROUNDUP(A651/365,0),5)</f>
        <v>2</v>
      </c>
      <c r="D651" s="18" t="n">
        <f aca="false">DATEDIF(Assumptions!B5,B651,"m")+1</f>
        <v>22</v>
      </c>
      <c r="E651" s="18" t="str">
        <f aca="false">TEXT(B651,"ddd")</f>
        <v>Tue</v>
      </c>
      <c r="F651" s="19" t="n">
        <f aca="false">IF(WEEKDAY(B651,2)&gt;=6,Assumptions!B34,Assumptions!B35)</f>
        <v>1</v>
      </c>
      <c r="G651" s="20" t="n">
        <f aca="false">IF(D651&gt;=13,(1+Assumptions!B46)^(D651-12),1)</f>
        <v>1.03040825707139</v>
      </c>
      <c r="H651" s="21" t="n">
        <f aca="false">H650*(1+IF(C651=1,Assumptions!B22,Assumptions!B23))</f>
        <v>21.8095108541904</v>
      </c>
      <c r="I651" s="16" t="n">
        <f aca="false">ROUND(H651*F651,0)</f>
        <v>22</v>
      </c>
      <c r="J651" s="22" t="n">
        <f aca="false">I651*Assumptions!B24</f>
        <v>13200</v>
      </c>
      <c r="K651" s="21" t="n">
        <f aca="false">K650*(1+Assumptions!B30)</f>
        <v>16.2461237858387</v>
      </c>
      <c r="L651" s="16" t="n">
        <f aca="false">ROUND(K651*F651,0)</f>
        <v>16</v>
      </c>
      <c r="M651" s="22" t="n">
        <f aca="false">L651*Assumptions!B31</f>
        <v>4800</v>
      </c>
      <c r="N651" s="22" t="n">
        <f aca="false">J651+M651</f>
        <v>18000</v>
      </c>
      <c r="O651" s="22" t="n">
        <f aca="false">IF(DAY(B651)=1,Assumptions!B38*G651,0)</f>
        <v>0</v>
      </c>
      <c r="P651" s="22" t="n">
        <f aca="false">IF(DAY(B651)=1,Assumptions!B39*G651,0)</f>
        <v>0</v>
      </c>
      <c r="Q651" s="22" t="n">
        <f aca="false">IF(DAY(B651)=1,Assumptions!B40*G651,0)</f>
        <v>0</v>
      </c>
      <c r="R651" s="22" t="n">
        <f aca="false">IF(DAY(B651)=1,Assumptions!B41*G651,0)</f>
        <v>0</v>
      </c>
      <c r="S651" s="22" t="n">
        <f aca="false">IF(AND(DAY(B651)=1,D651&gt;=13),Assumptions!B42*G651,0)</f>
        <v>0</v>
      </c>
      <c r="T651" s="22" t="n">
        <f aca="false">IF(DAY(B651)=1,Assumptions!B43*G651,0)</f>
        <v>0</v>
      </c>
      <c r="U651" s="22" t="n">
        <f aca="false">SUM(O651:T651)</f>
        <v>0</v>
      </c>
      <c r="V651" s="22" t="n">
        <f aca="false">N651-U651</f>
        <v>18000</v>
      </c>
      <c r="W651" s="22" t="n">
        <f aca="false">W650+V651</f>
        <v>-2932162.51848915</v>
      </c>
      <c r="X651" s="23" t="str">
        <f aca="false">IF(W651&gt;=0,"YES","No")</f>
        <v>No</v>
      </c>
    </row>
    <row r="652" customFormat="false" ht="15" hidden="false" customHeight="false" outlineLevel="0" collapsed="false">
      <c r="A652" s="16" t="n">
        <v>651</v>
      </c>
      <c r="B652" s="17" t="n">
        <f aca="false">B651+1</f>
        <v>46673</v>
      </c>
      <c r="C652" s="18" t="n">
        <f aca="false">MIN(ROUNDUP(A652/365,0),5)</f>
        <v>2</v>
      </c>
      <c r="D652" s="18" t="n">
        <f aca="false">DATEDIF(Assumptions!B5,B652,"m")+1</f>
        <v>22</v>
      </c>
      <c r="E652" s="18" t="str">
        <f aca="false">TEXT(B652,"ddd")</f>
        <v>Wed</v>
      </c>
      <c r="F652" s="19" t="n">
        <f aca="false">IF(WEEKDAY(B652,2)&gt;=6,Assumptions!B34,Assumptions!B35)</f>
        <v>1</v>
      </c>
      <c r="G652" s="20" t="n">
        <f aca="false">IF(D652&gt;=13,(1+Assumptions!B46)^(D652-12),1)</f>
        <v>1.03040825707139</v>
      </c>
      <c r="H652" s="21" t="n">
        <f aca="false">H651*(1+IF(C652=1,Assumptions!B22,Assumptions!B23))</f>
        <v>21.8130845977047</v>
      </c>
      <c r="I652" s="16" t="n">
        <f aca="false">ROUND(H652*F652,0)</f>
        <v>22</v>
      </c>
      <c r="J652" s="22" t="n">
        <f aca="false">I652*Assumptions!B24</f>
        <v>13200</v>
      </c>
      <c r="K652" s="21" t="n">
        <f aca="false">K651*(1+Assumptions!B30)</f>
        <v>16.2514352421687</v>
      </c>
      <c r="L652" s="16" t="n">
        <f aca="false">ROUND(K652*F652,0)</f>
        <v>16</v>
      </c>
      <c r="M652" s="22" t="n">
        <f aca="false">L652*Assumptions!B31</f>
        <v>4800</v>
      </c>
      <c r="N652" s="22" t="n">
        <f aca="false">J652+M652</f>
        <v>18000</v>
      </c>
      <c r="O652" s="22" t="n">
        <f aca="false">IF(DAY(B652)=1,Assumptions!B38*G652,0)</f>
        <v>0</v>
      </c>
      <c r="P652" s="22" t="n">
        <f aca="false">IF(DAY(B652)=1,Assumptions!B39*G652,0)</f>
        <v>0</v>
      </c>
      <c r="Q652" s="22" t="n">
        <f aca="false">IF(DAY(B652)=1,Assumptions!B40*G652,0)</f>
        <v>0</v>
      </c>
      <c r="R652" s="22" t="n">
        <f aca="false">IF(DAY(B652)=1,Assumptions!B41*G652,0)</f>
        <v>0</v>
      </c>
      <c r="S652" s="22" t="n">
        <f aca="false">IF(AND(DAY(B652)=1,D652&gt;=13),Assumptions!B42*G652,0)</f>
        <v>0</v>
      </c>
      <c r="T652" s="22" t="n">
        <f aca="false">IF(DAY(B652)=1,Assumptions!B43*G652,0)</f>
        <v>0</v>
      </c>
      <c r="U652" s="22" t="n">
        <f aca="false">SUM(O652:T652)</f>
        <v>0</v>
      </c>
      <c r="V652" s="22" t="n">
        <f aca="false">N652-U652</f>
        <v>18000</v>
      </c>
      <c r="W652" s="22" t="n">
        <f aca="false">W651+V652</f>
        <v>-2914162.51848915</v>
      </c>
      <c r="X652" s="23" t="str">
        <f aca="false">IF(W652&gt;=0,"YES","No")</f>
        <v>No</v>
      </c>
    </row>
    <row r="653" customFormat="false" ht="15" hidden="false" customHeight="false" outlineLevel="0" collapsed="false">
      <c r="A653" s="16" t="n">
        <v>652</v>
      </c>
      <c r="B653" s="17" t="n">
        <f aca="false">B652+1</f>
        <v>46674</v>
      </c>
      <c r="C653" s="18" t="n">
        <f aca="false">MIN(ROUNDUP(A653/365,0),5)</f>
        <v>2</v>
      </c>
      <c r="D653" s="18" t="n">
        <f aca="false">DATEDIF(Assumptions!B5,B653,"m")+1</f>
        <v>22</v>
      </c>
      <c r="E653" s="18" t="str">
        <f aca="false">TEXT(B653,"ddd")</f>
        <v>Thu</v>
      </c>
      <c r="F653" s="19" t="n">
        <f aca="false">IF(WEEKDAY(B653,2)&gt;=6,Assumptions!B34,Assumptions!B35)</f>
        <v>1</v>
      </c>
      <c r="G653" s="20" t="n">
        <f aca="false">IF(D653&gt;=13,(1+Assumptions!B46)^(D653-12),1)</f>
        <v>1.03040825707139</v>
      </c>
      <c r="H653" s="21" t="n">
        <f aca="false">H652*(1+IF(C653=1,Assumptions!B22,Assumptions!B23))</f>
        <v>21.8166589268186</v>
      </c>
      <c r="I653" s="16" t="n">
        <f aca="false">ROUND(H653*F653,0)</f>
        <v>22</v>
      </c>
      <c r="J653" s="22" t="n">
        <f aca="false">I653*Assumptions!B24</f>
        <v>13200</v>
      </c>
      <c r="K653" s="21" t="n">
        <f aca="false">K652*(1+Assumptions!B30)</f>
        <v>16.2567484350094</v>
      </c>
      <c r="L653" s="16" t="n">
        <f aca="false">ROUND(K653*F653,0)</f>
        <v>16</v>
      </c>
      <c r="M653" s="22" t="n">
        <f aca="false">L653*Assumptions!B31</f>
        <v>4800</v>
      </c>
      <c r="N653" s="22" t="n">
        <f aca="false">J653+M653</f>
        <v>18000</v>
      </c>
      <c r="O653" s="22" t="n">
        <f aca="false">IF(DAY(B653)=1,Assumptions!B38*G653,0)</f>
        <v>0</v>
      </c>
      <c r="P653" s="22" t="n">
        <f aca="false">IF(DAY(B653)=1,Assumptions!B39*G653,0)</f>
        <v>0</v>
      </c>
      <c r="Q653" s="22" t="n">
        <f aca="false">IF(DAY(B653)=1,Assumptions!B40*G653,0)</f>
        <v>0</v>
      </c>
      <c r="R653" s="22" t="n">
        <f aca="false">IF(DAY(B653)=1,Assumptions!B41*G653,0)</f>
        <v>0</v>
      </c>
      <c r="S653" s="22" t="n">
        <f aca="false">IF(AND(DAY(B653)=1,D653&gt;=13),Assumptions!B42*G653,0)</f>
        <v>0</v>
      </c>
      <c r="T653" s="22" t="n">
        <f aca="false">IF(DAY(B653)=1,Assumptions!B43*G653,0)</f>
        <v>0</v>
      </c>
      <c r="U653" s="22" t="n">
        <f aca="false">SUM(O653:T653)</f>
        <v>0</v>
      </c>
      <c r="V653" s="22" t="n">
        <f aca="false">N653-U653</f>
        <v>18000</v>
      </c>
      <c r="W653" s="22" t="n">
        <f aca="false">W652+V653</f>
        <v>-2896162.51848915</v>
      </c>
      <c r="X653" s="23" t="str">
        <f aca="false">IF(W653&gt;=0,"YES","No")</f>
        <v>No</v>
      </c>
    </row>
    <row r="654" customFormat="false" ht="15" hidden="false" customHeight="false" outlineLevel="0" collapsed="false">
      <c r="A654" s="16" t="n">
        <v>653</v>
      </c>
      <c r="B654" s="17" t="n">
        <f aca="false">B653+1</f>
        <v>46675</v>
      </c>
      <c r="C654" s="18" t="n">
        <f aca="false">MIN(ROUNDUP(A654/365,0),5)</f>
        <v>2</v>
      </c>
      <c r="D654" s="18" t="n">
        <f aca="false">DATEDIF(Assumptions!B5,B654,"m")+1</f>
        <v>22</v>
      </c>
      <c r="E654" s="18" t="str">
        <f aca="false">TEXT(B654,"ddd")</f>
        <v>Fri</v>
      </c>
      <c r="F654" s="19" t="n">
        <f aca="false">IF(WEEKDAY(B654,2)&gt;=6,Assumptions!B34,Assumptions!B35)</f>
        <v>1</v>
      </c>
      <c r="G654" s="20" t="n">
        <f aca="false">IF(D654&gt;=13,(1+Assumptions!B46)^(D654-12),1)</f>
        <v>1.03040825707139</v>
      </c>
      <c r="H654" s="21" t="n">
        <f aca="false">H653*(1+IF(C654=1,Assumptions!B22,Assumptions!B23))</f>
        <v>21.8202338416282</v>
      </c>
      <c r="I654" s="16" t="n">
        <f aca="false">ROUND(H654*F654,0)</f>
        <v>22</v>
      </c>
      <c r="J654" s="22" t="n">
        <f aca="false">I654*Assumptions!B24</f>
        <v>13200</v>
      </c>
      <c r="K654" s="21" t="n">
        <f aca="false">K653*(1+Assumptions!B30)</f>
        <v>16.2620633649286</v>
      </c>
      <c r="L654" s="16" t="n">
        <f aca="false">ROUND(K654*F654,0)</f>
        <v>16</v>
      </c>
      <c r="M654" s="22" t="n">
        <f aca="false">L654*Assumptions!B31</f>
        <v>4800</v>
      </c>
      <c r="N654" s="22" t="n">
        <f aca="false">J654+M654</f>
        <v>18000</v>
      </c>
      <c r="O654" s="22" t="n">
        <f aca="false">IF(DAY(B654)=1,Assumptions!B38*G654,0)</f>
        <v>0</v>
      </c>
      <c r="P654" s="22" t="n">
        <f aca="false">IF(DAY(B654)=1,Assumptions!B39*G654,0)</f>
        <v>0</v>
      </c>
      <c r="Q654" s="22" t="n">
        <f aca="false">IF(DAY(B654)=1,Assumptions!B40*G654,0)</f>
        <v>0</v>
      </c>
      <c r="R654" s="22" t="n">
        <f aca="false">IF(DAY(B654)=1,Assumptions!B41*G654,0)</f>
        <v>0</v>
      </c>
      <c r="S654" s="22" t="n">
        <f aca="false">IF(AND(DAY(B654)=1,D654&gt;=13),Assumptions!B42*G654,0)</f>
        <v>0</v>
      </c>
      <c r="T654" s="22" t="n">
        <f aca="false">IF(DAY(B654)=1,Assumptions!B43*G654,0)</f>
        <v>0</v>
      </c>
      <c r="U654" s="22" t="n">
        <f aca="false">SUM(O654:T654)</f>
        <v>0</v>
      </c>
      <c r="V654" s="22" t="n">
        <f aca="false">N654-U654</f>
        <v>18000</v>
      </c>
      <c r="W654" s="22" t="n">
        <f aca="false">W653+V654</f>
        <v>-2878162.51848915</v>
      </c>
      <c r="X654" s="23" t="str">
        <f aca="false">IF(W654&gt;=0,"YES","No")</f>
        <v>No</v>
      </c>
    </row>
    <row r="655" customFormat="false" ht="15" hidden="false" customHeight="false" outlineLevel="0" collapsed="false">
      <c r="A655" s="16" t="n">
        <v>654</v>
      </c>
      <c r="B655" s="17" t="n">
        <f aca="false">B654+1</f>
        <v>46676</v>
      </c>
      <c r="C655" s="18" t="n">
        <f aca="false">MIN(ROUNDUP(A655/365,0),5)</f>
        <v>2</v>
      </c>
      <c r="D655" s="18" t="n">
        <f aca="false">DATEDIF(Assumptions!B5,B655,"m")+1</f>
        <v>22</v>
      </c>
      <c r="E655" s="18" t="str">
        <f aca="false">TEXT(B655,"ddd")</f>
        <v>Sat</v>
      </c>
      <c r="F655" s="19" t="n">
        <f aca="false">IF(WEEKDAY(B655,2)&gt;=6,Assumptions!B34,Assumptions!B35)</f>
        <v>0.6</v>
      </c>
      <c r="G655" s="20" t="n">
        <f aca="false">IF(D655&gt;=13,(1+Assumptions!B46)^(D655-12),1)</f>
        <v>1.03040825707139</v>
      </c>
      <c r="H655" s="21" t="n">
        <f aca="false">H654*(1+IF(C655=1,Assumptions!B22,Assumptions!B23))</f>
        <v>21.8238093422294</v>
      </c>
      <c r="I655" s="16" t="n">
        <f aca="false">ROUND(H655*F655,0)</f>
        <v>13</v>
      </c>
      <c r="J655" s="22" t="n">
        <f aca="false">I655*Assumptions!B24</f>
        <v>7800</v>
      </c>
      <c r="K655" s="21" t="n">
        <f aca="false">K654*(1+Assumptions!B30)</f>
        <v>16.2673800324941</v>
      </c>
      <c r="L655" s="16" t="n">
        <f aca="false">ROUND(K655*F655,0)</f>
        <v>10</v>
      </c>
      <c r="M655" s="22" t="n">
        <f aca="false">L655*Assumptions!B31</f>
        <v>3000</v>
      </c>
      <c r="N655" s="22" t="n">
        <f aca="false">J655+M655</f>
        <v>10800</v>
      </c>
      <c r="O655" s="22" t="n">
        <f aca="false">IF(DAY(B655)=1,Assumptions!B38*G655,0)</f>
        <v>0</v>
      </c>
      <c r="P655" s="22" t="n">
        <f aca="false">IF(DAY(B655)=1,Assumptions!B39*G655,0)</f>
        <v>0</v>
      </c>
      <c r="Q655" s="22" t="n">
        <f aca="false">IF(DAY(B655)=1,Assumptions!B40*G655,0)</f>
        <v>0</v>
      </c>
      <c r="R655" s="22" t="n">
        <f aca="false">IF(DAY(B655)=1,Assumptions!B41*G655,0)</f>
        <v>0</v>
      </c>
      <c r="S655" s="22" t="n">
        <f aca="false">IF(AND(DAY(B655)=1,D655&gt;=13),Assumptions!B42*G655,0)</f>
        <v>0</v>
      </c>
      <c r="T655" s="22" t="n">
        <f aca="false">IF(DAY(B655)=1,Assumptions!B43*G655,0)</f>
        <v>0</v>
      </c>
      <c r="U655" s="22" t="n">
        <f aca="false">SUM(O655:T655)</f>
        <v>0</v>
      </c>
      <c r="V655" s="22" t="n">
        <f aca="false">N655-U655</f>
        <v>10800</v>
      </c>
      <c r="W655" s="22" t="n">
        <f aca="false">W654+V655</f>
        <v>-2867362.51848915</v>
      </c>
      <c r="X655" s="23" t="str">
        <f aca="false">IF(W655&gt;=0,"YES","No")</f>
        <v>No</v>
      </c>
    </row>
    <row r="656" customFormat="false" ht="15" hidden="false" customHeight="false" outlineLevel="0" collapsed="false">
      <c r="A656" s="16" t="n">
        <v>655</v>
      </c>
      <c r="B656" s="17" t="n">
        <f aca="false">B655+1</f>
        <v>46677</v>
      </c>
      <c r="C656" s="18" t="n">
        <f aca="false">MIN(ROUNDUP(A656/365,0),5)</f>
        <v>2</v>
      </c>
      <c r="D656" s="18" t="n">
        <f aca="false">DATEDIF(Assumptions!B5,B656,"m")+1</f>
        <v>22</v>
      </c>
      <c r="E656" s="18" t="str">
        <f aca="false">TEXT(B656,"ddd")</f>
        <v>Sun</v>
      </c>
      <c r="F656" s="19" t="n">
        <f aca="false">IF(WEEKDAY(B656,2)&gt;=6,Assumptions!B34,Assumptions!B35)</f>
        <v>0.6</v>
      </c>
      <c r="G656" s="20" t="n">
        <f aca="false">IF(D656&gt;=13,(1+Assumptions!B46)^(D656-12),1)</f>
        <v>1.03040825707139</v>
      </c>
      <c r="H656" s="21" t="n">
        <f aca="false">H655*(1+IF(C656=1,Assumptions!B22,Assumptions!B23))</f>
        <v>21.8273854287183</v>
      </c>
      <c r="I656" s="16" t="n">
        <f aca="false">ROUND(H656*F656,0)</f>
        <v>13</v>
      </c>
      <c r="J656" s="22" t="n">
        <f aca="false">I656*Assumptions!B24</f>
        <v>7800</v>
      </c>
      <c r="K656" s="21" t="n">
        <f aca="false">K655*(1+Assumptions!B30)</f>
        <v>16.2726984382742</v>
      </c>
      <c r="L656" s="16" t="n">
        <f aca="false">ROUND(K656*F656,0)</f>
        <v>10</v>
      </c>
      <c r="M656" s="22" t="n">
        <f aca="false">L656*Assumptions!B31</f>
        <v>3000</v>
      </c>
      <c r="N656" s="22" t="n">
        <f aca="false">J656+M656</f>
        <v>10800</v>
      </c>
      <c r="O656" s="22" t="n">
        <f aca="false">IF(DAY(B656)=1,Assumptions!B38*G656,0)</f>
        <v>0</v>
      </c>
      <c r="P656" s="22" t="n">
        <f aca="false">IF(DAY(B656)=1,Assumptions!B39*G656,0)</f>
        <v>0</v>
      </c>
      <c r="Q656" s="22" t="n">
        <f aca="false">IF(DAY(B656)=1,Assumptions!B40*G656,0)</f>
        <v>0</v>
      </c>
      <c r="R656" s="22" t="n">
        <f aca="false">IF(DAY(B656)=1,Assumptions!B41*G656,0)</f>
        <v>0</v>
      </c>
      <c r="S656" s="22" t="n">
        <f aca="false">IF(AND(DAY(B656)=1,D656&gt;=13),Assumptions!B42*G656,0)</f>
        <v>0</v>
      </c>
      <c r="T656" s="22" t="n">
        <f aca="false">IF(DAY(B656)=1,Assumptions!B43*G656,0)</f>
        <v>0</v>
      </c>
      <c r="U656" s="22" t="n">
        <f aca="false">SUM(O656:T656)</f>
        <v>0</v>
      </c>
      <c r="V656" s="22" t="n">
        <f aca="false">N656-U656</f>
        <v>10800</v>
      </c>
      <c r="W656" s="22" t="n">
        <f aca="false">W655+V656</f>
        <v>-2856562.51848915</v>
      </c>
      <c r="X656" s="23" t="str">
        <f aca="false">IF(W656&gt;=0,"YES","No")</f>
        <v>No</v>
      </c>
    </row>
    <row r="657" customFormat="false" ht="15" hidden="false" customHeight="false" outlineLevel="0" collapsed="false">
      <c r="A657" s="16" t="n">
        <v>656</v>
      </c>
      <c r="B657" s="17" t="n">
        <f aca="false">B656+1</f>
        <v>46678</v>
      </c>
      <c r="C657" s="18" t="n">
        <f aca="false">MIN(ROUNDUP(A657/365,0),5)</f>
        <v>2</v>
      </c>
      <c r="D657" s="18" t="n">
        <f aca="false">DATEDIF(Assumptions!B5,B657,"m")+1</f>
        <v>22</v>
      </c>
      <c r="E657" s="18" t="str">
        <f aca="false">TEXT(B657,"ddd")</f>
        <v>Mon</v>
      </c>
      <c r="F657" s="19" t="n">
        <f aca="false">IF(WEEKDAY(B657,2)&gt;=6,Assumptions!B34,Assumptions!B35)</f>
        <v>1</v>
      </c>
      <c r="G657" s="20" t="n">
        <f aca="false">IF(D657&gt;=13,(1+Assumptions!B46)^(D657-12),1)</f>
        <v>1.03040825707139</v>
      </c>
      <c r="H657" s="21" t="n">
        <f aca="false">H656*(1+IF(C657=1,Assumptions!B22,Assumptions!B23))</f>
        <v>21.8309621011907</v>
      </c>
      <c r="I657" s="16" t="n">
        <f aca="false">ROUND(H657*F657,0)</f>
        <v>22</v>
      </c>
      <c r="J657" s="22" t="n">
        <f aca="false">I657*Assumptions!B24</f>
        <v>13200</v>
      </c>
      <c r="K657" s="21" t="n">
        <f aca="false">K656*(1+Assumptions!B30)</f>
        <v>16.278018582837</v>
      </c>
      <c r="L657" s="16" t="n">
        <f aca="false">ROUND(K657*F657,0)</f>
        <v>16</v>
      </c>
      <c r="M657" s="22" t="n">
        <f aca="false">L657*Assumptions!B31</f>
        <v>4800</v>
      </c>
      <c r="N657" s="22" t="n">
        <f aca="false">J657+M657</f>
        <v>18000</v>
      </c>
      <c r="O657" s="22" t="n">
        <f aca="false">IF(DAY(B657)=1,Assumptions!B38*G657,0)</f>
        <v>0</v>
      </c>
      <c r="P657" s="22" t="n">
        <f aca="false">IF(DAY(B657)=1,Assumptions!B39*G657,0)</f>
        <v>0</v>
      </c>
      <c r="Q657" s="22" t="n">
        <f aca="false">IF(DAY(B657)=1,Assumptions!B40*G657,0)</f>
        <v>0</v>
      </c>
      <c r="R657" s="22" t="n">
        <f aca="false">IF(DAY(B657)=1,Assumptions!B41*G657,0)</f>
        <v>0</v>
      </c>
      <c r="S657" s="22" t="n">
        <f aca="false">IF(AND(DAY(B657)=1,D657&gt;=13),Assumptions!B42*G657,0)</f>
        <v>0</v>
      </c>
      <c r="T657" s="22" t="n">
        <f aca="false">IF(DAY(B657)=1,Assumptions!B43*G657,0)</f>
        <v>0</v>
      </c>
      <c r="U657" s="22" t="n">
        <f aca="false">SUM(O657:T657)</f>
        <v>0</v>
      </c>
      <c r="V657" s="22" t="n">
        <f aca="false">N657-U657</f>
        <v>18000</v>
      </c>
      <c r="W657" s="22" t="n">
        <f aca="false">W656+V657</f>
        <v>-2838562.51848915</v>
      </c>
      <c r="X657" s="23" t="str">
        <f aca="false">IF(W657&gt;=0,"YES","No")</f>
        <v>No</v>
      </c>
    </row>
    <row r="658" customFormat="false" ht="15" hidden="false" customHeight="false" outlineLevel="0" collapsed="false">
      <c r="A658" s="16" t="n">
        <v>657</v>
      </c>
      <c r="B658" s="17" t="n">
        <f aca="false">B657+1</f>
        <v>46679</v>
      </c>
      <c r="C658" s="18" t="n">
        <f aca="false">MIN(ROUNDUP(A658/365,0),5)</f>
        <v>2</v>
      </c>
      <c r="D658" s="18" t="n">
        <f aca="false">DATEDIF(Assumptions!B5,B658,"m")+1</f>
        <v>22</v>
      </c>
      <c r="E658" s="18" t="str">
        <f aca="false">TEXT(B658,"ddd")</f>
        <v>Tue</v>
      </c>
      <c r="F658" s="19" t="n">
        <f aca="false">IF(WEEKDAY(B658,2)&gt;=6,Assumptions!B34,Assumptions!B35)</f>
        <v>1</v>
      </c>
      <c r="G658" s="20" t="n">
        <f aca="false">IF(D658&gt;=13,(1+Assumptions!B46)^(D658-12),1)</f>
        <v>1.03040825707139</v>
      </c>
      <c r="H658" s="21" t="n">
        <f aca="false">H657*(1+IF(C658=1,Assumptions!B22,Assumptions!B23))</f>
        <v>21.8345393597428</v>
      </c>
      <c r="I658" s="16" t="n">
        <f aca="false">ROUND(H658*F658,0)</f>
        <v>22</v>
      </c>
      <c r="J658" s="22" t="n">
        <f aca="false">I658*Assumptions!B24</f>
        <v>13200</v>
      </c>
      <c r="K658" s="21" t="n">
        <f aca="false">K657*(1+Assumptions!B30)</f>
        <v>16.283340466751</v>
      </c>
      <c r="L658" s="16" t="n">
        <f aca="false">ROUND(K658*F658,0)</f>
        <v>16</v>
      </c>
      <c r="M658" s="22" t="n">
        <f aca="false">L658*Assumptions!B31</f>
        <v>4800</v>
      </c>
      <c r="N658" s="22" t="n">
        <f aca="false">J658+M658</f>
        <v>18000</v>
      </c>
      <c r="O658" s="22" t="n">
        <f aca="false">IF(DAY(B658)=1,Assumptions!B38*G658,0)</f>
        <v>0</v>
      </c>
      <c r="P658" s="22" t="n">
        <f aca="false">IF(DAY(B658)=1,Assumptions!B39*G658,0)</f>
        <v>0</v>
      </c>
      <c r="Q658" s="22" t="n">
        <f aca="false">IF(DAY(B658)=1,Assumptions!B40*G658,0)</f>
        <v>0</v>
      </c>
      <c r="R658" s="22" t="n">
        <f aca="false">IF(DAY(B658)=1,Assumptions!B41*G658,0)</f>
        <v>0</v>
      </c>
      <c r="S658" s="22" t="n">
        <f aca="false">IF(AND(DAY(B658)=1,D658&gt;=13),Assumptions!B42*G658,0)</f>
        <v>0</v>
      </c>
      <c r="T658" s="22" t="n">
        <f aca="false">IF(DAY(B658)=1,Assumptions!B43*G658,0)</f>
        <v>0</v>
      </c>
      <c r="U658" s="22" t="n">
        <f aca="false">SUM(O658:T658)</f>
        <v>0</v>
      </c>
      <c r="V658" s="22" t="n">
        <f aca="false">N658-U658</f>
        <v>18000</v>
      </c>
      <c r="W658" s="22" t="n">
        <f aca="false">W657+V658</f>
        <v>-2820562.51848915</v>
      </c>
      <c r="X658" s="23" t="str">
        <f aca="false">IF(W658&gt;=0,"YES","No")</f>
        <v>No</v>
      </c>
    </row>
    <row r="659" customFormat="false" ht="15" hidden="false" customHeight="false" outlineLevel="0" collapsed="false">
      <c r="A659" s="16" t="n">
        <v>658</v>
      </c>
      <c r="B659" s="17" t="n">
        <f aca="false">B658+1</f>
        <v>46680</v>
      </c>
      <c r="C659" s="18" t="n">
        <f aca="false">MIN(ROUNDUP(A659/365,0),5)</f>
        <v>2</v>
      </c>
      <c r="D659" s="18" t="n">
        <f aca="false">DATEDIF(Assumptions!B5,B659,"m")+1</f>
        <v>22</v>
      </c>
      <c r="E659" s="18" t="str">
        <f aca="false">TEXT(B659,"ddd")</f>
        <v>Wed</v>
      </c>
      <c r="F659" s="19" t="n">
        <f aca="false">IF(WEEKDAY(B659,2)&gt;=6,Assumptions!B34,Assumptions!B35)</f>
        <v>1</v>
      </c>
      <c r="G659" s="20" t="n">
        <f aca="false">IF(D659&gt;=13,(1+Assumptions!B46)^(D659-12),1)</f>
        <v>1.03040825707139</v>
      </c>
      <c r="H659" s="21" t="n">
        <f aca="false">H658*(1+IF(C659=1,Assumptions!B22,Assumptions!B23))</f>
        <v>21.8381172044705</v>
      </c>
      <c r="I659" s="16" t="n">
        <f aca="false">ROUND(H659*F659,0)</f>
        <v>22</v>
      </c>
      <c r="J659" s="22" t="n">
        <f aca="false">I659*Assumptions!B24</f>
        <v>13200</v>
      </c>
      <c r="K659" s="21" t="n">
        <f aca="false">K658*(1+Assumptions!B30)</f>
        <v>16.288664090585</v>
      </c>
      <c r="L659" s="16" t="n">
        <f aca="false">ROUND(K659*F659,0)</f>
        <v>16</v>
      </c>
      <c r="M659" s="22" t="n">
        <f aca="false">L659*Assumptions!B31</f>
        <v>4800</v>
      </c>
      <c r="N659" s="22" t="n">
        <f aca="false">J659+M659</f>
        <v>18000</v>
      </c>
      <c r="O659" s="22" t="n">
        <f aca="false">IF(DAY(B659)=1,Assumptions!B38*G659,0)</f>
        <v>0</v>
      </c>
      <c r="P659" s="22" t="n">
        <f aca="false">IF(DAY(B659)=1,Assumptions!B39*G659,0)</f>
        <v>0</v>
      </c>
      <c r="Q659" s="22" t="n">
        <f aca="false">IF(DAY(B659)=1,Assumptions!B40*G659,0)</f>
        <v>0</v>
      </c>
      <c r="R659" s="22" t="n">
        <f aca="false">IF(DAY(B659)=1,Assumptions!B41*G659,0)</f>
        <v>0</v>
      </c>
      <c r="S659" s="22" t="n">
        <f aca="false">IF(AND(DAY(B659)=1,D659&gt;=13),Assumptions!B42*G659,0)</f>
        <v>0</v>
      </c>
      <c r="T659" s="22" t="n">
        <f aca="false">IF(DAY(B659)=1,Assumptions!B43*G659,0)</f>
        <v>0</v>
      </c>
      <c r="U659" s="22" t="n">
        <f aca="false">SUM(O659:T659)</f>
        <v>0</v>
      </c>
      <c r="V659" s="22" t="n">
        <f aca="false">N659-U659</f>
        <v>18000</v>
      </c>
      <c r="W659" s="22" t="n">
        <f aca="false">W658+V659</f>
        <v>-2802562.51848915</v>
      </c>
      <c r="X659" s="23" t="str">
        <f aca="false">IF(W659&gt;=0,"YES","No")</f>
        <v>No</v>
      </c>
    </row>
    <row r="660" customFormat="false" ht="15" hidden="false" customHeight="false" outlineLevel="0" collapsed="false">
      <c r="A660" s="16" t="n">
        <v>659</v>
      </c>
      <c r="B660" s="17" t="n">
        <f aca="false">B659+1</f>
        <v>46681</v>
      </c>
      <c r="C660" s="18" t="n">
        <f aca="false">MIN(ROUNDUP(A660/365,0),5)</f>
        <v>2</v>
      </c>
      <c r="D660" s="18" t="n">
        <f aca="false">DATEDIF(Assumptions!B5,B660,"m")+1</f>
        <v>22</v>
      </c>
      <c r="E660" s="18" t="str">
        <f aca="false">TEXT(B660,"ddd")</f>
        <v>Thu</v>
      </c>
      <c r="F660" s="19" t="n">
        <f aca="false">IF(WEEKDAY(B660,2)&gt;=6,Assumptions!B34,Assumptions!B35)</f>
        <v>1</v>
      </c>
      <c r="G660" s="20" t="n">
        <f aca="false">IF(D660&gt;=13,(1+Assumptions!B46)^(D660-12),1)</f>
        <v>1.03040825707139</v>
      </c>
      <c r="H660" s="21" t="n">
        <f aca="false">H659*(1+IF(C660=1,Assumptions!B22,Assumptions!B23))</f>
        <v>21.8416956354699</v>
      </c>
      <c r="I660" s="16" t="n">
        <f aca="false">ROUND(H660*F660,0)</f>
        <v>22</v>
      </c>
      <c r="J660" s="22" t="n">
        <f aca="false">I660*Assumptions!B24</f>
        <v>13200</v>
      </c>
      <c r="K660" s="21" t="n">
        <f aca="false">K659*(1+Assumptions!B30)</f>
        <v>16.2939894549076</v>
      </c>
      <c r="L660" s="16" t="n">
        <f aca="false">ROUND(K660*F660,0)</f>
        <v>16</v>
      </c>
      <c r="M660" s="22" t="n">
        <f aca="false">L660*Assumptions!B31</f>
        <v>4800</v>
      </c>
      <c r="N660" s="22" t="n">
        <f aca="false">J660+M660</f>
        <v>18000</v>
      </c>
      <c r="O660" s="22" t="n">
        <f aca="false">IF(DAY(B660)=1,Assumptions!B38*G660,0)</f>
        <v>0</v>
      </c>
      <c r="P660" s="22" t="n">
        <f aca="false">IF(DAY(B660)=1,Assumptions!B39*G660,0)</f>
        <v>0</v>
      </c>
      <c r="Q660" s="22" t="n">
        <f aca="false">IF(DAY(B660)=1,Assumptions!B40*G660,0)</f>
        <v>0</v>
      </c>
      <c r="R660" s="22" t="n">
        <f aca="false">IF(DAY(B660)=1,Assumptions!B41*G660,0)</f>
        <v>0</v>
      </c>
      <c r="S660" s="22" t="n">
        <f aca="false">IF(AND(DAY(B660)=1,D660&gt;=13),Assumptions!B42*G660,0)</f>
        <v>0</v>
      </c>
      <c r="T660" s="22" t="n">
        <f aca="false">IF(DAY(B660)=1,Assumptions!B43*G660,0)</f>
        <v>0</v>
      </c>
      <c r="U660" s="22" t="n">
        <f aca="false">SUM(O660:T660)</f>
        <v>0</v>
      </c>
      <c r="V660" s="22" t="n">
        <f aca="false">N660-U660</f>
        <v>18000</v>
      </c>
      <c r="W660" s="22" t="n">
        <f aca="false">W659+V660</f>
        <v>-2784562.51848915</v>
      </c>
      <c r="X660" s="23" t="str">
        <f aca="false">IF(W660&gt;=0,"YES","No")</f>
        <v>No</v>
      </c>
    </row>
    <row r="661" customFormat="false" ht="15" hidden="false" customHeight="false" outlineLevel="0" collapsed="false">
      <c r="A661" s="16" t="n">
        <v>660</v>
      </c>
      <c r="B661" s="17" t="n">
        <f aca="false">B660+1</f>
        <v>46682</v>
      </c>
      <c r="C661" s="18" t="n">
        <f aca="false">MIN(ROUNDUP(A661/365,0),5)</f>
        <v>2</v>
      </c>
      <c r="D661" s="18" t="n">
        <f aca="false">DATEDIF(Assumptions!B5,B661,"m")+1</f>
        <v>22</v>
      </c>
      <c r="E661" s="18" t="str">
        <f aca="false">TEXT(B661,"ddd")</f>
        <v>Fri</v>
      </c>
      <c r="F661" s="19" t="n">
        <f aca="false">IF(WEEKDAY(B661,2)&gt;=6,Assumptions!B34,Assumptions!B35)</f>
        <v>1</v>
      </c>
      <c r="G661" s="20" t="n">
        <f aca="false">IF(D661&gt;=13,(1+Assumptions!B46)^(D661-12),1)</f>
        <v>1.03040825707139</v>
      </c>
      <c r="H661" s="21" t="n">
        <f aca="false">H660*(1+IF(C661=1,Assumptions!B22,Assumptions!B23))</f>
        <v>21.8452746528372</v>
      </c>
      <c r="I661" s="16" t="n">
        <f aca="false">ROUND(H661*F661,0)</f>
        <v>22</v>
      </c>
      <c r="J661" s="22" t="n">
        <f aca="false">I661*Assumptions!B24</f>
        <v>13200</v>
      </c>
      <c r="K661" s="21" t="n">
        <f aca="false">K660*(1+Assumptions!B30)</f>
        <v>16.2993165602881</v>
      </c>
      <c r="L661" s="16" t="n">
        <f aca="false">ROUND(K661*F661,0)</f>
        <v>16</v>
      </c>
      <c r="M661" s="22" t="n">
        <f aca="false">L661*Assumptions!B31</f>
        <v>4800</v>
      </c>
      <c r="N661" s="22" t="n">
        <f aca="false">J661+M661</f>
        <v>18000</v>
      </c>
      <c r="O661" s="22" t="n">
        <f aca="false">IF(DAY(B661)=1,Assumptions!B38*G661,0)</f>
        <v>0</v>
      </c>
      <c r="P661" s="22" t="n">
        <f aca="false">IF(DAY(B661)=1,Assumptions!B39*G661,0)</f>
        <v>0</v>
      </c>
      <c r="Q661" s="22" t="n">
        <f aca="false">IF(DAY(B661)=1,Assumptions!B40*G661,0)</f>
        <v>0</v>
      </c>
      <c r="R661" s="22" t="n">
        <f aca="false">IF(DAY(B661)=1,Assumptions!B41*G661,0)</f>
        <v>0</v>
      </c>
      <c r="S661" s="22" t="n">
        <f aca="false">IF(AND(DAY(B661)=1,D661&gt;=13),Assumptions!B42*G661,0)</f>
        <v>0</v>
      </c>
      <c r="T661" s="22" t="n">
        <f aca="false">IF(DAY(B661)=1,Assumptions!B43*G661,0)</f>
        <v>0</v>
      </c>
      <c r="U661" s="22" t="n">
        <f aca="false">SUM(O661:T661)</f>
        <v>0</v>
      </c>
      <c r="V661" s="22" t="n">
        <f aca="false">N661-U661</f>
        <v>18000</v>
      </c>
      <c r="W661" s="22" t="n">
        <f aca="false">W660+V661</f>
        <v>-2766562.51848915</v>
      </c>
      <c r="X661" s="23" t="str">
        <f aca="false">IF(W661&gt;=0,"YES","No")</f>
        <v>No</v>
      </c>
    </row>
    <row r="662" customFormat="false" ht="15" hidden="false" customHeight="false" outlineLevel="0" collapsed="false">
      <c r="A662" s="16" t="n">
        <v>661</v>
      </c>
      <c r="B662" s="17" t="n">
        <f aca="false">B661+1</f>
        <v>46683</v>
      </c>
      <c r="C662" s="18" t="n">
        <f aca="false">MIN(ROUNDUP(A662/365,0),5)</f>
        <v>2</v>
      </c>
      <c r="D662" s="18" t="n">
        <f aca="false">DATEDIF(Assumptions!B5,B662,"m")+1</f>
        <v>22</v>
      </c>
      <c r="E662" s="18" t="str">
        <f aca="false">TEXT(B662,"ddd")</f>
        <v>Sat</v>
      </c>
      <c r="F662" s="19" t="n">
        <f aca="false">IF(WEEKDAY(B662,2)&gt;=6,Assumptions!B34,Assumptions!B35)</f>
        <v>0.6</v>
      </c>
      <c r="G662" s="20" t="n">
        <f aca="false">IF(D662&gt;=13,(1+Assumptions!B46)^(D662-12),1)</f>
        <v>1.03040825707139</v>
      </c>
      <c r="H662" s="21" t="n">
        <f aca="false">H661*(1+IF(C662=1,Assumptions!B22,Assumptions!B23))</f>
        <v>21.8488542566682</v>
      </c>
      <c r="I662" s="16" t="n">
        <f aca="false">ROUND(H662*F662,0)</f>
        <v>13</v>
      </c>
      <c r="J662" s="22" t="n">
        <f aca="false">I662*Assumptions!B24</f>
        <v>7800</v>
      </c>
      <c r="K662" s="21" t="n">
        <f aca="false">K661*(1+Assumptions!B30)</f>
        <v>16.3046454072955</v>
      </c>
      <c r="L662" s="16" t="n">
        <f aca="false">ROUND(K662*F662,0)</f>
        <v>10</v>
      </c>
      <c r="M662" s="22" t="n">
        <f aca="false">L662*Assumptions!B31</f>
        <v>3000</v>
      </c>
      <c r="N662" s="22" t="n">
        <f aca="false">J662+M662</f>
        <v>10800</v>
      </c>
      <c r="O662" s="22" t="n">
        <f aca="false">IF(DAY(B662)=1,Assumptions!B38*G662,0)</f>
        <v>0</v>
      </c>
      <c r="P662" s="22" t="n">
        <f aca="false">IF(DAY(B662)=1,Assumptions!B39*G662,0)</f>
        <v>0</v>
      </c>
      <c r="Q662" s="22" t="n">
        <f aca="false">IF(DAY(B662)=1,Assumptions!B40*G662,0)</f>
        <v>0</v>
      </c>
      <c r="R662" s="22" t="n">
        <f aca="false">IF(DAY(B662)=1,Assumptions!B41*G662,0)</f>
        <v>0</v>
      </c>
      <c r="S662" s="22" t="n">
        <f aca="false">IF(AND(DAY(B662)=1,D662&gt;=13),Assumptions!B42*G662,0)</f>
        <v>0</v>
      </c>
      <c r="T662" s="22" t="n">
        <f aca="false">IF(DAY(B662)=1,Assumptions!B43*G662,0)</f>
        <v>0</v>
      </c>
      <c r="U662" s="22" t="n">
        <f aca="false">SUM(O662:T662)</f>
        <v>0</v>
      </c>
      <c r="V662" s="22" t="n">
        <f aca="false">N662-U662</f>
        <v>10800</v>
      </c>
      <c r="W662" s="22" t="n">
        <f aca="false">W661+V662</f>
        <v>-2755762.51848915</v>
      </c>
      <c r="X662" s="23" t="str">
        <f aca="false">IF(W662&gt;=0,"YES","No")</f>
        <v>No</v>
      </c>
    </row>
    <row r="663" customFormat="false" ht="15" hidden="false" customHeight="false" outlineLevel="0" collapsed="false">
      <c r="A663" s="16" t="n">
        <v>662</v>
      </c>
      <c r="B663" s="17" t="n">
        <f aca="false">B662+1</f>
        <v>46684</v>
      </c>
      <c r="C663" s="18" t="n">
        <f aca="false">MIN(ROUNDUP(A663/365,0),5)</f>
        <v>2</v>
      </c>
      <c r="D663" s="18" t="n">
        <f aca="false">DATEDIF(Assumptions!B5,B663,"m")+1</f>
        <v>22</v>
      </c>
      <c r="E663" s="18" t="str">
        <f aca="false">TEXT(B663,"ddd")</f>
        <v>Sun</v>
      </c>
      <c r="F663" s="19" t="n">
        <f aca="false">IF(WEEKDAY(B663,2)&gt;=6,Assumptions!B34,Assumptions!B35)</f>
        <v>0.6</v>
      </c>
      <c r="G663" s="20" t="n">
        <f aca="false">IF(D663&gt;=13,(1+Assumptions!B46)^(D663-12),1)</f>
        <v>1.03040825707139</v>
      </c>
      <c r="H663" s="21" t="n">
        <f aca="false">H662*(1+IF(C663=1,Assumptions!B22,Assumptions!B23))</f>
        <v>21.8524344470593</v>
      </c>
      <c r="I663" s="16" t="n">
        <f aca="false">ROUND(H663*F663,0)</f>
        <v>13</v>
      </c>
      <c r="J663" s="22" t="n">
        <f aca="false">I663*Assumptions!B24</f>
        <v>7800</v>
      </c>
      <c r="K663" s="21" t="n">
        <f aca="false">K662*(1+Assumptions!B30)</f>
        <v>16.3099759964994</v>
      </c>
      <c r="L663" s="16" t="n">
        <f aca="false">ROUND(K663*F663,0)</f>
        <v>10</v>
      </c>
      <c r="M663" s="22" t="n">
        <f aca="false">L663*Assumptions!B31</f>
        <v>3000</v>
      </c>
      <c r="N663" s="22" t="n">
        <f aca="false">J663+M663</f>
        <v>10800</v>
      </c>
      <c r="O663" s="22" t="n">
        <f aca="false">IF(DAY(B663)=1,Assumptions!B38*G663,0)</f>
        <v>0</v>
      </c>
      <c r="P663" s="22" t="n">
        <f aca="false">IF(DAY(B663)=1,Assumptions!B39*G663,0)</f>
        <v>0</v>
      </c>
      <c r="Q663" s="22" t="n">
        <f aca="false">IF(DAY(B663)=1,Assumptions!B40*G663,0)</f>
        <v>0</v>
      </c>
      <c r="R663" s="22" t="n">
        <f aca="false">IF(DAY(B663)=1,Assumptions!B41*G663,0)</f>
        <v>0</v>
      </c>
      <c r="S663" s="22" t="n">
        <f aca="false">IF(AND(DAY(B663)=1,D663&gt;=13),Assumptions!B42*G663,0)</f>
        <v>0</v>
      </c>
      <c r="T663" s="22" t="n">
        <f aca="false">IF(DAY(B663)=1,Assumptions!B43*G663,0)</f>
        <v>0</v>
      </c>
      <c r="U663" s="22" t="n">
        <f aca="false">SUM(O663:T663)</f>
        <v>0</v>
      </c>
      <c r="V663" s="22" t="n">
        <f aca="false">N663-U663</f>
        <v>10800</v>
      </c>
      <c r="W663" s="22" t="n">
        <f aca="false">W662+V663</f>
        <v>-2744962.51848915</v>
      </c>
      <c r="X663" s="23" t="str">
        <f aca="false">IF(W663&gt;=0,"YES","No")</f>
        <v>No</v>
      </c>
    </row>
    <row r="664" customFormat="false" ht="15" hidden="false" customHeight="false" outlineLevel="0" collapsed="false">
      <c r="A664" s="16" t="n">
        <v>663</v>
      </c>
      <c r="B664" s="17" t="n">
        <f aca="false">B663+1</f>
        <v>46685</v>
      </c>
      <c r="C664" s="18" t="n">
        <f aca="false">MIN(ROUNDUP(A664/365,0),5)</f>
        <v>2</v>
      </c>
      <c r="D664" s="18" t="n">
        <f aca="false">DATEDIF(Assumptions!B5,B664,"m")+1</f>
        <v>22</v>
      </c>
      <c r="E664" s="18" t="str">
        <f aca="false">TEXT(B664,"ddd")</f>
        <v>Mon</v>
      </c>
      <c r="F664" s="19" t="n">
        <f aca="false">IF(WEEKDAY(B664,2)&gt;=6,Assumptions!B34,Assumptions!B35)</f>
        <v>1</v>
      </c>
      <c r="G664" s="20" t="n">
        <f aca="false">IF(D664&gt;=13,(1+Assumptions!B46)^(D664-12),1)</f>
        <v>1.03040825707139</v>
      </c>
      <c r="H664" s="21" t="n">
        <f aca="false">H663*(1+IF(C664=1,Assumptions!B22,Assumptions!B23))</f>
        <v>21.8560152241065</v>
      </c>
      <c r="I664" s="16" t="n">
        <f aca="false">ROUND(H664*F664,0)</f>
        <v>22</v>
      </c>
      <c r="J664" s="22" t="n">
        <f aca="false">I664*Assumptions!B24</f>
        <v>13200</v>
      </c>
      <c r="K664" s="21" t="n">
        <f aca="false">K663*(1+Assumptions!B30)</f>
        <v>16.3153083284692</v>
      </c>
      <c r="L664" s="16" t="n">
        <f aca="false">ROUND(K664*F664,0)</f>
        <v>16</v>
      </c>
      <c r="M664" s="22" t="n">
        <f aca="false">L664*Assumptions!B31</f>
        <v>4800</v>
      </c>
      <c r="N664" s="22" t="n">
        <f aca="false">J664+M664</f>
        <v>18000</v>
      </c>
      <c r="O664" s="22" t="n">
        <f aca="false">IF(DAY(B664)=1,Assumptions!B38*G664,0)</f>
        <v>0</v>
      </c>
      <c r="P664" s="22" t="n">
        <f aca="false">IF(DAY(B664)=1,Assumptions!B39*G664,0)</f>
        <v>0</v>
      </c>
      <c r="Q664" s="22" t="n">
        <f aca="false">IF(DAY(B664)=1,Assumptions!B40*G664,0)</f>
        <v>0</v>
      </c>
      <c r="R664" s="22" t="n">
        <f aca="false">IF(DAY(B664)=1,Assumptions!B41*G664,0)</f>
        <v>0</v>
      </c>
      <c r="S664" s="22" t="n">
        <f aca="false">IF(AND(DAY(B664)=1,D664&gt;=13),Assumptions!B42*G664,0)</f>
        <v>0</v>
      </c>
      <c r="T664" s="22" t="n">
        <f aca="false">IF(DAY(B664)=1,Assumptions!B43*G664,0)</f>
        <v>0</v>
      </c>
      <c r="U664" s="22" t="n">
        <f aca="false">SUM(O664:T664)</f>
        <v>0</v>
      </c>
      <c r="V664" s="22" t="n">
        <f aca="false">N664-U664</f>
        <v>18000</v>
      </c>
      <c r="W664" s="22" t="n">
        <f aca="false">W663+V664</f>
        <v>-2726962.51848915</v>
      </c>
      <c r="X664" s="23" t="str">
        <f aca="false">IF(W664&gt;=0,"YES","No")</f>
        <v>No</v>
      </c>
    </row>
    <row r="665" customFormat="false" ht="15" hidden="false" customHeight="false" outlineLevel="0" collapsed="false">
      <c r="A665" s="16" t="n">
        <v>664</v>
      </c>
      <c r="B665" s="17" t="n">
        <f aca="false">B664+1</f>
        <v>46686</v>
      </c>
      <c r="C665" s="18" t="n">
        <f aca="false">MIN(ROUNDUP(A665/365,0),5)</f>
        <v>2</v>
      </c>
      <c r="D665" s="18" t="n">
        <f aca="false">DATEDIF(Assumptions!B5,B665,"m")+1</f>
        <v>22</v>
      </c>
      <c r="E665" s="18" t="str">
        <f aca="false">TEXT(B665,"ddd")</f>
        <v>Tue</v>
      </c>
      <c r="F665" s="19" t="n">
        <f aca="false">IF(WEEKDAY(B665,2)&gt;=6,Assumptions!B34,Assumptions!B35)</f>
        <v>1</v>
      </c>
      <c r="G665" s="20" t="n">
        <f aca="false">IF(D665&gt;=13,(1+Assumptions!B46)^(D665-12),1)</f>
        <v>1.03040825707139</v>
      </c>
      <c r="H665" s="21" t="n">
        <f aca="false">H664*(1+IF(C665=1,Assumptions!B22,Assumptions!B23))</f>
        <v>21.8595965879058</v>
      </c>
      <c r="I665" s="16" t="n">
        <f aca="false">ROUND(H665*F665,0)</f>
        <v>22</v>
      </c>
      <c r="J665" s="22" t="n">
        <f aca="false">I665*Assumptions!B24</f>
        <v>13200</v>
      </c>
      <c r="K665" s="21" t="n">
        <f aca="false">K664*(1+Assumptions!B30)</f>
        <v>16.3206424037747</v>
      </c>
      <c r="L665" s="16" t="n">
        <f aca="false">ROUND(K665*F665,0)</f>
        <v>16</v>
      </c>
      <c r="M665" s="22" t="n">
        <f aca="false">L665*Assumptions!B31</f>
        <v>4800</v>
      </c>
      <c r="N665" s="22" t="n">
        <f aca="false">J665+M665</f>
        <v>18000</v>
      </c>
      <c r="O665" s="22" t="n">
        <f aca="false">IF(DAY(B665)=1,Assumptions!B38*G665,0)</f>
        <v>0</v>
      </c>
      <c r="P665" s="22" t="n">
        <f aca="false">IF(DAY(B665)=1,Assumptions!B39*G665,0)</f>
        <v>0</v>
      </c>
      <c r="Q665" s="22" t="n">
        <f aca="false">IF(DAY(B665)=1,Assumptions!B40*G665,0)</f>
        <v>0</v>
      </c>
      <c r="R665" s="22" t="n">
        <f aca="false">IF(DAY(B665)=1,Assumptions!B41*G665,0)</f>
        <v>0</v>
      </c>
      <c r="S665" s="22" t="n">
        <f aca="false">IF(AND(DAY(B665)=1,D665&gt;=13),Assumptions!B42*G665,0)</f>
        <v>0</v>
      </c>
      <c r="T665" s="22" t="n">
        <f aca="false">IF(DAY(B665)=1,Assumptions!B43*G665,0)</f>
        <v>0</v>
      </c>
      <c r="U665" s="22" t="n">
        <f aca="false">SUM(O665:T665)</f>
        <v>0</v>
      </c>
      <c r="V665" s="22" t="n">
        <f aca="false">N665-U665</f>
        <v>18000</v>
      </c>
      <c r="W665" s="22" t="n">
        <f aca="false">W664+V665</f>
        <v>-2708962.51848915</v>
      </c>
      <c r="X665" s="23" t="str">
        <f aca="false">IF(W665&gt;=0,"YES","No")</f>
        <v>No</v>
      </c>
    </row>
    <row r="666" customFormat="false" ht="15" hidden="false" customHeight="false" outlineLevel="0" collapsed="false">
      <c r="A666" s="16" t="n">
        <v>665</v>
      </c>
      <c r="B666" s="17" t="n">
        <f aca="false">B665+1</f>
        <v>46687</v>
      </c>
      <c r="C666" s="18" t="n">
        <f aca="false">MIN(ROUNDUP(A666/365,0),5)</f>
        <v>2</v>
      </c>
      <c r="D666" s="18" t="n">
        <f aca="false">DATEDIF(Assumptions!B5,B666,"m")+1</f>
        <v>22</v>
      </c>
      <c r="E666" s="18" t="str">
        <f aca="false">TEXT(B666,"ddd")</f>
        <v>Wed</v>
      </c>
      <c r="F666" s="19" t="n">
        <f aca="false">IF(WEEKDAY(B666,2)&gt;=6,Assumptions!B34,Assumptions!B35)</f>
        <v>1</v>
      </c>
      <c r="G666" s="20" t="n">
        <f aca="false">IF(D666&gt;=13,(1+Assumptions!B46)^(D666-12),1)</f>
        <v>1.03040825707139</v>
      </c>
      <c r="H666" s="21" t="n">
        <f aca="false">H665*(1+IF(C666=1,Assumptions!B22,Assumptions!B23))</f>
        <v>21.8631785385535</v>
      </c>
      <c r="I666" s="16" t="n">
        <f aca="false">ROUND(H666*F666,0)</f>
        <v>22</v>
      </c>
      <c r="J666" s="22" t="n">
        <f aca="false">I666*Assumptions!B24</f>
        <v>13200</v>
      </c>
      <c r="K666" s="21" t="n">
        <f aca="false">K665*(1+Assumptions!B30)</f>
        <v>16.325978222986</v>
      </c>
      <c r="L666" s="16" t="n">
        <f aca="false">ROUND(K666*F666,0)</f>
        <v>16</v>
      </c>
      <c r="M666" s="22" t="n">
        <f aca="false">L666*Assumptions!B31</f>
        <v>4800</v>
      </c>
      <c r="N666" s="22" t="n">
        <f aca="false">J666+M666</f>
        <v>18000</v>
      </c>
      <c r="O666" s="22" t="n">
        <f aca="false">IF(DAY(B666)=1,Assumptions!B38*G666,0)</f>
        <v>0</v>
      </c>
      <c r="P666" s="22" t="n">
        <f aca="false">IF(DAY(B666)=1,Assumptions!B39*G666,0)</f>
        <v>0</v>
      </c>
      <c r="Q666" s="22" t="n">
        <f aca="false">IF(DAY(B666)=1,Assumptions!B40*G666,0)</f>
        <v>0</v>
      </c>
      <c r="R666" s="22" t="n">
        <f aca="false">IF(DAY(B666)=1,Assumptions!B41*G666,0)</f>
        <v>0</v>
      </c>
      <c r="S666" s="22" t="n">
        <f aca="false">IF(AND(DAY(B666)=1,D666&gt;=13),Assumptions!B42*G666,0)</f>
        <v>0</v>
      </c>
      <c r="T666" s="22" t="n">
        <f aca="false">IF(DAY(B666)=1,Assumptions!B43*G666,0)</f>
        <v>0</v>
      </c>
      <c r="U666" s="22" t="n">
        <f aca="false">SUM(O666:T666)</f>
        <v>0</v>
      </c>
      <c r="V666" s="22" t="n">
        <f aca="false">N666-U666</f>
        <v>18000</v>
      </c>
      <c r="W666" s="22" t="n">
        <f aca="false">W665+V666</f>
        <v>-2690962.51848915</v>
      </c>
      <c r="X666" s="23" t="str">
        <f aca="false">IF(W666&gt;=0,"YES","No")</f>
        <v>No</v>
      </c>
    </row>
    <row r="667" customFormat="false" ht="15" hidden="false" customHeight="false" outlineLevel="0" collapsed="false">
      <c r="A667" s="16" t="n">
        <v>666</v>
      </c>
      <c r="B667" s="17" t="n">
        <f aca="false">B666+1</f>
        <v>46688</v>
      </c>
      <c r="C667" s="18" t="n">
        <f aca="false">MIN(ROUNDUP(A667/365,0),5)</f>
        <v>2</v>
      </c>
      <c r="D667" s="18" t="n">
        <f aca="false">DATEDIF(Assumptions!B5,B667,"m")+1</f>
        <v>22</v>
      </c>
      <c r="E667" s="18" t="str">
        <f aca="false">TEXT(B667,"ddd")</f>
        <v>Thu</v>
      </c>
      <c r="F667" s="19" t="n">
        <f aca="false">IF(WEEKDAY(B667,2)&gt;=6,Assumptions!B34,Assumptions!B35)</f>
        <v>1</v>
      </c>
      <c r="G667" s="20" t="n">
        <f aca="false">IF(D667&gt;=13,(1+Assumptions!B46)^(D667-12),1)</f>
        <v>1.03040825707139</v>
      </c>
      <c r="H667" s="21" t="n">
        <f aca="false">H666*(1+IF(C667=1,Assumptions!B22,Assumptions!B23))</f>
        <v>21.8667610761458</v>
      </c>
      <c r="I667" s="16" t="n">
        <f aca="false">ROUND(H667*F667,0)</f>
        <v>22</v>
      </c>
      <c r="J667" s="22" t="n">
        <f aca="false">I667*Assumptions!B24</f>
        <v>13200</v>
      </c>
      <c r="K667" s="21" t="n">
        <f aca="false">K666*(1+Assumptions!B30)</f>
        <v>16.3313157866731</v>
      </c>
      <c r="L667" s="16" t="n">
        <f aca="false">ROUND(K667*F667,0)</f>
        <v>16</v>
      </c>
      <c r="M667" s="22" t="n">
        <f aca="false">L667*Assumptions!B31</f>
        <v>4800</v>
      </c>
      <c r="N667" s="22" t="n">
        <f aca="false">J667+M667</f>
        <v>18000</v>
      </c>
      <c r="O667" s="22" t="n">
        <f aca="false">IF(DAY(B667)=1,Assumptions!B38*G667,0)</f>
        <v>0</v>
      </c>
      <c r="P667" s="22" t="n">
        <f aca="false">IF(DAY(B667)=1,Assumptions!B39*G667,0)</f>
        <v>0</v>
      </c>
      <c r="Q667" s="22" t="n">
        <f aca="false">IF(DAY(B667)=1,Assumptions!B40*G667,0)</f>
        <v>0</v>
      </c>
      <c r="R667" s="22" t="n">
        <f aca="false">IF(DAY(B667)=1,Assumptions!B41*G667,0)</f>
        <v>0</v>
      </c>
      <c r="S667" s="22" t="n">
        <f aca="false">IF(AND(DAY(B667)=1,D667&gt;=13),Assumptions!B42*G667,0)</f>
        <v>0</v>
      </c>
      <c r="T667" s="22" t="n">
        <f aca="false">IF(DAY(B667)=1,Assumptions!B43*G667,0)</f>
        <v>0</v>
      </c>
      <c r="U667" s="22" t="n">
        <f aca="false">SUM(O667:T667)</f>
        <v>0</v>
      </c>
      <c r="V667" s="22" t="n">
        <f aca="false">N667-U667</f>
        <v>18000</v>
      </c>
      <c r="W667" s="22" t="n">
        <f aca="false">W666+V667</f>
        <v>-2672962.51848915</v>
      </c>
      <c r="X667" s="23" t="str">
        <f aca="false">IF(W667&gt;=0,"YES","No")</f>
        <v>No</v>
      </c>
    </row>
    <row r="668" customFormat="false" ht="15" hidden="false" customHeight="false" outlineLevel="0" collapsed="false">
      <c r="A668" s="16" t="n">
        <v>667</v>
      </c>
      <c r="B668" s="17" t="n">
        <f aca="false">B667+1</f>
        <v>46689</v>
      </c>
      <c r="C668" s="18" t="n">
        <f aca="false">MIN(ROUNDUP(A668/365,0),5)</f>
        <v>2</v>
      </c>
      <c r="D668" s="18" t="n">
        <f aca="false">DATEDIF(Assumptions!B5,B668,"m")+1</f>
        <v>22</v>
      </c>
      <c r="E668" s="18" t="str">
        <f aca="false">TEXT(B668,"ddd")</f>
        <v>Fri</v>
      </c>
      <c r="F668" s="19" t="n">
        <f aca="false">IF(WEEKDAY(B668,2)&gt;=6,Assumptions!B34,Assumptions!B35)</f>
        <v>1</v>
      </c>
      <c r="G668" s="20" t="n">
        <f aca="false">IF(D668&gt;=13,(1+Assumptions!B46)^(D668-12),1)</f>
        <v>1.03040825707139</v>
      </c>
      <c r="H668" s="21" t="n">
        <f aca="false">H667*(1+IF(C668=1,Assumptions!B22,Assumptions!B23))</f>
        <v>21.8703442007787</v>
      </c>
      <c r="I668" s="16" t="n">
        <f aca="false">ROUND(H668*F668,0)</f>
        <v>22</v>
      </c>
      <c r="J668" s="22" t="n">
        <f aca="false">I668*Assumptions!B24</f>
        <v>13200</v>
      </c>
      <c r="K668" s="21" t="n">
        <f aca="false">K667*(1+Assumptions!B30)</f>
        <v>16.3366550954064</v>
      </c>
      <c r="L668" s="16" t="n">
        <f aca="false">ROUND(K668*F668,0)</f>
        <v>16</v>
      </c>
      <c r="M668" s="22" t="n">
        <f aca="false">L668*Assumptions!B31</f>
        <v>4800</v>
      </c>
      <c r="N668" s="22" t="n">
        <f aca="false">J668+M668</f>
        <v>18000</v>
      </c>
      <c r="O668" s="22" t="n">
        <f aca="false">IF(DAY(B668)=1,Assumptions!B38*G668,0)</f>
        <v>0</v>
      </c>
      <c r="P668" s="22" t="n">
        <f aca="false">IF(DAY(B668)=1,Assumptions!B39*G668,0)</f>
        <v>0</v>
      </c>
      <c r="Q668" s="22" t="n">
        <f aca="false">IF(DAY(B668)=1,Assumptions!B40*G668,0)</f>
        <v>0</v>
      </c>
      <c r="R668" s="22" t="n">
        <f aca="false">IF(DAY(B668)=1,Assumptions!B41*G668,0)</f>
        <v>0</v>
      </c>
      <c r="S668" s="22" t="n">
        <f aca="false">IF(AND(DAY(B668)=1,D668&gt;=13),Assumptions!B42*G668,0)</f>
        <v>0</v>
      </c>
      <c r="T668" s="22" t="n">
        <f aca="false">IF(DAY(B668)=1,Assumptions!B43*G668,0)</f>
        <v>0</v>
      </c>
      <c r="U668" s="22" t="n">
        <f aca="false">SUM(O668:T668)</f>
        <v>0</v>
      </c>
      <c r="V668" s="22" t="n">
        <f aca="false">N668-U668</f>
        <v>18000</v>
      </c>
      <c r="W668" s="22" t="n">
        <f aca="false">W667+V668</f>
        <v>-2654962.51848915</v>
      </c>
      <c r="X668" s="23" t="str">
        <f aca="false">IF(W668&gt;=0,"YES","No")</f>
        <v>No</v>
      </c>
    </row>
    <row r="669" customFormat="false" ht="15" hidden="false" customHeight="false" outlineLevel="0" collapsed="false">
      <c r="A669" s="16" t="n">
        <v>668</v>
      </c>
      <c r="B669" s="17" t="n">
        <f aca="false">B668+1</f>
        <v>46690</v>
      </c>
      <c r="C669" s="18" t="n">
        <f aca="false">MIN(ROUNDUP(A669/365,0),5)</f>
        <v>2</v>
      </c>
      <c r="D669" s="18" t="n">
        <f aca="false">DATEDIF(Assumptions!B5,B669,"m")+1</f>
        <v>22</v>
      </c>
      <c r="E669" s="18" t="str">
        <f aca="false">TEXT(B669,"ddd")</f>
        <v>Sat</v>
      </c>
      <c r="F669" s="19" t="n">
        <f aca="false">IF(WEEKDAY(B669,2)&gt;=6,Assumptions!B34,Assumptions!B35)</f>
        <v>0.6</v>
      </c>
      <c r="G669" s="20" t="n">
        <f aca="false">IF(D669&gt;=13,(1+Assumptions!B46)^(D669-12),1)</f>
        <v>1.03040825707139</v>
      </c>
      <c r="H669" s="21" t="n">
        <f aca="false">H668*(1+IF(C669=1,Assumptions!B22,Assumptions!B23))</f>
        <v>21.8739279125485</v>
      </c>
      <c r="I669" s="16" t="n">
        <f aca="false">ROUND(H669*F669,0)</f>
        <v>13</v>
      </c>
      <c r="J669" s="22" t="n">
        <f aca="false">I669*Assumptions!B24</f>
        <v>7800</v>
      </c>
      <c r="K669" s="21" t="n">
        <f aca="false">K668*(1+Assumptions!B30)</f>
        <v>16.3419961497564</v>
      </c>
      <c r="L669" s="16" t="n">
        <f aca="false">ROUND(K669*F669,0)</f>
        <v>10</v>
      </c>
      <c r="M669" s="22" t="n">
        <f aca="false">L669*Assumptions!B31</f>
        <v>3000</v>
      </c>
      <c r="N669" s="22" t="n">
        <f aca="false">J669+M669</f>
        <v>10800</v>
      </c>
      <c r="O669" s="22" t="n">
        <f aca="false">IF(DAY(B669)=1,Assumptions!B38*G669,0)</f>
        <v>0</v>
      </c>
      <c r="P669" s="22" t="n">
        <f aca="false">IF(DAY(B669)=1,Assumptions!B39*G669,0)</f>
        <v>0</v>
      </c>
      <c r="Q669" s="22" t="n">
        <f aca="false">IF(DAY(B669)=1,Assumptions!B40*G669,0)</f>
        <v>0</v>
      </c>
      <c r="R669" s="22" t="n">
        <f aca="false">IF(DAY(B669)=1,Assumptions!B41*G669,0)</f>
        <v>0</v>
      </c>
      <c r="S669" s="22" t="n">
        <f aca="false">IF(AND(DAY(B669)=1,D669&gt;=13),Assumptions!B42*G669,0)</f>
        <v>0</v>
      </c>
      <c r="T669" s="22" t="n">
        <f aca="false">IF(DAY(B669)=1,Assumptions!B43*G669,0)</f>
        <v>0</v>
      </c>
      <c r="U669" s="22" t="n">
        <f aca="false">SUM(O669:T669)</f>
        <v>0</v>
      </c>
      <c r="V669" s="22" t="n">
        <f aca="false">N669-U669</f>
        <v>10800</v>
      </c>
      <c r="W669" s="22" t="n">
        <f aca="false">W668+V669</f>
        <v>-2644162.51848915</v>
      </c>
      <c r="X669" s="23" t="str">
        <f aca="false">IF(W669&gt;=0,"YES","No")</f>
        <v>No</v>
      </c>
    </row>
    <row r="670" customFormat="false" ht="15" hidden="false" customHeight="false" outlineLevel="0" collapsed="false">
      <c r="A670" s="16" t="n">
        <v>669</v>
      </c>
      <c r="B670" s="17" t="n">
        <f aca="false">B669+1</f>
        <v>46691</v>
      </c>
      <c r="C670" s="18" t="n">
        <f aca="false">MIN(ROUNDUP(A670/365,0),5)</f>
        <v>2</v>
      </c>
      <c r="D670" s="18" t="n">
        <f aca="false">DATEDIF(Assumptions!B5,B670,"m")+1</f>
        <v>22</v>
      </c>
      <c r="E670" s="18" t="str">
        <f aca="false">TEXT(B670,"ddd")</f>
        <v>Sun</v>
      </c>
      <c r="F670" s="19" t="n">
        <f aca="false">IF(WEEKDAY(B670,2)&gt;=6,Assumptions!B34,Assumptions!B35)</f>
        <v>0.6</v>
      </c>
      <c r="G670" s="20" t="n">
        <f aca="false">IF(D670&gt;=13,(1+Assumptions!B46)^(D670-12),1)</f>
        <v>1.03040825707139</v>
      </c>
      <c r="H670" s="21" t="n">
        <f aca="false">H669*(1+IF(C670=1,Assumptions!B22,Assumptions!B23))</f>
        <v>21.8775122115515</v>
      </c>
      <c r="I670" s="16" t="n">
        <f aca="false">ROUND(H670*F670,0)</f>
        <v>13</v>
      </c>
      <c r="J670" s="22" t="n">
        <f aca="false">I670*Assumptions!B24</f>
        <v>7800</v>
      </c>
      <c r="K670" s="21" t="n">
        <f aca="false">K669*(1+Assumptions!B30)</f>
        <v>16.3473389502939</v>
      </c>
      <c r="L670" s="16" t="n">
        <f aca="false">ROUND(K670*F670,0)</f>
        <v>10</v>
      </c>
      <c r="M670" s="22" t="n">
        <f aca="false">L670*Assumptions!B31</f>
        <v>3000</v>
      </c>
      <c r="N670" s="22" t="n">
        <f aca="false">J670+M670</f>
        <v>10800</v>
      </c>
      <c r="O670" s="22" t="n">
        <f aca="false">IF(DAY(B670)=1,Assumptions!B38*G670,0)</f>
        <v>0</v>
      </c>
      <c r="P670" s="22" t="n">
        <f aca="false">IF(DAY(B670)=1,Assumptions!B39*G670,0)</f>
        <v>0</v>
      </c>
      <c r="Q670" s="22" t="n">
        <f aca="false">IF(DAY(B670)=1,Assumptions!B40*G670,0)</f>
        <v>0</v>
      </c>
      <c r="R670" s="22" t="n">
        <f aca="false">IF(DAY(B670)=1,Assumptions!B41*G670,0)</f>
        <v>0</v>
      </c>
      <c r="S670" s="22" t="n">
        <f aca="false">IF(AND(DAY(B670)=1,D670&gt;=13),Assumptions!B42*G670,0)</f>
        <v>0</v>
      </c>
      <c r="T670" s="22" t="n">
        <f aca="false">IF(DAY(B670)=1,Assumptions!B43*G670,0)</f>
        <v>0</v>
      </c>
      <c r="U670" s="22" t="n">
        <f aca="false">SUM(O670:T670)</f>
        <v>0</v>
      </c>
      <c r="V670" s="22" t="n">
        <f aca="false">N670-U670</f>
        <v>10800</v>
      </c>
      <c r="W670" s="22" t="n">
        <f aca="false">W669+V670</f>
        <v>-2633362.51848915</v>
      </c>
      <c r="X670" s="23" t="str">
        <f aca="false">IF(W670&gt;=0,"YES","No")</f>
        <v>No</v>
      </c>
    </row>
    <row r="671" customFormat="false" ht="15" hidden="false" customHeight="false" outlineLevel="0" collapsed="false">
      <c r="A671" s="16" t="n">
        <v>670</v>
      </c>
      <c r="B671" s="17" t="n">
        <f aca="false">B670+1</f>
        <v>46692</v>
      </c>
      <c r="C671" s="18" t="n">
        <f aca="false">MIN(ROUNDUP(A671/365,0),5)</f>
        <v>2</v>
      </c>
      <c r="D671" s="18" t="n">
        <f aca="false">DATEDIF(Assumptions!B5,B671,"m")+1</f>
        <v>23</v>
      </c>
      <c r="E671" s="18" t="str">
        <f aca="false">TEXT(B671,"ddd")</f>
        <v>Mon</v>
      </c>
      <c r="F671" s="19" t="n">
        <f aca="false">IF(WEEKDAY(B671,2)&gt;=6,Assumptions!B34,Assumptions!B35)</f>
        <v>1</v>
      </c>
      <c r="G671" s="20" t="n">
        <f aca="false">IF(D671&gt;=13,(1+Assumptions!B46)^(D671-12),1)</f>
        <v>1.0334994818426</v>
      </c>
      <c r="H671" s="21" t="n">
        <f aca="false">H670*(1+IF(C671=1,Assumptions!B22,Assumptions!B23))</f>
        <v>21.8810970978837</v>
      </c>
      <c r="I671" s="16" t="n">
        <f aca="false">ROUND(H671*F671,0)</f>
        <v>22</v>
      </c>
      <c r="J671" s="22" t="n">
        <f aca="false">I671*Assumptions!B24</f>
        <v>13200</v>
      </c>
      <c r="K671" s="21" t="n">
        <f aca="false">K670*(1+Assumptions!B30)</f>
        <v>16.3526834975896</v>
      </c>
      <c r="L671" s="16" t="n">
        <f aca="false">ROUND(K671*F671,0)</f>
        <v>16</v>
      </c>
      <c r="M671" s="22" t="n">
        <f aca="false">L671*Assumptions!B31</f>
        <v>4800</v>
      </c>
      <c r="N671" s="22" t="n">
        <f aca="false">J671+M671</f>
        <v>18000</v>
      </c>
      <c r="O671" s="22" t="n">
        <f aca="false">IF(DAY(B671)=1,Assumptions!B38*G671,0)</f>
        <v>155024.92227639</v>
      </c>
      <c r="P671" s="22" t="n">
        <f aca="false">IF(DAY(B671)=1,Assumptions!B39*G671,0)</f>
        <v>41339.9792737041</v>
      </c>
      <c r="Q671" s="22" t="n">
        <f aca="false">IF(DAY(B671)=1,Assumptions!B40*G671,0)</f>
        <v>31004.9844552781</v>
      </c>
      <c r="R671" s="22" t="n">
        <f aca="false">IF(DAY(B671)=1,Assumptions!B41*G671,0)</f>
        <v>20669.989636852</v>
      </c>
      <c r="S671" s="22" t="n">
        <f aca="false">IF(AND(DAY(B671)=1,D671&gt;=13),Assumptions!B42*G671,0)</f>
        <v>155024.92227639</v>
      </c>
      <c r="T671" s="22" t="n">
        <f aca="false">IF(DAY(B671)=1,Assumptions!B43*G671,0)</f>
        <v>20669.989636852</v>
      </c>
      <c r="U671" s="22" t="n">
        <f aca="false">SUM(O671:T671)</f>
        <v>423734.787555467</v>
      </c>
      <c r="V671" s="22" t="n">
        <f aca="false">N671-U671</f>
        <v>-405734.787555467</v>
      </c>
      <c r="W671" s="22" t="n">
        <f aca="false">W670+V671</f>
        <v>-3039097.30604461</v>
      </c>
      <c r="X671" s="23" t="str">
        <f aca="false">IF(W671&gt;=0,"YES","No")</f>
        <v>No</v>
      </c>
    </row>
    <row r="672" customFormat="false" ht="15" hidden="false" customHeight="false" outlineLevel="0" collapsed="false">
      <c r="A672" s="16" t="n">
        <v>671</v>
      </c>
      <c r="B672" s="17" t="n">
        <f aca="false">B671+1</f>
        <v>46693</v>
      </c>
      <c r="C672" s="18" t="n">
        <f aca="false">MIN(ROUNDUP(A672/365,0),5)</f>
        <v>2</v>
      </c>
      <c r="D672" s="18" t="n">
        <f aca="false">DATEDIF(Assumptions!B5,B672,"m")+1</f>
        <v>23</v>
      </c>
      <c r="E672" s="18" t="str">
        <f aca="false">TEXT(B672,"ddd")</f>
        <v>Tue</v>
      </c>
      <c r="F672" s="19" t="n">
        <f aca="false">IF(WEEKDAY(B672,2)&gt;=6,Assumptions!B34,Assumptions!B35)</f>
        <v>1</v>
      </c>
      <c r="G672" s="20" t="n">
        <f aca="false">IF(D672&gt;=13,(1+Assumptions!B46)^(D672-12),1)</f>
        <v>1.0334994818426</v>
      </c>
      <c r="H672" s="21" t="n">
        <f aca="false">H671*(1+IF(C672=1,Assumptions!B22,Assumptions!B23))</f>
        <v>21.8846825716415</v>
      </c>
      <c r="I672" s="16" t="n">
        <f aca="false">ROUND(H672*F672,0)</f>
        <v>22</v>
      </c>
      <c r="J672" s="22" t="n">
        <f aca="false">I672*Assumptions!B24</f>
        <v>13200</v>
      </c>
      <c r="K672" s="21" t="n">
        <f aca="false">K671*(1+Assumptions!B30)</f>
        <v>16.3580297922147</v>
      </c>
      <c r="L672" s="16" t="n">
        <f aca="false">ROUND(K672*F672,0)</f>
        <v>16</v>
      </c>
      <c r="M672" s="22" t="n">
        <f aca="false">L672*Assumptions!B31</f>
        <v>4800</v>
      </c>
      <c r="N672" s="22" t="n">
        <f aca="false">J672+M672</f>
        <v>18000</v>
      </c>
      <c r="O672" s="22" t="n">
        <f aca="false">IF(DAY(B672)=1,Assumptions!B38*G672,0)</f>
        <v>0</v>
      </c>
      <c r="P672" s="22" t="n">
        <f aca="false">IF(DAY(B672)=1,Assumptions!B39*G672,0)</f>
        <v>0</v>
      </c>
      <c r="Q672" s="22" t="n">
        <f aca="false">IF(DAY(B672)=1,Assumptions!B40*G672,0)</f>
        <v>0</v>
      </c>
      <c r="R672" s="22" t="n">
        <f aca="false">IF(DAY(B672)=1,Assumptions!B41*G672,0)</f>
        <v>0</v>
      </c>
      <c r="S672" s="22" t="n">
        <f aca="false">IF(AND(DAY(B672)=1,D672&gt;=13),Assumptions!B42*G672,0)</f>
        <v>0</v>
      </c>
      <c r="T672" s="22" t="n">
        <f aca="false">IF(DAY(B672)=1,Assumptions!B43*G672,0)</f>
        <v>0</v>
      </c>
      <c r="U672" s="22" t="n">
        <f aca="false">SUM(O672:T672)</f>
        <v>0</v>
      </c>
      <c r="V672" s="22" t="n">
        <f aca="false">N672-U672</f>
        <v>18000</v>
      </c>
      <c r="W672" s="22" t="n">
        <f aca="false">W671+V672</f>
        <v>-3021097.30604461</v>
      </c>
      <c r="X672" s="23" t="str">
        <f aca="false">IF(W672&gt;=0,"YES","No")</f>
        <v>No</v>
      </c>
    </row>
    <row r="673" customFormat="false" ht="15" hidden="false" customHeight="false" outlineLevel="0" collapsed="false">
      <c r="A673" s="16" t="n">
        <v>672</v>
      </c>
      <c r="B673" s="17" t="n">
        <f aca="false">B672+1</f>
        <v>46694</v>
      </c>
      <c r="C673" s="18" t="n">
        <f aca="false">MIN(ROUNDUP(A673/365,0),5)</f>
        <v>2</v>
      </c>
      <c r="D673" s="18" t="n">
        <f aca="false">DATEDIF(Assumptions!B5,B673,"m")+1</f>
        <v>23</v>
      </c>
      <c r="E673" s="18" t="str">
        <f aca="false">TEXT(B673,"ddd")</f>
        <v>Wed</v>
      </c>
      <c r="F673" s="19" t="n">
        <f aca="false">IF(WEEKDAY(B673,2)&gt;=6,Assumptions!B34,Assumptions!B35)</f>
        <v>1</v>
      </c>
      <c r="G673" s="20" t="n">
        <f aca="false">IF(D673&gt;=13,(1+Assumptions!B46)^(D673-12),1)</f>
        <v>1.0334994818426</v>
      </c>
      <c r="H673" s="21" t="n">
        <f aca="false">H672*(1+IF(C673=1,Assumptions!B22,Assumptions!B23))</f>
        <v>21.8882686329212</v>
      </c>
      <c r="I673" s="16" t="n">
        <f aca="false">ROUND(H673*F673,0)</f>
        <v>22</v>
      </c>
      <c r="J673" s="22" t="n">
        <f aca="false">I673*Assumptions!B24</f>
        <v>13200</v>
      </c>
      <c r="K673" s="21" t="n">
        <f aca="false">K672*(1+Assumptions!B30)</f>
        <v>16.3633778347405</v>
      </c>
      <c r="L673" s="16" t="n">
        <f aca="false">ROUND(K673*F673,0)</f>
        <v>16</v>
      </c>
      <c r="M673" s="22" t="n">
        <f aca="false">L673*Assumptions!B31</f>
        <v>4800</v>
      </c>
      <c r="N673" s="22" t="n">
        <f aca="false">J673+M673</f>
        <v>18000</v>
      </c>
      <c r="O673" s="22" t="n">
        <f aca="false">IF(DAY(B673)=1,Assumptions!B38*G673,0)</f>
        <v>0</v>
      </c>
      <c r="P673" s="22" t="n">
        <f aca="false">IF(DAY(B673)=1,Assumptions!B39*G673,0)</f>
        <v>0</v>
      </c>
      <c r="Q673" s="22" t="n">
        <f aca="false">IF(DAY(B673)=1,Assumptions!B40*G673,0)</f>
        <v>0</v>
      </c>
      <c r="R673" s="22" t="n">
        <f aca="false">IF(DAY(B673)=1,Assumptions!B41*G673,0)</f>
        <v>0</v>
      </c>
      <c r="S673" s="22" t="n">
        <f aca="false">IF(AND(DAY(B673)=1,D673&gt;=13),Assumptions!B42*G673,0)</f>
        <v>0</v>
      </c>
      <c r="T673" s="22" t="n">
        <f aca="false">IF(DAY(B673)=1,Assumptions!B43*G673,0)</f>
        <v>0</v>
      </c>
      <c r="U673" s="22" t="n">
        <f aca="false">SUM(O673:T673)</f>
        <v>0</v>
      </c>
      <c r="V673" s="22" t="n">
        <f aca="false">N673-U673</f>
        <v>18000</v>
      </c>
      <c r="W673" s="22" t="n">
        <f aca="false">W672+V673</f>
        <v>-3003097.30604461</v>
      </c>
      <c r="X673" s="23" t="str">
        <f aca="false">IF(W673&gt;=0,"YES","No")</f>
        <v>No</v>
      </c>
    </row>
    <row r="674" customFormat="false" ht="15" hidden="false" customHeight="false" outlineLevel="0" collapsed="false">
      <c r="A674" s="16" t="n">
        <v>673</v>
      </c>
      <c r="B674" s="17" t="n">
        <f aca="false">B673+1</f>
        <v>46695</v>
      </c>
      <c r="C674" s="18" t="n">
        <f aca="false">MIN(ROUNDUP(A674/365,0),5)</f>
        <v>2</v>
      </c>
      <c r="D674" s="18" t="n">
        <f aca="false">DATEDIF(Assumptions!B5,B674,"m")+1</f>
        <v>23</v>
      </c>
      <c r="E674" s="18" t="str">
        <f aca="false">TEXT(B674,"ddd")</f>
        <v>Thu</v>
      </c>
      <c r="F674" s="19" t="n">
        <f aca="false">IF(WEEKDAY(B674,2)&gt;=6,Assumptions!B34,Assumptions!B35)</f>
        <v>1</v>
      </c>
      <c r="G674" s="20" t="n">
        <f aca="false">IF(D674&gt;=13,(1+Assumptions!B46)^(D674-12),1)</f>
        <v>1.0334994818426</v>
      </c>
      <c r="H674" s="21" t="n">
        <f aca="false">H673*(1+IF(C674=1,Assumptions!B22,Assumptions!B23))</f>
        <v>21.8918552818189</v>
      </c>
      <c r="I674" s="16" t="n">
        <f aca="false">ROUND(H674*F674,0)</f>
        <v>22</v>
      </c>
      <c r="J674" s="22" t="n">
        <f aca="false">I674*Assumptions!B24</f>
        <v>13200</v>
      </c>
      <c r="K674" s="21" t="n">
        <f aca="false">K673*(1+Assumptions!B30)</f>
        <v>16.3687276257384</v>
      </c>
      <c r="L674" s="16" t="n">
        <f aca="false">ROUND(K674*F674,0)</f>
        <v>16</v>
      </c>
      <c r="M674" s="22" t="n">
        <f aca="false">L674*Assumptions!B31</f>
        <v>4800</v>
      </c>
      <c r="N674" s="22" t="n">
        <f aca="false">J674+M674</f>
        <v>18000</v>
      </c>
      <c r="O674" s="22" t="n">
        <f aca="false">IF(DAY(B674)=1,Assumptions!B38*G674,0)</f>
        <v>0</v>
      </c>
      <c r="P674" s="22" t="n">
        <f aca="false">IF(DAY(B674)=1,Assumptions!B39*G674,0)</f>
        <v>0</v>
      </c>
      <c r="Q674" s="22" t="n">
        <f aca="false">IF(DAY(B674)=1,Assumptions!B40*G674,0)</f>
        <v>0</v>
      </c>
      <c r="R674" s="22" t="n">
        <f aca="false">IF(DAY(B674)=1,Assumptions!B41*G674,0)</f>
        <v>0</v>
      </c>
      <c r="S674" s="22" t="n">
        <f aca="false">IF(AND(DAY(B674)=1,D674&gt;=13),Assumptions!B42*G674,0)</f>
        <v>0</v>
      </c>
      <c r="T674" s="22" t="n">
        <f aca="false">IF(DAY(B674)=1,Assumptions!B43*G674,0)</f>
        <v>0</v>
      </c>
      <c r="U674" s="22" t="n">
        <f aca="false">SUM(O674:T674)</f>
        <v>0</v>
      </c>
      <c r="V674" s="22" t="n">
        <f aca="false">N674-U674</f>
        <v>18000</v>
      </c>
      <c r="W674" s="22" t="n">
        <f aca="false">W673+V674</f>
        <v>-2985097.30604461</v>
      </c>
      <c r="X674" s="23" t="str">
        <f aca="false">IF(W674&gt;=0,"YES","No")</f>
        <v>No</v>
      </c>
    </row>
    <row r="675" customFormat="false" ht="15" hidden="false" customHeight="false" outlineLevel="0" collapsed="false">
      <c r="A675" s="16" t="n">
        <v>674</v>
      </c>
      <c r="B675" s="17" t="n">
        <f aca="false">B674+1</f>
        <v>46696</v>
      </c>
      <c r="C675" s="18" t="n">
        <f aca="false">MIN(ROUNDUP(A675/365,0),5)</f>
        <v>2</v>
      </c>
      <c r="D675" s="18" t="n">
        <f aca="false">DATEDIF(Assumptions!B5,B675,"m")+1</f>
        <v>23</v>
      </c>
      <c r="E675" s="18" t="str">
        <f aca="false">TEXT(B675,"ddd")</f>
        <v>Fri</v>
      </c>
      <c r="F675" s="19" t="n">
        <f aca="false">IF(WEEKDAY(B675,2)&gt;=6,Assumptions!B34,Assumptions!B35)</f>
        <v>1</v>
      </c>
      <c r="G675" s="20" t="n">
        <f aca="false">IF(D675&gt;=13,(1+Assumptions!B46)^(D675-12),1)</f>
        <v>1.0334994818426</v>
      </c>
      <c r="H675" s="21" t="n">
        <f aca="false">H674*(1+IF(C675=1,Assumptions!B22,Assumptions!B23))</f>
        <v>21.8954425184311</v>
      </c>
      <c r="I675" s="16" t="n">
        <f aca="false">ROUND(H675*F675,0)</f>
        <v>22</v>
      </c>
      <c r="J675" s="22" t="n">
        <f aca="false">I675*Assumptions!B24</f>
        <v>13200</v>
      </c>
      <c r="K675" s="21" t="n">
        <f aca="false">K674*(1+Assumptions!B30)</f>
        <v>16.3740791657801</v>
      </c>
      <c r="L675" s="16" t="n">
        <f aca="false">ROUND(K675*F675,0)</f>
        <v>16</v>
      </c>
      <c r="M675" s="22" t="n">
        <f aca="false">L675*Assumptions!B31</f>
        <v>4800</v>
      </c>
      <c r="N675" s="22" t="n">
        <f aca="false">J675+M675</f>
        <v>18000</v>
      </c>
      <c r="O675" s="22" t="n">
        <f aca="false">IF(DAY(B675)=1,Assumptions!B38*G675,0)</f>
        <v>0</v>
      </c>
      <c r="P675" s="22" t="n">
        <f aca="false">IF(DAY(B675)=1,Assumptions!B39*G675,0)</f>
        <v>0</v>
      </c>
      <c r="Q675" s="22" t="n">
        <f aca="false">IF(DAY(B675)=1,Assumptions!B40*G675,0)</f>
        <v>0</v>
      </c>
      <c r="R675" s="22" t="n">
        <f aca="false">IF(DAY(B675)=1,Assumptions!B41*G675,0)</f>
        <v>0</v>
      </c>
      <c r="S675" s="22" t="n">
        <f aca="false">IF(AND(DAY(B675)=1,D675&gt;=13),Assumptions!B42*G675,0)</f>
        <v>0</v>
      </c>
      <c r="T675" s="22" t="n">
        <f aca="false">IF(DAY(B675)=1,Assumptions!B43*G675,0)</f>
        <v>0</v>
      </c>
      <c r="U675" s="22" t="n">
        <f aca="false">SUM(O675:T675)</f>
        <v>0</v>
      </c>
      <c r="V675" s="22" t="n">
        <f aca="false">N675-U675</f>
        <v>18000</v>
      </c>
      <c r="W675" s="22" t="n">
        <f aca="false">W674+V675</f>
        <v>-2967097.30604461</v>
      </c>
      <c r="X675" s="23" t="str">
        <f aca="false">IF(W675&gt;=0,"YES","No")</f>
        <v>No</v>
      </c>
    </row>
    <row r="676" customFormat="false" ht="15" hidden="false" customHeight="false" outlineLevel="0" collapsed="false">
      <c r="A676" s="16" t="n">
        <v>675</v>
      </c>
      <c r="B676" s="17" t="n">
        <f aca="false">B675+1</f>
        <v>46697</v>
      </c>
      <c r="C676" s="18" t="n">
        <f aca="false">MIN(ROUNDUP(A676/365,0),5)</f>
        <v>2</v>
      </c>
      <c r="D676" s="18" t="n">
        <f aca="false">DATEDIF(Assumptions!B5,B676,"m")+1</f>
        <v>23</v>
      </c>
      <c r="E676" s="18" t="str">
        <f aca="false">TEXT(B676,"ddd")</f>
        <v>Sat</v>
      </c>
      <c r="F676" s="19" t="n">
        <f aca="false">IF(WEEKDAY(B676,2)&gt;=6,Assumptions!B34,Assumptions!B35)</f>
        <v>0.6</v>
      </c>
      <c r="G676" s="20" t="n">
        <f aca="false">IF(D676&gt;=13,(1+Assumptions!B46)^(D676-12),1)</f>
        <v>1.0334994818426</v>
      </c>
      <c r="H676" s="21" t="n">
        <f aca="false">H675*(1+IF(C676=1,Assumptions!B22,Assumptions!B23))</f>
        <v>21.8990303428539</v>
      </c>
      <c r="I676" s="16" t="n">
        <f aca="false">ROUND(H676*F676,0)</f>
        <v>13</v>
      </c>
      <c r="J676" s="22" t="n">
        <f aca="false">I676*Assumptions!B24</f>
        <v>7800</v>
      </c>
      <c r="K676" s="21" t="n">
        <f aca="false">K675*(1+Assumptions!B30)</f>
        <v>16.3794324554373</v>
      </c>
      <c r="L676" s="16" t="n">
        <f aca="false">ROUND(K676*F676,0)</f>
        <v>10</v>
      </c>
      <c r="M676" s="22" t="n">
        <f aca="false">L676*Assumptions!B31</f>
        <v>3000</v>
      </c>
      <c r="N676" s="22" t="n">
        <f aca="false">J676+M676</f>
        <v>10800</v>
      </c>
      <c r="O676" s="22" t="n">
        <f aca="false">IF(DAY(B676)=1,Assumptions!B38*G676,0)</f>
        <v>0</v>
      </c>
      <c r="P676" s="22" t="n">
        <f aca="false">IF(DAY(B676)=1,Assumptions!B39*G676,0)</f>
        <v>0</v>
      </c>
      <c r="Q676" s="22" t="n">
        <f aca="false">IF(DAY(B676)=1,Assumptions!B40*G676,0)</f>
        <v>0</v>
      </c>
      <c r="R676" s="22" t="n">
        <f aca="false">IF(DAY(B676)=1,Assumptions!B41*G676,0)</f>
        <v>0</v>
      </c>
      <c r="S676" s="22" t="n">
        <f aca="false">IF(AND(DAY(B676)=1,D676&gt;=13),Assumptions!B42*G676,0)</f>
        <v>0</v>
      </c>
      <c r="T676" s="22" t="n">
        <f aca="false">IF(DAY(B676)=1,Assumptions!B43*G676,0)</f>
        <v>0</v>
      </c>
      <c r="U676" s="22" t="n">
        <f aca="false">SUM(O676:T676)</f>
        <v>0</v>
      </c>
      <c r="V676" s="22" t="n">
        <f aca="false">N676-U676</f>
        <v>10800</v>
      </c>
      <c r="W676" s="22" t="n">
        <f aca="false">W675+V676</f>
        <v>-2956297.30604461</v>
      </c>
      <c r="X676" s="23" t="str">
        <f aca="false">IF(W676&gt;=0,"YES","No")</f>
        <v>No</v>
      </c>
    </row>
    <row r="677" customFormat="false" ht="15" hidden="false" customHeight="false" outlineLevel="0" collapsed="false">
      <c r="A677" s="16" t="n">
        <v>676</v>
      </c>
      <c r="B677" s="17" t="n">
        <f aca="false">B676+1</f>
        <v>46698</v>
      </c>
      <c r="C677" s="18" t="n">
        <f aca="false">MIN(ROUNDUP(A677/365,0),5)</f>
        <v>2</v>
      </c>
      <c r="D677" s="18" t="n">
        <f aca="false">DATEDIF(Assumptions!B5,B677,"m")+1</f>
        <v>23</v>
      </c>
      <c r="E677" s="18" t="str">
        <f aca="false">TEXT(B677,"ddd")</f>
        <v>Sun</v>
      </c>
      <c r="F677" s="19" t="n">
        <f aca="false">IF(WEEKDAY(B677,2)&gt;=6,Assumptions!B34,Assumptions!B35)</f>
        <v>0.6</v>
      </c>
      <c r="G677" s="20" t="n">
        <f aca="false">IF(D677&gt;=13,(1+Assumptions!B46)^(D677-12),1)</f>
        <v>1.0334994818426</v>
      </c>
      <c r="H677" s="21" t="n">
        <f aca="false">H676*(1+IF(C677=1,Assumptions!B22,Assumptions!B23))</f>
        <v>21.9026187551837</v>
      </c>
      <c r="I677" s="16" t="n">
        <f aca="false">ROUND(H677*F677,0)</f>
        <v>13</v>
      </c>
      <c r="J677" s="22" t="n">
        <f aca="false">I677*Assumptions!B24</f>
        <v>7800</v>
      </c>
      <c r="K677" s="21" t="n">
        <f aca="false">K676*(1+Assumptions!B30)</f>
        <v>16.3847874952821</v>
      </c>
      <c r="L677" s="16" t="n">
        <f aca="false">ROUND(K677*F677,0)</f>
        <v>10</v>
      </c>
      <c r="M677" s="22" t="n">
        <f aca="false">L677*Assumptions!B31</f>
        <v>3000</v>
      </c>
      <c r="N677" s="22" t="n">
        <f aca="false">J677+M677</f>
        <v>10800</v>
      </c>
      <c r="O677" s="22" t="n">
        <f aca="false">IF(DAY(B677)=1,Assumptions!B38*G677,0)</f>
        <v>0</v>
      </c>
      <c r="P677" s="22" t="n">
        <f aca="false">IF(DAY(B677)=1,Assumptions!B39*G677,0)</f>
        <v>0</v>
      </c>
      <c r="Q677" s="22" t="n">
        <f aca="false">IF(DAY(B677)=1,Assumptions!B40*G677,0)</f>
        <v>0</v>
      </c>
      <c r="R677" s="22" t="n">
        <f aca="false">IF(DAY(B677)=1,Assumptions!B41*G677,0)</f>
        <v>0</v>
      </c>
      <c r="S677" s="22" t="n">
        <f aca="false">IF(AND(DAY(B677)=1,D677&gt;=13),Assumptions!B42*G677,0)</f>
        <v>0</v>
      </c>
      <c r="T677" s="22" t="n">
        <f aca="false">IF(DAY(B677)=1,Assumptions!B43*G677,0)</f>
        <v>0</v>
      </c>
      <c r="U677" s="22" t="n">
        <f aca="false">SUM(O677:T677)</f>
        <v>0</v>
      </c>
      <c r="V677" s="22" t="n">
        <f aca="false">N677-U677</f>
        <v>10800</v>
      </c>
      <c r="W677" s="22" t="n">
        <f aca="false">W676+V677</f>
        <v>-2945497.30604461</v>
      </c>
      <c r="X677" s="23" t="str">
        <f aca="false">IF(W677&gt;=0,"YES","No")</f>
        <v>No</v>
      </c>
    </row>
    <row r="678" customFormat="false" ht="15" hidden="false" customHeight="false" outlineLevel="0" collapsed="false">
      <c r="A678" s="16" t="n">
        <v>677</v>
      </c>
      <c r="B678" s="17" t="n">
        <f aca="false">B677+1</f>
        <v>46699</v>
      </c>
      <c r="C678" s="18" t="n">
        <f aca="false">MIN(ROUNDUP(A678/365,0),5)</f>
        <v>2</v>
      </c>
      <c r="D678" s="18" t="n">
        <f aca="false">DATEDIF(Assumptions!B5,B678,"m")+1</f>
        <v>23</v>
      </c>
      <c r="E678" s="18" t="str">
        <f aca="false">TEXT(B678,"ddd")</f>
        <v>Mon</v>
      </c>
      <c r="F678" s="19" t="n">
        <f aca="false">IF(WEEKDAY(B678,2)&gt;=6,Assumptions!B34,Assumptions!B35)</f>
        <v>1</v>
      </c>
      <c r="G678" s="20" t="n">
        <f aca="false">IF(D678&gt;=13,(1+Assumptions!B46)^(D678-12),1)</f>
        <v>1.0334994818426</v>
      </c>
      <c r="H678" s="21" t="n">
        <f aca="false">H677*(1+IF(C678=1,Assumptions!B22,Assumptions!B23))</f>
        <v>21.9062077555169</v>
      </c>
      <c r="I678" s="16" t="n">
        <f aca="false">ROUND(H678*F678,0)</f>
        <v>22</v>
      </c>
      <c r="J678" s="22" t="n">
        <f aca="false">I678*Assumptions!B24</f>
        <v>13200</v>
      </c>
      <c r="K678" s="21" t="n">
        <f aca="false">K677*(1+Assumptions!B30)</f>
        <v>16.3901442858867</v>
      </c>
      <c r="L678" s="16" t="n">
        <f aca="false">ROUND(K678*F678,0)</f>
        <v>16</v>
      </c>
      <c r="M678" s="22" t="n">
        <f aca="false">L678*Assumptions!B31</f>
        <v>4800</v>
      </c>
      <c r="N678" s="22" t="n">
        <f aca="false">J678+M678</f>
        <v>18000</v>
      </c>
      <c r="O678" s="22" t="n">
        <f aca="false">IF(DAY(B678)=1,Assumptions!B38*G678,0)</f>
        <v>0</v>
      </c>
      <c r="P678" s="22" t="n">
        <f aca="false">IF(DAY(B678)=1,Assumptions!B39*G678,0)</f>
        <v>0</v>
      </c>
      <c r="Q678" s="22" t="n">
        <f aca="false">IF(DAY(B678)=1,Assumptions!B40*G678,0)</f>
        <v>0</v>
      </c>
      <c r="R678" s="22" t="n">
        <f aca="false">IF(DAY(B678)=1,Assumptions!B41*G678,0)</f>
        <v>0</v>
      </c>
      <c r="S678" s="22" t="n">
        <f aca="false">IF(AND(DAY(B678)=1,D678&gt;=13),Assumptions!B42*G678,0)</f>
        <v>0</v>
      </c>
      <c r="T678" s="22" t="n">
        <f aca="false">IF(DAY(B678)=1,Assumptions!B43*G678,0)</f>
        <v>0</v>
      </c>
      <c r="U678" s="22" t="n">
        <f aca="false">SUM(O678:T678)</f>
        <v>0</v>
      </c>
      <c r="V678" s="22" t="n">
        <f aca="false">N678-U678</f>
        <v>18000</v>
      </c>
      <c r="W678" s="22" t="n">
        <f aca="false">W677+V678</f>
        <v>-2927497.30604461</v>
      </c>
      <c r="X678" s="23" t="str">
        <f aca="false">IF(W678&gt;=0,"YES","No")</f>
        <v>No</v>
      </c>
    </row>
    <row r="679" customFormat="false" ht="15" hidden="false" customHeight="false" outlineLevel="0" collapsed="false">
      <c r="A679" s="16" t="n">
        <v>678</v>
      </c>
      <c r="B679" s="17" t="n">
        <f aca="false">B678+1</f>
        <v>46700</v>
      </c>
      <c r="C679" s="18" t="n">
        <f aca="false">MIN(ROUNDUP(A679/365,0),5)</f>
        <v>2</v>
      </c>
      <c r="D679" s="18" t="n">
        <f aca="false">DATEDIF(Assumptions!B5,B679,"m")+1</f>
        <v>23</v>
      </c>
      <c r="E679" s="18" t="str">
        <f aca="false">TEXT(B679,"ddd")</f>
        <v>Tue</v>
      </c>
      <c r="F679" s="19" t="n">
        <f aca="false">IF(WEEKDAY(B679,2)&gt;=6,Assumptions!B34,Assumptions!B35)</f>
        <v>1</v>
      </c>
      <c r="G679" s="20" t="n">
        <f aca="false">IF(D679&gt;=13,(1+Assumptions!B46)^(D679-12),1)</f>
        <v>1.0334994818426</v>
      </c>
      <c r="H679" s="21" t="n">
        <f aca="false">H678*(1+IF(C679=1,Assumptions!B22,Assumptions!B23))</f>
        <v>21.9097973439497</v>
      </c>
      <c r="I679" s="16" t="n">
        <f aca="false">ROUND(H679*F679,0)</f>
        <v>22</v>
      </c>
      <c r="J679" s="22" t="n">
        <f aca="false">I679*Assumptions!B24</f>
        <v>13200</v>
      </c>
      <c r="K679" s="21" t="n">
        <f aca="false">K678*(1+Assumptions!B30)</f>
        <v>16.3955028278235</v>
      </c>
      <c r="L679" s="16" t="n">
        <f aca="false">ROUND(K679*F679,0)</f>
        <v>16</v>
      </c>
      <c r="M679" s="22" t="n">
        <f aca="false">L679*Assumptions!B31</f>
        <v>4800</v>
      </c>
      <c r="N679" s="22" t="n">
        <f aca="false">J679+M679</f>
        <v>18000</v>
      </c>
      <c r="O679" s="22" t="n">
        <f aca="false">IF(DAY(B679)=1,Assumptions!B38*G679,0)</f>
        <v>0</v>
      </c>
      <c r="P679" s="22" t="n">
        <f aca="false">IF(DAY(B679)=1,Assumptions!B39*G679,0)</f>
        <v>0</v>
      </c>
      <c r="Q679" s="22" t="n">
        <f aca="false">IF(DAY(B679)=1,Assumptions!B40*G679,0)</f>
        <v>0</v>
      </c>
      <c r="R679" s="22" t="n">
        <f aca="false">IF(DAY(B679)=1,Assumptions!B41*G679,0)</f>
        <v>0</v>
      </c>
      <c r="S679" s="22" t="n">
        <f aca="false">IF(AND(DAY(B679)=1,D679&gt;=13),Assumptions!B42*G679,0)</f>
        <v>0</v>
      </c>
      <c r="T679" s="22" t="n">
        <f aca="false">IF(DAY(B679)=1,Assumptions!B43*G679,0)</f>
        <v>0</v>
      </c>
      <c r="U679" s="22" t="n">
        <f aca="false">SUM(O679:T679)</f>
        <v>0</v>
      </c>
      <c r="V679" s="22" t="n">
        <f aca="false">N679-U679</f>
        <v>18000</v>
      </c>
      <c r="W679" s="22" t="n">
        <f aca="false">W678+V679</f>
        <v>-2909497.30604461</v>
      </c>
      <c r="X679" s="23" t="str">
        <f aca="false">IF(W679&gt;=0,"YES","No")</f>
        <v>No</v>
      </c>
    </row>
    <row r="680" customFormat="false" ht="15" hidden="false" customHeight="false" outlineLevel="0" collapsed="false">
      <c r="A680" s="16" t="n">
        <v>679</v>
      </c>
      <c r="B680" s="17" t="n">
        <f aca="false">B679+1</f>
        <v>46701</v>
      </c>
      <c r="C680" s="18" t="n">
        <f aca="false">MIN(ROUNDUP(A680/365,0),5)</f>
        <v>2</v>
      </c>
      <c r="D680" s="18" t="n">
        <f aca="false">DATEDIF(Assumptions!B5,B680,"m")+1</f>
        <v>23</v>
      </c>
      <c r="E680" s="18" t="str">
        <f aca="false">TEXT(B680,"ddd")</f>
        <v>Wed</v>
      </c>
      <c r="F680" s="19" t="n">
        <f aca="false">IF(WEEKDAY(B680,2)&gt;=6,Assumptions!B34,Assumptions!B35)</f>
        <v>1</v>
      </c>
      <c r="G680" s="20" t="n">
        <f aca="false">IF(D680&gt;=13,(1+Assumptions!B46)^(D680-12),1)</f>
        <v>1.0334994818426</v>
      </c>
      <c r="H680" s="21" t="n">
        <f aca="false">H679*(1+IF(C680=1,Assumptions!B22,Assumptions!B23))</f>
        <v>21.9133875205787</v>
      </c>
      <c r="I680" s="16" t="n">
        <f aca="false">ROUND(H680*F680,0)</f>
        <v>22</v>
      </c>
      <c r="J680" s="22" t="n">
        <f aca="false">I680*Assumptions!B24</f>
        <v>13200</v>
      </c>
      <c r="K680" s="21" t="n">
        <f aca="false">K679*(1+Assumptions!B30)</f>
        <v>16.4008631216651</v>
      </c>
      <c r="L680" s="16" t="n">
        <f aca="false">ROUND(K680*F680,0)</f>
        <v>16</v>
      </c>
      <c r="M680" s="22" t="n">
        <f aca="false">L680*Assumptions!B31</f>
        <v>4800</v>
      </c>
      <c r="N680" s="22" t="n">
        <f aca="false">J680+M680</f>
        <v>18000</v>
      </c>
      <c r="O680" s="22" t="n">
        <f aca="false">IF(DAY(B680)=1,Assumptions!B38*G680,0)</f>
        <v>0</v>
      </c>
      <c r="P680" s="22" t="n">
        <f aca="false">IF(DAY(B680)=1,Assumptions!B39*G680,0)</f>
        <v>0</v>
      </c>
      <c r="Q680" s="22" t="n">
        <f aca="false">IF(DAY(B680)=1,Assumptions!B40*G680,0)</f>
        <v>0</v>
      </c>
      <c r="R680" s="22" t="n">
        <f aca="false">IF(DAY(B680)=1,Assumptions!B41*G680,0)</f>
        <v>0</v>
      </c>
      <c r="S680" s="22" t="n">
        <f aca="false">IF(AND(DAY(B680)=1,D680&gt;=13),Assumptions!B42*G680,0)</f>
        <v>0</v>
      </c>
      <c r="T680" s="22" t="n">
        <f aca="false">IF(DAY(B680)=1,Assumptions!B43*G680,0)</f>
        <v>0</v>
      </c>
      <c r="U680" s="22" t="n">
        <f aca="false">SUM(O680:T680)</f>
        <v>0</v>
      </c>
      <c r="V680" s="22" t="n">
        <f aca="false">N680-U680</f>
        <v>18000</v>
      </c>
      <c r="W680" s="22" t="n">
        <f aca="false">W679+V680</f>
        <v>-2891497.30604461</v>
      </c>
      <c r="X680" s="23" t="str">
        <f aca="false">IF(W680&gt;=0,"YES","No")</f>
        <v>No</v>
      </c>
    </row>
    <row r="681" customFormat="false" ht="15" hidden="false" customHeight="false" outlineLevel="0" collapsed="false">
      <c r="A681" s="16" t="n">
        <v>680</v>
      </c>
      <c r="B681" s="17" t="n">
        <f aca="false">B680+1</f>
        <v>46702</v>
      </c>
      <c r="C681" s="18" t="n">
        <f aca="false">MIN(ROUNDUP(A681/365,0),5)</f>
        <v>2</v>
      </c>
      <c r="D681" s="18" t="n">
        <f aca="false">DATEDIF(Assumptions!B5,B681,"m")+1</f>
        <v>23</v>
      </c>
      <c r="E681" s="18" t="str">
        <f aca="false">TEXT(B681,"ddd")</f>
        <v>Thu</v>
      </c>
      <c r="F681" s="19" t="n">
        <f aca="false">IF(WEEKDAY(B681,2)&gt;=6,Assumptions!B34,Assumptions!B35)</f>
        <v>1</v>
      </c>
      <c r="G681" s="20" t="n">
        <f aca="false">IF(D681&gt;=13,(1+Assumptions!B46)^(D681-12),1)</f>
        <v>1.0334994818426</v>
      </c>
      <c r="H681" s="21" t="n">
        <f aca="false">H680*(1+IF(C681=1,Assumptions!B22,Assumptions!B23))</f>
        <v>21.9169782855</v>
      </c>
      <c r="I681" s="16" t="n">
        <f aca="false">ROUND(H681*F681,0)</f>
        <v>22</v>
      </c>
      <c r="J681" s="22" t="n">
        <f aca="false">I681*Assumptions!B24</f>
        <v>13200</v>
      </c>
      <c r="K681" s="21" t="n">
        <f aca="false">K680*(1+Assumptions!B30)</f>
        <v>16.4062251679841</v>
      </c>
      <c r="L681" s="16" t="n">
        <f aca="false">ROUND(K681*F681,0)</f>
        <v>16</v>
      </c>
      <c r="M681" s="22" t="n">
        <f aca="false">L681*Assumptions!B31</f>
        <v>4800</v>
      </c>
      <c r="N681" s="22" t="n">
        <f aca="false">J681+M681</f>
        <v>18000</v>
      </c>
      <c r="O681" s="22" t="n">
        <f aca="false">IF(DAY(B681)=1,Assumptions!B38*G681,0)</f>
        <v>0</v>
      </c>
      <c r="P681" s="22" t="n">
        <f aca="false">IF(DAY(B681)=1,Assumptions!B39*G681,0)</f>
        <v>0</v>
      </c>
      <c r="Q681" s="22" t="n">
        <f aca="false">IF(DAY(B681)=1,Assumptions!B40*G681,0)</f>
        <v>0</v>
      </c>
      <c r="R681" s="22" t="n">
        <f aca="false">IF(DAY(B681)=1,Assumptions!B41*G681,0)</f>
        <v>0</v>
      </c>
      <c r="S681" s="22" t="n">
        <f aca="false">IF(AND(DAY(B681)=1,D681&gt;=13),Assumptions!B42*G681,0)</f>
        <v>0</v>
      </c>
      <c r="T681" s="22" t="n">
        <f aca="false">IF(DAY(B681)=1,Assumptions!B43*G681,0)</f>
        <v>0</v>
      </c>
      <c r="U681" s="22" t="n">
        <f aca="false">SUM(O681:T681)</f>
        <v>0</v>
      </c>
      <c r="V681" s="22" t="n">
        <f aca="false">N681-U681</f>
        <v>18000</v>
      </c>
      <c r="W681" s="22" t="n">
        <f aca="false">W680+V681</f>
        <v>-2873497.30604461</v>
      </c>
      <c r="X681" s="23" t="str">
        <f aca="false">IF(W681&gt;=0,"YES","No")</f>
        <v>No</v>
      </c>
    </row>
    <row r="682" customFormat="false" ht="15" hidden="false" customHeight="false" outlineLevel="0" collapsed="false">
      <c r="A682" s="16" t="n">
        <v>681</v>
      </c>
      <c r="B682" s="17" t="n">
        <f aca="false">B681+1</f>
        <v>46703</v>
      </c>
      <c r="C682" s="18" t="n">
        <f aca="false">MIN(ROUNDUP(A682/365,0),5)</f>
        <v>2</v>
      </c>
      <c r="D682" s="18" t="n">
        <f aca="false">DATEDIF(Assumptions!B5,B682,"m")+1</f>
        <v>23</v>
      </c>
      <c r="E682" s="18" t="str">
        <f aca="false">TEXT(B682,"ddd")</f>
        <v>Fri</v>
      </c>
      <c r="F682" s="19" t="n">
        <f aca="false">IF(WEEKDAY(B682,2)&gt;=6,Assumptions!B34,Assumptions!B35)</f>
        <v>1</v>
      </c>
      <c r="G682" s="20" t="n">
        <f aca="false">IF(D682&gt;=13,(1+Assumptions!B46)^(D682-12),1)</f>
        <v>1.0334994818426</v>
      </c>
      <c r="H682" s="21" t="n">
        <f aca="false">H681*(1+IF(C682=1,Assumptions!B22,Assumptions!B23))</f>
        <v>21.9205696388102</v>
      </c>
      <c r="I682" s="16" t="n">
        <f aca="false">ROUND(H682*F682,0)</f>
        <v>22</v>
      </c>
      <c r="J682" s="22" t="n">
        <f aca="false">I682*Assumptions!B24</f>
        <v>13200</v>
      </c>
      <c r="K682" s="21" t="n">
        <f aca="false">K681*(1+Assumptions!B30)</f>
        <v>16.4115889673537</v>
      </c>
      <c r="L682" s="16" t="n">
        <f aca="false">ROUND(K682*F682,0)</f>
        <v>16</v>
      </c>
      <c r="M682" s="22" t="n">
        <f aca="false">L682*Assumptions!B31</f>
        <v>4800</v>
      </c>
      <c r="N682" s="22" t="n">
        <f aca="false">J682+M682</f>
        <v>18000</v>
      </c>
      <c r="O682" s="22" t="n">
        <f aca="false">IF(DAY(B682)=1,Assumptions!B38*G682,0)</f>
        <v>0</v>
      </c>
      <c r="P682" s="22" t="n">
        <f aca="false">IF(DAY(B682)=1,Assumptions!B39*G682,0)</f>
        <v>0</v>
      </c>
      <c r="Q682" s="22" t="n">
        <f aca="false">IF(DAY(B682)=1,Assumptions!B40*G682,0)</f>
        <v>0</v>
      </c>
      <c r="R682" s="22" t="n">
        <f aca="false">IF(DAY(B682)=1,Assumptions!B41*G682,0)</f>
        <v>0</v>
      </c>
      <c r="S682" s="22" t="n">
        <f aca="false">IF(AND(DAY(B682)=1,D682&gt;=13),Assumptions!B42*G682,0)</f>
        <v>0</v>
      </c>
      <c r="T682" s="22" t="n">
        <f aca="false">IF(DAY(B682)=1,Assumptions!B43*G682,0)</f>
        <v>0</v>
      </c>
      <c r="U682" s="22" t="n">
        <f aca="false">SUM(O682:T682)</f>
        <v>0</v>
      </c>
      <c r="V682" s="22" t="n">
        <f aca="false">N682-U682</f>
        <v>18000</v>
      </c>
      <c r="W682" s="22" t="n">
        <f aca="false">W681+V682</f>
        <v>-2855497.30604461</v>
      </c>
      <c r="X682" s="23" t="str">
        <f aca="false">IF(W682&gt;=0,"YES","No")</f>
        <v>No</v>
      </c>
    </row>
    <row r="683" customFormat="false" ht="15" hidden="false" customHeight="false" outlineLevel="0" collapsed="false">
      <c r="A683" s="16" t="n">
        <v>682</v>
      </c>
      <c r="B683" s="17" t="n">
        <f aca="false">B682+1</f>
        <v>46704</v>
      </c>
      <c r="C683" s="18" t="n">
        <f aca="false">MIN(ROUNDUP(A683/365,0),5)</f>
        <v>2</v>
      </c>
      <c r="D683" s="18" t="n">
        <f aca="false">DATEDIF(Assumptions!B5,B683,"m")+1</f>
        <v>23</v>
      </c>
      <c r="E683" s="18" t="str">
        <f aca="false">TEXT(B683,"ddd")</f>
        <v>Sat</v>
      </c>
      <c r="F683" s="19" t="n">
        <f aca="false">IF(WEEKDAY(B683,2)&gt;=6,Assumptions!B34,Assumptions!B35)</f>
        <v>0.6</v>
      </c>
      <c r="G683" s="20" t="n">
        <f aca="false">IF(D683&gt;=13,(1+Assumptions!B46)^(D683-12),1)</f>
        <v>1.0334994818426</v>
      </c>
      <c r="H683" s="21" t="n">
        <f aca="false">H682*(1+IF(C683=1,Assumptions!B22,Assumptions!B23))</f>
        <v>21.9241615806057</v>
      </c>
      <c r="I683" s="16" t="n">
        <f aca="false">ROUND(H683*F683,0)</f>
        <v>13</v>
      </c>
      <c r="J683" s="22" t="n">
        <f aca="false">I683*Assumptions!B24</f>
        <v>7800</v>
      </c>
      <c r="K683" s="21" t="n">
        <f aca="false">K682*(1+Assumptions!B30)</f>
        <v>16.4169545203468</v>
      </c>
      <c r="L683" s="16" t="n">
        <f aca="false">ROUND(K683*F683,0)</f>
        <v>10</v>
      </c>
      <c r="M683" s="22" t="n">
        <f aca="false">L683*Assumptions!B31</f>
        <v>3000</v>
      </c>
      <c r="N683" s="22" t="n">
        <f aca="false">J683+M683</f>
        <v>10800</v>
      </c>
      <c r="O683" s="22" t="n">
        <f aca="false">IF(DAY(B683)=1,Assumptions!B38*G683,0)</f>
        <v>0</v>
      </c>
      <c r="P683" s="22" t="n">
        <f aca="false">IF(DAY(B683)=1,Assumptions!B39*G683,0)</f>
        <v>0</v>
      </c>
      <c r="Q683" s="22" t="n">
        <f aca="false">IF(DAY(B683)=1,Assumptions!B40*G683,0)</f>
        <v>0</v>
      </c>
      <c r="R683" s="22" t="n">
        <f aca="false">IF(DAY(B683)=1,Assumptions!B41*G683,0)</f>
        <v>0</v>
      </c>
      <c r="S683" s="22" t="n">
        <f aca="false">IF(AND(DAY(B683)=1,D683&gt;=13),Assumptions!B42*G683,0)</f>
        <v>0</v>
      </c>
      <c r="T683" s="22" t="n">
        <f aca="false">IF(DAY(B683)=1,Assumptions!B43*G683,0)</f>
        <v>0</v>
      </c>
      <c r="U683" s="22" t="n">
        <f aca="false">SUM(O683:T683)</f>
        <v>0</v>
      </c>
      <c r="V683" s="22" t="n">
        <f aca="false">N683-U683</f>
        <v>10800</v>
      </c>
      <c r="W683" s="22" t="n">
        <f aca="false">W682+V683</f>
        <v>-2844697.30604461</v>
      </c>
      <c r="X683" s="23" t="str">
        <f aca="false">IF(W683&gt;=0,"YES","No")</f>
        <v>No</v>
      </c>
    </row>
    <row r="684" customFormat="false" ht="15" hidden="false" customHeight="false" outlineLevel="0" collapsed="false">
      <c r="A684" s="16" t="n">
        <v>683</v>
      </c>
      <c r="B684" s="17" t="n">
        <f aca="false">B683+1</f>
        <v>46705</v>
      </c>
      <c r="C684" s="18" t="n">
        <f aca="false">MIN(ROUNDUP(A684/365,0),5)</f>
        <v>2</v>
      </c>
      <c r="D684" s="18" t="n">
        <f aca="false">DATEDIF(Assumptions!B5,B684,"m")+1</f>
        <v>23</v>
      </c>
      <c r="E684" s="18" t="str">
        <f aca="false">TEXT(B684,"ddd")</f>
        <v>Sun</v>
      </c>
      <c r="F684" s="19" t="n">
        <f aca="false">IF(WEEKDAY(B684,2)&gt;=6,Assumptions!B34,Assumptions!B35)</f>
        <v>0.6</v>
      </c>
      <c r="G684" s="20" t="n">
        <f aca="false">IF(D684&gt;=13,(1+Assumptions!B46)^(D684-12),1)</f>
        <v>1.0334994818426</v>
      </c>
      <c r="H684" s="21" t="n">
        <f aca="false">H683*(1+IF(C684=1,Assumptions!B22,Assumptions!B23))</f>
        <v>21.9277541109828</v>
      </c>
      <c r="I684" s="16" t="n">
        <f aca="false">ROUND(H684*F684,0)</f>
        <v>13</v>
      </c>
      <c r="J684" s="22" t="n">
        <f aca="false">I684*Assumptions!B24</f>
        <v>7800</v>
      </c>
      <c r="K684" s="21" t="n">
        <f aca="false">K683*(1+Assumptions!B30)</f>
        <v>16.4223218275368</v>
      </c>
      <c r="L684" s="16" t="n">
        <f aca="false">ROUND(K684*F684,0)</f>
        <v>10</v>
      </c>
      <c r="M684" s="22" t="n">
        <f aca="false">L684*Assumptions!B31</f>
        <v>3000</v>
      </c>
      <c r="N684" s="22" t="n">
        <f aca="false">J684+M684</f>
        <v>10800</v>
      </c>
      <c r="O684" s="22" t="n">
        <f aca="false">IF(DAY(B684)=1,Assumptions!B38*G684,0)</f>
        <v>0</v>
      </c>
      <c r="P684" s="22" t="n">
        <f aca="false">IF(DAY(B684)=1,Assumptions!B39*G684,0)</f>
        <v>0</v>
      </c>
      <c r="Q684" s="22" t="n">
        <f aca="false">IF(DAY(B684)=1,Assumptions!B40*G684,0)</f>
        <v>0</v>
      </c>
      <c r="R684" s="22" t="n">
        <f aca="false">IF(DAY(B684)=1,Assumptions!B41*G684,0)</f>
        <v>0</v>
      </c>
      <c r="S684" s="22" t="n">
        <f aca="false">IF(AND(DAY(B684)=1,D684&gt;=13),Assumptions!B42*G684,0)</f>
        <v>0</v>
      </c>
      <c r="T684" s="22" t="n">
        <f aca="false">IF(DAY(B684)=1,Assumptions!B43*G684,0)</f>
        <v>0</v>
      </c>
      <c r="U684" s="22" t="n">
        <f aca="false">SUM(O684:T684)</f>
        <v>0</v>
      </c>
      <c r="V684" s="22" t="n">
        <f aca="false">N684-U684</f>
        <v>10800</v>
      </c>
      <c r="W684" s="22" t="n">
        <f aca="false">W683+V684</f>
        <v>-2833897.30604461</v>
      </c>
      <c r="X684" s="23" t="str">
        <f aca="false">IF(W684&gt;=0,"YES","No")</f>
        <v>No</v>
      </c>
    </row>
    <row r="685" customFormat="false" ht="15" hidden="false" customHeight="false" outlineLevel="0" collapsed="false">
      <c r="A685" s="16" t="n">
        <v>684</v>
      </c>
      <c r="B685" s="17" t="n">
        <f aca="false">B684+1</f>
        <v>46706</v>
      </c>
      <c r="C685" s="18" t="n">
        <f aca="false">MIN(ROUNDUP(A685/365,0),5)</f>
        <v>2</v>
      </c>
      <c r="D685" s="18" t="n">
        <f aca="false">DATEDIF(Assumptions!B5,B685,"m")+1</f>
        <v>23</v>
      </c>
      <c r="E685" s="18" t="str">
        <f aca="false">TEXT(B685,"ddd")</f>
        <v>Mon</v>
      </c>
      <c r="F685" s="19" t="n">
        <f aca="false">IF(WEEKDAY(B685,2)&gt;=6,Assumptions!B34,Assumptions!B35)</f>
        <v>1</v>
      </c>
      <c r="G685" s="20" t="n">
        <f aca="false">IF(D685&gt;=13,(1+Assumptions!B46)^(D685-12),1)</f>
        <v>1.0334994818426</v>
      </c>
      <c r="H685" s="21" t="n">
        <f aca="false">H684*(1+IF(C685=1,Assumptions!B22,Assumptions!B23))</f>
        <v>21.9313472300381</v>
      </c>
      <c r="I685" s="16" t="n">
        <f aca="false">ROUND(H685*F685,0)</f>
        <v>22</v>
      </c>
      <c r="J685" s="22" t="n">
        <f aca="false">I685*Assumptions!B24</f>
        <v>13200</v>
      </c>
      <c r="K685" s="21" t="n">
        <f aca="false">K684*(1+Assumptions!B30)</f>
        <v>16.4276908894973</v>
      </c>
      <c r="L685" s="16" t="n">
        <f aca="false">ROUND(K685*F685,0)</f>
        <v>16</v>
      </c>
      <c r="M685" s="22" t="n">
        <f aca="false">L685*Assumptions!B31</f>
        <v>4800</v>
      </c>
      <c r="N685" s="22" t="n">
        <f aca="false">J685+M685</f>
        <v>18000</v>
      </c>
      <c r="O685" s="22" t="n">
        <f aca="false">IF(DAY(B685)=1,Assumptions!B38*G685,0)</f>
        <v>0</v>
      </c>
      <c r="P685" s="22" t="n">
        <f aca="false">IF(DAY(B685)=1,Assumptions!B39*G685,0)</f>
        <v>0</v>
      </c>
      <c r="Q685" s="22" t="n">
        <f aca="false">IF(DAY(B685)=1,Assumptions!B40*G685,0)</f>
        <v>0</v>
      </c>
      <c r="R685" s="22" t="n">
        <f aca="false">IF(DAY(B685)=1,Assumptions!B41*G685,0)</f>
        <v>0</v>
      </c>
      <c r="S685" s="22" t="n">
        <f aca="false">IF(AND(DAY(B685)=1,D685&gt;=13),Assumptions!B42*G685,0)</f>
        <v>0</v>
      </c>
      <c r="T685" s="22" t="n">
        <f aca="false">IF(DAY(B685)=1,Assumptions!B43*G685,0)</f>
        <v>0</v>
      </c>
      <c r="U685" s="22" t="n">
        <f aca="false">SUM(O685:T685)</f>
        <v>0</v>
      </c>
      <c r="V685" s="22" t="n">
        <f aca="false">N685-U685</f>
        <v>18000</v>
      </c>
      <c r="W685" s="22" t="n">
        <f aca="false">W684+V685</f>
        <v>-2815897.30604461</v>
      </c>
      <c r="X685" s="23" t="str">
        <f aca="false">IF(W685&gt;=0,"YES","No")</f>
        <v>No</v>
      </c>
    </row>
    <row r="686" customFormat="false" ht="15" hidden="false" customHeight="false" outlineLevel="0" collapsed="false">
      <c r="A686" s="16" t="n">
        <v>685</v>
      </c>
      <c r="B686" s="17" t="n">
        <f aca="false">B685+1</f>
        <v>46707</v>
      </c>
      <c r="C686" s="18" t="n">
        <f aca="false">MIN(ROUNDUP(A686/365,0),5)</f>
        <v>2</v>
      </c>
      <c r="D686" s="18" t="n">
        <f aca="false">DATEDIF(Assumptions!B5,B686,"m")+1</f>
        <v>23</v>
      </c>
      <c r="E686" s="18" t="str">
        <f aca="false">TEXT(B686,"ddd")</f>
        <v>Tue</v>
      </c>
      <c r="F686" s="19" t="n">
        <f aca="false">IF(WEEKDAY(B686,2)&gt;=6,Assumptions!B34,Assumptions!B35)</f>
        <v>1</v>
      </c>
      <c r="G686" s="20" t="n">
        <f aca="false">IF(D686&gt;=13,(1+Assumptions!B46)^(D686-12),1)</f>
        <v>1.0334994818426</v>
      </c>
      <c r="H686" s="21" t="n">
        <f aca="false">H685*(1+IF(C686=1,Assumptions!B22,Assumptions!B23))</f>
        <v>21.934940937868</v>
      </c>
      <c r="I686" s="16" t="n">
        <f aca="false">ROUND(H686*F686,0)</f>
        <v>22</v>
      </c>
      <c r="J686" s="22" t="n">
        <f aca="false">I686*Assumptions!B24</f>
        <v>13200</v>
      </c>
      <c r="K686" s="21" t="n">
        <f aca="false">K685*(1+Assumptions!B30)</f>
        <v>16.4330617068019</v>
      </c>
      <c r="L686" s="16" t="n">
        <f aca="false">ROUND(K686*F686,0)</f>
        <v>16</v>
      </c>
      <c r="M686" s="22" t="n">
        <f aca="false">L686*Assumptions!B31</f>
        <v>4800</v>
      </c>
      <c r="N686" s="22" t="n">
        <f aca="false">J686+M686</f>
        <v>18000</v>
      </c>
      <c r="O686" s="22" t="n">
        <f aca="false">IF(DAY(B686)=1,Assumptions!B38*G686,0)</f>
        <v>0</v>
      </c>
      <c r="P686" s="22" t="n">
        <f aca="false">IF(DAY(B686)=1,Assumptions!B39*G686,0)</f>
        <v>0</v>
      </c>
      <c r="Q686" s="22" t="n">
        <f aca="false">IF(DAY(B686)=1,Assumptions!B40*G686,0)</f>
        <v>0</v>
      </c>
      <c r="R686" s="22" t="n">
        <f aca="false">IF(DAY(B686)=1,Assumptions!B41*G686,0)</f>
        <v>0</v>
      </c>
      <c r="S686" s="22" t="n">
        <f aca="false">IF(AND(DAY(B686)=1,D686&gt;=13),Assumptions!B42*G686,0)</f>
        <v>0</v>
      </c>
      <c r="T686" s="22" t="n">
        <f aca="false">IF(DAY(B686)=1,Assumptions!B43*G686,0)</f>
        <v>0</v>
      </c>
      <c r="U686" s="22" t="n">
        <f aca="false">SUM(O686:T686)</f>
        <v>0</v>
      </c>
      <c r="V686" s="22" t="n">
        <f aca="false">N686-U686</f>
        <v>18000</v>
      </c>
      <c r="W686" s="22" t="n">
        <f aca="false">W685+V686</f>
        <v>-2797897.30604461</v>
      </c>
      <c r="X686" s="23" t="str">
        <f aca="false">IF(W686&gt;=0,"YES","No")</f>
        <v>No</v>
      </c>
    </row>
    <row r="687" customFormat="false" ht="15" hidden="false" customHeight="false" outlineLevel="0" collapsed="false">
      <c r="A687" s="16" t="n">
        <v>686</v>
      </c>
      <c r="B687" s="17" t="n">
        <f aca="false">B686+1</f>
        <v>46708</v>
      </c>
      <c r="C687" s="18" t="n">
        <f aca="false">MIN(ROUNDUP(A687/365,0),5)</f>
        <v>2</v>
      </c>
      <c r="D687" s="18" t="n">
        <f aca="false">DATEDIF(Assumptions!B5,B687,"m")+1</f>
        <v>23</v>
      </c>
      <c r="E687" s="18" t="str">
        <f aca="false">TEXT(B687,"ddd")</f>
        <v>Wed</v>
      </c>
      <c r="F687" s="19" t="n">
        <f aca="false">IF(WEEKDAY(B687,2)&gt;=6,Assumptions!B34,Assumptions!B35)</f>
        <v>1</v>
      </c>
      <c r="G687" s="20" t="n">
        <f aca="false">IF(D687&gt;=13,(1+Assumptions!B46)^(D687-12),1)</f>
        <v>1.0334994818426</v>
      </c>
      <c r="H687" s="21" t="n">
        <f aca="false">H686*(1+IF(C687=1,Assumptions!B22,Assumptions!B23))</f>
        <v>21.938535234569</v>
      </c>
      <c r="I687" s="16" t="n">
        <f aca="false">ROUND(H687*F687,0)</f>
        <v>22</v>
      </c>
      <c r="J687" s="22" t="n">
        <f aca="false">I687*Assumptions!B24</f>
        <v>13200</v>
      </c>
      <c r="K687" s="21" t="n">
        <f aca="false">K686*(1+Assumptions!B30)</f>
        <v>16.4384342800246</v>
      </c>
      <c r="L687" s="16" t="n">
        <f aca="false">ROUND(K687*F687,0)</f>
        <v>16</v>
      </c>
      <c r="M687" s="22" t="n">
        <f aca="false">L687*Assumptions!B31</f>
        <v>4800</v>
      </c>
      <c r="N687" s="22" t="n">
        <f aca="false">J687+M687</f>
        <v>18000</v>
      </c>
      <c r="O687" s="22" t="n">
        <f aca="false">IF(DAY(B687)=1,Assumptions!B38*G687,0)</f>
        <v>0</v>
      </c>
      <c r="P687" s="22" t="n">
        <f aca="false">IF(DAY(B687)=1,Assumptions!B39*G687,0)</f>
        <v>0</v>
      </c>
      <c r="Q687" s="22" t="n">
        <f aca="false">IF(DAY(B687)=1,Assumptions!B40*G687,0)</f>
        <v>0</v>
      </c>
      <c r="R687" s="22" t="n">
        <f aca="false">IF(DAY(B687)=1,Assumptions!B41*G687,0)</f>
        <v>0</v>
      </c>
      <c r="S687" s="22" t="n">
        <f aca="false">IF(AND(DAY(B687)=1,D687&gt;=13),Assumptions!B42*G687,0)</f>
        <v>0</v>
      </c>
      <c r="T687" s="22" t="n">
        <f aca="false">IF(DAY(B687)=1,Assumptions!B43*G687,0)</f>
        <v>0</v>
      </c>
      <c r="U687" s="22" t="n">
        <f aca="false">SUM(O687:T687)</f>
        <v>0</v>
      </c>
      <c r="V687" s="22" t="n">
        <f aca="false">N687-U687</f>
        <v>18000</v>
      </c>
      <c r="W687" s="22" t="n">
        <f aca="false">W686+V687</f>
        <v>-2779897.30604461</v>
      </c>
      <c r="X687" s="23" t="str">
        <f aca="false">IF(W687&gt;=0,"YES","No")</f>
        <v>No</v>
      </c>
    </row>
    <row r="688" customFormat="false" ht="15" hidden="false" customHeight="false" outlineLevel="0" collapsed="false">
      <c r="A688" s="16" t="n">
        <v>687</v>
      </c>
      <c r="B688" s="17" t="n">
        <f aca="false">B687+1</f>
        <v>46709</v>
      </c>
      <c r="C688" s="18" t="n">
        <f aca="false">MIN(ROUNDUP(A688/365,0),5)</f>
        <v>2</v>
      </c>
      <c r="D688" s="18" t="n">
        <f aca="false">DATEDIF(Assumptions!B5,B688,"m")+1</f>
        <v>23</v>
      </c>
      <c r="E688" s="18" t="str">
        <f aca="false">TEXT(B688,"ddd")</f>
        <v>Thu</v>
      </c>
      <c r="F688" s="19" t="n">
        <f aca="false">IF(WEEKDAY(B688,2)&gt;=6,Assumptions!B34,Assumptions!B35)</f>
        <v>1</v>
      </c>
      <c r="G688" s="20" t="n">
        <f aca="false">IF(D688&gt;=13,(1+Assumptions!B46)^(D688-12),1)</f>
        <v>1.0334994818426</v>
      </c>
      <c r="H688" s="21" t="n">
        <f aca="false">H687*(1+IF(C688=1,Assumptions!B22,Assumptions!B23))</f>
        <v>21.9421301202375</v>
      </c>
      <c r="I688" s="16" t="n">
        <f aca="false">ROUND(H688*F688,0)</f>
        <v>22</v>
      </c>
      <c r="J688" s="22" t="n">
        <f aca="false">I688*Assumptions!B24</f>
        <v>13200</v>
      </c>
      <c r="K688" s="21" t="n">
        <f aca="false">K687*(1+Assumptions!B30)</f>
        <v>16.4438086097393</v>
      </c>
      <c r="L688" s="16" t="n">
        <f aca="false">ROUND(K688*F688,0)</f>
        <v>16</v>
      </c>
      <c r="M688" s="22" t="n">
        <f aca="false">L688*Assumptions!B31</f>
        <v>4800</v>
      </c>
      <c r="N688" s="22" t="n">
        <f aca="false">J688+M688</f>
        <v>18000</v>
      </c>
      <c r="O688" s="22" t="n">
        <f aca="false">IF(DAY(B688)=1,Assumptions!B38*G688,0)</f>
        <v>0</v>
      </c>
      <c r="P688" s="22" t="n">
        <f aca="false">IF(DAY(B688)=1,Assumptions!B39*G688,0)</f>
        <v>0</v>
      </c>
      <c r="Q688" s="22" t="n">
        <f aca="false">IF(DAY(B688)=1,Assumptions!B40*G688,0)</f>
        <v>0</v>
      </c>
      <c r="R688" s="22" t="n">
        <f aca="false">IF(DAY(B688)=1,Assumptions!B41*G688,0)</f>
        <v>0</v>
      </c>
      <c r="S688" s="22" t="n">
        <f aca="false">IF(AND(DAY(B688)=1,D688&gt;=13),Assumptions!B42*G688,0)</f>
        <v>0</v>
      </c>
      <c r="T688" s="22" t="n">
        <f aca="false">IF(DAY(B688)=1,Assumptions!B43*G688,0)</f>
        <v>0</v>
      </c>
      <c r="U688" s="22" t="n">
        <f aca="false">SUM(O688:T688)</f>
        <v>0</v>
      </c>
      <c r="V688" s="22" t="n">
        <f aca="false">N688-U688</f>
        <v>18000</v>
      </c>
      <c r="W688" s="22" t="n">
        <f aca="false">W687+V688</f>
        <v>-2761897.30604461</v>
      </c>
      <c r="X688" s="23" t="str">
        <f aca="false">IF(W688&gt;=0,"YES","No")</f>
        <v>No</v>
      </c>
    </row>
    <row r="689" customFormat="false" ht="15" hidden="false" customHeight="false" outlineLevel="0" collapsed="false">
      <c r="A689" s="16" t="n">
        <v>688</v>
      </c>
      <c r="B689" s="17" t="n">
        <f aca="false">B688+1</f>
        <v>46710</v>
      </c>
      <c r="C689" s="18" t="n">
        <f aca="false">MIN(ROUNDUP(A689/365,0),5)</f>
        <v>2</v>
      </c>
      <c r="D689" s="18" t="n">
        <f aca="false">DATEDIF(Assumptions!B5,B689,"m")+1</f>
        <v>23</v>
      </c>
      <c r="E689" s="18" t="str">
        <f aca="false">TEXT(B689,"ddd")</f>
        <v>Fri</v>
      </c>
      <c r="F689" s="19" t="n">
        <f aca="false">IF(WEEKDAY(B689,2)&gt;=6,Assumptions!B34,Assumptions!B35)</f>
        <v>1</v>
      </c>
      <c r="G689" s="20" t="n">
        <f aca="false">IF(D689&gt;=13,(1+Assumptions!B46)^(D689-12),1)</f>
        <v>1.0334994818426</v>
      </c>
      <c r="H689" s="21" t="n">
        <f aca="false">H688*(1+IF(C689=1,Assumptions!B22,Assumptions!B23))</f>
        <v>21.9457255949701</v>
      </c>
      <c r="I689" s="16" t="n">
        <f aca="false">ROUND(H689*F689,0)</f>
        <v>22</v>
      </c>
      <c r="J689" s="22" t="n">
        <f aca="false">I689*Assumptions!B24</f>
        <v>13200</v>
      </c>
      <c r="K689" s="21" t="n">
        <f aca="false">K688*(1+Assumptions!B30)</f>
        <v>16.4491846965205</v>
      </c>
      <c r="L689" s="16" t="n">
        <f aca="false">ROUND(K689*F689,0)</f>
        <v>16</v>
      </c>
      <c r="M689" s="22" t="n">
        <f aca="false">L689*Assumptions!B31</f>
        <v>4800</v>
      </c>
      <c r="N689" s="22" t="n">
        <f aca="false">J689+M689</f>
        <v>18000</v>
      </c>
      <c r="O689" s="22" t="n">
        <f aca="false">IF(DAY(B689)=1,Assumptions!B38*G689,0)</f>
        <v>0</v>
      </c>
      <c r="P689" s="22" t="n">
        <f aca="false">IF(DAY(B689)=1,Assumptions!B39*G689,0)</f>
        <v>0</v>
      </c>
      <c r="Q689" s="22" t="n">
        <f aca="false">IF(DAY(B689)=1,Assumptions!B40*G689,0)</f>
        <v>0</v>
      </c>
      <c r="R689" s="22" t="n">
        <f aca="false">IF(DAY(B689)=1,Assumptions!B41*G689,0)</f>
        <v>0</v>
      </c>
      <c r="S689" s="22" t="n">
        <f aca="false">IF(AND(DAY(B689)=1,D689&gt;=13),Assumptions!B42*G689,0)</f>
        <v>0</v>
      </c>
      <c r="T689" s="22" t="n">
        <f aca="false">IF(DAY(B689)=1,Assumptions!B43*G689,0)</f>
        <v>0</v>
      </c>
      <c r="U689" s="22" t="n">
        <f aca="false">SUM(O689:T689)</f>
        <v>0</v>
      </c>
      <c r="V689" s="22" t="n">
        <f aca="false">N689-U689</f>
        <v>18000</v>
      </c>
      <c r="W689" s="22" t="n">
        <f aca="false">W688+V689</f>
        <v>-2743897.30604461</v>
      </c>
      <c r="X689" s="23" t="str">
        <f aca="false">IF(W689&gt;=0,"YES","No")</f>
        <v>No</v>
      </c>
    </row>
    <row r="690" customFormat="false" ht="15" hidden="false" customHeight="false" outlineLevel="0" collapsed="false">
      <c r="A690" s="16" t="n">
        <v>689</v>
      </c>
      <c r="B690" s="17" t="n">
        <f aca="false">B689+1</f>
        <v>46711</v>
      </c>
      <c r="C690" s="18" t="n">
        <f aca="false">MIN(ROUNDUP(A690/365,0),5)</f>
        <v>2</v>
      </c>
      <c r="D690" s="18" t="n">
        <f aca="false">DATEDIF(Assumptions!B5,B690,"m")+1</f>
        <v>23</v>
      </c>
      <c r="E690" s="18" t="str">
        <f aca="false">TEXT(B690,"ddd")</f>
        <v>Sat</v>
      </c>
      <c r="F690" s="19" t="n">
        <f aca="false">IF(WEEKDAY(B690,2)&gt;=6,Assumptions!B34,Assumptions!B35)</f>
        <v>0.6</v>
      </c>
      <c r="G690" s="20" t="n">
        <f aca="false">IF(D690&gt;=13,(1+Assumptions!B46)^(D690-12),1)</f>
        <v>1.0334994818426</v>
      </c>
      <c r="H690" s="21" t="n">
        <f aca="false">H689*(1+IF(C690=1,Assumptions!B22,Assumptions!B23))</f>
        <v>21.9493216588633</v>
      </c>
      <c r="I690" s="16" t="n">
        <f aca="false">ROUND(H690*F690,0)</f>
        <v>13</v>
      </c>
      <c r="J690" s="22" t="n">
        <f aca="false">I690*Assumptions!B24</f>
        <v>7800</v>
      </c>
      <c r="K690" s="21" t="n">
        <f aca="false">K689*(1+Assumptions!B30)</f>
        <v>16.4545625409424</v>
      </c>
      <c r="L690" s="16" t="n">
        <f aca="false">ROUND(K690*F690,0)</f>
        <v>10</v>
      </c>
      <c r="M690" s="22" t="n">
        <f aca="false">L690*Assumptions!B31</f>
        <v>3000</v>
      </c>
      <c r="N690" s="22" t="n">
        <f aca="false">J690+M690</f>
        <v>10800</v>
      </c>
      <c r="O690" s="22" t="n">
        <f aca="false">IF(DAY(B690)=1,Assumptions!B38*G690,0)</f>
        <v>0</v>
      </c>
      <c r="P690" s="22" t="n">
        <f aca="false">IF(DAY(B690)=1,Assumptions!B39*G690,0)</f>
        <v>0</v>
      </c>
      <c r="Q690" s="22" t="n">
        <f aca="false">IF(DAY(B690)=1,Assumptions!B40*G690,0)</f>
        <v>0</v>
      </c>
      <c r="R690" s="22" t="n">
        <f aca="false">IF(DAY(B690)=1,Assumptions!B41*G690,0)</f>
        <v>0</v>
      </c>
      <c r="S690" s="22" t="n">
        <f aca="false">IF(AND(DAY(B690)=1,D690&gt;=13),Assumptions!B42*G690,0)</f>
        <v>0</v>
      </c>
      <c r="T690" s="22" t="n">
        <f aca="false">IF(DAY(B690)=1,Assumptions!B43*G690,0)</f>
        <v>0</v>
      </c>
      <c r="U690" s="22" t="n">
        <f aca="false">SUM(O690:T690)</f>
        <v>0</v>
      </c>
      <c r="V690" s="22" t="n">
        <f aca="false">N690-U690</f>
        <v>10800</v>
      </c>
      <c r="W690" s="22" t="n">
        <f aca="false">W689+V690</f>
        <v>-2733097.30604461</v>
      </c>
      <c r="X690" s="23" t="str">
        <f aca="false">IF(W690&gt;=0,"YES","No")</f>
        <v>No</v>
      </c>
    </row>
    <row r="691" customFormat="false" ht="15" hidden="false" customHeight="false" outlineLevel="0" collapsed="false">
      <c r="A691" s="16" t="n">
        <v>690</v>
      </c>
      <c r="B691" s="17" t="n">
        <f aca="false">B690+1</f>
        <v>46712</v>
      </c>
      <c r="C691" s="18" t="n">
        <f aca="false">MIN(ROUNDUP(A691/365,0),5)</f>
        <v>2</v>
      </c>
      <c r="D691" s="18" t="n">
        <f aca="false">DATEDIF(Assumptions!B5,B691,"m")+1</f>
        <v>23</v>
      </c>
      <c r="E691" s="18" t="str">
        <f aca="false">TEXT(B691,"ddd")</f>
        <v>Sun</v>
      </c>
      <c r="F691" s="19" t="n">
        <f aca="false">IF(WEEKDAY(B691,2)&gt;=6,Assumptions!B34,Assumptions!B35)</f>
        <v>0.6</v>
      </c>
      <c r="G691" s="20" t="n">
        <f aca="false">IF(D691&gt;=13,(1+Assumptions!B46)^(D691-12),1)</f>
        <v>1.0334994818426</v>
      </c>
      <c r="H691" s="21" t="n">
        <f aca="false">H690*(1+IF(C691=1,Assumptions!B22,Assumptions!B23))</f>
        <v>21.9529183120136</v>
      </c>
      <c r="I691" s="16" t="n">
        <f aca="false">ROUND(H691*F691,0)</f>
        <v>13</v>
      </c>
      <c r="J691" s="22" t="n">
        <f aca="false">I691*Assumptions!B24</f>
        <v>7800</v>
      </c>
      <c r="K691" s="21" t="n">
        <f aca="false">K690*(1+Assumptions!B30)</f>
        <v>16.4599421435797</v>
      </c>
      <c r="L691" s="16" t="n">
        <f aca="false">ROUND(K691*F691,0)</f>
        <v>10</v>
      </c>
      <c r="M691" s="22" t="n">
        <f aca="false">L691*Assumptions!B31</f>
        <v>3000</v>
      </c>
      <c r="N691" s="22" t="n">
        <f aca="false">J691+M691</f>
        <v>10800</v>
      </c>
      <c r="O691" s="22" t="n">
        <f aca="false">IF(DAY(B691)=1,Assumptions!B38*G691,0)</f>
        <v>0</v>
      </c>
      <c r="P691" s="22" t="n">
        <f aca="false">IF(DAY(B691)=1,Assumptions!B39*G691,0)</f>
        <v>0</v>
      </c>
      <c r="Q691" s="22" t="n">
        <f aca="false">IF(DAY(B691)=1,Assumptions!B40*G691,0)</f>
        <v>0</v>
      </c>
      <c r="R691" s="22" t="n">
        <f aca="false">IF(DAY(B691)=1,Assumptions!B41*G691,0)</f>
        <v>0</v>
      </c>
      <c r="S691" s="22" t="n">
        <f aca="false">IF(AND(DAY(B691)=1,D691&gt;=13),Assumptions!B42*G691,0)</f>
        <v>0</v>
      </c>
      <c r="T691" s="22" t="n">
        <f aca="false">IF(DAY(B691)=1,Assumptions!B43*G691,0)</f>
        <v>0</v>
      </c>
      <c r="U691" s="22" t="n">
        <f aca="false">SUM(O691:T691)</f>
        <v>0</v>
      </c>
      <c r="V691" s="22" t="n">
        <f aca="false">N691-U691</f>
        <v>10800</v>
      </c>
      <c r="W691" s="22" t="n">
        <f aca="false">W690+V691</f>
        <v>-2722297.30604461</v>
      </c>
      <c r="X691" s="23" t="str">
        <f aca="false">IF(W691&gt;=0,"YES","No")</f>
        <v>No</v>
      </c>
    </row>
    <row r="692" customFormat="false" ht="15" hidden="false" customHeight="false" outlineLevel="0" collapsed="false">
      <c r="A692" s="16" t="n">
        <v>691</v>
      </c>
      <c r="B692" s="17" t="n">
        <f aca="false">B691+1</f>
        <v>46713</v>
      </c>
      <c r="C692" s="18" t="n">
        <f aca="false">MIN(ROUNDUP(A692/365,0),5)</f>
        <v>2</v>
      </c>
      <c r="D692" s="18" t="n">
        <f aca="false">DATEDIF(Assumptions!B5,B692,"m")+1</f>
        <v>23</v>
      </c>
      <c r="E692" s="18" t="str">
        <f aca="false">TEXT(B692,"ddd")</f>
        <v>Mon</v>
      </c>
      <c r="F692" s="19" t="n">
        <f aca="false">IF(WEEKDAY(B692,2)&gt;=6,Assumptions!B34,Assumptions!B35)</f>
        <v>1</v>
      </c>
      <c r="G692" s="20" t="n">
        <f aca="false">IF(D692&gt;=13,(1+Assumptions!B46)^(D692-12),1)</f>
        <v>1.0334994818426</v>
      </c>
      <c r="H692" s="21" t="n">
        <f aca="false">H691*(1+IF(C692=1,Assumptions!B22,Assumptions!B23))</f>
        <v>21.9565155545176</v>
      </c>
      <c r="I692" s="16" t="n">
        <f aca="false">ROUND(H692*F692,0)</f>
        <v>22</v>
      </c>
      <c r="J692" s="22" t="n">
        <f aca="false">I692*Assumptions!B24</f>
        <v>13200</v>
      </c>
      <c r="K692" s="21" t="n">
        <f aca="false">K691*(1+Assumptions!B30)</f>
        <v>16.4653235050074</v>
      </c>
      <c r="L692" s="16" t="n">
        <f aca="false">ROUND(K692*F692,0)</f>
        <v>16</v>
      </c>
      <c r="M692" s="22" t="n">
        <f aca="false">L692*Assumptions!B31</f>
        <v>4800</v>
      </c>
      <c r="N692" s="22" t="n">
        <f aca="false">J692+M692</f>
        <v>18000</v>
      </c>
      <c r="O692" s="22" t="n">
        <f aca="false">IF(DAY(B692)=1,Assumptions!B38*G692,0)</f>
        <v>0</v>
      </c>
      <c r="P692" s="22" t="n">
        <f aca="false">IF(DAY(B692)=1,Assumptions!B39*G692,0)</f>
        <v>0</v>
      </c>
      <c r="Q692" s="22" t="n">
        <f aca="false">IF(DAY(B692)=1,Assumptions!B40*G692,0)</f>
        <v>0</v>
      </c>
      <c r="R692" s="22" t="n">
        <f aca="false">IF(DAY(B692)=1,Assumptions!B41*G692,0)</f>
        <v>0</v>
      </c>
      <c r="S692" s="22" t="n">
        <f aca="false">IF(AND(DAY(B692)=1,D692&gt;=13),Assumptions!B42*G692,0)</f>
        <v>0</v>
      </c>
      <c r="T692" s="22" t="n">
        <f aca="false">IF(DAY(B692)=1,Assumptions!B43*G692,0)</f>
        <v>0</v>
      </c>
      <c r="U692" s="22" t="n">
        <f aca="false">SUM(O692:T692)</f>
        <v>0</v>
      </c>
      <c r="V692" s="22" t="n">
        <f aca="false">N692-U692</f>
        <v>18000</v>
      </c>
      <c r="W692" s="22" t="n">
        <f aca="false">W691+V692</f>
        <v>-2704297.30604461</v>
      </c>
      <c r="X692" s="23" t="str">
        <f aca="false">IF(W692&gt;=0,"YES","No")</f>
        <v>No</v>
      </c>
    </row>
    <row r="693" customFormat="false" ht="15" hidden="false" customHeight="false" outlineLevel="0" collapsed="false">
      <c r="A693" s="16" t="n">
        <v>692</v>
      </c>
      <c r="B693" s="17" t="n">
        <f aca="false">B692+1</f>
        <v>46714</v>
      </c>
      <c r="C693" s="18" t="n">
        <f aca="false">MIN(ROUNDUP(A693/365,0),5)</f>
        <v>2</v>
      </c>
      <c r="D693" s="18" t="n">
        <f aca="false">DATEDIF(Assumptions!B5,B693,"m")+1</f>
        <v>23</v>
      </c>
      <c r="E693" s="18" t="str">
        <f aca="false">TEXT(B693,"ddd")</f>
        <v>Tue</v>
      </c>
      <c r="F693" s="19" t="n">
        <f aca="false">IF(WEEKDAY(B693,2)&gt;=6,Assumptions!B34,Assumptions!B35)</f>
        <v>1</v>
      </c>
      <c r="G693" s="20" t="n">
        <f aca="false">IF(D693&gt;=13,(1+Assumptions!B46)^(D693-12),1)</f>
        <v>1.0334994818426</v>
      </c>
      <c r="H693" s="21" t="n">
        <f aca="false">H692*(1+IF(C693=1,Assumptions!B22,Assumptions!B23))</f>
        <v>21.9601133864719</v>
      </c>
      <c r="I693" s="16" t="n">
        <f aca="false">ROUND(H693*F693,0)</f>
        <v>22</v>
      </c>
      <c r="J693" s="22" t="n">
        <f aca="false">I693*Assumptions!B24</f>
        <v>13200</v>
      </c>
      <c r="K693" s="21" t="n">
        <f aca="false">K692*(1+Assumptions!B30)</f>
        <v>16.4707066258003</v>
      </c>
      <c r="L693" s="16" t="n">
        <f aca="false">ROUND(K693*F693,0)</f>
        <v>16</v>
      </c>
      <c r="M693" s="22" t="n">
        <f aca="false">L693*Assumptions!B31</f>
        <v>4800</v>
      </c>
      <c r="N693" s="22" t="n">
        <f aca="false">J693+M693</f>
        <v>18000</v>
      </c>
      <c r="O693" s="22" t="n">
        <f aca="false">IF(DAY(B693)=1,Assumptions!B38*G693,0)</f>
        <v>0</v>
      </c>
      <c r="P693" s="22" t="n">
        <f aca="false">IF(DAY(B693)=1,Assumptions!B39*G693,0)</f>
        <v>0</v>
      </c>
      <c r="Q693" s="22" t="n">
        <f aca="false">IF(DAY(B693)=1,Assumptions!B40*G693,0)</f>
        <v>0</v>
      </c>
      <c r="R693" s="22" t="n">
        <f aca="false">IF(DAY(B693)=1,Assumptions!B41*G693,0)</f>
        <v>0</v>
      </c>
      <c r="S693" s="22" t="n">
        <f aca="false">IF(AND(DAY(B693)=1,D693&gt;=13),Assumptions!B42*G693,0)</f>
        <v>0</v>
      </c>
      <c r="T693" s="22" t="n">
        <f aca="false">IF(DAY(B693)=1,Assumptions!B43*G693,0)</f>
        <v>0</v>
      </c>
      <c r="U693" s="22" t="n">
        <f aca="false">SUM(O693:T693)</f>
        <v>0</v>
      </c>
      <c r="V693" s="22" t="n">
        <f aca="false">N693-U693</f>
        <v>18000</v>
      </c>
      <c r="W693" s="22" t="n">
        <f aca="false">W692+V693</f>
        <v>-2686297.30604461</v>
      </c>
      <c r="X693" s="23" t="str">
        <f aca="false">IF(W693&gt;=0,"YES","No")</f>
        <v>No</v>
      </c>
    </row>
    <row r="694" customFormat="false" ht="15" hidden="false" customHeight="false" outlineLevel="0" collapsed="false">
      <c r="A694" s="16" t="n">
        <v>693</v>
      </c>
      <c r="B694" s="17" t="n">
        <f aca="false">B693+1</f>
        <v>46715</v>
      </c>
      <c r="C694" s="18" t="n">
        <f aca="false">MIN(ROUNDUP(A694/365,0),5)</f>
        <v>2</v>
      </c>
      <c r="D694" s="18" t="n">
        <f aca="false">DATEDIF(Assumptions!B5,B694,"m")+1</f>
        <v>23</v>
      </c>
      <c r="E694" s="18" t="str">
        <f aca="false">TEXT(B694,"ddd")</f>
        <v>Wed</v>
      </c>
      <c r="F694" s="19" t="n">
        <f aca="false">IF(WEEKDAY(B694,2)&gt;=6,Assumptions!B34,Assumptions!B35)</f>
        <v>1</v>
      </c>
      <c r="G694" s="20" t="n">
        <f aca="false">IF(D694&gt;=13,(1+Assumptions!B46)^(D694-12),1)</f>
        <v>1.0334994818426</v>
      </c>
      <c r="H694" s="21" t="n">
        <f aca="false">H693*(1+IF(C694=1,Assumptions!B22,Assumptions!B23))</f>
        <v>21.9637118079731</v>
      </c>
      <c r="I694" s="16" t="n">
        <f aca="false">ROUND(H694*F694,0)</f>
        <v>22</v>
      </c>
      <c r="J694" s="22" t="n">
        <f aca="false">I694*Assumptions!B24</f>
        <v>13200</v>
      </c>
      <c r="K694" s="21" t="n">
        <f aca="false">K693*(1+Assumptions!B30)</f>
        <v>16.4760915065337</v>
      </c>
      <c r="L694" s="16" t="n">
        <f aca="false">ROUND(K694*F694,0)</f>
        <v>16</v>
      </c>
      <c r="M694" s="22" t="n">
        <f aca="false">L694*Assumptions!B31</f>
        <v>4800</v>
      </c>
      <c r="N694" s="22" t="n">
        <f aca="false">J694+M694</f>
        <v>18000</v>
      </c>
      <c r="O694" s="22" t="n">
        <f aca="false">IF(DAY(B694)=1,Assumptions!B38*G694,0)</f>
        <v>0</v>
      </c>
      <c r="P694" s="22" t="n">
        <f aca="false">IF(DAY(B694)=1,Assumptions!B39*G694,0)</f>
        <v>0</v>
      </c>
      <c r="Q694" s="22" t="n">
        <f aca="false">IF(DAY(B694)=1,Assumptions!B40*G694,0)</f>
        <v>0</v>
      </c>
      <c r="R694" s="22" t="n">
        <f aca="false">IF(DAY(B694)=1,Assumptions!B41*G694,0)</f>
        <v>0</v>
      </c>
      <c r="S694" s="22" t="n">
        <f aca="false">IF(AND(DAY(B694)=1,D694&gt;=13),Assumptions!B42*G694,0)</f>
        <v>0</v>
      </c>
      <c r="T694" s="22" t="n">
        <f aca="false">IF(DAY(B694)=1,Assumptions!B43*G694,0)</f>
        <v>0</v>
      </c>
      <c r="U694" s="22" t="n">
        <f aca="false">SUM(O694:T694)</f>
        <v>0</v>
      </c>
      <c r="V694" s="22" t="n">
        <f aca="false">N694-U694</f>
        <v>18000</v>
      </c>
      <c r="W694" s="22" t="n">
        <f aca="false">W693+V694</f>
        <v>-2668297.30604461</v>
      </c>
      <c r="X694" s="23" t="str">
        <f aca="false">IF(W694&gt;=0,"YES","No")</f>
        <v>No</v>
      </c>
    </row>
    <row r="695" customFormat="false" ht="15" hidden="false" customHeight="false" outlineLevel="0" collapsed="false">
      <c r="A695" s="16" t="n">
        <v>694</v>
      </c>
      <c r="B695" s="17" t="n">
        <f aca="false">B694+1</f>
        <v>46716</v>
      </c>
      <c r="C695" s="18" t="n">
        <f aca="false">MIN(ROUNDUP(A695/365,0),5)</f>
        <v>2</v>
      </c>
      <c r="D695" s="18" t="n">
        <f aca="false">DATEDIF(Assumptions!B5,B695,"m")+1</f>
        <v>23</v>
      </c>
      <c r="E695" s="18" t="str">
        <f aca="false">TEXT(B695,"ddd")</f>
        <v>Thu</v>
      </c>
      <c r="F695" s="19" t="n">
        <f aca="false">IF(WEEKDAY(B695,2)&gt;=6,Assumptions!B34,Assumptions!B35)</f>
        <v>1</v>
      </c>
      <c r="G695" s="20" t="n">
        <f aca="false">IF(D695&gt;=13,(1+Assumptions!B46)^(D695-12),1)</f>
        <v>1.0334994818426</v>
      </c>
      <c r="H695" s="21" t="n">
        <f aca="false">H694*(1+IF(C695=1,Assumptions!B22,Assumptions!B23))</f>
        <v>21.9673108191177</v>
      </c>
      <c r="I695" s="16" t="n">
        <f aca="false">ROUND(H695*F695,0)</f>
        <v>22</v>
      </c>
      <c r="J695" s="22" t="n">
        <f aca="false">I695*Assumptions!B24</f>
        <v>13200</v>
      </c>
      <c r="K695" s="21" t="n">
        <f aca="false">K694*(1+Assumptions!B30)</f>
        <v>16.481478147783</v>
      </c>
      <c r="L695" s="16" t="n">
        <f aca="false">ROUND(K695*F695,0)</f>
        <v>16</v>
      </c>
      <c r="M695" s="22" t="n">
        <f aca="false">L695*Assumptions!B31</f>
        <v>4800</v>
      </c>
      <c r="N695" s="22" t="n">
        <f aca="false">J695+M695</f>
        <v>18000</v>
      </c>
      <c r="O695" s="22" t="n">
        <f aca="false">IF(DAY(B695)=1,Assumptions!B38*G695,0)</f>
        <v>0</v>
      </c>
      <c r="P695" s="22" t="n">
        <f aca="false">IF(DAY(B695)=1,Assumptions!B39*G695,0)</f>
        <v>0</v>
      </c>
      <c r="Q695" s="22" t="n">
        <f aca="false">IF(DAY(B695)=1,Assumptions!B40*G695,0)</f>
        <v>0</v>
      </c>
      <c r="R695" s="22" t="n">
        <f aca="false">IF(DAY(B695)=1,Assumptions!B41*G695,0)</f>
        <v>0</v>
      </c>
      <c r="S695" s="22" t="n">
        <f aca="false">IF(AND(DAY(B695)=1,D695&gt;=13),Assumptions!B42*G695,0)</f>
        <v>0</v>
      </c>
      <c r="T695" s="22" t="n">
        <f aca="false">IF(DAY(B695)=1,Assumptions!B43*G695,0)</f>
        <v>0</v>
      </c>
      <c r="U695" s="22" t="n">
        <f aca="false">SUM(O695:T695)</f>
        <v>0</v>
      </c>
      <c r="V695" s="22" t="n">
        <f aca="false">N695-U695</f>
        <v>18000</v>
      </c>
      <c r="W695" s="22" t="n">
        <f aca="false">W694+V695</f>
        <v>-2650297.30604461</v>
      </c>
      <c r="X695" s="23" t="str">
        <f aca="false">IF(W695&gt;=0,"YES","No")</f>
        <v>No</v>
      </c>
    </row>
    <row r="696" customFormat="false" ht="15" hidden="false" customHeight="false" outlineLevel="0" collapsed="false">
      <c r="A696" s="16" t="n">
        <v>695</v>
      </c>
      <c r="B696" s="17" t="n">
        <f aca="false">B695+1</f>
        <v>46717</v>
      </c>
      <c r="C696" s="18" t="n">
        <f aca="false">MIN(ROUNDUP(A696/365,0),5)</f>
        <v>2</v>
      </c>
      <c r="D696" s="18" t="n">
        <f aca="false">DATEDIF(Assumptions!B5,B696,"m")+1</f>
        <v>23</v>
      </c>
      <c r="E696" s="18" t="str">
        <f aca="false">TEXT(B696,"ddd")</f>
        <v>Fri</v>
      </c>
      <c r="F696" s="19" t="n">
        <f aca="false">IF(WEEKDAY(B696,2)&gt;=6,Assumptions!B34,Assumptions!B35)</f>
        <v>1</v>
      </c>
      <c r="G696" s="20" t="n">
        <f aca="false">IF(D696&gt;=13,(1+Assumptions!B46)^(D696-12),1)</f>
        <v>1.0334994818426</v>
      </c>
      <c r="H696" s="21" t="n">
        <f aca="false">H695*(1+IF(C696=1,Assumptions!B22,Assumptions!B23))</f>
        <v>21.9709104200024</v>
      </c>
      <c r="I696" s="16" t="n">
        <f aca="false">ROUND(H696*F696,0)</f>
        <v>22</v>
      </c>
      <c r="J696" s="22" t="n">
        <f aca="false">I696*Assumptions!B24</f>
        <v>13200</v>
      </c>
      <c r="K696" s="21" t="n">
        <f aca="false">K695*(1+Assumptions!B30)</f>
        <v>16.4868665501237</v>
      </c>
      <c r="L696" s="16" t="n">
        <f aca="false">ROUND(K696*F696,0)</f>
        <v>16</v>
      </c>
      <c r="M696" s="22" t="n">
        <f aca="false">L696*Assumptions!B31</f>
        <v>4800</v>
      </c>
      <c r="N696" s="22" t="n">
        <f aca="false">J696+M696</f>
        <v>18000</v>
      </c>
      <c r="O696" s="22" t="n">
        <f aca="false">IF(DAY(B696)=1,Assumptions!B38*G696,0)</f>
        <v>0</v>
      </c>
      <c r="P696" s="22" t="n">
        <f aca="false">IF(DAY(B696)=1,Assumptions!B39*G696,0)</f>
        <v>0</v>
      </c>
      <c r="Q696" s="22" t="n">
        <f aca="false">IF(DAY(B696)=1,Assumptions!B40*G696,0)</f>
        <v>0</v>
      </c>
      <c r="R696" s="22" t="n">
        <f aca="false">IF(DAY(B696)=1,Assumptions!B41*G696,0)</f>
        <v>0</v>
      </c>
      <c r="S696" s="22" t="n">
        <f aca="false">IF(AND(DAY(B696)=1,D696&gt;=13),Assumptions!B42*G696,0)</f>
        <v>0</v>
      </c>
      <c r="T696" s="22" t="n">
        <f aca="false">IF(DAY(B696)=1,Assumptions!B43*G696,0)</f>
        <v>0</v>
      </c>
      <c r="U696" s="22" t="n">
        <f aca="false">SUM(O696:T696)</f>
        <v>0</v>
      </c>
      <c r="V696" s="22" t="n">
        <f aca="false">N696-U696</f>
        <v>18000</v>
      </c>
      <c r="W696" s="22" t="n">
        <f aca="false">W695+V696</f>
        <v>-2632297.30604461</v>
      </c>
      <c r="X696" s="23" t="str">
        <f aca="false">IF(W696&gt;=0,"YES","No")</f>
        <v>No</v>
      </c>
    </row>
    <row r="697" customFormat="false" ht="15" hidden="false" customHeight="false" outlineLevel="0" collapsed="false">
      <c r="A697" s="16" t="n">
        <v>696</v>
      </c>
      <c r="B697" s="17" t="n">
        <f aca="false">B696+1</f>
        <v>46718</v>
      </c>
      <c r="C697" s="18" t="n">
        <f aca="false">MIN(ROUNDUP(A697/365,0),5)</f>
        <v>2</v>
      </c>
      <c r="D697" s="18" t="n">
        <f aca="false">DATEDIF(Assumptions!B5,B697,"m")+1</f>
        <v>23</v>
      </c>
      <c r="E697" s="18" t="str">
        <f aca="false">TEXT(B697,"ddd")</f>
        <v>Sat</v>
      </c>
      <c r="F697" s="19" t="n">
        <f aca="false">IF(WEEKDAY(B697,2)&gt;=6,Assumptions!B34,Assumptions!B35)</f>
        <v>0.6</v>
      </c>
      <c r="G697" s="20" t="n">
        <f aca="false">IF(D697&gt;=13,(1+Assumptions!B46)^(D697-12),1)</f>
        <v>1.0334994818426</v>
      </c>
      <c r="H697" s="21" t="n">
        <f aca="false">H696*(1+IF(C697=1,Assumptions!B22,Assumptions!B23))</f>
        <v>21.9745106107238</v>
      </c>
      <c r="I697" s="16" t="n">
        <f aca="false">ROUND(H697*F697,0)</f>
        <v>13</v>
      </c>
      <c r="J697" s="22" t="n">
        <f aca="false">I697*Assumptions!B24</f>
        <v>7800</v>
      </c>
      <c r="K697" s="21" t="n">
        <f aca="false">K696*(1+Assumptions!B30)</f>
        <v>16.4922567141317</v>
      </c>
      <c r="L697" s="16" t="n">
        <f aca="false">ROUND(K697*F697,0)</f>
        <v>10</v>
      </c>
      <c r="M697" s="22" t="n">
        <f aca="false">L697*Assumptions!B31</f>
        <v>3000</v>
      </c>
      <c r="N697" s="22" t="n">
        <f aca="false">J697+M697</f>
        <v>10800</v>
      </c>
      <c r="O697" s="22" t="n">
        <f aca="false">IF(DAY(B697)=1,Assumptions!B38*G697,0)</f>
        <v>0</v>
      </c>
      <c r="P697" s="22" t="n">
        <f aca="false">IF(DAY(B697)=1,Assumptions!B39*G697,0)</f>
        <v>0</v>
      </c>
      <c r="Q697" s="22" t="n">
        <f aca="false">IF(DAY(B697)=1,Assumptions!B40*G697,0)</f>
        <v>0</v>
      </c>
      <c r="R697" s="22" t="n">
        <f aca="false">IF(DAY(B697)=1,Assumptions!B41*G697,0)</f>
        <v>0</v>
      </c>
      <c r="S697" s="22" t="n">
        <f aca="false">IF(AND(DAY(B697)=1,D697&gt;=13),Assumptions!B42*G697,0)</f>
        <v>0</v>
      </c>
      <c r="T697" s="22" t="n">
        <f aca="false">IF(DAY(B697)=1,Assumptions!B43*G697,0)</f>
        <v>0</v>
      </c>
      <c r="U697" s="22" t="n">
        <f aca="false">SUM(O697:T697)</f>
        <v>0</v>
      </c>
      <c r="V697" s="22" t="n">
        <f aca="false">N697-U697</f>
        <v>10800</v>
      </c>
      <c r="W697" s="22" t="n">
        <f aca="false">W696+V697</f>
        <v>-2621497.30604461</v>
      </c>
      <c r="X697" s="23" t="str">
        <f aca="false">IF(W697&gt;=0,"YES","No")</f>
        <v>No</v>
      </c>
    </row>
    <row r="698" customFormat="false" ht="15" hidden="false" customHeight="false" outlineLevel="0" collapsed="false">
      <c r="A698" s="16" t="n">
        <v>697</v>
      </c>
      <c r="B698" s="17" t="n">
        <f aca="false">B697+1</f>
        <v>46719</v>
      </c>
      <c r="C698" s="18" t="n">
        <f aca="false">MIN(ROUNDUP(A698/365,0),5)</f>
        <v>2</v>
      </c>
      <c r="D698" s="18" t="n">
        <f aca="false">DATEDIF(Assumptions!B5,B698,"m")+1</f>
        <v>23</v>
      </c>
      <c r="E698" s="18" t="str">
        <f aca="false">TEXT(B698,"ddd")</f>
        <v>Sun</v>
      </c>
      <c r="F698" s="19" t="n">
        <f aca="false">IF(WEEKDAY(B698,2)&gt;=6,Assumptions!B34,Assumptions!B35)</f>
        <v>0.6</v>
      </c>
      <c r="G698" s="20" t="n">
        <f aca="false">IF(D698&gt;=13,(1+Assumptions!B46)^(D698-12),1)</f>
        <v>1.0334994818426</v>
      </c>
      <c r="H698" s="21" t="n">
        <f aca="false">H697*(1+IF(C698=1,Assumptions!B22,Assumptions!B23))</f>
        <v>21.9781113913786</v>
      </c>
      <c r="I698" s="16" t="n">
        <f aca="false">ROUND(H698*F698,0)</f>
        <v>13</v>
      </c>
      <c r="J698" s="22" t="n">
        <f aca="false">I698*Assumptions!B24</f>
        <v>7800</v>
      </c>
      <c r="K698" s="21" t="n">
        <f aca="false">K697*(1+Assumptions!B30)</f>
        <v>16.4976486403828</v>
      </c>
      <c r="L698" s="16" t="n">
        <f aca="false">ROUND(K698*F698,0)</f>
        <v>10</v>
      </c>
      <c r="M698" s="22" t="n">
        <f aca="false">L698*Assumptions!B31</f>
        <v>3000</v>
      </c>
      <c r="N698" s="22" t="n">
        <f aca="false">J698+M698</f>
        <v>10800</v>
      </c>
      <c r="O698" s="22" t="n">
        <f aca="false">IF(DAY(B698)=1,Assumptions!B38*G698,0)</f>
        <v>0</v>
      </c>
      <c r="P698" s="22" t="n">
        <f aca="false">IF(DAY(B698)=1,Assumptions!B39*G698,0)</f>
        <v>0</v>
      </c>
      <c r="Q698" s="22" t="n">
        <f aca="false">IF(DAY(B698)=1,Assumptions!B40*G698,0)</f>
        <v>0</v>
      </c>
      <c r="R698" s="22" t="n">
        <f aca="false">IF(DAY(B698)=1,Assumptions!B41*G698,0)</f>
        <v>0</v>
      </c>
      <c r="S698" s="22" t="n">
        <f aca="false">IF(AND(DAY(B698)=1,D698&gt;=13),Assumptions!B42*G698,0)</f>
        <v>0</v>
      </c>
      <c r="T698" s="22" t="n">
        <f aca="false">IF(DAY(B698)=1,Assumptions!B43*G698,0)</f>
        <v>0</v>
      </c>
      <c r="U698" s="22" t="n">
        <f aca="false">SUM(O698:T698)</f>
        <v>0</v>
      </c>
      <c r="V698" s="22" t="n">
        <f aca="false">N698-U698</f>
        <v>10800</v>
      </c>
      <c r="W698" s="22" t="n">
        <f aca="false">W697+V698</f>
        <v>-2610697.30604461</v>
      </c>
      <c r="X698" s="23" t="str">
        <f aca="false">IF(W698&gt;=0,"YES","No")</f>
        <v>No</v>
      </c>
    </row>
    <row r="699" customFormat="false" ht="15" hidden="false" customHeight="false" outlineLevel="0" collapsed="false">
      <c r="A699" s="16" t="n">
        <v>698</v>
      </c>
      <c r="B699" s="17" t="n">
        <f aca="false">B698+1</f>
        <v>46720</v>
      </c>
      <c r="C699" s="18" t="n">
        <f aca="false">MIN(ROUNDUP(A699/365,0),5)</f>
        <v>2</v>
      </c>
      <c r="D699" s="18" t="n">
        <f aca="false">DATEDIF(Assumptions!B5,B699,"m")+1</f>
        <v>23</v>
      </c>
      <c r="E699" s="18" t="str">
        <f aca="false">TEXT(B699,"ddd")</f>
        <v>Mon</v>
      </c>
      <c r="F699" s="19" t="n">
        <f aca="false">IF(WEEKDAY(B699,2)&gt;=6,Assumptions!B34,Assumptions!B35)</f>
        <v>1</v>
      </c>
      <c r="G699" s="20" t="n">
        <f aca="false">IF(D699&gt;=13,(1+Assumptions!B46)^(D699-12),1)</f>
        <v>1.0334994818426</v>
      </c>
      <c r="H699" s="21" t="n">
        <f aca="false">H698*(1+IF(C699=1,Assumptions!B22,Assumptions!B23))</f>
        <v>21.9817127620635</v>
      </c>
      <c r="I699" s="16" t="n">
        <f aca="false">ROUND(H699*F699,0)</f>
        <v>22</v>
      </c>
      <c r="J699" s="22" t="n">
        <f aca="false">I699*Assumptions!B24</f>
        <v>13200</v>
      </c>
      <c r="K699" s="21" t="n">
        <f aca="false">K698*(1+Assumptions!B30)</f>
        <v>16.5030423294533</v>
      </c>
      <c r="L699" s="16" t="n">
        <f aca="false">ROUND(K699*F699,0)</f>
        <v>17</v>
      </c>
      <c r="M699" s="22" t="n">
        <f aca="false">L699*Assumptions!B31</f>
        <v>5100</v>
      </c>
      <c r="N699" s="22" t="n">
        <f aca="false">J699+M699</f>
        <v>18300</v>
      </c>
      <c r="O699" s="22" t="n">
        <f aca="false">IF(DAY(B699)=1,Assumptions!B38*G699,0)</f>
        <v>0</v>
      </c>
      <c r="P699" s="22" t="n">
        <f aca="false">IF(DAY(B699)=1,Assumptions!B39*G699,0)</f>
        <v>0</v>
      </c>
      <c r="Q699" s="22" t="n">
        <f aca="false">IF(DAY(B699)=1,Assumptions!B40*G699,0)</f>
        <v>0</v>
      </c>
      <c r="R699" s="22" t="n">
        <f aca="false">IF(DAY(B699)=1,Assumptions!B41*G699,0)</f>
        <v>0</v>
      </c>
      <c r="S699" s="22" t="n">
        <f aca="false">IF(AND(DAY(B699)=1,D699&gt;=13),Assumptions!B42*G699,0)</f>
        <v>0</v>
      </c>
      <c r="T699" s="22" t="n">
        <f aca="false">IF(DAY(B699)=1,Assumptions!B43*G699,0)</f>
        <v>0</v>
      </c>
      <c r="U699" s="22" t="n">
        <f aca="false">SUM(O699:T699)</f>
        <v>0</v>
      </c>
      <c r="V699" s="22" t="n">
        <f aca="false">N699-U699</f>
        <v>18300</v>
      </c>
      <c r="W699" s="22" t="n">
        <f aca="false">W698+V699</f>
        <v>-2592397.30604461</v>
      </c>
      <c r="X699" s="23" t="str">
        <f aca="false">IF(W699&gt;=0,"YES","No")</f>
        <v>No</v>
      </c>
    </row>
    <row r="700" customFormat="false" ht="15" hidden="false" customHeight="false" outlineLevel="0" collapsed="false">
      <c r="A700" s="16" t="n">
        <v>699</v>
      </c>
      <c r="B700" s="17" t="n">
        <f aca="false">B699+1</f>
        <v>46721</v>
      </c>
      <c r="C700" s="18" t="n">
        <f aca="false">MIN(ROUNDUP(A700/365,0),5)</f>
        <v>2</v>
      </c>
      <c r="D700" s="18" t="n">
        <f aca="false">DATEDIF(Assumptions!B5,B700,"m")+1</f>
        <v>23</v>
      </c>
      <c r="E700" s="18" t="str">
        <f aca="false">TEXT(B700,"ddd")</f>
        <v>Tue</v>
      </c>
      <c r="F700" s="19" t="n">
        <f aca="false">IF(WEEKDAY(B700,2)&gt;=6,Assumptions!B34,Assumptions!B35)</f>
        <v>1</v>
      </c>
      <c r="G700" s="20" t="n">
        <f aca="false">IF(D700&gt;=13,(1+Assumptions!B46)^(D700-12),1)</f>
        <v>1.0334994818426</v>
      </c>
      <c r="H700" s="21" t="n">
        <f aca="false">H699*(1+IF(C700=1,Assumptions!B22,Assumptions!B23))</f>
        <v>21.985314722875</v>
      </c>
      <c r="I700" s="16" t="n">
        <f aca="false">ROUND(H700*F700,0)</f>
        <v>22</v>
      </c>
      <c r="J700" s="22" t="n">
        <f aca="false">I700*Assumptions!B24</f>
        <v>13200</v>
      </c>
      <c r="K700" s="21" t="n">
        <f aca="false">K699*(1+Assumptions!B30)</f>
        <v>16.5084377819194</v>
      </c>
      <c r="L700" s="16" t="n">
        <f aca="false">ROUND(K700*F700,0)</f>
        <v>17</v>
      </c>
      <c r="M700" s="22" t="n">
        <f aca="false">L700*Assumptions!B31</f>
        <v>5100</v>
      </c>
      <c r="N700" s="22" t="n">
        <f aca="false">J700+M700</f>
        <v>18300</v>
      </c>
      <c r="O700" s="22" t="n">
        <f aca="false">IF(DAY(B700)=1,Assumptions!B38*G700,0)</f>
        <v>0</v>
      </c>
      <c r="P700" s="22" t="n">
        <f aca="false">IF(DAY(B700)=1,Assumptions!B39*G700,0)</f>
        <v>0</v>
      </c>
      <c r="Q700" s="22" t="n">
        <f aca="false">IF(DAY(B700)=1,Assumptions!B40*G700,0)</f>
        <v>0</v>
      </c>
      <c r="R700" s="22" t="n">
        <f aca="false">IF(DAY(B700)=1,Assumptions!B41*G700,0)</f>
        <v>0</v>
      </c>
      <c r="S700" s="22" t="n">
        <f aca="false">IF(AND(DAY(B700)=1,D700&gt;=13),Assumptions!B42*G700,0)</f>
        <v>0</v>
      </c>
      <c r="T700" s="22" t="n">
        <f aca="false">IF(DAY(B700)=1,Assumptions!B43*G700,0)</f>
        <v>0</v>
      </c>
      <c r="U700" s="22" t="n">
        <f aca="false">SUM(O700:T700)</f>
        <v>0</v>
      </c>
      <c r="V700" s="22" t="n">
        <f aca="false">N700-U700</f>
        <v>18300</v>
      </c>
      <c r="W700" s="22" t="n">
        <f aca="false">W699+V700</f>
        <v>-2574097.30604461</v>
      </c>
      <c r="X700" s="23" t="str">
        <f aca="false">IF(W700&gt;=0,"YES","No")</f>
        <v>No</v>
      </c>
    </row>
    <row r="701" customFormat="false" ht="15" hidden="false" customHeight="false" outlineLevel="0" collapsed="false">
      <c r="A701" s="16" t="n">
        <v>700</v>
      </c>
      <c r="B701" s="17" t="n">
        <f aca="false">B700+1</f>
        <v>46722</v>
      </c>
      <c r="C701" s="18" t="n">
        <f aca="false">MIN(ROUNDUP(A701/365,0),5)</f>
        <v>2</v>
      </c>
      <c r="D701" s="18" t="n">
        <f aca="false">DATEDIF(Assumptions!B5,B701,"m")+1</f>
        <v>24</v>
      </c>
      <c r="E701" s="18" t="str">
        <f aca="false">TEXT(B701,"ddd")</f>
        <v>Wed</v>
      </c>
      <c r="F701" s="19" t="n">
        <f aca="false">IF(WEEKDAY(B701,2)&gt;=6,Assumptions!B34,Assumptions!B35)</f>
        <v>1</v>
      </c>
      <c r="G701" s="20" t="n">
        <f aca="false">IF(D701&gt;=13,(1+Assumptions!B46)^(D701-12),1)</f>
        <v>1.03659998028813</v>
      </c>
      <c r="H701" s="21" t="n">
        <f aca="false">H700*(1+IF(C701=1,Assumptions!B22,Assumptions!B23))</f>
        <v>21.98891727391</v>
      </c>
      <c r="I701" s="16" t="n">
        <f aca="false">ROUND(H701*F701,0)</f>
        <v>22</v>
      </c>
      <c r="J701" s="22" t="n">
        <f aca="false">I701*Assumptions!B24</f>
        <v>13200</v>
      </c>
      <c r="K701" s="21" t="n">
        <f aca="false">K700*(1+Assumptions!B30)</f>
        <v>16.5138349983576</v>
      </c>
      <c r="L701" s="16" t="n">
        <f aca="false">ROUND(K701*F701,0)</f>
        <v>17</v>
      </c>
      <c r="M701" s="22" t="n">
        <f aca="false">L701*Assumptions!B31</f>
        <v>5100</v>
      </c>
      <c r="N701" s="22" t="n">
        <f aca="false">J701+M701</f>
        <v>18300</v>
      </c>
      <c r="O701" s="22" t="n">
        <f aca="false">IF(DAY(B701)=1,Assumptions!B38*G701,0)</f>
        <v>155489.99704322</v>
      </c>
      <c r="P701" s="22" t="n">
        <f aca="false">IF(DAY(B701)=1,Assumptions!B39*G701,0)</f>
        <v>41463.9992115252</v>
      </c>
      <c r="Q701" s="22" t="n">
        <f aca="false">IF(DAY(B701)=1,Assumptions!B40*G701,0)</f>
        <v>31097.9994086439</v>
      </c>
      <c r="R701" s="22" t="n">
        <f aca="false">IF(DAY(B701)=1,Assumptions!B41*G701,0)</f>
        <v>20731.9996057626</v>
      </c>
      <c r="S701" s="22" t="n">
        <f aca="false">IF(AND(DAY(B701)=1,D701&gt;=13),Assumptions!B42*G701,0)</f>
        <v>155489.99704322</v>
      </c>
      <c r="T701" s="22" t="n">
        <f aca="false">IF(DAY(B701)=1,Assumptions!B43*G701,0)</f>
        <v>20731.9996057626</v>
      </c>
      <c r="U701" s="22" t="n">
        <f aca="false">SUM(O701:T701)</f>
        <v>425005.991918133</v>
      </c>
      <c r="V701" s="22" t="n">
        <f aca="false">N701-U701</f>
        <v>-406705.991918133</v>
      </c>
      <c r="W701" s="22" t="n">
        <f aca="false">W700+V701</f>
        <v>-2980803.29796275</v>
      </c>
      <c r="X701" s="23" t="str">
        <f aca="false">IF(W701&gt;=0,"YES","No")</f>
        <v>No</v>
      </c>
    </row>
    <row r="702" customFormat="false" ht="15" hidden="false" customHeight="false" outlineLevel="0" collapsed="false">
      <c r="A702" s="16" t="n">
        <v>701</v>
      </c>
      <c r="B702" s="17" t="n">
        <f aca="false">B701+1</f>
        <v>46723</v>
      </c>
      <c r="C702" s="18" t="n">
        <f aca="false">MIN(ROUNDUP(A702/365,0),5)</f>
        <v>2</v>
      </c>
      <c r="D702" s="18" t="n">
        <f aca="false">DATEDIF(Assumptions!B5,B702,"m")+1</f>
        <v>24</v>
      </c>
      <c r="E702" s="18" t="str">
        <f aca="false">TEXT(B702,"ddd")</f>
        <v>Thu</v>
      </c>
      <c r="F702" s="19" t="n">
        <f aca="false">IF(WEEKDAY(B702,2)&gt;=6,Assumptions!B34,Assumptions!B35)</f>
        <v>1</v>
      </c>
      <c r="G702" s="20" t="n">
        <f aca="false">IF(D702&gt;=13,(1+Assumptions!B46)^(D702-12),1)</f>
        <v>1.03659998028813</v>
      </c>
      <c r="H702" s="21" t="n">
        <f aca="false">H701*(1+IF(C702=1,Assumptions!B22,Assumptions!B23))</f>
        <v>21.9925204152651</v>
      </c>
      <c r="I702" s="16" t="n">
        <f aca="false">ROUND(H702*F702,0)</f>
        <v>22</v>
      </c>
      <c r="J702" s="22" t="n">
        <f aca="false">I702*Assumptions!B24</f>
        <v>13200</v>
      </c>
      <c r="K702" s="21" t="n">
        <f aca="false">K701*(1+Assumptions!B30)</f>
        <v>16.5192339793448</v>
      </c>
      <c r="L702" s="16" t="n">
        <f aca="false">ROUND(K702*F702,0)</f>
        <v>17</v>
      </c>
      <c r="M702" s="22" t="n">
        <f aca="false">L702*Assumptions!B31</f>
        <v>5100</v>
      </c>
      <c r="N702" s="22" t="n">
        <f aca="false">J702+M702</f>
        <v>18300</v>
      </c>
      <c r="O702" s="22" t="n">
        <f aca="false">IF(DAY(B702)=1,Assumptions!B38*G702,0)</f>
        <v>0</v>
      </c>
      <c r="P702" s="22" t="n">
        <f aca="false">IF(DAY(B702)=1,Assumptions!B39*G702,0)</f>
        <v>0</v>
      </c>
      <c r="Q702" s="22" t="n">
        <f aca="false">IF(DAY(B702)=1,Assumptions!B40*G702,0)</f>
        <v>0</v>
      </c>
      <c r="R702" s="22" t="n">
        <f aca="false">IF(DAY(B702)=1,Assumptions!B41*G702,0)</f>
        <v>0</v>
      </c>
      <c r="S702" s="22" t="n">
        <f aca="false">IF(AND(DAY(B702)=1,D702&gt;=13),Assumptions!B42*G702,0)</f>
        <v>0</v>
      </c>
      <c r="T702" s="22" t="n">
        <f aca="false">IF(DAY(B702)=1,Assumptions!B43*G702,0)</f>
        <v>0</v>
      </c>
      <c r="U702" s="22" t="n">
        <f aca="false">SUM(O702:T702)</f>
        <v>0</v>
      </c>
      <c r="V702" s="22" t="n">
        <f aca="false">N702-U702</f>
        <v>18300</v>
      </c>
      <c r="W702" s="22" t="n">
        <f aca="false">W701+V702</f>
        <v>-2962503.29796275</v>
      </c>
      <c r="X702" s="23" t="str">
        <f aca="false">IF(W702&gt;=0,"YES","No")</f>
        <v>No</v>
      </c>
    </row>
    <row r="703" customFormat="false" ht="15" hidden="false" customHeight="false" outlineLevel="0" collapsed="false">
      <c r="A703" s="16" t="n">
        <v>702</v>
      </c>
      <c r="B703" s="17" t="n">
        <f aca="false">B702+1</f>
        <v>46724</v>
      </c>
      <c r="C703" s="18" t="n">
        <f aca="false">MIN(ROUNDUP(A703/365,0),5)</f>
        <v>2</v>
      </c>
      <c r="D703" s="18" t="n">
        <f aca="false">DATEDIF(Assumptions!B5,B703,"m")+1</f>
        <v>24</v>
      </c>
      <c r="E703" s="18" t="str">
        <f aca="false">TEXT(B703,"ddd")</f>
        <v>Fri</v>
      </c>
      <c r="F703" s="19" t="n">
        <f aca="false">IF(WEEKDAY(B703,2)&gt;=6,Assumptions!B34,Assumptions!B35)</f>
        <v>1</v>
      </c>
      <c r="G703" s="20" t="n">
        <f aca="false">IF(D703&gt;=13,(1+Assumptions!B46)^(D703-12),1)</f>
        <v>1.03659998028813</v>
      </c>
      <c r="H703" s="21" t="n">
        <f aca="false">H702*(1+IF(C703=1,Assumptions!B22,Assumptions!B23))</f>
        <v>21.9961241470371</v>
      </c>
      <c r="I703" s="16" t="n">
        <f aca="false">ROUND(H703*F703,0)</f>
        <v>22</v>
      </c>
      <c r="J703" s="22" t="n">
        <f aca="false">I703*Assumptions!B24</f>
        <v>13200</v>
      </c>
      <c r="K703" s="21" t="n">
        <f aca="false">K702*(1+Assumptions!B30)</f>
        <v>16.5246347254577</v>
      </c>
      <c r="L703" s="16" t="n">
        <f aca="false">ROUND(K703*F703,0)</f>
        <v>17</v>
      </c>
      <c r="M703" s="22" t="n">
        <f aca="false">L703*Assumptions!B31</f>
        <v>5100</v>
      </c>
      <c r="N703" s="22" t="n">
        <f aca="false">J703+M703</f>
        <v>18300</v>
      </c>
      <c r="O703" s="22" t="n">
        <f aca="false">IF(DAY(B703)=1,Assumptions!B38*G703,0)</f>
        <v>0</v>
      </c>
      <c r="P703" s="22" t="n">
        <f aca="false">IF(DAY(B703)=1,Assumptions!B39*G703,0)</f>
        <v>0</v>
      </c>
      <c r="Q703" s="22" t="n">
        <f aca="false">IF(DAY(B703)=1,Assumptions!B40*G703,0)</f>
        <v>0</v>
      </c>
      <c r="R703" s="22" t="n">
        <f aca="false">IF(DAY(B703)=1,Assumptions!B41*G703,0)</f>
        <v>0</v>
      </c>
      <c r="S703" s="22" t="n">
        <f aca="false">IF(AND(DAY(B703)=1,D703&gt;=13),Assumptions!B42*G703,0)</f>
        <v>0</v>
      </c>
      <c r="T703" s="22" t="n">
        <f aca="false">IF(DAY(B703)=1,Assumptions!B43*G703,0)</f>
        <v>0</v>
      </c>
      <c r="U703" s="22" t="n">
        <f aca="false">SUM(O703:T703)</f>
        <v>0</v>
      </c>
      <c r="V703" s="22" t="n">
        <f aca="false">N703-U703</f>
        <v>18300</v>
      </c>
      <c r="W703" s="22" t="n">
        <f aca="false">W702+V703</f>
        <v>-2944203.29796275</v>
      </c>
      <c r="X703" s="23" t="str">
        <f aca="false">IF(W703&gt;=0,"YES","No")</f>
        <v>No</v>
      </c>
    </row>
    <row r="704" customFormat="false" ht="15" hidden="false" customHeight="false" outlineLevel="0" collapsed="false">
      <c r="A704" s="16" t="n">
        <v>703</v>
      </c>
      <c r="B704" s="17" t="n">
        <f aca="false">B703+1</f>
        <v>46725</v>
      </c>
      <c r="C704" s="18" t="n">
        <f aca="false">MIN(ROUNDUP(A704/365,0),5)</f>
        <v>2</v>
      </c>
      <c r="D704" s="18" t="n">
        <f aca="false">DATEDIF(Assumptions!B5,B704,"m")+1</f>
        <v>24</v>
      </c>
      <c r="E704" s="18" t="str">
        <f aca="false">TEXT(B704,"ddd")</f>
        <v>Sat</v>
      </c>
      <c r="F704" s="19" t="n">
        <f aca="false">IF(WEEKDAY(B704,2)&gt;=6,Assumptions!B34,Assumptions!B35)</f>
        <v>0.6</v>
      </c>
      <c r="G704" s="20" t="n">
        <f aca="false">IF(D704&gt;=13,(1+Assumptions!B46)^(D704-12),1)</f>
        <v>1.03659998028813</v>
      </c>
      <c r="H704" s="21" t="n">
        <f aca="false">H703*(1+IF(C704=1,Assumptions!B22,Assumptions!B23))</f>
        <v>21.9997284693227</v>
      </c>
      <c r="I704" s="16" t="n">
        <f aca="false">ROUND(H704*F704,0)</f>
        <v>13</v>
      </c>
      <c r="J704" s="22" t="n">
        <f aca="false">I704*Assumptions!B24</f>
        <v>7800</v>
      </c>
      <c r="K704" s="21" t="n">
        <f aca="false">K703*(1+Assumptions!B30)</f>
        <v>16.5300372372734</v>
      </c>
      <c r="L704" s="16" t="n">
        <f aca="false">ROUND(K704*F704,0)</f>
        <v>10</v>
      </c>
      <c r="M704" s="22" t="n">
        <f aca="false">L704*Assumptions!B31</f>
        <v>3000</v>
      </c>
      <c r="N704" s="22" t="n">
        <f aca="false">J704+M704</f>
        <v>10800</v>
      </c>
      <c r="O704" s="22" t="n">
        <f aca="false">IF(DAY(B704)=1,Assumptions!B38*G704,0)</f>
        <v>0</v>
      </c>
      <c r="P704" s="22" t="n">
        <f aca="false">IF(DAY(B704)=1,Assumptions!B39*G704,0)</f>
        <v>0</v>
      </c>
      <c r="Q704" s="22" t="n">
        <f aca="false">IF(DAY(B704)=1,Assumptions!B40*G704,0)</f>
        <v>0</v>
      </c>
      <c r="R704" s="22" t="n">
        <f aca="false">IF(DAY(B704)=1,Assumptions!B41*G704,0)</f>
        <v>0</v>
      </c>
      <c r="S704" s="22" t="n">
        <f aca="false">IF(AND(DAY(B704)=1,D704&gt;=13),Assumptions!B42*G704,0)</f>
        <v>0</v>
      </c>
      <c r="T704" s="22" t="n">
        <f aca="false">IF(DAY(B704)=1,Assumptions!B43*G704,0)</f>
        <v>0</v>
      </c>
      <c r="U704" s="22" t="n">
        <f aca="false">SUM(O704:T704)</f>
        <v>0</v>
      </c>
      <c r="V704" s="22" t="n">
        <f aca="false">N704-U704</f>
        <v>10800</v>
      </c>
      <c r="W704" s="22" t="n">
        <f aca="false">W703+V704</f>
        <v>-2933403.29796275</v>
      </c>
      <c r="X704" s="23" t="str">
        <f aca="false">IF(W704&gt;=0,"YES","No")</f>
        <v>No</v>
      </c>
    </row>
    <row r="705" customFormat="false" ht="15" hidden="false" customHeight="false" outlineLevel="0" collapsed="false">
      <c r="A705" s="16" t="n">
        <v>704</v>
      </c>
      <c r="B705" s="17" t="n">
        <f aca="false">B704+1</f>
        <v>46726</v>
      </c>
      <c r="C705" s="18" t="n">
        <f aca="false">MIN(ROUNDUP(A705/365,0),5)</f>
        <v>2</v>
      </c>
      <c r="D705" s="18" t="n">
        <f aca="false">DATEDIF(Assumptions!B5,B705,"m")+1</f>
        <v>24</v>
      </c>
      <c r="E705" s="18" t="str">
        <f aca="false">TEXT(B705,"ddd")</f>
        <v>Sun</v>
      </c>
      <c r="F705" s="19" t="n">
        <f aca="false">IF(WEEKDAY(B705,2)&gt;=6,Assumptions!B34,Assumptions!B35)</f>
        <v>0.6</v>
      </c>
      <c r="G705" s="20" t="n">
        <f aca="false">IF(D705&gt;=13,(1+Assumptions!B46)^(D705-12),1)</f>
        <v>1.03659998028813</v>
      </c>
      <c r="H705" s="21" t="n">
        <f aca="false">H704*(1+IF(C705=1,Assumptions!B22,Assumptions!B23))</f>
        <v>22.0033333822186</v>
      </c>
      <c r="I705" s="16" t="n">
        <f aca="false">ROUND(H705*F705,0)</f>
        <v>13</v>
      </c>
      <c r="J705" s="22" t="n">
        <f aca="false">I705*Assumptions!B24</f>
        <v>7800</v>
      </c>
      <c r="K705" s="21" t="n">
        <f aca="false">K704*(1+Assumptions!B30)</f>
        <v>16.5354415153693</v>
      </c>
      <c r="L705" s="16" t="n">
        <f aca="false">ROUND(K705*F705,0)</f>
        <v>10</v>
      </c>
      <c r="M705" s="22" t="n">
        <f aca="false">L705*Assumptions!B31</f>
        <v>3000</v>
      </c>
      <c r="N705" s="22" t="n">
        <f aca="false">J705+M705</f>
        <v>10800</v>
      </c>
      <c r="O705" s="22" t="n">
        <f aca="false">IF(DAY(B705)=1,Assumptions!B38*G705,0)</f>
        <v>0</v>
      </c>
      <c r="P705" s="22" t="n">
        <f aca="false">IF(DAY(B705)=1,Assumptions!B39*G705,0)</f>
        <v>0</v>
      </c>
      <c r="Q705" s="22" t="n">
        <f aca="false">IF(DAY(B705)=1,Assumptions!B40*G705,0)</f>
        <v>0</v>
      </c>
      <c r="R705" s="22" t="n">
        <f aca="false">IF(DAY(B705)=1,Assumptions!B41*G705,0)</f>
        <v>0</v>
      </c>
      <c r="S705" s="22" t="n">
        <f aca="false">IF(AND(DAY(B705)=1,D705&gt;=13),Assumptions!B42*G705,0)</f>
        <v>0</v>
      </c>
      <c r="T705" s="22" t="n">
        <f aca="false">IF(DAY(B705)=1,Assumptions!B43*G705,0)</f>
        <v>0</v>
      </c>
      <c r="U705" s="22" t="n">
        <f aca="false">SUM(O705:T705)</f>
        <v>0</v>
      </c>
      <c r="V705" s="22" t="n">
        <f aca="false">N705-U705</f>
        <v>10800</v>
      </c>
      <c r="W705" s="22" t="n">
        <f aca="false">W704+V705</f>
        <v>-2922603.29796275</v>
      </c>
      <c r="X705" s="23" t="str">
        <f aca="false">IF(W705&gt;=0,"YES","No")</f>
        <v>No</v>
      </c>
    </row>
    <row r="706" customFormat="false" ht="15" hidden="false" customHeight="false" outlineLevel="0" collapsed="false">
      <c r="A706" s="16" t="n">
        <v>705</v>
      </c>
      <c r="B706" s="17" t="n">
        <f aca="false">B705+1</f>
        <v>46727</v>
      </c>
      <c r="C706" s="18" t="n">
        <f aca="false">MIN(ROUNDUP(A706/365,0),5)</f>
        <v>2</v>
      </c>
      <c r="D706" s="18" t="n">
        <f aca="false">DATEDIF(Assumptions!B5,B706,"m")+1</f>
        <v>24</v>
      </c>
      <c r="E706" s="18" t="str">
        <f aca="false">TEXT(B706,"ddd")</f>
        <v>Mon</v>
      </c>
      <c r="F706" s="19" t="n">
        <f aca="false">IF(WEEKDAY(B706,2)&gt;=6,Assumptions!B34,Assumptions!B35)</f>
        <v>1</v>
      </c>
      <c r="G706" s="20" t="n">
        <f aca="false">IF(D706&gt;=13,(1+Assumptions!B46)^(D706-12),1)</f>
        <v>1.03659998028813</v>
      </c>
      <c r="H706" s="21" t="n">
        <f aca="false">H705*(1+IF(C706=1,Assumptions!B22,Assumptions!B23))</f>
        <v>22.0069388858218</v>
      </c>
      <c r="I706" s="16" t="n">
        <f aca="false">ROUND(H706*F706,0)</f>
        <v>22</v>
      </c>
      <c r="J706" s="22" t="n">
        <f aca="false">I706*Assumptions!B24</f>
        <v>13200</v>
      </c>
      <c r="K706" s="21" t="n">
        <f aca="false">K705*(1+Assumptions!B30)</f>
        <v>16.5408475603228</v>
      </c>
      <c r="L706" s="16" t="n">
        <f aca="false">ROUND(K706*F706,0)</f>
        <v>17</v>
      </c>
      <c r="M706" s="22" t="n">
        <f aca="false">L706*Assumptions!B31</f>
        <v>5100</v>
      </c>
      <c r="N706" s="22" t="n">
        <f aca="false">J706+M706</f>
        <v>18300</v>
      </c>
      <c r="O706" s="22" t="n">
        <f aca="false">IF(DAY(B706)=1,Assumptions!B38*G706,0)</f>
        <v>0</v>
      </c>
      <c r="P706" s="22" t="n">
        <f aca="false">IF(DAY(B706)=1,Assumptions!B39*G706,0)</f>
        <v>0</v>
      </c>
      <c r="Q706" s="22" t="n">
        <f aca="false">IF(DAY(B706)=1,Assumptions!B40*G706,0)</f>
        <v>0</v>
      </c>
      <c r="R706" s="22" t="n">
        <f aca="false">IF(DAY(B706)=1,Assumptions!B41*G706,0)</f>
        <v>0</v>
      </c>
      <c r="S706" s="22" t="n">
        <f aca="false">IF(AND(DAY(B706)=1,D706&gt;=13),Assumptions!B42*G706,0)</f>
        <v>0</v>
      </c>
      <c r="T706" s="22" t="n">
        <f aca="false">IF(DAY(B706)=1,Assumptions!B43*G706,0)</f>
        <v>0</v>
      </c>
      <c r="U706" s="22" t="n">
        <f aca="false">SUM(O706:T706)</f>
        <v>0</v>
      </c>
      <c r="V706" s="22" t="n">
        <f aca="false">N706-U706</f>
        <v>18300</v>
      </c>
      <c r="W706" s="22" t="n">
        <f aca="false">W705+V706</f>
        <v>-2904303.29796275</v>
      </c>
      <c r="X706" s="23" t="str">
        <f aca="false">IF(W706&gt;=0,"YES","No")</f>
        <v>No</v>
      </c>
    </row>
    <row r="707" customFormat="false" ht="15" hidden="false" customHeight="false" outlineLevel="0" collapsed="false">
      <c r="A707" s="16" t="n">
        <v>706</v>
      </c>
      <c r="B707" s="17" t="n">
        <f aca="false">B706+1</f>
        <v>46728</v>
      </c>
      <c r="C707" s="18" t="n">
        <f aca="false">MIN(ROUNDUP(A707/365,0),5)</f>
        <v>2</v>
      </c>
      <c r="D707" s="18" t="n">
        <f aca="false">DATEDIF(Assumptions!B5,B707,"m")+1</f>
        <v>24</v>
      </c>
      <c r="E707" s="18" t="str">
        <f aca="false">TEXT(B707,"ddd")</f>
        <v>Tue</v>
      </c>
      <c r="F707" s="19" t="n">
        <f aca="false">IF(WEEKDAY(B707,2)&gt;=6,Assumptions!B34,Assumptions!B35)</f>
        <v>1</v>
      </c>
      <c r="G707" s="20" t="n">
        <f aca="false">IF(D707&gt;=13,(1+Assumptions!B46)^(D707-12),1)</f>
        <v>1.03659998028813</v>
      </c>
      <c r="H707" s="21" t="n">
        <f aca="false">H706*(1+IF(C707=1,Assumptions!B22,Assumptions!B23))</f>
        <v>22.0105449802288</v>
      </c>
      <c r="I707" s="16" t="n">
        <f aca="false">ROUND(H707*F707,0)</f>
        <v>22</v>
      </c>
      <c r="J707" s="22" t="n">
        <f aca="false">I707*Assumptions!B24</f>
        <v>13200</v>
      </c>
      <c r="K707" s="21" t="n">
        <f aca="false">K706*(1+Assumptions!B30)</f>
        <v>16.5462553727115</v>
      </c>
      <c r="L707" s="16" t="n">
        <f aca="false">ROUND(K707*F707,0)</f>
        <v>17</v>
      </c>
      <c r="M707" s="22" t="n">
        <f aca="false">L707*Assumptions!B31</f>
        <v>5100</v>
      </c>
      <c r="N707" s="22" t="n">
        <f aca="false">J707+M707</f>
        <v>18300</v>
      </c>
      <c r="O707" s="22" t="n">
        <f aca="false">IF(DAY(B707)=1,Assumptions!B38*G707,0)</f>
        <v>0</v>
      </c>
      <c r="P707" s="22" t="n">
        <f aca="false">IF(DAY(B707)=1,Assumptions!B39*G707,0)</f>
        <v>0</v>
      </c>
      <c r="Q707" s="22" t="n">
        <f aca="false">IF(DAY(B707)=1,Assumptions!B40*G707,0)</f>
        <v>0</v>
      </c>
      <c r="R707" s="22" t="n">
        <f aca="false">IF(DAY(B707)=1,Assumptions!B41*G707,0)</f>
        <v>0</v>
      </c>
      <c r="S707" s="22" t="n">
        <f aca="false">IF(AND(DAY(B707)=1,D707&gt;=13),Assumptions!B42*G707,0)</f>
        <v>0</v>
      </c>
      <c r="T707" s="22" t="n">
        <f aca="false">IF(DAY(B707)=1,Assumptions!B43*G707,0)</f>
        <v>0</v>
      </c>
      <c r="U707" s="22" t="n">
        <f aca="false">SUM(O707:T707)</f>
        <v>0</v>
      </c>
      <c r="V707" s="22" t="n">
        <f aca="false">N707-U707</f>
        <v>18300</v>
      </c>
      <c r="W707" s="22" t="n">
        <f aca="false">W706+V707</f>
        <v>-2886003.29796275</v>
      </c>
      <c r="X707" s="23" t="str">
        <f aca="false">IF(W707&gt;=0,"YES","No")</f>
        <v>No</v>
      </c>
    </row>
    <row r="708" customFormat="false" ht="15" hidden="false" customHeight="false" outlineLevel="0" collapsed="false">
      <c r="A708" s="16" t="n">
        <v>707</v>
      </c>
      <c r="B708" s="17" t="n">
        <f aca="false">B707+1</f>
        <v>46729</v>
      </c>
      <c r="C708" s="18" t="n">
        <f aca="false">MIN(ROUNDUP(A708/365,0),5)</f>
        <v>2</v>
      </c>
      <c r="D708" s="18" t="n">
        <f aca="false">DATEDIF(Assumptions!B5,B708,"m")+1</f>
        <v>24</v>
      </c>
      <c r="E708" s="18" t="str">
        <f aca="false">TEXT(B708,"ddd")</f>
        <v>Wed</v>
      </c>
      <c r="F708" s="19" t="n">
        <f aca="false">IF(WEEKDAY(B708,2)&gt;=6,Assumptions!B34,Assumptions!B35)</f>
        <v>1</v>
      </c>
      <c r="G708" s="20" t="n">
        <f aca="false">IF(D708&gt;=13,(1+Assumptions!B46)^(D708-12),1)</f>
        <v>1.03659998028813</v>
      </c>
      <c r="H708" s="21" t="n">
        <f aca="false">H707*(1+IF(C708=1,Assumptions!B22,Assumptions!B23))</f>
        <v>22.0141516655366</v>
      </c>
      <c r="I708" s="16" t="n">
        <f aca="false">ROUND(H708*F708,0)</f>
        <v>22</v>
      </c>
      <c r="J708" s="22" t="n">
        <f aca="false">I708*Assumptions!B24</f>
        <v>13200</v>
      </c>
      <c r="K708" s="21" t="n">
        <f aca="false">K707*(1+Assumptions!B30)</f>
        <v>16.5516649531133</v>
      </c>
      <c r="L708" s="16" t="n">
        <f aca="false">ROUND(K708*F708,0)</f>
        <v>17</v>
      </c>
      <c r="M708" s="22" t="n">
        <f aca="false">L708*Assumptions!B31</f>
        <v>5100</v>
      </c>
      <c r="N708" s="22" t="n">
        <f aca="false">J708+M708</f>
        <v>18300</v>
      </c>
      <c r="O708" s="22" t="n">
        <f aca="false">IF(DAY(B708)=1,Assumptions!B38*G708,0)</f>
        <v>0</v>
      </c>
      <c r="P708" s="22" t="n">
        <f aca="false">IF(DAY(B708)=1,Assumptions!B39*G708,0)</f>
        <v>0</v>
      </c>
      <c r="Q708" s="22" t="n">
        <f aca="false">IF(DAY(B708)=1,Assumptions!B40*G708,0)</f>
        <v>0</v>
      </c>
      <c r="R708" s="22" t="n">
        <f aca="false">IF(DAY(B708)=1,Assumptions!B41*G708,0)</f>
        <v>0</v>
      </c>
      <c r="S708" s="22" t="n">
        <f aca="false">IF(AND(DAY(B708)=1,D708&gt;=13),Assumptions!B42*G708,0)</f>
        <v>0</v>
      </c>
      <c r="T708" s="22" t="n">
        <f aca="false">IF(DAY(B708)=1,Assumptions!B43*G708,0)</f>
        <v>0</v>
      </c>
      <c r="U708" s="22" t="n">
        <f aca="false">SUM(O708:T708)</f>
        <v>0</v>
      </c>
      <c r="V708" s="22" t="n">
        <f aca="false">N708-U708</f>
        <v>18300</v>
      </c>
      <c r="W708" s="22" t="n">
        <f aca="false">W707+V708</f>
        <v>-2867703.29796275</v>
      </c>
      <c r="X708" s="23" t="str">
        <f aca="false">IF(W708&gt;=0,"YES","No")</f>
        <v>No</v>
      </c>
    </row>
    <row r="709" customFormat="false" ht="15" hidden="false" customHeight="false" outlineLevel="0" collapsed="false">
      <c r="A709" s="16" t="n">
        <v>708</v>
      </c>
      <c r="B709" s="17" t="n">
        <f aca="false">B708+1</f>
        <v>46730</v>
      </c>
      <c r="C709" s="18" t="n">
        <f aca="false">MIN(ROUNDUP(A709/365,0),5)</f>
        <v>2</v>
      </c>
      <c r="D709" s="18" t="n">
        <f aca="false">DATEDIF(Assumptions!B5,B709,"m")+1</f>
        <v>24</v>
      </c>
      <c r="E709" s="18" t="str">
        <f aca="false">TEXT(B709,"ddd")</f>
        <v>Thu</v>
      </c>
      <c r="F709" s="19" t="n">
        <f aca="false">IF(WEEKDAY(B709,2)&gt;=6,Assumptions!B34,Assumptions!B35)</f>
        <v>1</v>
      </c>
      <c r="G709" s="20" t="n">
        <f aca="false">IF(D709&gt;=13,(1+Assumptions!B46)^(D709-12),1)</f>
        <v>1.03659998028813</v>
      </c>
      <c r="H709" s="21" t="n">
        <f aca="false">H708*(1+IF(C709=1,Assumptions!B22,Assumptions!B23))</f>
        <v>22.0177589418421</v>
      </c>
      <c r="I709" s="16" t="n">
        <f aca="false">ROUND(H709*F709,0)</f>
        <v>22</v>
      </c>
      <c r="J709" s="22" t="n">
        <f aca="false">I709*Assumptions!B24</f>
        <v>13200</v>
      </c>
      <c r="K709" s="21" t="n">
        <f aca="false">K708*(1+Assumptions!B30)</f>
        <v>16.5570763021062</v>
      </c>
      <c r="L709" s="16" t="n">
        <f aca="false">ROUND(K709*F709,0)</f>
        <v>17</v>
      </c>
      <c r="M709" s="22" t="n">
        <f aca="false">L709*Assumptions!B31</f>
        <v>5100</v>
      </c>
      <c r="N709" s="22" t="n">
        <f aca="false">J709+M709</f>
        <v>18300</v>
      </c>
      <c r="O709" s="22" t="n">
        <f aca="false">IF(DAY(B709)=1,Assumptions!B38*G709,0)</f>
        <v>0</v>
      </c>
      <c r="P709" s="22" t="n">
        <f aca="false">IF(DAY(B709)=1,Assumptions!B39*G709,0)</f>
        <v>0</v>
      </c>
      <c r="Q709" s="22" t="n">
        <f aca="false">IF(DAY(B709)=1,Assumptions!B40*G709,0)</f>
        <v>0</v>
      </c>
      <c r="R709" s="22" t="n">
        <f aca="false">IF(DAY(B709)=1,Assumptions!B41*G709,0)</f>
        <v>0</v>
      </c>
      <c r="S709" s="22" t="n">
        <f aca="false">IF(AND(DAY(B709)=1,D709&gt;=13),Assumptions!B42*G709,0)</f>
        <v>0</v>
      </c>
      <c r="T709" s="22" t="n">
        <f aca="false">IF(DAY(B709)=1,Assumptions!B43*G709,0)</f>
        <v>0</v>
      </c>
      <c r="U709" s="22" t="n">
        <f aca="false">SUM(O709:T709)</f>
        <v>0</v>
      </c>
      <c r="V709" s="22" t="n">
        <f aca="false">N709-U709</f>
        <v>18300</v>
      </c>
      <c r="W709" s="22" t="n">
        <f aca="false">W708+V709</f>
        <v>-2849403.29796275</v>
      </c>
      <c r="X709" s="23" t="str">
        <f aca="false">IF(W709&gt;=0,"YES","No")</f>
        <v>No</v>
      </c>
    </row>
    <row r="710" customFormat="false" ht="15" hidden="false" customHeight="false" outlineLevel="0" collapsed="false">
      <c r="A710" s="16" t="n">
        <v>709</v>
      </c>
      <c r="B710" s="17" t="n">
        <f aca="false">B709+1</f>
        <v>46731</v>
      </c>
      <c r="C710" s="18" t="n">
        <f aca="false">MIN(ROUNDUP(A710/365,0),5)</f>
        <v>2</v>
      </c>
      <c r="D710" s="18" t="n">
        <f aca="false">DATEDIF(Assumptions!B5,B710,"m")+1</f>
        <v>24</v>
      </c>
      <c r="E710" s="18" t="str">
        <f aca="false">TEXT(B710,"ddd")</f>
        <v>Fri</v>
      </c>
      <c r="F710" s="19" t="n">
        <f aca="false">IF(WEEKDAY(B710,2)&gt;=6,Assumptions!B34,Assumptions!B35)</f>
        <v>1</v>
      </c>
      <c r="G710" s="20" t="n">
        <f aca="false">IF(D710&gt;=13,(1+Assumptions!B46)^(D710-12),1)</f>
        <v>1.03659998028813</v>
      </c>
      <c r="H710" s="21" t="n">
        <f aca="false">H709*(1+IF(C710=1,Assumptions!B22,Assumptions!B23))</f>
        <v>22.0213668092419</v>
      </c>
      <c r="I710" s="16" t="n">
        <f aca="false">ROUND(H710*F710,0)</f>
        <v>22</v>
      </c>
      <c r="J710" s="22" t="n">
        <f aca="false">I710*Assumptions!B24</f>
        <v>13200</v>
      </c>
      <c r="K710" s="21" t="n">
        <f aca="false">K709*(1+Assumptions!B30)</f>
        <v>16.5624894202684</v>
      </c>
      <c r="L710" s="16" t="n">
        <f aca="false">ROUND(K710*F710,0)</f>
        <v>17</v>
      </c>
      <c r="M710" s="22" t="n">
        <f aca="false">L710*Assumptions!B31</f>
        <v>5100</v>
      </c>
      <c r="N710" s="22" t="n">
        <f aca="false">J710+M710</f>
        <v>18300</v>
      </c>
      <c r="O710" s="22" t="n">
        <f aca="false">IF(DAY(B710)=1,Assumptions!B38*G710,0)</f>
        <v>0</v>
      </c>
      <c r="P710" s="22" t="n">
        <f aca="false">IF(DAY(B710)=1,Assumptions!B39*G710,0)</f>
        <v>0</v>
      </c>
      <c r="Q710" s="22" t="n">
        <f aca="false">IF(DAY(B710)=1,Assumptions!B40*G710,0)</f>
        <v>0</v>
      </c>
      <c r="R710" s="22" t="n">
        <f aca="false">IF(DAY(B710)=1,Assumptions!B41*G710,0)</f>
        <v>0</v>
      </c>
      <c r="S710" s="22" t="n">
        <f aca="false">IF(AND(DAY(B710)=1,D710&gt;=13),Assumptions!B42*G710,0)</f>
        <v>0</v>
      </c>
      <c r="T710" s="22" t="n">
        <f aca="false">IF(DAY(B710)=1,Assumptions!B43*G710,0)</f>
        <v>0</v>
      </c>
      <c r="U710" s="22" t="n">
        <f aca="false">SUM(O710:T710)</f>
        <v>0</v>
      </c>
      <c r="V710" s="22" t="n">
        <f aca="false">N710-U710</f>
        <v>18300</v>
      </c>
      <c r="W710" s="22" t="n">
        <f aca="false">W709+V710</f>
        <v>-2831103.29796275</v>
      </c>
      <c r="X710" s="23" t="str">
        <f aca="false">IF(W710&gt;=0,"YES","No")</f>
        <v>No</v>
      </c>
    </row>
    <row r="711" customFormat="false" ht="15" hidden="false" customHeight="false" outlineLevel="0" collapsed="false">
      <c r="A711" s="16" t="n">
        <v>710</v>
      </c>
      <c r="B711" s="17" t="n">
        <f aca="false">B710+1</f>
        <v>46732</v>
      </c>
      <c r="C711" s="18" t="n">
        <f aca="false">MIN(ROUNDUP(A711/365,0),5)</f>
        <v>2</v>
      </c>
      <c r="D711" s="18" t="n">
        <f aca="false">DATEDIF(Assumptions!B5,B711,"m")+1</f>
        <v>24</v>
      </c>
      <c r="E711" s="18" t="str">
        <f aca="false">TEXT(B711,"ddd")</f>
        <v>Sat</v>
      </c>
      <c r="F711" s="19" t="n">
        <f aca="false">IF(WEEKDAY(B711,2)&gt;=6,Assumptions!B34,Assumptions!B35)</f>
        <v>0.6</v>
      </c>
      <c r="G711" s="20" t="n">
        <f aca="false">IF(D711&gt;=13,(1+Assumptions!B46)^(D711-12),1)</f>
        <v>1.03659998028813</v>
      </c>
      <c r="H711" s="21" t="n">
        <f aca="false">H710*(1+IF(C711=1,Assumptions!B22,Assumptions!B23))</f>
        <v>22.024975267833</v>
      </c>
      <c r="I711" s="16" t="n">
        <f aca="false">ROUND(H711*F711,0)</f>
        <v>13</v>
      </c>
      <c r="J711" s="22" t="n">
        <f aca="false">I711*Assumptions!B24</f>
        <v>7800</v>
      </c>
      <c r="K711" s="21" t="n">
        <f aca="false">K710*(1+Assumptions!B30)</f>
        <v>16.5679043081784</v>
      </c>
      <c r="L711" s="16" t="n">
        <f aca="false">ROUND(K711*F711,0)</f>
        <v>10</v>
      </c>
      <c r="M711" s="22" t="n">
        <f aca="false">L711*Assumptions!B31</f>
        <v>3000</v>
      </c>
      <c r="N711" s="22" t="n">
        <f aca="false">J711+M711</f>
        <v>10800</v>
      </c>
      <c r="O711" s="22" t="n">
        <f aca="false">IF(DAY(B711)=1,Assumptions!B38*G711,0)</f>
        <v>0</v>
      </c>
      <c r="P711" s="22" t="n">
        <f aca="false">IF(DAY(B711)=1,Assumptions!B39*G711,0)</f>
        <v>0</v>
      </c>
      <c r="Q711" s="22" t="n">
        <f aca="false">IF(DAY(B711)=1,Assumptions!B40*G711,0)</f>
        <v>0</v>
      </c>
      <c r="R711" s="22" t="n">
        <f aca="false">IF(DAY(B711)=1,Assumptions!B41*G711,0)</f>
        <v>0</v>
      </c>
      <c r="S711" s="22" t="n">
        <f aca="false">IF(AND(DAY(B711)=1,D711&gt;=13),Assumptions!B42*G711,0)</f>
        <v>0</v>
      </c>
      <c r="T711" s="22" t="n">
        <f aca="false">IF(DAY(B711)=1,Assumptions!B43*G711,0)</f>
        <v>0</v>
      </c>
      <c r="U711" s="22" t="n">
        <f aca="false">SUM(O711:T711)</f>
        <v>0</v>
      </c>
      <c r="V711" s="22" t="n">
        <f aca="false">N711-U711</f>
        <v>10800</v>
      </c>
      <c r="W711" s="22" t="n">
        <f aca="false">W710+V711</f>
        <v>-2820303.29796275</v>
      </c>
      <c r="X711" s="23" t="str">
        <f aca="false">IF(W711&gt;=0,"YES","No")</f>
        <v>No</v>
      </c>
    </row>
    <row r="712" customFormat="false" ht="15" hidden="false" customHeight="false" outlineLevel="0" collapsed="false">
      <c r="A712" s="16" t="n">
        <v>711</v>
      </c>
      <c r="B712" s="17" t="n">
        <f aca="false">B711+1</f>
        <v>46733</v>
      </c>
      <c r="C712" s="18" t="n">
        <f aca="false">MIN(ROUNDUP(A712/365,0),5)</f>
        <v>2</v>
      </c>
      <c r="D712" s="18" t="n">
        <f aca="false">DATEDIF(Assumptions!B5,B712,"m")+1</f>
        <v>24</v>
      </c>
      <c r="E712" s="18" t="str">
        <f aca="false">TEXT(B712,"ddd")</f>
        <v>Sun</v>
      </c>
      <c r="F712" s="19" t="n">
        <f aca="false">IF(WEEKDAY(B712,2)&gt;=6,Assumptions!B34,Assumptions!B35)</f>
        <v>0.6</v>
      </c>
      <c r="G712" s="20" t="n">
        <f aca="false">IF(D712&gt;=13,(1+Assumptions!B46)^(D712-12),1)</f>
        <v>1.03659998028813</v>
      </c>
      <c r="H712" s="21" t="n">
        <f aca="false">H711*(1+IF(C712=1,Assumptions!B22,Assumptions!B23))</f>
        <v>22.0285843177123</v>
      </c>
      <c r="I712" s="16" t="n">
        <f aca="false">ROUND(H712*F712,0)</f>
        <v>13</v>
      </c>
      <c r="J712" s="22" t="n">
        <f aca="false">I712*Assumptions!B24</f>
        <v>7800</v>
      </c>
      <c r="K712" s="21" t="n">
        <f aca="false">K711*(1+Assumptions!B30)</f>
        <v>16.5733209664147</v>
      </c>
      <c r="L712" s="16" t="n">
        <f aca="false">ROUND(K712*F712,0)</f>
        <v>10</v>
      </c>
      <c r="M712" s="22" t="n">
        <f aca="false">L712*Assumptions!B31</f>
        <v>3000</v>
      </c>
      <c r="N712" s="22" t="n">
        <f aca="false">J712+M712</f>
        <v>10800</v>
      </c>
      <c r="O712" s="22" t="n">
        <f aca="false">IF(DAY(B712)=1,Assumptions!B38*G712,0)</f>
        <v>0</v>
      </c>
      <c r="P712" s="22" t="n">
        <f aca="false">IF(DAY(B712)=1,Assumptions!B39*G712,0)</f>
        <v>0</v>
      </c>
      <c r="Q712" s="22" t="n">
        <f aca="false">IF(DAY(B712)=1,Assumptions!B40*G712,0)</f>
        <v>0</v>
      </c>
      <c r="R712" s="22" t="n">
        <f aca="false">IF(DAY(B712)=1,Assumptions!B41*G712,0)</f>
        <v>0</v>
      </c>
      <c r="S712" s="22" t="n">
        <f aca="false">IF(AND(DAY(B712)=1,D712&gt;=13),Assumptions!B42*G712,0)</f>
        <v>0</v>
      </c>
      <c r="T712" s="22" t="n">
        <f aca="false">IF(DAY(B712)=1,Assumptions!B43*G712,0)</f>
        <v>0</v>
      </c>
      <c r="U712" s="22" t="n">
        <f aca="false">SUM(O712:T712)</f>
        <v>0</v>
      </c>
      <c r="V712" s="22" t="n">
        <f aca="false">N712-U712</f>
        <v>10800</v>
      </c>
      <c r="W712" s="22" t="n">
        <f aca="false">W711+V712</f>
        <v>-2809503.29796275</v>
      </c>
      <c r="X712" s="23" t="str">
        <f aca="false">IF(W712&gt;=0,"YES","No")</f>
        <v>No</v>
      </c>
    </row>
    <row r="713" customFormat="false" ht="15" hidden="false" customHeight="false" outlineLevel="0" collapsed="false">
      <c r="A713" s="16" t="n">
        <v>712</v>
      </c>
      <c r="B713" s="17" t="n">
        <f aca="false">B712+1</f>
        <v>46734</v>
      </c>
      <c r="C713" s="18" t="n">
        <f aca="false">MIN(ROUNDUP(A713/365,0),5)</f>
        <v>2</v>
      </c>
      <c r="D713" s="18" t="n">
        <f aca="false">DATEDIF(Assumptions!B5,B713,"m")+1</f>
        <v>24</v>
      </c>
      <c r="E713" s="18" t="str">
        <f aca="false">TEXT(B713,"ddd")</f>
        <v>Mon</v>
      </c>
      <c r="F713" s="19" t="n">
        <f aca="false">IF(WEEKDAY(B713,2)&gt;=6,Assumptions!B34,Assumptions!B35)</f>
        <v>1</v>
      </c>
      <c r="G713" s="20" t="n">
        <f aca="false">IF(D713&gt;=13,(1+Assumptions!B46)^(D713-12),1)</f>
        <v>1.03659998028813</v>
      </c>
      <c r="H713" s="21" t="n">
        <f aca="false">H712*(1+IF(C713=1,Assumptions!B22,Assumptions!B23))</f>
        <v>22.0321939589766</v>
      </c>
      <c r="I713" s="16" t="n">
        <f aca="false">ROUND(H713*F713,0)</f>
        <v>22</v>
      </c>
      <c r="J713" s="22" t="n">
        <f aca="false">I713*Assumptions!B24</f>
        <v>13200</v>
      </c>
      <c r="K713" s="21" t="n">
        <f aca="false">K712*(1+Assumptions!B30)</f>
        <v>16.5787393955561</v>
      </c>
      <c r="L713" s="16" t="n">
        <f aca="false">ROUND(K713*F713,0)</f>
        <v>17</v>
      </c>
      <c r="M713" s="22" t="n">
        <f aca="false">L713*Assumptions!B31</f>
        <v>5100</v>
      </c>
      <c r="N713" s="22" t="n">
        <f aca="false">J713+M713</f>
        <v>18300</v>
      </c>
      <c r="O713" s="22" t="n">
        <f aca="false">IF(DAY(B713)=1,Assumptions!B38*G713,0)</f>
        <v>0</v>
      </c>
      <c r="P713" s="22" t="n">
        <f aca="false">IF(DAY(B713)=1,Assumptions!B39*G713,0)</f>
        <v>0</v>
      </c>
      <c r="Q713" s="22" t="n">
        <f aca="false">IF(DAY(B713)=1,Assumptions!B40*G713,0)</f>
        <v>0</v>
      </c>
      <c r="R713" s="22" t="n">
        <f aca="false">IF(DAY(B713)=1,Assumptions!B41*G713,0)</f>
        <v>0</v>
      </c>
      <c r="S713" s="22" t="n">
        <f aca="false">IF(AND(DAY(B713)=1,D713&gt;=13),Assumptions!B42*G713,0)</f>
        <v>0</v>
      </c>
      <c r="T713" s="22" t="n">
        <f aca="false">IF(DAY(B713)=1,Assumptions!B43*G713,0)</f>
        <v>0</v>
      </c>
      <c r="U713" s="22" t="n">
        <f aca="false">SUM(O713:T713)</f>
        <v>0</v>
      </c>
      <c r="V713" s="22" t="n">
        <f aca="false">N713-U713</f>
        <v>18300</v>
      </c>
      <c r="W713" s="22" t="n">
        <f aca="false">W712+V713</f>
        <v>-2791203.29796275</v>
      </c>
      <c r="X713" s="23" t="str">
        <f aca="false">IF(W713&gt;=0,"YES","No")</f>
        <v>No</v>
      </c>
    </row>
    <row r="714" customFormat="false" ht="15" hidden="false" customHeight="false" outlineLevel="0" collapsed="false">
      <c r="A714" s="16" t="n">
        <v>713</v>
      </c>
      <c r="B714" s="17" t="n">
        <f aca="false">B713+1</f>
        <v>46735</v>
      </c>
      <c r="C714" s="18" t="n">
        <f aca="false">MIN(ROUNDUP(A714/365,0),5)</f>
        <v>2</v>
      </c>
      <c r="D714" s="18" t="n">
        <f aca="false">DATEDIF(Assumptions!B5,B714,"m")+1</f>
        <v>24</v>
      </c>
      <c r="E714" s="18" t="str">
        <f aca="false">TEXT(B714,"ddd")</f>
        <v>Tue</v>
      </c>
      <c r="F714" s="19" t="n">
        <f aca="false">IF(WEEKDAY(B714,2)&gt;=6,Assumptions!B34,Assumptions!B35)</f>
        <v>1</v>
      </c>
      <c r="G714" s="20" t="n">
        <f aca="false">IF(D714&gt;=13,(1+Assumptions!B46)^(D714-12),1)</f>
        <v>1.03659998028813</v>
      </c>
      <c r="H714" s="21" t="n">
        <f aca="false">H713*(1+IF(C714=1,Assumptions!B22,Assumptions!B23))</f>
        <v>22.0358041917229</v>
      </c>
      <c r="I714" s="16" t="n">
        <f aca="false">ROUND(H714*F714,0)</f>
        <v>22</v>
      </c>
      <c r="J714" s="22" t="n">
        <f aca="false">I714*Assumptions!B24</f>
        <v>13200</v>
      </c>
      <c r="K714" s="21" t="n">
        <f aca="false">K713*(1+Assumptions!B30)</f>
        <v>16.5841595961816</v>
      </c>
      <c r="L714" s="16" t="n">
        <f aca="false">ROUND(K714*F714,0)</f>
        <v>17</v>
      </c>
      <c r="M714" s="22" t="n">
        <f aca="false">L714*Assumptions!B31</f>
        <v>5100</v>
      </c>
      <c r="N714" s="22" t="n">
        <f aca="false">J714+M714</f>
        <v>18300</v>
      </c>
      <c r="O714" s="22" t="n">
        <f aca="false">IF(DAY(B714)=1,Assumptions!B38*G714,0)</f>
        <v>0</v>
      </c>
      <c r="P714" s="22" t="n">
        <f aca="false">IF(DAY(B714)=1,Assumptions!B39*G714,0)</f>
        <v>0</v>
      </c>
      <c r="Q714" s="22" t="n">
        <f aca="false">IF(DAY(B714)=1,Assumptions!B40*G714,0)</f>
        <v>0</v>
      </c>
      <c r="R714" s="22" t="n">
        <f aca="false">IF(DAY(B714)=1,Assumptions!B41*G714,0)</f>
        <v>0</v>
      </c>
      <c r="S714" s="22" t="n">
        <f aca="false">IF(AND(DAY(B714)=1,D714&gt;=13),Assumptions!B42*G714,0)</f>
        <v>0</v>
      </c>
      <c r="T714" s="22" t="n">
        <f aca="false">IF(DAY(B714)=1,Assumptions!B43*G714,0)</f>
        <v>0</v>
      </c>
      <c r="U714" s="22" t="n">
        <f aca="false">SUM(O714:T714)</f>
        <v>0</v>
      </c>
      <c r="V714" s="22" t="n">
        <f aca="false">N714-U714</f>
        <v>18300</v>
      </c>
      <c r="W714" s="22" t="n">
        <f aca="false">W713+V714</f>
        <v>-2772903.29796275</v>
      </c>
      <c r="X714" s="23" t="str">
        <f aca="false">IF(W714&gt;=0,"YES","No")</f>
        <v>No</v>
      </c>
    </row>
    <row r="715" customFormat="false" ht="15" hidden="false" customHeight="false" outlineLevel="0" collapsed="false">
      <c r="A715" s="16" t="n">
        <v>714</v>
      </c>
      <c r="B715" s="17" t="n">
        <f aca="false">B714+1</f>
        <v>46736</v>
      </c>
      <c r="C715" s="18" t="n">
        <f aca="false">MIN(ROUNDUP(A715/365,0),5)</f>
        <v>2</v>
      </c>
      <c r="D715" s="18" t="n">
        <f aca="false">DATEDIF(Assumptions!B5,B715,"m")+1</f>
        <v>24</v>
      </c>
      <c r="E715" s="18" t="str">
        <f aca="false">TEXT(B715,"ddd")</f>
        <v>Wed</v>
      </c>
      <c r="F715" s="19" t="n">
        <f aca="false">IF(WEEKDAY(B715,2)&gt;=6,Assumptions!B34,Assumptions!B35)</f>
        <v>1</v>
      </c>
      <c r="G715" s="20" t="n">
        <f aca="false">IF(D715&gt;=13,(1+Assumptions!B46)^(D715-12),1)</f>
        <v>1.03659998028813</v>
      </c>
      <c r="H715" s="21" t="n">
        <f aca="false">H714*(1+IF(C715=1,Assumptions!B22,Assumptions!B23))</f>
        <v>22.039415016048</v>
      </c>
      <c r="I715" s="16" t="n">
        <f aca="false">ROUND(H715*F715,0)</f>
        <v>22</v>
      </c>
      <c r="J715" s="22" t="n">
        <f aca="false">I715*Assumptions!B24</f>
        <v>13200</v>
      </c>
      <c r="K715" s="21" t="n">
        <f aca="false">K714*(1+Assumptions!B30)</f>
        <v>16.5895815688703</v>
      </c>
      <c r="L715" s="16" t="n">
        <f aca="false">ROUND(K715*F715,0)</f>
        <v>17</v>
      </c>
      <c r="M715" s="22" t="n">
        <f aca="false">L715*Assumptions!B31</f>
        <v>5100</v>
      </c>
      <c r="N715" s="22" t="n">
        <f aca="false">J715+M715</f>
        <v>18300</v>
      </c>
      <c r="O715" s="22" t="n">
        <f aca="false">IF(DAY(B715)=1,Assumptions!B38*G715,0)</f>
        <v>0</v>
      </c>
      <c r="P715" s="22" t="n">
        <f aca="false">IF(DAY(B715)=1,Assumptions!B39*G715,0)</f>
        <v>0</v>
      </c>
      <c r="Q715" s="22" t="n">
        <f aca="false">IF(DAY(B715)=1,Assumptions!B40*G715,0)</f>
        <v>0</v>
      </c>
      <c r="R715" s="22" t="n">
        <f aca="false">IF(DAY(B715)=1,Assumptions!B41*G715,0)</f>
        <v>0</v>
      </c>
      <c r="S715" s="22" t="n">
        <f aca="false">IF(AND(DAY(B715)=1,D715&gt;=13),Assumptions!B42*G715,0)</f>
        <v>0</v>
      </c>
      <c r="T715" s="22" t="n">
        <f aca="false">IF(DAY(B715)=1,Assumptions!B43*G715,0)</f>
        <v>0</v>
      </c>
      <c r="U715" s="22" t="n">
        <f aca="false">SUM(O715:T715)</f>
        <v>0</v>
      </c>
      <c r="V715" s="22" t="n">
        <f aca="false">N715-U715</f>
        <v>18300</v>
      </c>
      <c r="W715" s="22" t="n">
        <f aca="false">W714+V715</f>
        <v>-2754603.29796275</v>
      </c>
      <c r="X715" s="23" t="str">
        <f aca="false">IF(W715&gt;=0,"YES","No")</f>
        <v>No</v>
      </c>
    </row>
    <row r="716" customFormat="false" ht="15" hidden="false" customHeight="false" outlineLevel="0" collapsed="false">
      <c r="A716" s="16" t="n">
        <v>715</v>
      </c>
      <c r="B716" s="17" t="n">
        <f aca="false">B715+1</f>
        <v>46737</v>
      </c>
      <c r="C716" s="18" t="n">
        <f aca="false">MIN(ROUNDUP(A716/365,0),5)</f>
        <v>2</v>
      </c>
      <c r="D716" s="18" t="n">
        <f aca="false">DATEDIF(Assumptions!B5,B716,"m")+1</f>
        <v>24</v>
      </c>
      <c r="E716" s="18" t="str">
        <f aca="false">TEXT(B716,"ddd")</f>
        <v>Thu</v>
      </c>
      <c r="F716" s="19" t="n">
        <f aca="false">IF(WEEKDAY(B716,2)&gt;=6,Assumptions!B34,Assumptions!B35)</f>
        <v>1</v>
      </c>
      <c r="G716" s="20" t="n">
        <f aca="false">IF(D716&gt;=13,(1+Assumptions!B46)^(D716-12),1)</f>
        <v>1.03659998028813</v>
      </c>
      <c r="H716" s="21" t="n">
        <f aca="false">H715*(1+IF(C716=1,Assumptions!B22,Assumptions!B23))</f>
        <v>22.043026432049</v>
      </c>
      <c r="I716" s="16" t="n">
        <f aca="false">ROUND(H716*F716,0)</f>
        <v>22</v>
      </c>
      <c r="J716" s="22" t="n">
        <f aca="false">I716*Assumptions!B24</f>
        <v>13200</v>
      </c>
      <c r="K716" s="21" t="n">
        <f aca="false">K715*(1+Assumptions!B30)</f>
        <v>16.5950053142016</v>
      </c>
      <c r="L716" s="16" t="n">
        <f aca="false">ROUND(K716*F716,0)</f>
        <v>17</v>
      </c>
      <c r="M716" s="22" t="n">
        <f aca="false">L716*Assumptions!B31</f>
        <v>5100</v>
      </c>
      <c r="N716" s="22" t="n">
        <f aca="false">J716+M716</f>
        <v>18300</v>
      </c>
      <c r="O716" s="22" t="n">
        <f aca="false">IF(DAY(B716)=1,Assumptions!B38*G716,0)</f>
        <v>0</v>
      </c>
      <c r="P716" s="22" t="n">
        <f aca="false">IF(DAY(B716)=1,Assumptions!B39*G716,0)</f>
        <v>0</v>
      </c>
      <c r="Q716" s="22" t="n">
        <f aca="false">IF(DAY(B716)=1,Assumptions!B40*G716,0)</f>
        <v>0</v>
      </c>
      <c r="R716" s="22" t="n">
        <f aca="false">IF(DAY(B716)=1,Assumptions!B41*G716,0)</f>
        <v>0</v>
      </c>
      <c r="S716" s="22" t="n">
        <f aca="false">IF(AND(DAY(B716)=1,D716&gt;=13),Assumptions!B42*G716,0)</f>
        <v>0</v>
      </c>
      <c r="T716" s="22" t="n">
        <f aca="false">IF(DAY(B716)=1,Assumptions!B43*G716,0)</f>
        <v>0</v>
      </c>
      <c r="U716" s="22" t="n">
        <f aca="false">SUM(O716:T716)</f>
        <v>0</v>
      </c>
      <c r="V716" s="22" t="n">
        <f aca="false">N716-U716</f>
        <v>18300</v>
      </c>
      <c r="W716" s="22" t="n">
        <f aca="false">W715+V716</f>
        <v>-2736303.29796275</v>
      </c>
      <c r="X716" s="23" t="str">
        <f aca="false">IF(W716&gt;=0,"YES","No")</f>
        <v>No</v>
      </c>
    </row>
    <row r="717" customFormat="false" ht="15" hidden="false" customHeight="false" outlineLevel="0" collapsed="false">
      <c r="A717" s="16" t="n">
        <v>716</v>
      </c>
      <c r="B717" s="17" t="n">
        <f aca="false">B716+1</f>
        <v>46738</v>
      </c>
      <c r="C717" s="18" t="n">
        <f aca="false">MIN(ROUNDUP(A717/365,0),5)</f>
        <v>2</v>
      </c>
      <c r="D717" s="18" t="n">
        <f aca="false">DATEDIF(Assumptions!B5,B717,"m")+1</f>
        <v>24</v>
      </c>
      <c r="E717" s="18" t="str">
        <f aca="false">TEXT(B717,"ddd")</f>
        <v>Fri</v>
      </c>
      <c r="F717" s="19" t="n">
        <f aca="false">IF(WEEKDAY(B717,2)&gt;=6,Assumptions!B34,Assumptions!B35)</f>
        <v>1</v>
      </c>
      <c r="G717" s="20" t="n">
        <f aca="false">IF(D717&gt;=13,(1+Assumptions!B46)^(D717-12),1)</f>
        <v>1.03659998028813</v>
      </c>
      <c r="H717" s="21" t="n">
        <f aca="false">H716*(1+IF(C717=1,Assumptions!B22,Assumptions!B23))</f>
        <v>22.0466384398227</v>
      </c>
      <c r="I717" s="16" t="n">
        <f aca="false">ROUND(H717*F717,0)</f>
        <v>22</v>
      </c>
      <c r="J717" s="22" t="n">
        <f aca="false">I717*Assumptions!B24</f>
        <v>13200</v>
      </c>
      <c r="K717" s="21" t="n">
        <f aca="false">K716*(1+Assumptions!B30)</f>
        <v>16.6004308327551</v>
      </c>
      <c r="L717" s="16" t="n">
        <f aca="false">ROUND(K717*F717,0)</f>
        <v>17</v>
      </c>
      <c r="M717" s="22" t="n">
        <f aca="false">L717*Assumptions!B31</f>
        <v>5100</v>
      </c>
      <c r="N717" s="22" t="n">
        <f aca="false">J717+M717</f>
        <v>18300</v>
      </c>
      <c r="O717" s="22" t="n">
        <f aca="false">IF(DAY(B717)=1,Assumptions!B38*G717,0)</f>
        <v>0</v>
      </c>
      <c r="P717" s="22" t="n">
        <f aca="false">IF(DAY(B717)=1,Assumptions!B39*G717,0)</f>
        <v>0</v>
      </c>
      <c r="Q717" s="22" t="n">
        <f aca="false">IF(DAY(B717)=1,Assumptions!B40*G717,0)</f>
        <v>0</v>
      </c>
      <c r="R717" s="22" t="n">
        <f aca="false">IF(DAY(B717)=1,Assumptions!B41*G717,0)</f>
        <v>0</v>
      </c>
      <c r="S717" s="22" t="n">
        <f aca="false">IF(AND(DAY(B717)=1,D717&gt;=13),Assumptions!B42*G717,0)</f>
        <v>0</v>
      </c>
      <c r="T717" s="22" t="n">
        <f aca="false">IF(DAY(B717)=1,Assumptions!B43*G717,0)</f>
        <v>0</v>
      </c>
      <c r="U717" s="22" t="n">
        <f aca="false">SUM(O717:T717)</f>
        <v>0</v>
      </c>
      <c r="V717" s="22" t="n">
        <f aca="false">N717-U717</f>
        <v>18300</v>
      </c>
      <c r="W717" s="22" t="n">
        <f aca="false">W716+V717</f>
        <v>-2718003.29796275</v>
      </c>
      <c r="X717" s="23" t="str">
        <f aca="false">IF(W717&gt;=0,"YES","No")</f>
        <v>No</v>
      </c>
    </row>
    <row r="718" customFormat="false" ht="15" hidden="false" customHeight="false" outlineLevel="0" collapsed="false">
      <c r="A718" s="16" t="n">
        <v>717</v>
      </c>
      <c r="B718" s="17" t="n">
        <f aca="false">B717+1</f>
        <v>46739</v>
      </c>
      <c r="C718" s="18" t="n">
        <f aca="false">MIN(ROUNDUP(A718/365,0),5)</f>
        <v>2</v>
      </c>
      <c r="D718" s="18" t="n">
        <f aca="false">DATEDIF(Assumptions!B5,B718,"m")+1</f>
        <v>24</v>
      </c>
      <c r="E718" s="18" t="str">
        <f aca="false">TEXT(B718,"ddd")</f>
        <v>Sat</v>
      </c>
      <c r="F718" s="19" t="n">
        <f aca="false">IF(WEEKDAY(B718,2)&gt;=6,Assumptions!B34,Assumptions!B35)</f>
        <v>0.6</v>
      </c>
      <c r="G718" s="20" t="n">
        <f aca="false">IF(D718&gt;=13,(1+Assumptions!B46)^(D718-12),1)</f>
        <v>1.03659998028813</v>
      </c>
      <c r="H718" s="21" t="n">
        <f aca="false">H717*(1+IF(C718=1,Assumptions!B22,Assumptions!B23))</f>
        <v>22.0502510394662</v>
      </c>
      <c r="I718" s="16" t="n">
        <f aca="false">ROUND(H718*F718,0)</f>
        <v>13</v>
      </c>
      <c r="J718" s="22" t="n">
        <f aca="false">I718*Assumptions!B24</f>
        <v>7800</v>
      </c>
      <c r="K718" s="21" t="n">
        <f aca="false">K717*(1+Assumptions!B30)</f>
        <v>16.6058581251105</v>
      </c>
      <c r="L718" s="16" t="n">
        <f aca="false">ROUND(K718*F718,0)</f>
        <v>10</v>
      </c>
      <c r="M718" s="22" t="n">
        <f aca="false">L718*Assumptions!B31</f>
        <v>3000</v>
      </c>
      <c r="N718" s="22" t="n">
        <f aca="false">J718+M718</f>
        <v>10800</v>
      </c>
      <c r="O718" s="22" t="n">
        <f aca="false">IF(DAY(B718)=1,Assumptions!B38*G718,0)</f>
        <v>0</v>
      </c>
      <c r="P718" s="22" t="n">
        <f aca="false">IF(DAY(B718)=1,Assumptions!B39*G718,0)</f>
        <v>0</v>
      </c>
      <c r="Q718" s="22" t="n">
        <f aca="false">IF(DAY(B718)=1,Assumptions!B40*G718,0)</f>
        <v>0</v>
      </c>
      <c r="R718" s="22" t="n">
        <f aca="false">IF(DAY(B718)=1,Assumptions!B41*G718,0)</f>
        <v>0</v>
      </c>
      <c r="S718" s="22" t="n">
        <f aca="false">IF(AND(DAY(B718)=1,D718&gt;=13),Assumptions!B42*G718,0)</f>
        <v>0</v>
      </c>
      <c r="T718" s="22" t="n">
        <f aca="false">IF(DAY(B718)=1,Assumptions!B43*G718,0)</f>
        <v>0</v>
      </c>
      <c r="U718" s="22" t="n">
        <f aca="false">SUM(O718:T718)</f>
        <v>0</v>
      </c>
      <c r="V718" s="22" t="n">
        <f aca="false">N718-U718</f>
        <v>10800</v>
      </c>
      <c r="W718" s="22" t="n">
        <f aca="false">W717+V718</f>
        <v>-2707203.29796275</v>
      </c>
      <c r="X718" s="23" t="str">
        <f aca="false">IF(W718&gt;=0,"YES","No")</f>
        <v>No</v>
      </c>
    </row>
    <row r="719" customFormat="false" ht="15" hidden="false" customHeight="false" outlineLevel="0" collapsed="false">
      <c r="A719" s="16" t="n">
        <v>718</v>
      </c>
      <c r="B719" s="17" t="n">
        <f aca="false">B718+1</f>
        <v>46740</v>
      </c>
      <c r="C719" s="18" t="n">
        <f aca="false">MIN(ROUNDUP(A719/365,0),5)</f>
        <v>2</v>
      </c>
      <c r="D719" s="18" t="n">
        <f aca="false">DATEDIF(Assumptions!B5,B719,"m")+1</f>
        <v>24</v>
      </c>
      <c r="E719" s="18" t="str">
        <f aca="false">TEXT(B719,"ddd")</f>
        <v>Sun</v>
      </c>
      <c r="F719" s="19" t="n">
        <f aca="false">IF(WEEKDAY(B719,2)&gt;=6,Assumptions!B34,Assumptions!B35)</f>
        <v>0.6</v>
      </c>
      <c r="G719" s="20" t="n">
        <f aca="false">IF(D719&gt;=13,(1+Assumptions!B46)^(D719-12),1)</f>
        <v>1.03659998028813</v>
      </c>
      <c r="H719" s="21" t="n">
        <f aca="false">H718*(1+IF(C719=1,Assumptions!B22,Assumptions!B23))</f>
        <v>22.0538642310763</v>
      </c>
      <c r="I719" s="16" t="n">
        <f aca="false">ROUND(H719*F719,0)</f>
        <v>13</v>
      </c>
      <c r="J719" s="22" t="n">
        <f aca="false">I719*Assumptions!B24</f>
        <v>7800</v>
      </c>
      <c r="K719" s="21" t="n">
        <f aca="false">K718*(1+Assumptions!B30)</f>
        <v>16.6112871918476</v>
      </c>
      <c r="L719" s="16" t="n">
        <f aca="false">ROUND(K719*F719,0)</f>
        <v>10</v>
      </c>
      <c r="M719" s="22" t="n">
        <f aca="false">L719*Assumptions!B31</f>
        <v>3000</v>
      </c>
      <c r="N719" s="22" t="n">
        <f aca="false">J719+M719</f>
        <v>10800</v>
      </c>
      <c r="O719" s="22" t="n">
        <f aca="false">IF(DAY(B719)=1,Assumptions!B38*G719,0)</f>
        <v>0</v>
      </c>
      <c r="P719" s="22" t="n">
        <f aca="false">IF(DAY(B719)=1,Assumptions!B39*G719,0)</f>
        <v>0</v>
      </c>
      <c r="Q719" s="22" t="n">
        <f aca="false">IF(DAY(B719)=1,Assumptions!B40*G719,0)</f>
        <v>0</v>
      </c>
      <c r="R719" s="22" t="n">
        <f aca="false">IF(DAY(B719)=1,Assumptions!B41*G719,0)</f>
        <v>0</v>
      </c>
      <c r="S719" s="22" t="n">
        <f aca="false">IF(AND(DAY(B719)=1,D719&gt;=13),Assumptions!B42*G719,0)</f>
        <v>0</v>
      </c>
      <c r="T719" s="22" t="n">
        <f aca="false">IF(DAY(B719)=1,Assumptions!B43*G719,0)</f>
        <v>0</v>
      </c>
      <c r="U719" s="22" t="n">
        <f aca="false">SUM(O719:T719)</f>
        <v>0</v>
      </c>
      <c r="V719" s="22" t="n">
        <f aca="false">N719-U719</f>
        <v>10800</v>
      </c>
      <c r="W719" s="22" t="n">
        <f aca="false">W718+V719</f>
        <v>-2696403.29796275</v>
      </c>
      <c r="X719" s="23" t="str">
        <f aca="false">IF(W719&gt;=0,"YES","No")</f>
        <v>No</v>
      </c>
    </row>
    <row r="720" customFormat="false" ht="15" hidden="false" customHeight="false" outlineLevel="0" collapsed="false">
      <c r="A720" s="16" t="n">
        <v>719</v>
      </c>
      <c r="B720" s="17" t="n">
        <f aca="false">B719+1</f>
        <v>46741</v>
      </c>
      <c r="C720" s="18" t="n">
        <f aca="false">MIN(ROUNDUP(A720/365,0),5)</f>
        <v>2</v>
      </c>
      <c r="D720" s="18" t="n">
        <f aca="false">DATEDIF(Assumptions!B5,B720,"m")+1</f>
        <v>24</v>
      </c>
      <c r="E720" s="18" t="str">
        <f aca="false">TEXT(B720,"ddd")</f>
        <v>Mon</v>
      </c>
      <c r="F720" s="19" t="n">
        <f aca="false">IF(WEEKDAY(B720,2)&gt;=6,Assumptions!B34,Assumptions!B35)</f>
        <v>1</v>
      </c>
      <c r="G720" s="20" t="n">
        <f aca="false">IF(D720&gt;=13,(1+Assumptions!B46)^(D720-12),1)</f>
        <v>1.03659998028813</v>
      </c>
      <c r="H720" s="21" t="n">
        <f aca="false">H719*(1+IF(C720=1,Assumptions!B22,Assumptions!B23))</f>
        <v>22.0574780147502</v>
      </c>
      <c r="I720" s="16" t="n">
        <f aca="false">ROUND(H720*F720,0)</f>
        <v>22</v>
      </c>
      <c r="J720" s="22" t="n">
        <f aca="false">I720*Assumptions!B24</f>
        <v>13200</v>
      </c>
      <c r="K720" s="21" t="n">
        <f aca="false">K719*(1+Assumptions!B30)</f>
        <v>16.6167180335467</v>
      </c>
      <c r="L720" s="16" t="n">
        <f aca="false">ROUND(K720*F720,0)</f>
        <v>17</v>
      </c>
      <c r="M720" s="22" t="n">
        <f aca="false">L720*Assumptions!B31</f>
        <v>5100</v>
      </c>
      <c r="N720" s="22" t="n">
        <f aca="false">J720+M720</f>
        <v>18300</v>
      </c>
      <c r="O720" s="22" t="n">
        <f aca="false">IF(DAY(B720)=1,Assumptions!B38*G720,0)</f>
        <v>0</v>
      </c>
      <c r="P720" s="22" t="n">
        <f aca="false">IF(DAY(B720)=1,Assumptions!B39*G720,0)</f>
        <v>0</v>
      </c>
      <c r="Q720" s="22" t="n">
        <f aca="false">IF(DAY(B720)=1,Assumptions!B40*G720,0)</f>
        <v>0</v>
      </c>
      <c r="R720" s="22" t="n">
        <f aca="false">IF(DAY(B720)=1,Assumptions!B41*G720,0)</f>
        <v>0</v>
      </c>
      <c r="S720" s="22" t="n">
        <f aca="false">IF(AND(DAY(B720)=1,D720&gt;=13),Assumptions!B42*G720,0)</f>
        <v>0</v>
      </c>
      <c r="T720" s="22" t="n">
        <f aca="false">IF(DAY(B720)=1,Assumptions!B43*G720,0)</f>
        <v>0</v>
      </c>
      <c r="U720" s="22" t="n">
        <f aca="false">SUM(O720:T720)</f>
        <v>0</v>
      </c>
      <c r="V720" s="22" t="n">
        <f aca="false">N720-U720</f>
        <v>18300</v>
      </c>
      <c r="W720" s="22" t="n">
        <f aca="false">W719+V720</f>
        <v>-2678103.29796275</v>
      </c>
      <c r="X720" s="23" t="str">
        <f aca="false">IF(W720&gt;=0,"YES","No")</f>
        <v>No</v>
      </c>
    </row>
    <row r="721" customFormat="false" ht="15" hidden="false" customHeight="false" outlineLevel="0" collapsed="false">
      <c r="A721" s="16" t="n">
        <v>720</v>
      </c>
      <c r="B721" s="17" t="n">
        <f aca="false">B720+1</f>
        <v>46742</v>
      </c>
      <c r="C721" s="18" t="n">
        <f aca="false">MIN(ROUNDUP(A721/365,0),5)</f>
        <v>2</v>
      </c>
      <c r="D721" s="18" t="n">
        <f aca="false">DATEDIF(Assumptions!B5,B721,"m")+1</f>
        <v>24</v>
      </c>
      <c r="E721" s="18" t="str">
        <f aca="false">TEXT(B721,"ddd")</f>
        <v>Tue</v>
      </c>
      <c r="F721" s="19" t="n">
        <f aca="false">IF(WEEKDAY(B721,2)&gt;=6,Assumptions!B34,Assumptions!B35)</f>
        <v>1</v>
      </c>
      <c r="G721" s="20" t="n">
        <f aca="false">IF(D721&gt;=13,(1+Assumptions!B46)^(D721-12),1)</f>
        <v>1.03659998028813</v>
      </c>
      <c r="H721" s="21" t="n">
        <f aca="false">H720*(1+IF(C721=1,Assumptions!B22,Assumptions!B23))</f>
        <v>22.0610923905848</v>
      </c>
      <c r="I721" s="16" t="n">
        <f aca="false">ROUND(H721*F721,0)</f>
        <v>22</v>
      </c>
      <c r="J721" s="22" t="n">
        <f aca="false">I721*Assumptions!B24</f>
        <v>13200</v>
      </c>
      <c r="K721" s="21" t="n">
        <f aca="false">K720*(1+Assumptions!B30)</f>
        <v>16.622150650788</v>
      </c>
      <c r="L721" s="16" t="n">
        <f aca="false">ROUND(K721*F721,0)</f>
        <v>17</v>
      </c>
      <c r="M721" s="22" t="n">
        <f aca="false">L721*Assumptions!B31</f>
        <v>5100</v>
      </c>
      <c r="N721" s="22" t="n">
        <f aca="false">J721+M721</f>
        <v>18300</v>
      </c>
      <c r="O721" s="22" t="n">
        <f aca="false">IF(DAY(B721)=1,Assumptions!B38*G721,0)</f>
        <v>0</v>
      </c>
      <c r="P721" s="22" t="n">
        <f aca="false">IF(DAY(B721)=1,Assumptions!B39*G721,0)</f>
        <v>0</v>
      </c>
      <c r="Q721" s="22" t="n">
        <f aca="false">IF(DAY(B721)=1,Assumptions!B40*G721,0)</f>
        <v>0</v>
      </c>
      <c r="R721" s="22" t="n">
        <f aca="false">IF(DAY(B721)=1,Assumptions!B41*G721,0)</f>
        <v>0</v>
      </c>
      <c r="S721" s="22" t="n">
        <f aca="false">IF(AND(DAY(B721)=1,D721&gt;=13),Assumptions!B42*G721,0)</f>
        <v>0</v>
      </c>
      <c r="T721" s="22" t="n">
        <f aca="false">IF(DAY(B721)=1,Assumptions!B43*G721,0)</f>
        <v>0</v>
      </c>
      <c r="U721" s="22" t="n">
        <f aca="false">SUM(O721:T721)</f>
        <v>0</v>
      </c>
      <c r="V721" s="22" t="n">
        <f aca="false">N721-U721</f>
        <v>18300</v>
      </c>
      <c r="W721" s="22" t="n">
        <f aca="false">W720+V721</f>
        <v>-2659803.29796275</v>
      </c>
      <c r="X721" s="23" t="str">
        <f aca="false">IF(W721&gt;=0,"YES","No")</f>
        <v>No</v>
      </c>
    </row>
    <row r="722" customFormat="false" ht="15" hidden="false" customHeight="false" outlineLevel="0" collapsed="false">
      <c r="A722" s="16" t="n">
        <v>721</v>
      </c>
      <c r="B722" s="17" t="n">
        <f aca="false">B721+1</f>
        <v>46743</v>
      </c>
      <c r="C722" s="18" t="n">
        <f aca="false">MIN(ROUNDUP(A722/365,0),5)</f>
        <v>2</v>
      </c>
      <c r="D722" s="18" t="n">
        <f aca="false">DATEDIF(Assumptions!B5,B722,"m")+1</f>
        <v>24</v>
      </c>
      <c r="E722" s="18" t="str">
        <f aca="false">TEXT(B722,"ddd")</f>
        <v>Wed</v>
      </c>
      <c r="F722" s="19" t="n">
        <f aca="false">IF(WEEKDAY(B722,2)&gt;=6,Assumptions!B34,Assumptions!B35)</f>
        <v>1</v>
      </c>
      <c r="G722" s="20" t="n">
        <f aca="false">IF(D722&gt;=13,(1+Assumptions!B46)^(D722-12),1)</f>
        <v>1.03659998028813</v>
      </c>
      <c r="H722" s="21" t="n">
        <f aca="false">H721*(1+IF(C722=1,Assumptions!B22,Assumptions!B23))</f>
        <v>22.0647073586772</v>
      </c>
      <c r="I722" s="16" t="n">
        <f aca="false">ROUND(H722*F722,0)</f>
        <v>22</v>
      </c>
      <c r="J722" s="22" t="n">
        <f aca="false">I722*Assumptions!B24</f>
        <v>13200</v>
      </c>
      <c r="K722" s="21" t="n">
        <f aca="false">K721*(1+Assumptions!B30)</f>
        <v>16.627585044152</v>
      </c>
      <c r="L722" s="16" t="n">
        <f aca="false">ROUND(K722*F722,0)</f>
        <v>17</v>
      </c>
      <c r="M722" s="22" t="n">
        <f aca="false">L722*Assumptions!B31</f>
        <v>5100</v>
      </c>
      <c r="N722" s="22" t="n">
        <f aca="false">J722+M722</f>
        <v>18300</v>
      </c>
      <c r="O722" s="22" t="n">
        <f aca="false">IF(DAY(B722)=1,Assumptions!B38*G722,0)</f>
        <v>0</v>
      </c>
      <c r="P722" s="22" t="n">
        <f aca="false">IF(DAY(B722)=1,Assumptions!B39*G722,0)</f>
        <v>0</v>
      </c>
      <c r="Q722" s="22" t="n">
        <f aca="false">IF(DAY(B722)=1,Assumptions!B40*G722,0)</f>
        <v>0</v>
      </c>
      <c r="R722" s="22" t="n">
        <f aca="false">IF(DAY(B722)=1,Assumptions!B41*G722,0)</f>
        <v>0</v>
      </c>
      <c r="S722" s="22" t="n">
        <f aca="false">IF(AND(DAY(B722)=1,D722&gt;=13),Assumptions!B42*G722,0)</f>
        <v>0</v>
      </c>
      <c r="T722" s="22" t="n">
        <f aca="false">IF(DAY(B722)=1,Assumptions!B43*G722,0)</f>
        <v>0</v>
      </c>
      <c r="U722" s="22" t="n">
        <f aca="false">SUM(O722:T722)</f>
        <v>0</v>
      </c>
      <c r="V722" s="22" t="n">
        <f aca="false">N722-U722</f>
        <v>18300</v>
      </c>
      <c r="W722" s="22" t="n">
        <f aca="false">W721+V722</f>
        <v>-2641503.29796275</v>
      </c>
      <c r="X722" s="23" t="str">
        <f aca="false">IF(W722&gt;=0,"YES","No")</f>
        <v>No</v>
      </c>
    </row>
    <row r="723" customFormat="false" ht="15" hidden="false" customHeight="false" outlineLevel="0" collapsed="false">
      <c r="A723" s="16" t="n">
        <v>722</v>
      </c>
      <c r="B723" s="17" t="n">
        <f aca="false">B722+1</f>
        <v>46744</v>
      </c>
      <c r="C723" s="18" t="n">
        <f aca="false">MIN(ROUNDUP(A723/365,0),5)</f>
        <v>2</v>
      </c>
      <c r="D723" s="18" t="n">
        <f aca="false">DATEDIF(Assumptions!B5,B723,"m")+1</f>
        <v>24</v>
      </c>
      <c r="E723" s="18" t="str">
        <f aca="false">TEXT(B723,"ddd")</f>
        <v>Thu</v>
      </c>
      <c r="F723" s="19" t="n">
        <f aca="false">IF(WEEKDAY(B723,2)&gt;=6,Assumptions!B34,Assumptions!B35)</f>
        <v>1</v>
      </c>
      <c r="G723" s="20" t="n">
        <f aca="false">IF(D723&gt;=13,(1+Assumptions!B46)^(D723-12),1)</f>
        <v>1.03659998028813</v>
      </c>
      <c r="H723" s="21" t="n">
        <f aca="false">H722*(1+IF(C723=1,Assumptions!B22,Assumptions!B23))</f>
        <v>22.0683229191244</v>
      </c>
      <c r="I723" s="16" t="n">
        <f aca="false">ROUND(H723*F723,0)</f>
        <v>22</v>
      </c>
      <c r="J723" s="22" t="n">
        <f aca="false">I723*Assumptions!B24</f>
        <v>13200</v>
      </c>
      <c r="K723" s="21" t="n">
        <f aca="false">K722*(1+Assumptions!B30)</f>
        <v>16.6330212142193</v>
      </c>
      <c r="L723" s="16" t="n">
        <f aca="false">ROUND(K723*F723,0)</f>
        <v>17</v>
      </c>
      <c r="M723" s="22" t="n">
        <f aca="false">L723*Assumptions!B31</f>
        <v>5100</v>
      </c>
      <c r="N723" s="22" t="n">
        <f aca="false">J723+M723</f>
        <v>18300</v>
      </c>
      <c r="O723" s="22" t="n">
        <f aca="false">IF(DAY(B723)=1,Assumptions!B38*G723,0)</f>
        <v>0</v>
      </c>
      <c r="P723" s="22" t="n">
        <f aca="false">IF(DAY(B723)=1,Assumptions!B39*G723,0)</f>
        <v>0</v>
      </c>
      <c r="Q723" s="22" t="n">
        <f aca="false">IF(DAY(B723)=1,Assumptions!B40*G723,0)</f>
        <v>0</v>
      </c>
      <c r="R723" s="22" t="n">
        <f aca="false">IF(DAY(B723)=1,Assumptions!B41*G723,0)</f>
        <v>0</v>
      </c>
      <c r="S723" s="22" t="n">
        <f aca="false">IF(AND(DAY(B723)=1,D723&gt;=13),Assumptions!B42*G723,0)</f>
        <v>0</v>
      </c>
      <c r="T723" s="22" t="n">
        <f aca="false">IF(DAY(B723)=1,Assumptions!B43*G723,0)</f>
        <v>0</v>
      </c>
      <c r="U723" s="22" t="n">
        <f aca="false">SUM(O723:T723)</f>
        <v>0</v>
      </c>
      <c r="V723" s="22" t="n">
        <f aca="false">N723-U723</f>
        <v>18300</v>
      </c>
      <c r="W723" s="22" t="n">
        <f aca="false">W722+V723</f>
        <v>-2623203.29796275</v>
      </c>
      <c r="X723" s="23" t="str">
        <f aca="false">IF(W723&gt;=0,"YES","No")</f>
        <v>No</v>
      </c>
    </row>
    <row r="724" customFormat="false" ht="15" hidden="false" customHeight="false" outlineLevel="0" collapsed="false">
      <c r="A724" s="16" t="n">
        <v>723</v>
      </c>
      <c r="B724" s="17" t="n">
        <f aca="false">B723+1</f>
        <v>46745</v>
      </c>
      <c r="C724" s="18" t="n">
        <f aca="false">MIN(ROUNDUP(A724/365,0),5)</f>
        <v>2</v>
      </c>
      <c r="D724" s="18" t="n">
        <f aca="false">DATEDIF(Assumptions!B5,B724,"m")+1</f>
        <v>24</v>
      </c>
      <c r="E724" s="18" t="str">
        <f aca="false">TEXT(B724,"ddd")</f>
        <v>Fri</v>
      </c>
      <c r="F724" s="19" t="n">
        <f aca="false">IF(WEEKDAY(B724,2)&gt;=6,Assumptions!B34,Assumptions!B35)</f>
        <v>1</v>
      </c>
      <c r="G724" s="20" t="n">
        <f aca="false">IF(D724&gt;=13,(1+Assumptions!B46)^(D724-12),1)</f>
        <v>1.03659998028813</v>
      </c>
      <c r="H724" s="21" t="n">
        <f aca="false">H723*(1+IF(C724=1,Assumptions!B22,Assumptions!B23))</f>
        <v>22.0719390720235</v>
      </c>
      <c r="I724" s="16" t="n">
        <f aca="false">ROUND(H724*F724,0)</f>
        <v>22</v>
      </c>
      <c r="J724" s="22" t="n">
        <f aca="false">I724*Assumptions!B24</f>
        <v>13200</v>
      </c>
      <c r="K724" s="21" t="n">
        <f aca="false">K723*(1+Assumptions!B30)</f>
        <v>16.6384591615709</v>
      </c>
      <c r="L724" s="16" t="n">
        <f aca="false">ROUND(K724*F724,0)</f>
        <v>17</v>
      </c>
      <c r="M724" s="22" t="n">
        <f aca="false">L724*Assumptions!B31</f>
        <v>5100</v>
      </c>
      <c r="N724" s="22" t="n">
        <f aca="false">J724+M724</f>
        <v>18300</v>
      </c>
      <c r="O724" s="22" t="n">
        <f aca="false">IF(DAY(B724)=1,Assumptions!B38*G724,0)</f>
        <v>0</v>
      </c>
      <c r="P724" s="22" t="n">
        <f aca="false">IF(DAY(B724)=1,Assumptions!B39*G724,0)</f>
        <v>0</v>
      </c>
      <c r="Q724" s="22" t="n">
        <f aca="false">IF(DAY(B724)=1,Assumptions!B40*G724,0)</f>
        <v>0</v>
      </c>
      <c r="R724" s="22" t="n">
        <f aca="false">IF(DAY(B724)=1,Assumptions!B41*G724,0)</f>
        <v>0</v>
      </c>
      <c r="S724" s="22" t="n">
        <f aca="false">IF(AND(DAY(B724)=1,D724&gt;=13),Assumptions!B42*G724,0)</f>
        <v>0</v>
      </c>
      <c r="T724" s="22" t="n">
        <f aca="false">IF(DAY(B724)=1,Assumptions!B43*G724,0)</f>
        <v>0</v>
      </c>
      <c r="U724" s="22" t="n">
        <f aca="false">SUM(O724:T724)</f>
        <v>0</v>
      </c>
      <c r="V724" s="22" t="n">
        <f aca="false">N724-U724</f>
        <v>18300</v>
      </c>
      <c r="W724" s="22" t="n">
        <f aca="false">W723+V724</f>
        <v>-2604903.29796275</v>
      </c>
      <c r="X724" s="23" t="str">
        <f aca="false">IF(W724&gt;=0,"YES","No")</f>
        <v>No</v>
      </c>
    </row>
    <row r="725" customFormat="false" ht="15" hidden="false" customHeight="false" outlineLevel="0" collapsed="false">
      <c r="A725" s="16" t="n">
        <v>724</v>
      </c>
      <c r="B725" s="17" t="n">
        <f aca="false">B724+1</f>
        <v>46746</v>
      </c>
      <c r="C725" s="18" t="n">
        <f aca="false">MIN(ROUNDUP(A725/365,0),5)</f>
        <v>2</v>
      </c>
      <c r="D725" s="18" t="n">
        <f aca="false">DATEDIF(Assumptions!B5,B725,"m")+1</f>
        <v>24</v>
      </c>
      <c r="E725" s="18" t="str">
        <f aca="false">TEXT(B725,"ddd")</f>
        <v>Sat</v>
      </c>
      <c r="F725" s="19" t="n">
        <f aca="false">IF(WEEKDAY(B725,2)&gt;=6,Assumptions!B34,Assumptions!B35)</f>
        <v>0.6</v>
      </c>
      <c r="G725" s="20" t="n">
        <f aca="false">IF(D725&gt;=13,(1+Assumptions!B46)^(D725-12),1)</f>
        <v>1.03659998028813</v>
      </c>
      <c r="H725" s="21" t="n">
        <f aca="false">H724*(1+IF(C725=1,Assumptions!B22,Assumptions!B23))</f>
        <v>22.0755558174716</v>
      </c>
      <c r="I725" s="16" t="n">
        <f aca="false">ROUND(H725*F725,0)</f>
        <v>13</v>
      </c>
      <c r="J725" s="22" t="n">
        <f aca="false">I725*Assumptions!B24</f>
        <v>7800</v>
      </c>
      <c r="K725" s="21" t="n">
        <f aca="false">K724*(1+Assumptions!B30)</f>
        <v>16.6438988867879</v>
      </c>
      <c r="L725" s="16" t="n">
        <f aca="false">ROUND(K725*F725,0)</f>
        <v>10</v>
      </c>
      <c r="M725" s="22" t="n">
        <f aca="false">L725*Assumptions!B31</f>
        <v>3000</v>
      </c>
      <c r="N725" s="22" t="n">
        <f aca="false">J725+M725</f>
        <v>10800</v>
      </c>
      <c r="O725" s="22" t="n">
        <f aca="false">IF(DAY(B725)=1,Assumptions!B38*G725,0)</f>
        <v>0</v>
      </c>
      <c r="P725" s="22" t="n">
        <f aca="false">IF(DAY(B725)=1,Assumptions!B39*G725,0)</f>
        <v>0</v>
      </c>
      <c r="Q725" s="22" t="n">
        <f aca="false">IF(DAY(B725)=1,Assumptions!B40*G725,0)</f>
        <v>0</v>
      </c>
      <c r="R725" s="22" t="n">
        <f aca="false">IF(DAY(B725)=1,Assumptions!B41*G725,0)</f>
        <v>0</v>
      </c>
      <c r="S725" s="22" t="n">
        <f aca="false">IF(AND(DAY(B725)=1,D725&gt;=13),Assumptions!B42*G725,0)</f>
        <v>0</v>
      </c>
      <c r="T725" s="22" t="n">
        <f aca="false">IF(DAY(B725)=1,Assumptions!B43*G725,0)</f>
        <v>0</v>
      </c>
      <c r="U725" s="22" t="n">
        <f aca="false">SUM(O725:T725)</f>
        <v>0</v>
      </c>
      <c r="V725" s="22" t="n">
        <f aca="false">N725-U725</f>
        <v>10800</v>
      </c>
      <c r="W725" s="22" t="n">
        <f aca="false">W724+V725</f>
        <v>-2594103.29796275</v>
      </c>
      <c r="X725" s="23" t="str">
        <f aca="false">IF(W725&gt;=0,"YES","No")</f>
        <v>No</v>
      </c>
    </row>
    <row r="726" customFormat="false" ht="15" hidden="false" customHeight="false" outlineLevel="0" collapsed="false">
      <c r="A726" s="16" t="n">
        <v>725</v>
      </c>
      <c r="B726" s="17" t="n">
        <f aca="false">B725+1</f>
        <v>46747</v>
      </c>
      <c r="C726" s="18" t="n">
        <f aca="false">MIN(ROUNDUP(A726/365,0),5)</f>
        <v>2</v>
      </c>
      <c r="D726" s="18" t="n">
        <f aca="false">DATEDIF(Assumptions!B5,B726,"m")+1</f>
        <v>24</v>
      </c>
      <c r="E726" s="18" t="str">
        <f aca="false">TEXT(B726,"ddd")</f>
        <v>Sun</v>
      </c>
      <c r="F726" s="19" t="n">
        <f aca="false">IF(WEEKDAY(B726,2)&gt;=6,Assumptions!B34,Assumptions!B35)</f>
        <v>0.6</v>
      </c>
      <c r="G726" s="20" t="n">
        <f aca="false">IF(D726&gt;=13,(1+Assumptions!B46)^(D726-12),1)</f>
        <v>1.03659998028813</v>
      </c>
      <c r="H726" s="21" t="n">
        <f aca="false">H725*(1+IF(C726=1,Assumptions!B22,Assumptions!B23))</f>
        <v>22.0791731555657</v>
      </c>
      <c r="I726" s="16" t="n">
        <f aca="false">ROUND(H726*F726,0)</f>
        <v>13</v>
      </c>
      <c r="J726" s="22" t="n">
        <f aca="false">I726*Assumptions!B24</f>
        <v>7800</v>
      </c>
      <c r="K726" s="21" t="n">
        <f aca="false">K725*(1+Assumptions!B30)</f>
        <v>16.6493403904513</v>
      </c>
      <c r="L726" s="16" t="n">
        <f aca="false">ROUND(K726*F726,0)</f>
        <v>10</v>
      </c>
      <c r="M726" s="22" t="n">
        <f aca="false">L726*Assumptions!B31</f>
        <v>3000</v>
      </c>
      <c r="N726" s="22" t="n">
        <f aca="false">J726+M726</f>
        <v>10800</v>
      </c>
      <c r="O726" s="22" t="n">
        <f aca="false">IF(DAY(B726)=1,Assumptions!B38*G726,0)</f>
        <v>0</v>
      </c>
      <c r="P726" s="22" t="n">
        <f aca="false">IF(DAY(B726)=1,Assumptions!B39*G726,0)</f>
        <v>0</v>
      </c>
      <c r="Q726" s="22" t="n">
        <f aca="false">IF(DAY(B726)=1,Assumptions!B40*G726,0)</f>
        <v>0</v>
      </c>
      <c r="R726" s="22" t="n">
        <f aca="false">IF(DAY(B726)=1,Assumptions!B41*G726,0)</f>
        <v>0</v>
      </c>
      <c r="S726" s="22" t="n">
        <f aca="false">IF(AND(DAY(B726)=1,D726&gt;=13),Assumptions!B42*G726,0)</f>
        <v>0</v>
      </c>
      <c r="T726" s="22" t="n">
        <f aca="false">IF(DAY(B726)=1,Assumptions!B43*G726,0)</f>
        <v>0</v>
      </c>
      <c r="U726" s="22" t="n">
        <f aca="false">SUM(O726:T726)</f>
        <v>0</v>
      </c>
      <c r="V726" s="22" t="n">
        <f aca="false">N726-U726</f>
        <v>10800</v>
      </c>
      <c r="W726" s="22" t="n">
        <f aca="false">W725+V726</f>
        <v>-2583303.29796275</v>
      </c>
      <c r="X726" s="23" t="str">
        <f aca="false">IF(W726&gt;=0,"YES","No")</f>
        <v>No</v>
      </c>
    </row>
    <row r="727" customFormat="false" ht="15" hidden="false" customHeight="false" outlineLevel="0" collapsed="false">
      <c r="A727" s="16" t="n">
        <v>726</v>
      </c>
      <c r="B727" s="17" t="n">
        <f aca="false">B726+1</f>
        <v>46748</v>
      </c>
      <c r="C727" s="18" t="n">
        <f aca="false">MIN(ROUNDUP(A727/365,0),5)</f>
        <v>2</v>
      </c>
      <c r="D727" s="18" t="n">
        <f aca="false">DATEDIF(Assumptions!B5,B727,"m")+1</f>
        <v>24</v>
      </c>
      <c r="E727" s="18" t="str">
        <f aca="false">TEXT(B727,"ddd")</f>
        <v>Mon</v>
      </c>
      <c r="F727" s="19" t="n">
        <f aca="false">IF(WEEKDAY(B727,2)&gt;=6,Assumptions!B34,Assumptions!B35)</f>
        <v>1</v>
      </c>
      <c r="G727" s="20" t="n">
        <f aca="false">IF(D727&gt;=13,(1+Assumptions!B46)^(D727-12),1)</f>
        <v>1.03659998028813</v>
      </c>
      <c r="H727" s="21" t="n">
        <f aca="false">H726*(1+IF(C727=1,Assumptions!B22,Assumptions!B23))</f>
        <v>22.0827910864029</v>
      </c>
      <c r="I727" s="16" t="n">
        <f aca="false">ROUND(H727*F727,0)</f>
        <v>22</v>
      </c>
      <c r="J727" s="22" t="n">
        <f aca="false">I727*Assumptions!B24</f>
        <v>13200</v>
      </c>
      <c r="K727" s="21" t="n">
        <f aca="false">K726*(1+Assumptions!B30)</f>
        <v>16.6547836731428</v>
      </c>
      <c r="L727" s="16" t="n">
        <f aca="false">ROUND(K727*F727,0)</f>
        <v>17</v>
      </c>
      <c r="M727" s="22" t="n">
        <f aca="false">L727*Assumptions!B31</f>
        <v>5100</v>
      </c>
      <c r="N727" s="22" t="n">
        <f aca="false">J727+M727</f>
        <v>18300</v>
      </c>
      <c r="O727" s="22" t="n">
        <f aca="false">IF(DAY(B727)=1,Assumptions!B38*G727,0)</f>
        <v>0</v>
      </c>
      <c r="P727" s="22" t="n">
        <f aca="false">IF(DAY(B727)=1,Assumptions!B39*G727,0)</f>
        <v>0</v>
      </c>
      <c r="Q727" s="22" t="n">
        <f aca="false">IF(DAY(B727)=1,Assumptions!B40*G727,0)</f>
        <v>0</v>
      </c>
      <c r="R727" s="22" t="n">
        <f aca="false">IF(DAY(B727)=1,Assumptions!B41*G727,0)</f>
        <v>0</v>
      </c>
      <c r="S727" s="22" t="n">
        <f aca="false">IF(AND(DAY(B727)=1,D727&gt;=13),Assumptions!B42*G727,0)</f>
        <v>0</v>
      </c>
      <c r="T727" s="22" t="n">
        <f aca="false">IF(DAY(B727)=1,Assumptions!B43*G727,0)</f>
        <v>0</v>
      </c>
      <c r="U727" s="22" t="n">
        <f aca="false">SUM(O727:T727)</f>
        <v>0</v>
      </c>
      <c r="V727" s="22" t="n">
        <f aca="false">N727-U727</f>
        <v>18300</v>
      </c>
      <c r="W727" s="22" t="n">
        <f aca="false">W726+V727</f>
        <v>-2565003.29796275</v>
      </c>
      <c r="X727" s="23" t="str">
        <f aca="false">IF(W727&gt;=0,"YES","No")</f>
        <v>No</v>
      </c>
    </row>
    <row r="728" customFormat="false" ht="15" hidden="false" customHeight="false" outlineLevel="0" collapsed="false">
      <c r="A728" s="16" t="n">
        <v>727</v>
      </c>
      <c r="B728" s="17" t="n">
        <f aca="false">B727+1</f>
        <v>46749</v>
      </c>
      <c r="C728" s="18" t="n">
        <f aca="false">MIN(ROUNDUP(A728/365,0),5)</f>
        <v>2</v>
      </c>
      <c r="D728" s="18" t="n">
        <f aca="false">DATEDIF(Assumptions!B5,B728,"m")+1</f>
        <v>24</v>
      </c>
      <c r="E728" s="18" t="str">
        <f aca="false">TEXT(B728,"ddd")</f>
        <v>Tue</v>
      </c>
      <c r="F728" s="19" t="n">
        <f aca="false">IF(WEEKDAY(B728,2)&gt;=6,Assumptions!B34,Assumptions!B35)</f>
        <v>1</v>
      </c>
      <c r="G728" s="20" t="n">
        <f aca="false">IF(D728&gt;=13,(1+Assumptions!B46)^(D728-12),1)</f>
        <v>1.03659998028813</v>
      </c>
      <c r="H728" s="21" t="n">
        <f aca="false">H727*(1+IF(C728=1,Assumptions!B22,Assumptions!B23))</f>
        <v>22.0864096100805</v>
      </c>
      <c r="I728" s="16" t="n">
        <f aca="false">ROUND(H728*F728,0)</f>
        <v>22</v>
      </c>
      <c r="J728" s="22" t="n">
        <f aca="false">I728*Assumptions!B24</f>
        <v>13200</v>
      </c>
      <c r="K728" s="21" t="n">
        <f aca="false">K727*(1+Assumptions!B30)</f>
        <v>16.6602287354439</v>
      </c>
      <c r="L728" s="16" t="n">
        <f aca="false">ROUND(K728*F728,0)</f>
        <v>17</v>
      </c>
      <c r="M728" s="22" t="n">
        <f aca="false">L728*Assumptions!B31</f>
        <v>5100</v>
      </c>
      <c r="N728" s="22" t="n">
        <f aca="false">J728+M728</f>
        <v>18300</v>
      </c>
      <c r="O728" s="22" t="n">
        <f aca="false">IF(DAY(B728)=1,Assumptions!B38*G728,0)</f>
        <v>0</v>
      </c>
      <c r="P728" s="22" t="n">
        <f aca="false">IF(DAY(B728)=1,Assumptions!B39*G728,0)</f>
        <v>0</v>
      </c>
      <c r="Q728" s="22" t="n">
        <f aca="false">IF(DAY(B728)=1,Assumptions!B40*G728,0)</f>
        <v>0</v>
      </c>
      <c r="R728" s="22" t="n">
        <f aca="false">IF(DAY(B728)=1,Assumptions!B41*G728,0)</f>
        <v>0</v>
      </c>
      <c r="S728" s="22" t="n">
        <f aca="false">IF(AND(DAY(B728)=1,D728&gt;=13),Assumptions!B42*G728,0)</f>
        <v>0</v>
      </c>
      <c r="T728" s="22" t="n">
        <f aca="false">IF(DAY(B728)=1,Assumptions!B43*G728,0)</f>
        <v>0</v>
      </c>
      <c r="U728" s="22" t="n">
        <f aca="false">SUM(O728:T728)</f>
        <v>0</v>
      </c>
      <c r="V728" s="22" t="n">
        <f aca="false">N728-U728</f>
        <v>18300</v>
      </c>
      <c r="W728" s="22" t="n">
        <f aca="false">W727+V728</f>
        <v>-2546703.29796275</v>
      </c>
      <c r="X728" s="23" t="str">
        <f aca="false">IF(W728&gt;=0,"YES","No")</f>
        <v>No</v>
      </c>
    </row>
    <row r="729" customFormat="false" ht="15" hidden="false" customHeight="false" outlineLevel="0" collapsed="false">
      <c r="A729" s="16" t="n">
        <v>728</v>
      </c>
      <c r="B729" s="17" t="n">
        <f aca="false">B728+1</f>
        <v>46750</v>
      </c>
      <c r="C729" s="18" t="n">
        <f aca="false">MIN(ROUNDUP(A729/365,0),5)</f>
        <v>2</v>
      </c>
      <c r="D729" s="18" t="n">
        <f aca="false">DATEDIF(Assumptions!B5,B729,"m")+1</f>
        <v>24</v>
      </c>
      <c r="E729" s="18" t="str">
        <f aca="false">TEXT(B729,"ddd")</f>
        <v>Wed</v>
      </c>
      <c r="F729" s="19" t="n">
        <f aca="false">IF(WEEKDAY(B729,2)&gt;=6,Assumptions!B34,Assumptions!B35)</f>
        <v>1</v>
      </c>
      <c r="G729" s="20" t="n">
        <f aca="false">IF(D729&gt;=13,(1+Assumptions!B46)^(D729-12),1)</f>
        <v>1.03659998028813</v>
      </c>
      <c r="H729" s="21" t="n">
        <f aca="false">H728*(1+IF(C729=1,Assumptions!B22,Assumptions!B23))</f>
        <v>22.0900287266955</v>
      </c>
      <c r="I729" s="16" t="n">
        <f aca="false">ROUND(H729*F729,0)</f>
        <v>22</v>
      </c>
      <c r="J729" s="22" t="n">
        <f aca="false">I729*Assumptions!B24</f>
        <v>13200</v>
      </c>
      <c r="K729" s="21" t="n">
        <f aca="false">K728*(1+Assumptions!B30)</f>
        <v>16.6656755779364</v>
      </c>
      <c r="L729" s="16" t="n">
        <f aca="false">ROUND(K729*F729,0)</f>
        <v>17</v>
      </c>
      <c r="M729" s="22" t="n">
        <f aca="false">L729*Assumptions!B31</f>
        <v>5100</v>
      </c>
      <c r="N729" s="22" t="n">
        <f aca="false">J729+M729</f>
        <v>18300</v>
      </c>
      <c r="O729" s="22" t="n">
        <f aca="false">IF(DAY(B729)=1,Assumptions!B38*G729,0)</f>
        <v>0</v>
      </c>
      <c r="P729" s="22" t="n">
        <f aca="false">IF(DAY(B729)=1,Assumptions!B39*G729,0)</f>
        <v>0</v>
      </c>
      <c r="Q729" s="22" t="n">
        <f aca="false">IF(DAY(B729)=1,Assumptions!B40*G729,0)</f>
        <v>0</v>
      </c>
      <c r="R729" s="22" t="n">
        <f aca="false">IF(DAY(B729)=1,Assumptions!B41*G729,0)</f>
        <v>0</v>
      </c>
      <c r="S729" s="22" t="n">
        <f aca="false">IF(AND(DAY(B729)=1,D729&gt;=13),Assumptions!B42*G729,0)</f>
        <v>0</v>
      </c>
      <c r="T729" s="22" t="n">
        <f aca="false">IF(DAY(B729)=1,Assumptions!B43*G729,0)</f>
        <v>0</v>
      </c>
      <c r="U729" s="22" t="n">
        <f aca="false">SUM(O729:T729)</f>
        <v>0</v>
      </c>
      <c r="V729" s="22" t="n">
        <f aca="false">N729-U729</f>
        <v>18300</v>
      </c>
      <c r="W729" s="22" t="n">
        <f aca="false">W728+V729</f>
        <v>-2528403.29796275</v>
      </c>
      <c r="X729" s="23" t="str">
        <f aca="false">IF(W729&gt;=0,"YES","No")</f>
        <v>No</v>
      </c>
    </row>
    <row r="730" customFormat="false" ht="15" hidden="false" customHeight="false" outlineLevel="0" collapsed="false">
      <c r="A730" s="16" t="n">
        <v>729</v>
      </c>
      <c r="B730" s="17" t="n">
        <f aca="false">B729+1</f>
        <v>46751</v>
      </c>
      <c r="C730" s="18" t="n">
        <f aca="false">MIN(ROUNDUP(A730/365,0),5)</f>
        <v>2</v>
      </c>
      <c r="D730" s="18" t="n">
        <f aca="false">DATEDIF(Assumptions!B5,B730,"m")+1</f>
        <v>24</v>
      </c>
      <c r="E730" s="18" t="str">
        <f aca="false">TEXT(B730,"ddd")</f>
        <v>Thu</v>
      </c>
      <c r="F730" s="19" t="n">
        <f aca="false">IF(WEEKDAY(B730,2)&gt;=6,Assumptions!B34,Assumptions!B35)</f>
        <v>1</v>
      </c>
      <c r="G730" s="20" t="n">
        <f aca="false">IF(D730&gt;=13,(1+Assumptions!B46)^(D730-12),1)</f>
        <v>1.03659998028813</v>
      </c>
      <c r="H730" s="21" t="n">
        <f aca="false">H729*(1+IF(C730=1,Assumptions!B22,Assumptions!B23))</f>
        <v>22.0936484363451</v>
      </c>
      <c r="I730" s="16" t="n">
        <f aca="false">ROUND(H730*F730,0)</f>
        <v>22</v>
      </c>
      <c r="J730" s="22" t="n">
        <f aca="false">I730*Assumptions!B24</f>
        <v>13200</v>
      </c>
      <c r="K730" s="21" t="n">
        <f aca="false">K729*(1+Assumptions!B30)</f>
        <v>16.6711242012025</v>
      </c>
      <c r="L730" s="16" t="n">
        <f aca="false">ROUND(K730*F730,0)</f>
        <v>17</v>
      </c>
      <c r="M730" s="22" t="n">
        <f aca="false">L730*Assumptions!B31</f>
        <v>5100</v>
      </c>
      <c r="N730" s="22" t="n">
        <f aca="false">J730+M730</f>
        <v>18300</v>
      </c>
      <c r="O730" s="22" t="n">
        <f aca="false">IF(DAY(B730)=1,Assumptions!B38*G730,0)</f>
        <v>0</v>
      </c>
      <c r="P730" s="22" t="n">
        <f aca="false">IF(DAY(B730)=1,Assumptions!B39*G730,0)</f>
        <v>0</v>
      </c>
      <c r="Q730" s="22" t="n">
        <f aca="false">IF(DAY(B730)=1,Assumptions!B40*G730,0)</f>
        <v>0</v>
      </c>
      <c r="R730" s="22" t="n">
        <f aca="false">IF(DAY(B730)=1,Assumptions!B41*G730,0)</f>
        <v>0</v>
      </c>
      <c r="S730" s="22" t="n">
        <f aca="false">IF(AND(DAY(B730)=1,D730&gt;=13),Assumptions!B42*G730,0)</f>
        <v>0</v>
      </c>
      <c r="T730" s="22" t="n">
        <f aca="false">IF(DAY(B730)=1,Assumptions!B43*G730,0)</f>
        <v>0</v>
      </c>
      <c r="U730" s="22" t="n">
        <f aca="false">SUM(O730:T730)</f>
        <v>0</v>
      </c>
      <c r="V730" s="22" t="n">
        <f aca="false">N730-U730</f>
        <v>18300</v>
      </c>
      <c r="W730" s="22" t="n">
        <f aca="false">W729+V730</f>
        <v>-2510103.29796275</v>
      </c>
      <c r="X730" s="23" t="str">
        <f aca="false">IF(W730&gt;=0,"YES","No")</f>
        <v>No</v>
      </c>
    </row>
    <row r="731" customFormat="false" ht="15" hidden="false" customHeight="false" outlineLevel="0" collapsed="false">
      <c r="A731" s="16" t="n">
        <v>730</v>
      </c>
      <c r="B731" s="17" t="n">
        <f aca="false">B730+1</f>
        <v>46752</v>
      </c>
      <c r="C731" s="18" t="n">
        <f aca="false">MIN(ROUNDUP(A731/365,0),5)</f>
        <v>2</v>
      </c>
      <c r="D731" s="18" t="n">
        <f aca="false">DATEDIF(Assumptions!B5,B731,"m")+1</f>
        <v>24</v>
      </c>
      <c r="E731" s="18" t="str">
        <f aca="false">TEXT(B731,"ddd")</f>
        <v>Fri</v>
      </c>
      <c r="F731" s="19" t="n">
        <f aca="false">IF(WEEKDAY(B731,2)&gt;=6,Assumptions!B34,Assumptions!B35)</f>
        <v>1</v>
      </c>
      <c r="G731" s="20" t="n">
        <f aca="false">IF(D731&gt;=13,(1+Assumptions!B46)^(D731-12),1)</f>
        <v>1.03659998028813</v>
      </c>
      <c r="H731" s="21" t="n">
        <f aca="false">H730*(1+IF(C731=1,Assumptions!B22,Assumptions!B23))</f>
        <v>22.0972687391265</v>
      </c>
      <c r="I731" s="16" t="n">
        <f aca="false">ROUND(H731*F731,0)</f>
        <v>22</v>
      </c>
      <c r="J731" s="22" t="n">
        <f aca="false">I731*Assumptions!B24</f>
        <v>13200</v>
      </c>
      <c r="K731" s="21" t="n">
        <f aca="false">K730*(1+Assumptions!B30)</f>
        <v>16.6765746058241</v>
      </c>
      <c r="L731" s="16" t="n">
        <f aca="false">ROUND(K731*F731,0)</f>
        <v>17</v>
      </c>
      <c r="M731" s="22" t="n">
        <f aca="false">L731*Assumptions!B31</f>
        <v>5100</v>
      </c>
      <c r="N731" s="22" t="n">
        <f aca="false">J731+M731</f>
        <v>18300</v>
      </c>
      <c r="O731" s="22" t="n">
        <f aca="false">IF(DAY(B731)=1,Assumptions!B38*G731,0)</f>
        <v>0</v>
      </c>
      <c r="P731" s="22" t="n">
        <f aca="false">IF(DAY(B731)=1,Assumptions!B39*G731,0)</f>
        <v>0</v>
      </c>
      <c r="Q731" s="22" t="n">
        <f aca="false">IF(DAY(B731)=1,Assumptions!B40*G731,0)</f>
        <v>0</v>
      </c>
      <c r="R731" s="22" t="n">
        <f aca="false">IF(DAY(B731)=1,Assumptions!B41*G731,0)</f>
        <v>0</v>
      </c>
      <c r="S731" s="22" t="n">
        <f aca="false">IF(AND(DAY(B731)=1,D731&gt;=13),Assumptions!B42*G731,0)</f>
        <v>0</v>
      </c>
      <c r="T731" s="22" t="n">
        <f aca="false">IF(DAY(B731)=1,Assumptions!B43*G731,0)</f>
        <v>0</v>
      </c>
      <c r="U731" s="22" t="n">
        <f aca="false">SUM(O731:T731)</f>
        <v>0</v>
      </c>
      <c r="V731" s="22" t="n">
        <f aca="false">N731-U731</f>
        <v>18300</v>
      </c>
      <c r="W731" s="22" t="n">
        <f aca="false">W730+V731</f>
        <v>-2491803.29796275</v>
      </c>
      <c r="X731" s="23" t="str">
        <f aca="false">IF(W731&gt;=0,"YES","No")</f>
        <v>No</v>
      </c>
    </row>
    <row r="732" customFormat="false" ht="15" hidden="false" customHeight="false" outlineLevel="0" collapsed="false">
      <c r="A732" s="16" t="n">
        <v>731</v>
      </c>
      <c r="B732" s="17" t="n">
        <f aca="false">B731+1</f>
        <v>46753</v>
      </c>
      <c r="C732" s="18" t="n">
        <f aca="false">MIN(ROUNDUP(A732/365,0),5)</f>
        <v>3</v>
      </c>
      <c r="D732" s="18" t="n">
        <f aca="false">DATEDIF(Assumptions!B5,B732,"m")+1</f>
        <v>25</v>
      </c>
      <c r="E732" s="18" t="str">
        <f aca="false">TEXT(B732,"ddd")</f>
        <v>Sat</v>
      </c>
      <c r="F732" s="19" t="n">
        <f aca="false">IF(WEEKDAY(B732,2)&gt;=6,Assumptions!B34,Assumptions!B35)</f>
        <v>0.6</v>
      </c>
      <c r="G732" s="20" t="n">
        <f aca="false">IF(D732&gt;=13,(1+Assumptions!B46)^(D732-12),1)</f>
        <v>1.03970978022899</v>
      </c>
      <c r="H732" s="21" t="n">
        <f aca="false">H731*(1+IF(C732=1,Assumptions!B22,Assumptions!B23))</f>
        <v>22.1008896351368</v>
      </c>
      <c r="I732" s="16" t="n">
        <f aca="false">ROUND(H732*F732,0)</f>
        <v>13</v>
      </c>
      <c r="J732" s="22" t="n">
        <f aca="false">I732*Assumptions!B24</f>
        <v>7800</v>
      </c>
      <c r="K732" s="21" t="n">
        <f aca="false">K731*(1+Assumptions!B30)</f>
        <v>16.6820267923838</v>
      </c>
      <c r="L732" s="16" t="n">
        <f aca="false">ROUND(K732*F732,0)</f>
        <v>10</v>
      </c>
      <c r="M732" s="22" t="n">
        <f aca="false">L732*Assumptions!B31</f>
        <v>3000</v>
      </c>
      <c r="N732" s="22" t="n">
        <f aca="false">J732+M732</f>
        <v>10800</v>
      </c>
      <c r="O732" s="22" t="n">
        <f aca="false">IF(DAY(B732)=1,Assumptions!B38*G732,0)</f>
        <v>155956.467034349</v>
      </c>
      <c r="P732" s="22" t="n">
        <f aca="false">IF(DAY(B732)=1,Assumptions!B39*G732,0)</f>
        <v>41588.3912091598</v>
      </c>
      <c r="Q732" s="22" t="n">
        <f aca="false">IF(DAY(B732)=1,Assumptions!B40*G732,0)</f>
        <v>31191.2934068698</v>
      </c>
      <c r="R732" s="22" t="n">
        <f aca="false">IF(DAY(B732)=1,Assumptions!B41*G732,0)</f>
        <v>20794.1956045799</v>
      </c>
      <c r="S732" s="22" t="n">
        <f aca="false">IF(AND(DAY(B732)=1,D732&gt;=13),Assumptions!B42*G732,0)</f>
        <v>155956.467034349</v>
      </c>
      <c r="T732" s="22" t="n">
        <f aca="false">IF(DAY(B732)=1,Assumptions!B43*G732,0)</f>
        <v>20794.1956045799</v>
      </c>
      <c r="U732" s="22" t="n">
        <f aca="false">SUM(O732:T732)</f>
        <v>426281.009893888</v>
      </c>
      <c r="V732" s="22" t="n">
        <f aca="false">N732-U732</f>
        <v>-415481.009893888</v>
      </c>
      <c r="W732" s="22" t="n">
        <f aca="false">W731+V732</f>
        <v>-2907284.30785663</v>
      </c>
      <c r="X732" s="23" t="str">
        <f aca="false">IF(W732&gt;=0,"YES","No")</f>
        <v>No</v>
      </c>
    </row>
    <row r="733" customFormat="false" ht="15" hidden="false" customHeight="false" outlineLevel="0" collapsed="false">
      <c r="A733" s="16" t="n">
        <v>732</v>
      </c>
      <c r="B733" s="17" t="n">
        <f aca="false">B732+1</f>
        <v>46754</v>
      </c>
      <c r="C733" s="18" t="n">
        <f aca="false">MIN(ROUNDUP(A733/365,0),5)</f>
        <v>3</v>
      </c>
      <c r="D733" s="18" t="n">
        <f aca="false">DATEDIF(Assumptions!B5,B733,"m")+1</f>
        <v>25</v>
      </c>
      <c r="E733" s="18" t="str">
        <f aca="false">TEXT(B733,"ddd")</f>
        <v>Sun</v>
      </c>
      <c r="F733" s="19" t="n">
        <f aca="false">IF(WEEKDAY(B733,2)&gt;=6,Assumptions!B34,Assumptions!B35)</f>
        <v>0.6</v>
      </c>
      <c r="G733" s="20" t="n">
        <f aca="false">IF(D733&gt;=13,(1+Assumptions!B46)^(D733-12),1)</f>
        <v>1.03970978022899</v>
      </c>
      <c r="H733" s="21" t="n">
        <f aca="false">H732*(1+IF(C733=1,Assumptions!B22,Assumptions!B23))</f>
        <v>22.1045111244734</v>
      </c>
      <c r="I733" s="16" t="n">
        <f aca="false">ROUND(H733*F733,0)</f>
        <v>13</v>
      </c>
      <c r="J733" s="22" t="n">
        <f aca="false">I733*Assumptions!B24</f>
        <v>7800</v>
      </c>
      <c r="K733" s="21" t="n">
        <f aca="false">K732*(1+Assumptions!B30)</f>
        <v>16.6874807614642</v>
      </c>
      <c r="L733" s="16" t="n">
        <f aca="false">ROUND(K733*F733,0)</f>
        <v>10</v>
      </c>
      <c r="M733" s="22" t="n">
        <f aca="false">L733*Assumptions!B31</f>
        <v>3000</v>
      </c>
      <c r="N733" s="22" t="n">
        <f aca="false">J733+M733</f>
        <v>10800</v>
      </c>
      <c r="O733" s="22" t="n">
        <f aca="false">IF(DAY(B733)=1,Assumptions!B38*G733,0)</f>
        <v>0</v>
      </c>
      <c r="P733" s="22" t="n">
        <f aca="false">IF(DAY(B733)=1,Assumptions!B39*G733,0)</f>
        <v>0</v>
      </c>
      <c r="Q733" s="22" t="n">
        <f aca="false">IF(DAY(B733)=1,Assumptions!B40*G733,0)</f>
        <v>0</v>
      </c>
      <c r="R733" s="22" t="n">
        <f aca="false">IF(DAY(B733)=1,Assumptions!B41*G733,0)</f>
        <v>0</v>
      </c>
      <c r="S733" s="22" t="n">
        <f aca="false">IF(AND(DAY(B733)=1,D733&gt;=13),Assumptions!B42*G733,0)</f>
        <v>0</v>
      </c>
      <c r="T733" s="22" t="n">
        <f aca="false">IF(DAY(B733)=1,Assumptions!B43*G733,0)</f>
        <v>0</v>
      </c>
      <c r="U733" s="22" t="n">
        <f aca="false">SUM(O733:T733)</f>
        <v>0</v>
      </c>
      <c r="V733" s="22" t="n">
        <f aca="false">N733-U733</f>
        <v>10800</v>
      </c>
      <c r="W733" s="22" t="n">
        <f aca="false">W732+V733</f>
        <v>-2896484.30785663</v>
      </c>
      <c r="X733" s="23" t="str">
        <f aca="false">IF(W733&gt;=0,"YES","No")</f>
        <v>No</v>
      </c>
    </row>
    <row r="734" customFormat="false" ht="15" hidden="false" customHeight="false" outlineLevel="0" collapsed="false">
      <c r="A734" s="16" t="n">
        <v>733</v>
      </c>
      <c r="B734" s="17" t="n">
        <f aca="false">B733+1</f>
        <v>46755</v>
      </c>
      <c r="C734" s="18" t="n">
        <f aca="false">MIN(ROUNDUP(A734/365,0),5)</f>
        <v>3</v>
      </c>
      <c r="D734" s="18" t="n">
        <f aca="false">DATEDIF(Assumptions!B5,B734,"m")+1</f>
        <v>25</v>
      </c>
      <c r="E734" s="18" t="str">
        <f aca="false">TEXT(B734,"ddd")</f>
        <v>Mon</v>
      </c>
      <c r="F734" s="19" t="n">
        <f aca="false">IF(WEEKDAY(B734,2)&gt;=6,Assumptions!B34,Assumptions!B35)</f>
        <v>1</v>
      </c>
      <c r="G734" s="20" t="n">
        <f aca="false">IF(D734&gt;=13,(1+Assumptions!B46)^(D734-12),1)</f>
        <v>1.03970978022899</v>
      </c>
      <c r="H734" s="21" t="n">
        <f aca="false">H733*(1+IF(C734=1,Assumptions!B22,Assumptions!B23))</f>
        <v>22.1081332072333</v>
      </c>
      <c r="I734" s="16" t="n">
        <f aca="false">ROUND(H734*F734,0)</f>
        <v>22</v>
      </c>
      <c r="J734" s="22" t="n">
        <f aca="false">I734*Assumptions!B24</f>
        <v>13200</v>
      </c>
      <c r="K734" s="21" t="n">
        <f aca="false">K733*(1+Assumptions!B30)</f>
        <v>16.6929365136479</v>
      </c>
      <c r="L734" s="16" t="n">
        <f aca="false">ROUND(K734*F734,0)</f>
        <v>17</v>
      </c>
      <c r="M734" s="22" t="n">
        <f aca="false">L734*Assumptions!B31</f>
        <v>5100</v>
      </c>
      <c r="N734" s="22" t="n">
        <f aca="false">J734+M734</f>
        <v>18300</v>
      </c>
      <c r="O734" s="22" t="n">
        <f aca="false">IF(DAY(B734)=1,Assumptions!B38*G734,0)</f>
        <v>0</v>
      </c>
      <c r="P734" s="22" t="n">
        <f aca="false">IF(DAY(B734)=1,Assumptions!B39*G734,0)</f>
        <v>0</v>
      </c>
      <c r="Q734" s="22" t="n">
        <f aca="false">IF(DAY(B734)=1,Assumptions!B40*G734,0)</f>
        <v>0</v>
      </c>
      <c r="R734" s="22" t="n">
        <f aca="false">IF(DAY(B734)=1,Assumptions!B41*G734,0)</f>
        <v>0</v>
      </c>
      <c r="S734" s="22" t="n">
        <f aca="false">IF(AND(DAY(B734)=1,D734&gt;=13),Assumptions!B42*G734,0)</f>
        <v>0</v>
      </c>
      <c r="T734" s="22" t="n">
        <f aca="false">IF(DAY(B734)=1,Assumptions!B43*G734,0)</f>
        <v>0</v>
      </c>
      <c r="U734" s="22" t="n">
        <f aca="false">SUM(O734:T734)</f>
        <v>0</v>
      </c>
      <c r="V734" s="22" t="n">
        <f aca="false">N734-U734</f>
        <v>18300</v>
      </c>
      <c r="W734" s="22" t="n">
        <f aca="false">W733+V734</f>
        <v>-2878184.30785663</v>
      </c>
      <c r="X734" s="23" t="str">
        <f aca="false">IF(W734&gt;=0,"YES","No")</f>
        <v>No</v>
      </c>
    </row>
    <row r="735" customFormat="false" ht="15" hidden="false" customHeight="false" outlineLevel="0" collapsed="false">
      <c r="A735" s="16" t="n">
        <v>734</v>
      </c>
      <c r="B735" s="17" t="n">
        <f aca="false">B734+1</f>
        <v>46756</v>
      </c>
      <c r="C735" s="18" t="n">
        <f aca="false">MIN(ROUNDUP(A735/365,0),5)</f>
        <v>3</v>
      </c>
      <c r="D735" s="18" t="n">
        <f aca="false">DATEDIF(Assumptions!B5,B735,"m")+1</f>
        <v>25</v>
      </c>
      <c r="E735" s="18" t="str">
        <f aca="false">TEXT(B735,"ddd")</f>
        <v>Tue</v>
      </c>
      <c r="F735" s="19" t="n">
        <f aca="false">IF(WEEKDAY(B735,2)&gt;=6,Assumptions!B34,Assumptions!B35)</f>
        <v>1</v>
      </c>
      <c r="G735" s="20" t="n">
        <f aca="false">IF(D735&gt;=13,(1+Assumptions!B46)^(D735-12),1)</f>
        <v>1.03970978022899</v>
      </c>
      <c r="H735" s="21" t="n">
        <f aca="false">H734*(1+IF(C735=1,Assumptions!B22,Assumptions!B23))</f>
        <v>22.1117558835138</v>
      </c>
      <c r="I735" s="16" t="n">
        <f aca="false">ROUND(H735*F735,0)</f>
        <v>22</v>
      </c>
      <c r="J735" s="22" t="n">
        <f aca="false">I735*Assumptions!B24</f>
        <v>13200</v>
      </c>
      <c r="K735" s="21" t="n">
        <f aca="false">K734*(1+Assumptions!B30)</f>
        <v>16.698394049518</v>
      </c>
      <c r="L735" s="16" t="n">
        <f aca="false">ROUND(K735*F735,0)</f>
        <v>17</v>
      </c>
      <c r="M735" s="22" t="n">
        <f aca="false">L735*Assumptions!B31</f>
        <v>5100</v>
      </c>
      <c r="N735" s="22" t="n">
        <f aca="false">J735+M735</f>
        <v>18300</v>
      </c>
      <c r="O735" s="22" t="n">
        <f aca="false">IF(DAY(B735)=1,Assumptions!B38*G735,0)</f>
        <v>0</v>
      </c>
      <c r="P735" s="22" t="n">
        <f aca="false">IF(DAY(B735)=1,Assumptions!B39*G735,0)</f>
        <v>0</v>
      </c>
      <c r="Q735" s="22" t="n">
        <f aca="false">IF(DAY(B735)=1,Assumptions!B40*G735,0)</f>
        <v>0</v>
      </c>
      <c r="R735" s="22" t="n">
        <f aca="false">IF(DAY(B735)=1,Assumptions!B41*G735,0)</f>
        <v>0</v>
      </c>
      <c r="S735" s="22" t="n">
        <f aca="false">IF(AND(DAY(B735)=1,D735&gt;=13),Assumptions!B42*G735,0)</f>
        <v>0</v>
      </c>
      <c r="T735" s="22" t="n">
        <f aca="false">IF(DAY(B735)=1,Assumptions!B43*G735,0)</f>
        <v>0</v>
      </c>
      <c r="U735" s="22" t="n">
        <f aca="false">SUM(O735:T735)</f>
        <v>0</v>
      </c>
      <c r="V735" s="22" t="n">
        <f aca="false">N735-U735</f>
        <v>18300</v>
      </c>
      <c r="W735" s="22" t="n">
        <f aca="false">W734+V735</f>
        <v>-2859884.30785663</v>
      </c>
      <c r="X735" s="23" t="str">
        <f aca="false">IF(W735&gt;=0,"YES","No")</f>
        <v>No</v>
      </c>
    </row>
    <row r="736" customFormat="false" ht="15" hidden="false" customHeight="false" outlineLevel="0" collapsed="false">
      <c r="A736" s="16" t="n">
        <v>735</v>
      </c>
      <c r="B736" s="17" t="n">
        <f aca="false">B735+1</f>
        <v>46757</v>
      </c>
      <c r="C736" s="18" t="n">
        <f aca="false">MIN(ROUNDUP(A736/365,0),5)</f>
        <v>3</v>
      </c>
      <c r="D736" s="18" t="n">
        <f aca="false">DATEDIF(Assumptions!B5,B736,"m")+1</f>
        <v>25</v>
      </c>
      <c r="E736" s="18" t="str">
        <f aca="false">TEXT(B736,"ddd")</f>
        <v>Wed</v>
      </c>
      <c r="F736" s="19" t="n">
        <f aca="false">IF(WEEKDAY(B736,2)&gt;=6,Assumptions!B34,Assumptions!B35)</f>
        <v>1</v>
      </c>
      <c r="G736" s="20" t="n">
        <f aca="false">IF(D736&gt;=13,(1+Assumptions!B46)^(D736-12),1)</f>
        <v>1.03970978022899</v>
      </c>
      <c r="H736" s="21" t="n">
        <f aca="false">H735*(1+IF(C736=1,Assumptions!B22,Assumptions!B23))</f>
        <v>22.1153791534123</v>
      </c>
      <c r="I736" s="16" t="n">
        <f aca="false">ROUND(H736*F736,0)</f>
        <v>22</v>
      </c>
      <c r="J736" s="22" t="n">
        <f aca="false">I736*Assumptions!B24</f>
        <v>13200</v>
      </c>
      <c r="K736" s="21" t="n">
        <f aca="false">K735*(1+Assumptions!B30)</f>
        <v>16.7038533696577</v>
      </c>
      <c r="L736" s="16" t="n">
        <f aca="false">ROUND(K736*F736,0)</f>
        <v>17</v>
      </c>
      <c r="M736" s="22" t="n">
        <f aca="false">L736*Assumptions!B31</f>
        <v>5100</v>
      </c>
      <c r="N736" s="22" t="n">
        <f aca="false">J736+M736</f>
        <v>18300</v>
      </c>
      <c r="O736" s="22" t="n">
        <f aca="false">IF(DAY(B736)=1,Assumptions!B38*G736,0)</f>
        <v>0</v>
      </c>
      <c r="P736" s="22" t="n">
        <f aca="false">IF(DAY(B736)=1,Assumptions!B39*G736,0)</f>
        <v>0</v>
      </c>
      <c r="Q736" s="22" t="n">
        <f aca="false">IF(DAY(B736)=1,Assumptions!B40*G736,0)</f>
        <v>0</v>
      </c>
      <c r="R736" s="22" t="n">
        <f aca="false">IF(DAY(B736)=1,Assumptions!B41*G736,0)</f>
        <v>0</v>
      </c>
      <c r="S736" s="22" t="n">
        <f aca="false">IF(AND(DAY(B736)=1,D736&gt;=13),Assumptions!B42*G736,0)</f>
        <v>0</v>
      </c>
      <c r="T736" s="22" t="n">
        <f aca="false">IF(DAY(B736)=1,Assumptions!B43*G736,0)</f>
        <v>0</v>
      </c>
      <c r="U736" s="22" t="n">
        <f aca="false">SUM(O736:T736)</f>
        <v>0</v>
      </c>
      <c r="V736" s="22" t="n">
        <f aca="false">N736-U736</f>
        <v>18300</v>
      </c>
      <c r="W736" s="22" t="n">
        <f aca="false">W735+V736</f>
        <v>-2841584.30785663</v>
      </c>
      <c r="X736" s="23" t="str">
        <f aca="false">IF(W736&gt;=0,"YES","No")</f>
        <v>No</v>
      </c>
    </row>
    <row r="737" customFormat="false" ht="15" hidden="false" customHeight="false" outlineLevel="0" collapsed="false">
      <c r="A737" s="16" t="n">
        <v>736</v>
      </c>
      <c r="B737" s="17" t="n">
        <f aca="false">B736+1</f>
        <v>46758</v>
      </c>
      <c r="C737" s="18" t="n">
        <f aca="false">MIN(ROUNDUP(A737/365,0),5)</f>
        <v>3</v>
      </c>
      <c r="D737" s="18" t="n">
        <f aca="false">DATEDIF(Assumptions!B5,B737,"m")+1</f>
        <v>25</v>
      </c>
      <c r="E737" s="18" t="str">
        <f aca="false">TEXT(B737,"ddd")</f>
        <v>Thu</v>
      </c>
      <c r="F737" s="19" t="n">
        <f aca="false">IF(WEEKDAY(B737,2)&gt;=6,Assumptions!B34,Assumptions!B35)</f>
        <v>1</v>
      </c>
      <c r="G737" s="20" t="n">
        <f aca="false">IF(D737&gt;=13,(1+Assumptions!B46)^(D737-12),1)</f>
        <v>1.03970978022899</v>
      </c>
      <c r="H737" s="21" t="n">
        <f aca="false">H736*(1+IF(C737=1,Assumptions!B22,Assumptions!B23))</f>
        <v>22.1190030170259</v>
      </c>
      <c r="I737" s="16" t="n">
        <f aca="false">ROUND(H737*F737,0)</f>
        <v>22</v>
      </c>
      <c r="J737" s="22" t="n">
        <f aca="false">I737*Assumptions!B24</f>
        <v>13200</v>
      </c>
      <c r="K737" s="21" t="n">
        <f aca="false">K736*(1+Assumptions!B30)</f>
        <v>16.7093144746502</v>
      </c>
      <c r="L737" s="16" t="n">
        <f aca="false">ROUND(K737*F737,0)</f>
        <v>17</v>
      </c>
      <c r="M737" s="22" t="n">
        <f aca="false">L737*Assumptions!B31</f>
        <v>5100</v>
      </c>
      <c r="N737" s="22" t="n">
        <f aca="false">J737+M737</f>
        <v>18300</v>
      </c>
      <c r="O737" s="22" t="n">
        <f aca="false">IF(DAY(B737)=1,Assumptions!B38*G737,0)</f>
        <v>0</v>
      </c>
      <c r="P737" s="22" t="n">
        <f aca="false">IF(DAY(B737)=1,Assumptions!B39*G737,0)</f>
        <v>0</v>
      </c>
      <c r="Q737" s="22" t="n">
        <f aca="false">IF(DAY(B737)=1,Assumptions!B40*G737,0)</f>
        <v>0</v>
      </c>
      <c r="R737" s="22" t="n">
        <f aca="false">IF(DAY(B737)=1,Assumptions!B41*G737,0)</f>
        <v>0</v>
      </c>
      <c r="S737" s="22" t="n">
        <f aca="false">IF(AND(DAY(B737)=1,D737&gt;=13),Assumptions!B42*G737,0)</f>
        <v>0</v>
      </c>
      <c r="T737" s="22" t="n">
        <f aca="false">IF(DAY(B737)=1,Assumptions!B43*G737,0)</f>
        <v>0</v>
      </c>
      <c r="U737" s="22" t="n">
        <f aca="false">SUM(O737:T737)</f>
        <v>0</v>
      </c>
      <c r="V737" s="22" t="n">
        <f aca="false">N737-U737</f>
        <v>18300</v>
      </c>
      <c r="W737" s="22" t="n">
        <f aca="false">W736+V737</f>
        <v>-2823284.30785663</v>
      </c>
      <c r="X737" s="23" t="str">
        <f aca="false">IF(W737&gt;=0,"YES","No")</f>
        <v>No</v>
      </c>
    </row>
    <row r="738" customFormat="false" ht="15" hidden="false" customHeight="false" outlineLevel="0" collapsed="false">
      <c r="A738" s="16" t="n">
        <v>737</v>
      </c>
      <c r="B738" s="17" t="n">
        <f aca="false">B737+1</f>
        <v>46759</v>
      </c>
      <c r="C738" s="18" t="n">
        <f aca="false">MIN(ROUNDUP(A738/365,0),5)</f>
        <v>3</v>
      </c>
      <c r="D738" s="18" t="n">
        <f aca="false">DATEDIF(Assumptions!B5,B738,"m")+1</f>
        <v>25</v>
      </c>
      <c r="E738" s="18" t="str">
        <f aca="false">TEXT(B738,"ddd")</f>
        <v>Fri</v>
      </c>
      <c r="F738" s="19" t="n">
        <f aca="false">IF(WEEKDAY(B738,2)&gt;=6,Assumptions!B34,Assumptions!B35)</f>
        <v>1</v>
      </c>
      <c r="G738" s="20" t="n">
        <f aca="false">IF(D738&gt;=13,(1+Assumptions!B46)^(D738-12),1)</f>
        <v>1.03970978022899</v>
      </c>
      <c r="H738" s="21" t="n">
        <f aca="false">H737*(1+IF(C738=1,Assumptions!B22,Assumptions!B23))</f>
        <v>22.122627474452</v>
      </c>
      <c r="I738" s="16" t="n">
        <f aca="false">ROUND(H738*F738,0)</f>
        <v>22</v>
      </c>
      <c r="J738" s="22" t="n">
        <f aca="false">I738*Assumptions!B24</f>
        <v>13200</v>
      </c>
      <c r="K738" s="21" t="n">
        <f aca="false">K737*(1+Assumptions!B30)</f>
        <v>16.714777365079</v>
      </c>
      <c r="L738" s="16" t="n">
        <f aca="false">ROUND(K738*F738,0)</f>
        <v>17</v>
      </c>
      <c r="M738" s="22" t="n">
        <f aca="false">L738*Assumptions!B31</f>
        <v>5100</v>
      </c>
      <c r="N738" s="22" t="n">
        <f aca="false">J738+M738</f>
        <v>18300</v>
      </c>
      <c r="O738" s="22" t="n">
        <f aca="false">IF(DAY(B738)=1,Assumptions!B38*G738,0)</f>
        <v>0</v>
      </c>
      <c r="P738" s="22" t="n">
        <f aca="false">IF(DAY(B738)=1,Assumptions!B39*G738,0)</f>
        <v>0</v>
      </c>
      <c r="Q738" s="22" t="n">
        <f aca="false">IF(DAY(B738)=1,Assumptions!B40*G738,0)</f>
        <v>0</v>
      </c>
      <c r="R738" s="22" t="n">
        <f aca="false">IF(DAY(B738)=1,Assumptions!B41*G738,0)</f>
        <v>0</v>
      </c>
      <c r="S738" s="22" t="n">
        <f aca="false">IF(AND(DAY(B738)=1,D738&gt;=13),Assumptions!B42*G738,0)</f>
        <v>0</v>
      </c>
      <c r="T738" s="22" t="n">
        <f aca="false">IF(DAY(B738)=1,Assumptions!B43*G738,0)</f>
        <v>0</v>
      </c>
      <c r="U738" s="22" t="n">
        <f aca="false">SUM(O738:T738)</f>
        <v>0</v>
      </c>
      <c r="V738" s="22" t="n">
        <f aca="false">N738-U738</f>
        <v>18300</v>
      </c>
      <c r="W738" s="22" t="n">
        <f aca="false">W737+V738</f>
        <v>-2804984.30785663</v>
      </c>
      <c r="X738" s="23" t="str">
        <f aca="false">IF(W738&gt;=0,"YES","No")</f>
        <v>No</v>
      </c>
    </row>
    <row r="739" customFormat="false" ht="15" hidden="false" customHeight="false" outlineLevel="0" collapsed="false">
      <c r="A739" s="16" t="n">
        <v>738</v>
      </c>
      <c r="B739" s="17" t="n">
        <f aca="false">B738+1</f>
        <v>46760</v>
      </c>
      <c r="C739" s="18" t="n">
        <f aca="false">MIN(ROUNDUP(A739/365,0),5)</f>
        <v>3</v>
      </c>
      <c r="D739" s="18" t="n">
        <f aca="false">DATEDIF(Assumptions!B5,B739,"m")+1</f>
        <v>25</v>
      </c>
      <c r="E739" s="18" t="str">
        <f aca="false">TEXT(B739,"ddd")</f>
        <v>Sat</v>
      </c>
      <c r="F739" s="19" t="n">
        <f aca="false">IF(WEEKDAY(B739,2)&gt;=6,Assumptions!B34,Assumptions!B35)</f>
        <v>0.6</v>
      </c>
      <c r="G739" s="20" t="n">
        <f aca="false">IF(D739&gt;=13,(1+Assumptions!B46)^(D739-12),1)</f>
        <v>1.03970978022899</v>
      </c>
      <c r="H739" s="21" t="n">
        <f aca="false">H738*(1+IF(C739=1,Assumptions!B22,Assumptions!B23))</f>
        <v>22.1262525257878</v>
      </c>
      <c r="I739" s="16" t="n">
        <f aca="false">ROUND(H739*F739,0)</f>
        <v>13</v>
      </c>
      <c r="J739" s="22" t="n">
        <f aca="false">I739*Assumptions!B24</f>
        <v>7800</v>
      </c>
      <c r="K739" s="21" t="n">
        <f aca="false">K738*(1+Assumptions!B30)</f>
        <v>16.720242041528</v>
      </c>
      <c r="L739" s="16" t="n">
        <f aca="false">ROUND(K739*F739,0)</f>
        <v>10</v>
      </c>
      <c r="M739" s="22" t="n">
        <f aca="false">L739*Assumptions!B31</f>
        <v>3000</v>
      </c>
      <c r="N739" s="22" t="n">
        <f aca="false">J739+M739</f>
        <v>10800</v>
      </c>
      <c r="O739" s="22" t="n">
        <f aca="false">IF(DAY(B739)=1,Assumptions!B38*G739,0)</f>
        <v>0</v>
      </c>
      <c r="P739" s="22" t="n">
        <f aca="false">IF(DAY(B739)=1,Assumptions!B39*G739,0)</f>
        <v>0</v>
      </c>
      <c r="Q739" s="22" t="n">
        <f aca="false">IF(DAY(B739)=1,Assumptions!B40*G739,0)</f>
        <v>0</v>
      </c>
      <c r="R739" s="22" t="n">
        <f aca="false">IF(DAY(B739)=1,Assumptions!B41*G739,0)</f>
        <v>0</v>
      </c>
      <c r="S739" s="22" t="n">
        <f aca="false">IF(AND(DAY(B739)=1,D739&gt;=13),Assumptions!B42*G739,0)</f>
        <v>0</v>
      </c>
      <c r="T739" s="22" t="n">
        <f aca="false">IF(DAY(B739)=1,Assumptions!B43*G739,0)</f>
        <v>0</v>
      </c>
      <c r="U739" s="22" t="n">
        <f aca="false">SUM(O739:T739)</f>
        <v>0</v>
      </c>
      <c r="V739" s="22" t="n">
        <f aca="false">N739-U739</f>
        <v>10800</v>
      </c>
      <c r="W739" s="22" t="n">
        <f aca="false">W738+V739</f>
        <v>-2794184.30785663</v>
      </c>
      <c r="X739" s="23" t="str">
        <f aca="false">IF(W739&gt;=0,"YES","No")</f>
        <v>No</v>
      </c>
    </row>
    <row r="740" customFormat="false" ht="15" hidden="false" customHeight="false" outlineLevel="0" collapsed="false">
      <c r="A740" s="16" t="n">
        <v>739</v>
      </c>
      <c r="B740" s="17" t="n">
        <f aca="false">B739+1</f>
        <v>46761</v>
      </c>
      <c r="C740" s="18" t="n">
        <f aca="false">MIN(ROUNDUP(A740/365,0),5)</f>
        <v>3</v>
      </c>
      <c r="D740" s="18" t="n">
        <f aca="false">DATEDIF(Assumptions!B5,B740,"m")+1</f>
        <v>25</v>
      </c>
      <c r="E740" s="18" t="str">
        <f aca="false">TEXT(B740,"ddd")</f>
        <v>Sun</v>
      </c>
      <c r="F740" s="19" t="n">
        <f aca="false">IF(WEEKDAY(B740,2)&gt;=6,Assumptions!B34,Assumptions!B35)</f>
        <v>0.6</v>
      </c>
      <c r="G740" s="20" t="n">
        <f aca="false">IF(D740&gt;=13,(1+Assumptions!B46)^(D740-12),1)</f>
        <v>1.03970978022899</v>
      </c>
      <c r="H740" s="21" t="n">
        <f aca="false">H739*(1+IF(C740=1,Assumptions!B22,Assumptions!B23))</f>
        <v>22.1298781711307</v>
      </c>
      <c r="I740" s="16" t="n">
        <f aca="false">ROUND(H740*F740,0)</f>
        <v>13</v>
      </c>
      <c r="J740" s="22" t="n">
        <f aca="false">I740*Assumptions!B24</f>
        <v>7800</v>
      </c>
      <c r="K740" s="21" t="n">
        <f aca="false">K739*(1+Assumptions!B30)</f>
        <v>16.7257085045811</v>
      </c>
      <c r="L740" s="16" t="n">
        <f aca="false">ROUND(K740*F740,0)</f>
        <v>10</v>
      </c>
      <c r="M740" s="22" t="n">
        <f aca="false">L740*Assumptions!B31</f>
        <v>3000</v>
      </c>
      <c r="N740" s="22" t="n">
        <f aca="false">J740+M740</f>
        <v>10800</v>
      </c>
      <c r="O740" s="22" t="n">
        <f aca="false">IF(DAY(B740)=1,Assumptions!B38*G740,0)</f>
        <v>0</v>
      </c>
      <c r="P740" s="22" t="n">
        <f aca="false">IF(DAY(B740)=1,Assumptions!B39*G740,0)</f>
        <v>0</v>
      </c>
      <c r="Q740" s="22" t="n">
        <f aca="false">IF(DAY(B740)=1,Assumptions!B40*G740,0)</f>
        <v>0</v>
      </c>
      <c r="R740" s="22" t="n">
        <f aca="false">IF(DAY(B740)=1,Assumptions!B41*G740,0)</f>
        <v>0</v>
      </c>
      <c r="S740" s="22" t="n">
        <f aca="false">IF(AND(DAY(B740)=1,D740&gt;=13),Assumptions!B42*G740,0)</f>
        <v>0</v>
      </c>
      <c r="T740" s="22" t="n">
        <f aca="false">IF(DAY(B740)=1,Assumptions!B43*G740,0)</f>
        <v>0</v>
      </c>
      <c r="U740" s="22" t="n">
        <f aca="false">SUM(O740:T740)</f>
        <v>0</v>
      </c>
      <c r="V740" s="22" t="n">
        <f aca="false">N740-U740</f>
        <v>10800</v>
      </c>
      <c r="W740" s="22" t="n">
        <f aca="false">W739+V740</f>
        <v>-2783384.30785663</v>
      </c>
      <c r="X740" s="23" t="str">
        <f aca="false">IF(W740&gt;=0,"YES","No")</f>
        <v>No</v>
      </c>
    </row>
    <row r="741" customFormat="false" ht="15" hidden="false" customHeight="false" outlineLevel="0" collapsed="false">
      <c r="A741" s="16" t="n">
        <v>740</v>
      </c>
      <c r="B741" s="17" t="n">
        <f aca="false">B740+1</f>
        <v>46762</v>
      </c>
      <c r="C741" s="18" t="n">
        <f aca="false">MIN(ROUNDUP(A741/365,0),5)</f>
        <v>3</v>
      </c>
      <c r="D741" s="18" t="n">
        <f aca="false">DATEDIF(Assumptions!B5,B741,"m")+1</f>
        <v>25</v>
      </c>
      <c r="E741" s="18" t="str">
        <f aca="false">TEXT(B741,"ddd")</f>
        <v>Mon</v>
      </c>
      <c r="F741" s="19" t="n">
        <f aca="false">IF(WEEKDAY(B741,2)&gt;=6,Assumptions!B34,Assumptions!B35)</f>
        <v>1</v>
      </c>
      <c r="G741" s="20" t="n">
        <f aca="false">IF(D741&gt;=13,(1+Assumptions!B46)^(D741-12),1)</f>
        <v>1.03970978022899</v>
      </c>
      <c r="H741" s="21" t="n">
        <f aca="false">H740*(1+IF(C741=1,Assumptions!B22,Assumptions!B23))</f>
        <v>22.1335044105779</v>
      </c>
      <c r="I741" s="16" t="n">
        <f aca="false">ROUND(H741*F741,0)</f>
        <v>22</v>
      </c>
      <c r="J741" s="22" t="n">
        <f aca="false">I741*Assumptions!B24</f>
        <v>13200</v>
      </c>
      <c r="K741" s="21" t="n">
        <f aca="false">K740*(1+Assumptions!B30)</f>
        <v>16.7311767548223</v>
      </c>
      <c r="L741" s="16" t="n">
        <f aca="false">ROUND(K741*F741,0)</f>
        <v>17</v>
      </c>
      <c r="M741" s="22" t="n">
        <f aca="false">L741*Assumptions!B31</f>
        <v>5100</v>
      </c>
      <c r="N741" s="22" t="n">
        <f aca="false">J741+M741</f>
        <v>18300</v>
      </c>
      <c r="O741" s="22" t="n">
        <f aca="false">IF(DAY(B741)=1,Assumptions!B38*G741,0)</f>
        <v>0</v>
      </c>
      <c r="P741" s="22" t="n">
        <f aca="false">IF(DAY(B741)=1,Assumptions!B39*G741,0)</f>
        <v>0</v>
      </c>
      <c r="Q741" s="22" t="n">
        <f aca="false">IF(DAY(B741)=1,Assumptions!B40*G741,0)</f>
        <v>0</v>
      </c>
      <c r="R741" s="22" t="n">
        <f aca="false">IF(DAY(B741)=1,Assumptions!B41*G741,0)</f>
        <v>0</v>
      </c>
      <c r="S741" s="22" t="n">
        <f aca="false">IF(AND(DAY(B741)=1,D741&gt;=13),Assumptions!B42*G741,0)</f>
        <v>0</v>
      </c>
      <c r="T741" s="22" t="n">
        <f aca="false">IF(DAY(B741)=1,Assumptions!B43*G741,0)</f>
        <v>0</v>
      </c>
      <c r="U741" s="22" t="n">
        <f aca="false">SUM(O741:T741)</f>
        <v>0</v>
      </c>
      <c r="V741" s="22" t="n">
        <f aca="false">N741-U741</f>
        <v>18300</v>
      </c>
      <c r="W741" s="22" t="n">
        <f aca="false">W740+V741</f>
        <v>-2765084.30785663</v>
      </c>
      <c r="X741" s="23" t="str">
        <f aca="false">IF(W741&gt;=0,"YES","No")</f>
        <v>No</v>
      </c>
    </row>
    <row r="742" customFormat="false" ht="15" hidden="false" customHeight="false" outlineLevel="0" collapsed="false">
      <c r="A742" s="16" t="n">
        <v>741</v>
      </c>
      <c r="B742" s="17" t="n">
        <f aca="false">B741+1</f>
        <v>46763</v>
      </c>
      <c r="C742" s="18" t="n">
        <f aca="false">MIN(ROUNDUP(A742/365,0),5)</f>
        <v>3</v>
      </c>
      <c r="D742" s="18" t="n">
        <f aca="false">DATEDIF(Assumptions!B5,B742,"m")+1</f>
        <v>25</v>
      </c>
      <c r="E742" s="18" t="str">
        <f aca="false">TEXT(B742,"ddd")</f>
        <v>Tue</v>
      </c>
      <c r="F742" s="19" t="n">
        <f aca="false">IF(WEEKDAY(B742,2)&gt;=6,Assumptions!B34,Assumptions!B35)</f>
        <v>1</v>
      </c>
      <c r="G742" s="20" t="n">
        <f aca="false">IF(D742&gt;=13,(1+Assumptions!B46)^(D742-12),1)</f>
        <v>1.03970978022899</v>
      </c>
      <c r="H742" s="21" t="n">
        <f aca="false">H741*(1+IF(C742=1,Assumptions!B22,Assumptions!B23))</f>
        <v>22.137131244227</v>
      </c>
      <c r="I742" s="16" t="n">
        <f aca="false">ROUND(H742*F742,0)</f>
        <v>22</v>
      </c>
      <c r="J742" s="22" t="n">
        <f aca="false">I742*Assumptions!B24</f>
        <v>13200</v>
      </c>
      <c r="K742" s="21" t="n">
        <f aca="false">K741*(1+Assumptions!B30)</f>
        <v>16.7366467928359</v>
      </c>
      <c r="L742" s="16" t="n">
        <f aca="false">ROUND(K742*F742,0)</f>
        <v>17</v>
      </c>
      <c r="M742" s="22" t="n">
        <f aca="false">L742*Assumptions!B31</f>
        <v>5100</v>
      </c>
      <c r="N742" s="22" t="n">
        <f aca="false">J742+M742</f>
        <v>18300</v>
      </c>
      <c r="O742" s="22" t="n">
        <f aca="false">IF(DAY(B742)=1,Assumptions!B38*G742,0)</f>
        <v>0</v>
      </c>
      <c r="P742" s="22" t="n">
        <f aca="false">IF(DAY(B742)=1,Assumptions!B39*G742,0)</f>
        <v>0</v>
      </c>
      <c r="Q742" s="22" t="n">
        <f aca="false">IF(DAY(B742)=1,Assumptions!B40*G742,0)</f>
        <v>0</v>
      </c>
      <c r="R742" s="22" t="n">
        <f aca="false">IF(DAY(B742)=1,Assumptions!B41*G742,0)</f>
        <v>0</v>
      </c>
      <c r="S742" s="22" t="n">
        <f aca="false">IF(AND(DAY(B742)=1,D742&gt;=13),Assumptions!B42*G742,0)</f>
        <v>0</v>
      </c>
      <c r="T742" s="22" t="n">
        <f aca="false">IF(DAY(B742)=1,Assumptions!B43*G742,0)</f>
        <v>0</v>
      </c>
      <c r="U742" s="22" t="n">
        <f aca="false">SUM(O742:T742)</f>
        <v>0</v>
      </c>
      <c r="V742" s="22" t="n">
        <f aca="false">N742-U742</f>
        <v>18300</v>
      </c>
      <c r="W742" s="22" t="n">
        <f aca="false">W741+V742</f>
        <v>-2746784.30785663</v>
      </c>
      <c r="X742" s="23" t="str">
        <f aca="false">IF(W742&gt;=0,"YES","No")</f>
        <v>No</v>
      </c>
    </row>
    <row r="743" customFormat="false" ht="15" hidden="false" customHeight="false" outlineLevel="0" collapsed="false">
      <c r="A743" s="16" t="n">
        <v>742</v>
      </c>
      <c r="B743" s="17" t="n">
        <f aca="false">B742+1</f>
        <v>46764</v>
      </c>
      <c r="C743" s="18" t="n">
        <f aca="false">MIN(ROUNDUP(A743/365,0),5)</f>
        <v>3</v>
      </c>
      <c r="D743" s="18" t="n">
        <f aca="false">DATEDIF(Assumptions!B5,B743,"m")+1</f>
        <v>25</v>
      </c>
      <c r="E743" s="18" t="str">
        <f aca="false">TEXT(B743,"ddd")</f>
        <v>Wed</v>
      </c>
      <c r="F743" s="19" t="n">
        <f aca="false">IF(WEEKDAY(B743,2)&gt;=6,Assumptions!B34,Assumptions!B35)</f>
        <v>1</v>
      </c>
      <c r="G743" s="20" t="n">
        <f aca="false">IF(D743&gt;=13,(1+Assumptions!B46)^(D743-12),1)</f>
        <v>1.03970978022899</v>
      </c>
      <c r="H743" s="21" t="n">
        <f aca="false">H742*(1+IF(C743=1,Assumptions!B22,Assumptions!B23))</f>
        <v>22.1407586721752</v>
      </c>
      <c r="I743" s="16" t="n">
        <f aca="false">ROUND(H743*F743,0)</f>
        <v>22</v>
      </c>
      <c r="J743" s="22" t="n">
        <f aca="false">I743*Assumptions!B24</f>
        <v>13200</v>
      </c>
      <c r="K743" s="21" t="n">
        <f aca="false">K742*(1+Assumptions!B30)</f>
        <v>16.7421186192064</v>
      </c>
      <c r="L743" s="16" t="n">
        <f aca="false">ROUND(K743*F743,0)</f>
        <v>17</v>
      </c>
      <c r="M743" s="22" t="n">
        <f aca="false">L743*Assumptions!B31</f>
        <v>5100</v>
      </c>
      <c r="N743" s="22" t="n">
        <f aca="false">J743+M743</f>
        <v>18300</v>
      </c>
      <c r="O743" s="22" t="n">
        <f aca="false">IF(DAY(B743)=1,Assumptions!B38*G743,0)</f>
        <v>0</v>
      </c>
      <c r="P743" s="22" t="n">
        <f aca="false">IF(DAY(B743)=1,Assumptions!B39*G743,0)</f>
        <v>0</v>
      </c>
      <c r="Q743" s="22" t="n">
        <f aca="false">IF(DAY(B743)=1,Assumptions!B40*G743,0)</f>
        <v>0</v>
      </c>
      <c r="R743" s="22" t="n">
        <f aca="false">IF(DAY(B743)=1,Assumptions!B41*G743,0)</f>
        <v>0</v>
      </c>
      <c r="S743" s="22" t="n">
        <f aca="false">IF(AND(DAY(B743)=1,D743&gt;=13),Assumptions!B42*G743,0)</f>
        <v>0</v>
      </c>
      <c r="T743" s="22" t="n">
        <f aca="false">IF(DAY(B743)=1,Assumptions!B43*G743,0)</f>
        <v>0</v>
      </c>
      <c r="U743" s="22" t="n">
        <f aca="false">SUM(O743:T743)</f>
        <v>0</v>
      </c>
      <c r="V743" s="22" t="n">
        <f aca="false">N743-U743</f>
        <v>18300</v>
      </c>
      <c r="W743" s="22" t="n">
        <f aca="false">W742+V743</f>
        <v>-2728484.30785663</v>
      </c>
      <c r="X743" s="23" t="str">
        <f aca="false">IF(W743&gt;=0,"YES","No")</f>
        <v>No</v>
      </c>
    </row>
    <row r="744" customFormat="false" ht="15" hidden="false" customHeight="false" outlineLevel="0" collapsed="false">
      <c r="A744" s="16" t="n">
        <v>743</v>
      </c>
      <c r="B744" s="17" t="n">
        <f aca="false">B743+1</f>
        <v>46765</v>
      </c>
      <c r="C744" s="18" t="n">
        <f aca="false">MIN(ROUNDUP(A744/365,0),5)</f>
        <v>3</v>
      </c>
      <c r="D744" s="18" t="n">
        <f aca="false">DATEDIF(Assumptions!B5,B744,"m")+1</f>
        <v>25</v>
      </c>
      <c r="E744" s="18" t="str">
        <f aca="false">TEXT(B744,"ddd")</f>
        <v>Thu</v>
      </c>
      <c r="F744" s="19" t="n">
        <f aca="false">IF(WEEKDAY(B744,2)&gt;=6,Assumptions!B34,Assumptions!B35)</f>
        <v>1</v>
      </c>
      <c r="G744" s="20" t="n">
        <f aca="false">IF(D744&gt;=13,(1+Assumptions!B46)^(D744-12),1)</f>
        <v>1.03970978022899</v>
      </c>
      <c r="H744" s="21" t="n">
        <f aca="false">H743*(1+IF(C744=1,Assumptions!B22,Assumptions!B23))</f>
        <v>22.1443866945199</v>
      </c>
      <c r="I744" s="16" t="n">
        <f aca="false">ROUND(H744*F744,0)</f>
        <v>22</v>
      </c>
      <c r="J744" s="22" t="n">
        <f aca="false">I744*Assumptions!B24</f>
        <v>13200</v>
      </c>
      <c r="K744" s="21" t="n">
        <f aca="false">K743*(1+Assumptions!B30)</f>
        <v>16.7475922345186</v>
      </c>
      <c r="L744" s="16" t="n">
        <f aca="false">ROUND(K744*F744,0)</f>
        <v>17</v>
      </c>
      <c r="M744" s="22" t="n">
        <f aca="false">L744*Assumptions!B31</f>
        <v>5100</v>
      </c>
      <c r="N744" s="22" t="n">
        <f aca="false">J744+M744</f>
        <v>18300</v>
      </c>
      <c r="O744" s="22" t="n">
        <f aca="false">IF(DAY(B744)=1,Assumptions!B38*G744,0)</f>
        <v>0</v>
      </c>
      <c r="P744" s="22" t="n">
        <f aca="false">IF(DAY(B744)=1,Assumptions!B39*G744,0)</f>
        <v>0</v>
      </c>
      <c r="Q744" s="22" t="n">
        <f aca="false">IF(DAY(B744)=1,Assumptions!B40*G744,0)</f>
        <v>0</v>
      </c>
      <c r="R744" s="22" t="n">
        <f aca="false">IF(DAY(B744)=1,Assumptions!B41*G744,0)</f>
        <v>0</v>
      </c>
      <c r="S744" s="22" t="n">
        <f aca="false">IF(AND(DAY(B744)=1,D744&gt;=13),Assumptions!B42*G744,0)</f>
        <v>0</v>
      </c>
      <c r="T744" s="22" t="n">
        <f aca="false">IF(DAY(B744)=1,Assumptions!B43*G744,0)</f>
        <v>0</v>
      </c>
      <c r="U744" s="22" t="n">
        <f aca="false">SUM(O744:T744)</f>
        <v>0</v>
      </c>
      <c r="V744" s="22" t="n">
        <f aca="false">N744-U744</f>
        <v>18300</v>
      </c>
      <c r="W744" s="22" t="n">
        <f aca="false">W743+V744</f>
        <v>-2710184.30785663</v>
      </c>
      <c r="X744" s="23" t="str">
        <f aca="false">IF(W744&gt;=0,"YES","No")</f>
        <v>No</v>
      </c>
    </row>
    <row r="745" customFormat="false" ht="15" hidden="false" customHeight="false" outlineLevel="0" collapsed="false">
      <c r="A745" s="16" t="n">
        <v>744</v>
      </c>
      <c r="B745" s="17" t="n">
        <f aca="false">B744+1</f>
        <v>46766</v>
      </c>
      <c r="C745" s="18" t="n">
        <f aca="false">MIN(ROUNDUP(A745/365,0),5)</f>
        <v>3</v>
      </c>
      <c r="D745" s="18" t="n">
        <f aca="false">DATEDIF(Assumptions!B5,B745,"m")+1</f>
        <v>25</v>
      </c>
      <c r="E745" s="18" t="str">
        <f aca="false">TEXT(B745,"ddd")</f>
        <v>Fri</v>
      </c>
      <c r="F745" s="19" t="n">
        <f aca="false">IF(WEEKDAY(B745,2)&gt;=6,Assumptions!B34,Assumptions!B35)</f>
        <v>1</v>
      </c>
      <c r="G745" s="20" t="n">
        <f aca="false">IF(D745&gt;=13,(1+Assumptions!B46)^(D745-12),1)</f>
        <v>1.03970978022899</v>
      </c>
      <c r="H745" s="21" t="n">
        <f aca="false">H744*(1+IF(C745=1,Assumptions!B22,Assumptions!B23))</f>
        <v>22.1480153113585</v>
      </c>
      <c r="I745" s="16" t="n">
        <f aca="false">ROUND(H745*F745,0)</f>
        <v>22</v>
      </c>
      <c r="J745" s="22" t="n">
        <f aca="false">I745*Assumptions!B24</f>
        <v>13200</v>
      </c>
      <c r="K745" s="21" t="n">
        <f aca="false">K744*(1+Assumptions!B30)</f>
        <v>16.7530676393572</v>
      </c>
      <c r="L745" s="16" t="n">
        <f aca="false">ROUND(K745*F745,0)</f>
        <v>17</v>
      </c>
      <c r="M745" s="22" t="n">
        <f aca="false">L745*Assumptions!B31</f>
        <v>5100</v>
      </c>
      <c r="N745" s="22" t="n">
        <f aca="false">J745+M745</f>
        <v>18300</v>
      </c>
      <c r="O745" s="22" t="n">
        <f aca="false">IF(DAY(B745)=1,Assumptions!B38*G745,0)</f>
        <v>0</v>
      </c>
      <c r="P745" s="22" t="n">
        <f aca="false">IF(DAY(B745)=1,Assumptions!B39*G745,0)</f>
        <v>0</v>
      </c>
      <c r="Q745" s="22" t="n">
        <f aca="false">IF(DAY(B745)=1,Assumptions!B40*G745,0)</f>
        <v>0</v>
      </c>
      <c r="R745" s="22" t="n">
        <f aca="false">IF(DAY(B745)=1,Assumptions!B41*G745,0)</f>
        <v>0</v>
      </c>
      <c r="S745" s="22" t="n">
        <f aca="false">IF(AND(DAY(B745)=1,D745&gt;=13),Assumptions!B42*G745,0)</f>
        <v>0</v>
      </c>
      <c r="T745" s="22" t="n">
        <f aca="false">IF(DAY(B745)=1,Assumptions!B43*G745,0)</f>
        <v>0</v>
      </c>
      <c r="U745" s="22" t="n">
        <f aca="false">SUM(O745:T745)</f>
        <v>0</v>
      </c>
      <c r="V745" s="22" t="n">
        <f aca="false">N745-U745</f>
        <v>18300</v>
      </c>
      <c r="W745" s="22" t="n">
        <f aca="false">W744+V745</f>
        <v>-2691884.30785663</v>
      </c>
      <c r="X745" s="23" t="str">
        <f aca="false">IF(W745&gt;=0,"YES","No")</f>
        <v>No</v>
      </c>
    </row>
    <row r="746" customFormat="false" ht="15" hidden="false" customHeight="false" outlineLevel="0" collapsed="false">
      <c r="A746" s="16" t="n">
        <v>745</v>
      </c>
      <c r="B746" s="17" t="n">
        <f aca="false">B745+1</f>
        <v>46767</v>
      </c>
      <c r="C746" s="18" t="n">
        <f aca="false">MIN(ROUNDUP(A746/365,0),5)</f>
        <v>3</v>
      </c>
      <c r="D746" s="18" t="n">
        <f aca="false">DATEDIF(Assumptions!B5,B746,"m")+1</f>
        <v>25</v>
      </c>
      <c r="E746" s="18" t="str">
        <f aca="false">TEXT(B746,"ddd")</f>
        <v>Sat</v>
      </c>
      <c r="F746" s="19" t="n">
        <f aca="false">IF(WEEKDAY(B746,2)&gt;=6,Assumptions!B34,Assumptions!B35)</f>
        <v>0.6</v>
      </c>
      <c r="G746" s="20" t="n">
        <f aca="false">IF(D746&gt;=13,(1+Assumptions!B46)^(D746-12),1)</f>
        <v>1.03970978022899</v>
      </c>
      <c r="H746" s="21" t="n">
        <f aca="false">H745*(1+IF(C746=1,Assumptions!B22,Assumptions!B23))</f>
        <v>22.1516445227884</v>
      </c>
      <c r="I746" s="16" t="n">
        <f aca="false">ROUND(H746*F746,0)</f>
        <v>13</v>
      </c>
      <c r="J746" s="22" t="n">
        <f aca="false">I746*Assumptions!B24</f>
        <v>7800</v>
      </c>
      <c r="K746" s="21" t="n">
        <f aca="false">K745*(1+Assumptions!B30)</f>
        <v>16.7585448343074</v>
      </c>
      <c r="L746" s="16" t="n">
        <f aca="false">ROUND(K746*F746,0)</f>
        <v>10</v>
      </c>
      <c r="M746" s="22" t="n">
        <f aca="false">L746*Assumptions!B31</f>
        <v>3000</v>
      </c>
      <c r="N746" s="22" t="n">
        <f aca="false">J746+M746</f>
        <v>10800</v>
      </c>
      <c r="O746" s="22" t="n">
        <f aca="false">IF(DAY(B746)=1,Assumptions!B38*G746,0)</f>
        <v>0</v>
      </c>
      <c r="P746" s="22" t="n">
        <f aca="false">IF(DAY(B746)=1,Assumptions!B39*G746,0)</f>
        <v>0</v>
      </c>
      <c r="Q746" s="22" t="n">
        <f aca="false">IF(DAY(B746)=1,Assumptions!B40*G746,0)</f>
        <v>0</v>
      </c>
      <c r="R746" s="22" t="n">
        <f aca="false">IF(DAY(B746)=1,Assumptions!B41*G746,0)</f>
        <v>0</v>
      </c>
      <c r="S746" s="22" t="n">
        <f aca="false">IF(AND(DAY(B746)=1,D746&gt;=13),Assumptions!B42*G746,0)</f>
        <v>0</v>
      </c>
      <c r="T746" s="22" t="n">
        <f aca="false">IF(DAY(B746)=1,Assumptions!B43*G746,0)</f>
        <v>0</v>
      </c>
      <c r="U746" s="22" t="n">
        <f aca="false">SUM(O746:T746)</f>
        <v>0</v>
      </c>
      <c r="V746" s="22" t="n">
        <f aca="false">N746-U746</f>
        <v>10800</v>
      </c>
      <c r="W746" s="22" t="n">
        <f aca="false">W745+V746</f>
        <v>-2681084.30785663</v>
      </c>
      <c r="X746" s="23" t="str">
        <f aca="false">IF(W746&gt;=0,"YES","No")</f>
        <v>No</v>
      </c>
    </row>
    <row r="747" customFormat="false" ht="15" hidden="false" customHeight="false" outlineLevel="0" collapsed="false">
      <c r="A747" s="16" t="n">
        <v>746</v>
      </c>
      <c r="B747" s="17" t="n">
        <f aca="false">B746+1</f>
        <v>46768</v>
      </c>
      <c r="C747" s="18" t="n">
        <f aca="false">MIN(ROUNDUP(A747/365,0),5)</f>
        <v>3</v>
      </c>
      <c r="D747" s="18" t="n">
        <f aca="false">DATEDIF(Assumptions!B5,B747,"m")+1</f>
        <v>25</v>
      </c>
      <c r="E747" s="18" t="str">
        <f aca="false">TEXT(B747,"ddd")</f>
        <v>Sun</v>
      </c>
      <c r="F747" s="19" t="n">
        <f aca="false">IF(WEEKDAY(B747,2)&gt;=6,Assumptions!B34,Assumptions!B35)</f>
        <v>0.6</v>
      </c>
      <c r="G747" s="20" t="n">
        <f aca="false">IF(D747&gt;=13,(1+Assumptions!B46)^(D747-12),1)</f>
        <v>1.03970978022899</v>
      </c>
      <c r="H747" s="21" t="n">
        <f aca="false">H746*(1+IF(C747=1,Assumptions!B22,Assumptions!B23))</f>
        <v>22.155274328907</v>
      </c>
      <c r="I747" s="16" t="n">
        <f aca="false">ROUND(H747*F747,0)</f>
        <v>13</v>
      </c>
      <c r="J747" s="22" t="n">
        <f aca="false">I747*Assumptions!B24</f>
        <v>7800</v>
      </c>
      <c r="K747" s="21" t="n">
        <f aca="false">K746*(1+Assumptions!B30)</f>
        <v>16.7640238199544</v>
      </c>
      <c r="L747" s="16" t="n">
        <f aca="false">ROUND(K747*F747,0)</f>
        <v>10</v>
      </c>
      <c r="M747" s="22" t="n">
        <f aca="false">L747*Assumptions!B31</f>
        <v>3000</v>
      </c>
      <c r="N747" s="22" t="n">
        <f aca="false">J747+M747</f>
        <v>10800</v>
      </c>
      <c r="O747" s="22" t="n">
        <f aca="false">IF(DAY(B747)=1,Assumptions!B38*G747,0)</f>
        <v>0</v>
      </c>
      <c r="P747" s="22" t="n">
        <f aca="false">IF(DAY(B747)=1,Assumptions!B39*G747,0)</f>
        <v>0</v>
      </c>
      <c r="Q747" s="22" t="n">
        <f aca="false">IF(DAY(B747)=1,Assumptions!B40*G747,0)</f>
        <v>0</v>
      </c>
      <c r="R747" s="22" t="n">
        <f aca="false">IF(DAY(B747)=1,Assumptions!B41*G747,0)</f>
        <v>0</v>
      </c>
      <c r="S747" s="22" t="n">
        <f aca="false">IF(AND(DAY(B747)=1,D747&gt;=13),Assumptions!B42*G747,0)</f>
        <v>0</v>
      </c>
      <c r="T747" s="22" t="n">
        <f aca="false">IF(DAY(B747)=1,Assumptions!B43*G747,0)</f>
        <v>0</v>
      </c>
      <c r="U747" s="22" t="n">
        <f aca="false">SUM(O747:T747)</f>
        <v>0</v>
      </c>
      <c r="V747" s="22" t="n">
        <f aca="false">N747-U747</f>
        <v>10800</v>
      </c>
      <c r="W747" s="22" t="n">
        <f aca="false">W746+V747</f>
        <v>-2670284.30785663</v>
      </c>
      <c r="X747" s="23" t="str">
        <f aca="false">IF(W747&gt;=0,"YES","No")</f>
        <v>No</v>
      </c>
    </row>
    <row r="748" customFormat="false" ht="15" hidden="false" customHeight="false" outlineLevel="0" collapsed="false">
      <c r="A748" s="16" t="n">
        <v>747</v>
      </c>
      <c r="B748" s="17" t="n">
        <f aca="false">B747+1</f>
        <v>46769</v>
      </c>
      <c r="C748" s="18" t="n">
        <f aca="false">MIN(ROUNDUP(A748/365,0),5)</f>
        <v>3</v>
      </c>
      <c r="D748" s="18" t="n">
        <f aca="false">DATEDIF(Assumptions!B5,B748,"m")+1</f>
        <v>25</v>
      </c>
      <c r="E748" s="18" t="str">
        <f aca="false">TEXT(B748,"ddd")</f>
        <v>Mon</v>
      </c>
      <c r="F748" s="19" t="n">
        <f aca="false">IF(WEEKDAY(B748,2)&gt;=6,Assumptions!B34,Assumptions!B35)</f>
        <v>1</v>
      </c>
      <c r="G748" s="20" t="n">
        <f aca="false">IF(D748&gt;=13,(1+Assumptions!B46)^(D748-12),1)</f>
        <v>1.03970978022899</v>
      </c>
      <c r="H748" s="21" t="n">
        <f aca="false">H747*(1+IF(C748=1,Assumptions!B22,Assumptions!B23))</f>
        <v>22.1589047298119</v>
      </c>
      <c r="I748" s="16" t="n">
        <f aca="false">ROUND(H748*F748,0)</f>
        <v>22</v>
      </c>
      <c r="J748" s="22" t="n">
        <f aca="false">I748*Assumptions!B24</f>
        <v>13200</v>
      </c>
      <c r="K748" s="21" t="n">
        <f aca="false">K747*(1+Assumptions!B30)</f>
        <v>16.7695045968836</v>
      </c>
      <c r="L748" s="16" t="n">
        <f aca="false">ROUND(K748*F748,0)</f>
        <v>17</v>
      </c>
      <c r="M748" s="22" t="n">
        <f aca="false">L748*Assumptions!B31</f>
        <v>5100</v>
      </c>
      <c r="N748" s="22" t="n">
        <f aca="false">J748+M748</f>
        <v>18300</v>
      </c>
      <c r="O748" s="22" t="n">
        <f aca="false">IF(DAY(B748)=1,Assumptions!B38*G748,0)</f>
        <v>0</v>
      </c>
      <c r="P748" s="22" t="n">
        <f aca="false">IF(DAY(B748)=1,Assumptions!B39*G748,0)</f>
        <v>0</v>
      </c>
      <c r="Q748" s="22" t="n">
        <f aca="false">IF(DAY(B748)=1,Assumptions!B40*G748,0)</f>
        <v>0</v>
      </c>
      <c r="R748" s="22" t="n">
        <f aca="false">IF(DAY(B748)=1,Assumptions!B41*G748,0)</f>
        <v>0</v>
      </c>
      <c r="S748" s="22" t="n">
        <f aca="false">IF(AND(DAY(B748)=1,D748&gt;=13),Assumptions!B42*G748,0)</f>
        <v>0</v>
      </c>
      <c r="T748" s="22" t="n">
        <f aca="false">IF(DAY(B748)=1,Assumptions!B43*G748,0)</f>
        <v>0</v>
      </c>
      <c r="U748" s="22" t="n">
        <f aca="false">SUM(O748:T748)</f>
        <v>0</v>
      </c>
      <c r="V748" s="22" t="n">
        <f aca="false">N748-U748</f>
        <v>18300</v>
      </c>
      <c r="W748" s="22" t="n">
        <f aca="false">W747+V748</f>
        <v>-2651984.30785663</v>
      </c>
      <c r="X748" s="23" t="str">
        <f aca="false">IF(W748&gt;=0,"YES","No")</f>
        <v>No</v>
      </c>
    </row>
    <row r="749" customFormat="false" ht="15" hidden="false" customHeight="false" outlineLevel="0" collapsed="false">
      <c r="A749" s="16" t="n">
        <v>748</v>
      </c>
      <c r="B749" s="17" t="n">
        <f aca="false">B748+1</f>
        <v>46770</v>
      </c>
      <c r="C749" s="18" t="n">
        <f aca="false">MIN(ROUNDUP(A749/365,0),5)</f>
        <v>3</v>
      </c>
      <c r="D749" s="18" t="n">
        <f aca="false">DATEDIF(Assumptions!B5,B749,"m")+1</f>
        <v>25</v>
      </c>
      <c r="E749" s="18" t="str">
        <f aca="false">TEXT(B749,"ddd")</f>
        <v>Tue</v>
      </c>
      <c r="F749" s="19" t="n">
        <f aca="false">IF(WEEKDAY(B749,2)&gt;=6,Assumptions!B34,Assumptions!B35)</f>
        <v>1</v>
      </c>
      <c r="G749" s="20" t="n">
        <f aca="false">IF(D749&gt;=13,(1+Assumptions!B46)^(D749-12),1)</f>
        <v>1.03970978022899</v>
      </c>
      <c r="H749" s="21" t="n">
        <f aca="false">H748*(1+IF(C749=1,Assumptions!B22,Assumptions!B23))</f>
        <v>22.1625357256004</v>
      </c>
      <c r="I749" s="16" t="n">
        <f aca="false">ROUND(H749*F749,0)</f>
        <v>22</v>
      </c>
      <c r="J749" s="22" t="n">
        <f aca="false">I749*Assumptions!B24</f>
        <v>13200</v>
      </c>
      <c r="K749" s="21" t="n">
        <f aca="false">K748*(1+Assumptions!B30)</f>
        <v>16.7749871656807</v>
      </c>
      <c r="L749" s="16" t="n">
        <f aca="false">ROUND(K749*F749,0)</f>
        <v>17</v>
      </c>
      <c r="M749" s="22" t="n">
        <f aca="false">L749*Assumptions!B31</f>
        <v>5100</v>
      </c>
      <c r="N749" s="22" t="n">
        <f aca="false">J749+M749</f>
        <v>18300</v>
      </c>
      <c r="O749" s="22" t="n">
        <f aca="false">IF(DAY(B749)=1,Assumptions!B38*G749,0)</f>
        <v>0</v>
      </c>
      <c r="P749" s="22" t="n">
        <f aca="false">IF(DAY(B749)=1,Assumptions!B39*G749,0)</f>
        <v>0</v>
      </c>
      <c r="Q749" s="22" t="n">
        <f aca="false">IF(DAY(B749)=1,Assumptions!B40*G749,0)</f>
        <v>0</v>
      </c>
      <c r="R749" s="22" t="n">
        <f aca="false">IF(DAY(B749)=1,Assumptions!B41*G749,0)</f>
        <v>0</v>
      </c>
      <c r="S749" s="22" t="n">
        <f aca="false">IF(AND(DAY(B749)=1,D749&gt;=13),Assumptions!B42*G749,0)</f>
        <v>0</v>
      </c>
      <c r="T749" s="22" t="n">
        <f aca="false">IF(DAY(B749)=1,Assumptions!B43*G749,0)</f>
        <v>0</v>
      </c>
      <c r="U749" s="22" t="n">
        <f aca="false">SUM(O749:T749)</f>
        <v>0</v>
      </c>
      <c r="V749" s="22" t="n">
        <f aca="false">N749-U749</f>
        <v>18300</v>
      </c>
      <c r="W749" s="22" t="n">
        <f aca="false">W748+V749</f>
        <v>-2633684.30785663</v>
      </c>
      <c r="X749" s="23" t="str">
        <f aca="false">IF(W749&gt;=0,"YES","No")</f>
        <v>No</v>
      </c>
    </row>
    <row r="750" customFormat="false" ht="15" hidden="false" customHeight="false" outlineLevel="0" collapsed="false">
      <c r="A750" s="16" t="n">
        <v>749</v>
      </c>
      <c r="B750" s="17" t="n">
        <f aca="false">B749+1</f>
        <v>46771</v>
      </c>
      <c r="C750" s="18" t="n">
        <f aca="false">MIN(ROUNDUP(A750/365,0),5)</f>
        <v>3</v>
      </c>
      <c r="D750" s="18" t="n">
        <f aca="false">DATEDIF(Assumptions!B5,B750,"m")+1</f>
        <v>25</v>
      </c>
      <c r="E750" s="18" t="str">
        <f aca="false">TEXT(B750,"ddd")</f>
        <v>Wed</v>
      </c>
      <c r="F750" s="19" t="n">
        <f aca="false">IF(WEEKDAY(B750,2)&gt;=6,Assumptions!B34,Assumptions!B35)</f>
        <v>1</v>
      </c>
      <c r="G750" s="20" t="n">
        <f aca="false">IF(D750&gt;=13,(1+Assumptions!B46)^(D750-12),1)</f>
        <v>1.03970978022899</v>
      </c>
      <c r="H750" s="21" t="n">
        <f aca="false">H749*(1+IF(C750=1,Assumptions!B22,Assumptions!B23))</f>
        <v>22.1661673163701</v>
      </c>
      <c r="I750" s="16" t="n">
        <f aca="false">ROUND(H750*F750,0)</f>
        <v>22</v>
      </c>
      <c r="J750" s="22" t="n">
        <f aca="false">I750*Assumptions!B24</f>
        <v>13200</v>
      </c>
      <c r="K750" s="21" t="n">
        <f aca="false">K749*(1+Assumptions!B30)</f>
        <v>16.7804715269315</v>
      </c>
      <c r="L750" s="16" t="n">
        <f aca="false">ROUND(K750*F750,0)</f>
        <v>17</v>
      </c>
      <c r="M750" s="22" t="n">
        <f aca="false">L750*Assumptions!B31</f>
        <v>5100</v>
      </c>
      <c r="N750" s="22" t="n">
        <f aca="false">J750+M750</f>
        <v>18300</v>
      </c>
      <c r="O750" s="22" t="n">
        <f aca="false">IF(DAY(B750)=1,Assumptions!B38*G750,0)</f>
        <v>0</v>
      </c>
      <c r="P750" s="22" t="n">
        <f aca="false">IF(DAY(B750)=1,Assumptions!B39*G750,0)</f>
        <v>0</v>
      </c>
      <c r="Q750" s="22" t="n">
        <f aca="false">IF(DAY(B750)=1,Assumptions!B40*G750,0)</f>
        <v>0</v>
      </c>
      <c r="R750" s="22" t="n">
        <f aca="false">IF(DAY(B750)=1,Assumptions!B41*G750,0)</f>
        <v>0</v>
      </c>
      <c r="S750" s="22" t="n">
        <f aca="false">IF(AND(DAY(B750)=1,D750&gt;=13),Assumptions!B42*G750,0)</f>
        <v>0</v>
      </c>
      <c r="T750" s="22" t="n">
        <f aca="false">IF(DAY(B750)=1,Assumptions!B43*G750,0)</f>
        <v>0</v>
      </c>
      <c r="U750" s="22" t="n">
        <f aca="false">SUM(O750:T750)</f>
        <v>0</v>
      </c>
      <c r="V750" s="22" t="n">
        <f aca="false">N750-U750</f>
        <v>18300</v>
      </c>
      <c r="W750" s="22" t="n">
        <f aca="false">W749+V750</f>
        <v>-2615384.30785663</v>
      </c>
      <c r="X750" s="23" t="str">
        <f aca="false">IF(W750&gt;=0,"YES","No")</f>
        <v>No</v>
      </c>
    </row>
    <row r="751" customFormat="false" ht="15" hidden="false" customHeight="false" outlineLevel="0" collapsed="false">
      <c r="A751" s="16" t="n">
        <v>750</v>
      </c>
      <c r="B751" s="17" t="n">
        <f aca="false">B750+1</f>
        <v>46772</v>
      </c>
      <c r="C751" s="18" t="n">
        <f aca="false">MIN(ROUNDUP(A751/365,0),5)</f>
        <v>3</v>
      </c>
      <c r="D751" s="18" t="n">
        <f aca="false">DATEDIF(Assumptions!B5,B751,"m")+1</f>
        <v>25</v>
      </c>
      <c r="E751" s="18" t="str">
        <f aca="false">TEXT(B751,"ddd")</f>
        <v>Thu</v>
      </c>
      <c r="F751" s="19" t="n">
        <f aca="false">IF(WEEKDAY(B751,2)&gt;=6,Assumptions!B34,Assumptions!B35)</f>
        <v>1</v>
      </c>
      <c r="G751" s="20" t="n">
        <f aca="false">IF(D751&gt;=13,(1+Assumptions!B46)^(D751-12),1)</f>
        <v>1.03970978022899</v>
      </c>
      <c r="H751" s="21" t="n">
        <f aca="false">H750*(1+IF(C751=1,Assumptions!B22,Assumptions!B23))</f>
        <v>22.1697995022184</v>
      </c>
      <c r="I751" s="16" t="n">
        <f aca="false">ROUND(H751*F751,0)</f>
        <v>22</v>
      </c>
      <c r="J751" s="22" t="n">
        <f aca="false">I751*Assumptions!B24</f>
        <v>13200</v>
      </c>
      <c r="K751" s="21" t="n">
        <f aca="false">K750*(1+Assumptions!B30)</f>
        <v>16.785957681222</v>
      </c>
      <c r="L751" s="16" t="n">
        <f aca="false">ROUND(K751*F751,0)</f>
        <v>17</v>
      </c>
      <c r="M751" s="22" t="n">
        <f aca="false">L751*Assumptions!B31</f>
        <v>5100</v>
      </c>
      <c r="N751" s="22" t="n">
        <f aca="false">J751+M751</f>
        <v>18300</v>
      </c>
      <c r="O751" s="22" t="n">
        <f aca="false">IF(DAY(B751)=1,Assumptions!B38*G751,0)</f>
        <v>0</v>
      </c>
      <c r="P751" s="22" t="n">
        <f aca="false">IF(DAY(B751)=1,Assumptions!B39*G751,0)</f>
        <v>0</v>
      </c>
      <c r="Q751" s="22" t="n">
        <f aca="false">IF(DAY(B751)=1,Assumptions!B40*G751,0)</f>
        <v>0</v>
      </c>
      <c r="R751" s="22" t="n">
        <f aca="false">IF(DAY(B751)=1,Assumptions!B41*G751,0)</f>
        <v>0</v>
      </c>
      <c r="S751" s="22" t="n">
        <f aca="false">IF(AND(DAY(B751)=1,D751&gt;=13),Assumptions!B42*G751,0)</f>
        <v>0</v>
      </c>
      <c r="T751" s="22" t="n">
        <f aca="false">IF(DAY(B751)=1,Assumptions!B43*G751,0)</f>
        <v>0</v>
      </c>
      <c r="U751" s="22" t="n">
        <f aca="false">SUM(O751:T751)</f>
        <v>0</v>
      </c>
      <c r="V751" s="22" t="n">
        <f aca="false">N751-U751</f>
        <v>18300</v>
      </c>
      <c r="W751" s="22" t="n">
        <f aca="false">W750+V751</f>
        <v>-2597084.30785663</v>
      </c>
      <c r="X751" s="23" t="str">
        <f aca="false">IF(W751&gt;=0,"YES","No")</f>
        <v>No</v>
      </c>
    </row>
    <row r="752" customFormat="false" ht="15" hidden="false" customHeight="false" outlineLevel="0" collapsed="false">
      <c r="A752" s="16" t="n">
        <v>751</v>
      </c>
      <c r="B752" s="17" t="n">
        <f aca="false">B751+1</f>
        <v>46773</v>
      </c>
      <c r="C752" s="18" t="n">
        <f aca="false">MIN(ROUNDUP(A752/365,0),5)</f>
        <v>3</v>
      </c>
      <c r="D752" s="18" t="n">
        <f aca="false">DATEDIF(Assumptions!B5,B752,"m")+1</f>
        <v>25</v>
      </c>
      <c r="E752" s="18" t="str">
        <f aca="false">TEXT(B752,"ddd")</f>
        <v>Fri</v>
      </c>
      <c r="F752" s="19" t="n">
        <f aca="false">IF(WEEKDAY(B752,2)&gt;=6,Assumptions!B34,Assumptions!B35)</f>
        <v>1</v>
      </c>
      <c r="G752" s="20" t="n">
        <f aca="false">IF(D752&gt;=13,(1+Assumptions!B46)^(D752-12),1)</f>
        <v>1.03970978022899</v>
      </c>
      <c r="H752" s="21" t="n">
        <f aca="false">H751*(1+IF(C752=1,Assumptions!B22,Assumptions!B23))</f>
        <v>22.1734322832429</v>
      </c>
      <c r="I752" s="16" t="n">
        <f aca="false">ROUND(H752*F752,0)</f>
        <v>22</v>
      </c>
      <c r="J752" s="22" t="n">
        <f aca="false">I752*Assumptions!B24</f>
        <v>13200</v>
      </c>
      <c r="K752" s="21" t="n">
        <f aca="false">K751*(1+Assumptions!B30)</f>
        <v>16.7914456291384</v>
      </c>
      <c r="L752" s="16" t="n">
        <f aca="false">ROUND(K752*F752,0)</f>
        <v>17</v>
      </c>
      <c r="M752" s="22" t="n">
        <f aca="false">L752*Assumptions!B31</f>
        <v>5100</v>
      </c>
      <c r="N752" s="22" t="n">
        <f aca="false">J752+M752</f>
        <v>18300</v>
      </c>
      <c r="O752" s="22" t="n">
        <f aca="false">IF(DAY(B752)=1,Assumptions!B38*G752,0)</f>
        <v>0</v>
      </c>
      <c r="P752" s="22" t="n">
        <f aca="false">IF(DAY(B752)=1,Assumptions!B39*G752,0)</f>
        <v>0</v>
      </c>
      <c r="Q752" s="22" t="n">
        <f aca="false">IF(DAY(B752)=1,Assumptions!B40*G752,0)</f>
        <v>0</v>
      </c>
      <c r="R752" s="22" t="n">
        <f aca="false">IF(DAY(B752)=1,Assumptions!B41*G752,0)</f>
        <v>0</v>
      </c>
      <c r="S752" s="22" t="n">
        <f aca="false">IF(AND(DAY(B752)=1,D752&gt;=13),Assumptions!B42*G752,0)</f>
        <v>0</v>
      </c>
      <c r="T752" s="22" t="n">
        <f aca="false">IF(DAY(B752)=1,Assumptions!B43*G752,0)</f>
        <v>0</v>
      </c>
      <c r="U752" s="22" t="n">
        <f aca="false">SUM(O752:T752)</f>
        <v>0</v>
      </c>
      <c r="V752" s="22" t="n">
        <f aca="false">N752-U752</f>
        <v>18300</v>
      </c>
      <c r="W752" s="22" t="n">
        <f aca="false">W751+V752</f>
        <v>-2578784.30785663</v>
      </c>
      <c r="X752" s="23" t="str">
        <f aca="false">IF(W752&gt;=0,"YES","No")</f>
        <v>No</v>
      </c>
    </row>
    <row r="753" customFormat="false" ht="15" hidden="false" customHeight="false" outlineLevel="0" collapsed="false">
      <c r="A753" s="16" t="n">
        <v>752</v>
      </c>
      <c r="B753" s="17" t="n">
        <f aca="false">B752+1</f>
        <v>46774</v>
      </c>
      <c r="C753" s="18" t="n">
        <f aca="false">MIN(ROUNDUP(A753/365,0),5)</f>
        <v>3</v>
      </c>
      <c r="D753" s="18" t="n">
        <f aca="false">DATEDIF(Assumptions!B5,B753,"m")+1</f>
        <v>25</v>
      </c>
      <c r="E753" s="18" t="str">
        <f aca="false">TEXT(B753,"ddd")</f>
        <v>Sat</v>
      </c>
      <c r="F753" s="19" t="n">
        <f aca="false">IF(WEEKDAY(B753,2)&gt;=6,Assumptions!B34,Assumptions!B35)</f>
        <v>0.6</v>
      </c>
      <c r="G753" s="20" t="n">
        <f aca="false">IF(D753&gt;=13,(1+Assumptions!B46)^(D753-12),1)</f>
        <v>1.03970978022899</v>
      </c>
      <c r="H753" s="21" t="n">
        <f aca="false">H752*(1+IF(C753=1,Assumptions!B22,Assumptions!B23))</f>
        <v>22.177065659541</v>
      </c>
      <c r="I753" s="16" t="n">
        <f aca="false">ROUND(H753*F753,0)</f>
        <v>13</v>
      </c>
      <c r="J753" s="22" t="n">
        <f aca="false">I753*Assumptions!B24</f>
        <v>7800</v>
      </c>
      <c r="K753" s="21" t="n">
        <f aca="false">K752*(1+Assumptions!B30)</f>
        <v>16.7969353712672</v>
      </c>
      <c r="L753" s="16" t="n">
        <f aca="false">ROUND(K753*F753,0)</f>
        <v>10</v>
      </c>
      <c r="M753" s="22" t="n">
        <f aca="false">L753*Assumptions!B31</f>
        <v>3000</v>
      </c>
      <c r="N753" s="22" t="n">
        <f aca="false">J753+M753</f>
        <v>10800</v>
      </c>
      <c r="O753" s="22" t="n">
        <f aca="false">IF(DAY(B753)=1,Assumptions!B38*G753,0)</f>
        <v>0</v>
      </c>
      <c r="P753" s="22" t="n">
        <f aca="false">IF(DAY(B753)=1,Assumptions!B39*G753,0)</f>
        <v>0</v>
      </c>
      <c r="Q753" s="22" t="n">
        <f aca="false">IF(DAY(B753)=1,Assumptions!B40*G753,0)</f>
        <v>0</v>
      </c>
      <c r="R753" s="22" t="n">
        <f aca="false">IF(DAY(B753)=1,Assumptions!B41*G753,0)</f>
        <v>0</v>
      </c>
      <c r="S753" s="22" t="n">
        <f aca="false">IF(AND(DAY(B753)=1,D753&gt;=13),Assumptions!B42*G753,0)</f>
        <v>0</v>
      </c>
      <c r="T753" s="22" t="n">
        <f aca="false">IF(DAY(B753)=1,Assumptions!B43*G753,0)</f>
        <v>0</v>
      </c>
      <c r="U753" s="22" t="n">
        <f aca="false">SUM(O753:T753)</f>
        <v>0</v>
      </c>
      <c r="V753" s="22" t="n">
        <f aca="false">N753-U753</f>
        <v>10800</v>
      </c>
      <c r="W753" s="22" t="n">
        <f aca="false">W752+V753</f>
        <v>-2567984.30785663</v>
      </c>
      <c r="X753" s="23" t="str">
        <f aca="false">IF(W753&gt;=0,"YES","No")</f>
        <v>No</v>
      </c>
    </row>
    <row r="754" customFormat="false" ht="15" hidden="false" customHeight="false" outlineLevel="0" collapsed="false">
      <c r="A754" s="16" t="n">
        <v>753</v>
      </c>
      <c r="B754" s="17" t="n">
        <f aca="false">B753+1</f>
        <v>46775</v>
      </c>
      <c r="C754" s="18" t="n">
        <f aca="false">MIN(ROUNDUP(A754/365,0),5)</f>
        <v>3</v>
      </c>
      <c r="D754" s="18" t="n">
        <f aca="false">DATEDIF(Assumptions!B5,B754,"m")+1</f>
        <v>25</v>
      </c>
      <c r="E754" s="18" t="str">
        <f aca="false">TEXT(B754,"ddd")</f>
        <v>Sun</v>
      </c>
      <c r="F754" s="19" t="n">
        <f aca="false">IF(WEEKDAY(B754,2)&gt;=6,Assumptions!B34,Assumptions!B35)</f>
        <v>0.6</v>
      </c>
      <c r="G754" s="20" t="n">
        <f aca="false">IF(D754&gt;=13,(1+Assumptions!B46)^(D754-12),1)</f>
        <v>1.03970978022899</v>
      </c>
      <c r="H754" s="21" t="n">
        <f aca="false">H753*(1+IF(C754=1,Assumptions!B22,Assumptions!B23))</f>
        <v>22.1806996312103</v>
      </c>
      <c r="I754" s="16" t="n">
        <f aca="false">ROUND(H754*F754,0)</f>
        <v>13</v>
      </c>
      <c r="J754" s="22" t="n">
        <f aca="false">I754*Assumptions!B24</f>
        <v>7800</v>
      </c>
      <c r="K754" s="21" t="n">
        <f aca="false">K753*(1+Assumptions!B30)</f>
        <v>16.8024269081949</v>
      </c>
      <c r="L754" s="16" t="n">
        <f aca="false">ROUND(K754*F754,0)</f>
        <v>10</v>
      </c>
      <c r="M754" s="22" t="n">
        <f aca="false">L754*Assumptions!B31</f>
        <v>3000</v>
      </c>
      <c r="N754" s="22" t="n">
        <f aca="false">J754+M754</f>
        <v>10800</v>
      </c>
      <c r="O754" s="22" t="n">
        <f aca="false">IF(DAY(B754)=1,Assumptions!B38*G754,0)</f>
        <v>0</v>
      </c>
      <c r="P754" s="22" t="n">
        <f aca="false">IF(DAY(B754)=1,Assumptions!B39*G754,0)</f>
        <v>0</v>
      </c>
      <c r="Q754" s="22" t="n">
        <f aca="false">IF(DAY(B754)=1,Assumptions!B40*G754,0)</f>
        <v>0</v>
      </c>
      <c r="R754" s="22" t="n">
        <f aca="false">IF(DAY(B754)=1,Assumptions!B41*G754,0)</f>
        <v>0</v>
      </c>
      <c r="S754" s="22" t="n">
        <f aca="false">IF(AND(DAY(B754)=1,D754&gt;=13),Assumptions!B42*G754,0)</f>
        <v>0</v>
      </c>
      <c r="T754" s="22" t="n">
        <f aca="false">IF(DAY(B754)=1,Assumptions!B43*G754,0)</f>
        <v>0</v>
      </c>
      <c r="U754" s="22" t="n">
        <f aca="false">SUM(O754:T754)</f>
        <v>0</v>
      </c>
      <c r="V754" s="22" t="n">
        <f aca="false">N754-U754</f>
        <v>10800</v>
      </c>
      <c r="W754" s="22" t="n">
        <f aca="false">W753+V754</f>
        <v>-2557184.30785663</v>
      </c>
      <c r="X754" s="23" t="str">
        <f aca="false">IF(W754&gt;=0,"YES","No")</f>
        <v>No</v>
      </c>
    </row>
    <row r="755" customFormat="false" ht="15" hidden="false" customHeight="false" outlineLevel="0" collapsed="false">
      <c r="A755" s="16" t="n">
        <v>754</v>
      </c>
      <c r="B755" s="17" t="n">
        <f aca="false">B754+1</f>
        <v>46776</v>
      </c>
      <c r="C755" s="18" t="n">
        <f aca="false">MIN(ROUNDUP(A755/365,0),5)</f>
        <v>3</v>
      </c>
      <c r="D755" s="18" t="n">
        <f aca="false">DATEDIF(Assumptions!B5,B755,"m")+1</f>
        <v>25</v>
      </c>
      <c r="E755" s="18" t="str">
        <f aca="false">TEXT(B755,"ddd")</f>
        <v>Mon</v>
      </c>
      <c r="F755" s="19" t="n">
        <f aca="false">IF(WEEKDAY(B755,2)&gt;=6,Assumptions!B34,Assumptions!B35)</f>
        <v>1</v>
      </c>
      <c r="G755" s="20" t="n">
        <f aca="false">IF(D755&gt;=13,(1+Assumptions!B46)^(D755-12),1)</f>
        <v>1.03970978022899</v>
      </c>
      <c r="H755" s="21" t="n">
        <f aca="false">H754*(1+IF(C755=1,Assumptions!B22,Assumptions!B23))</f>
        <v>22.1843341983485</v>
      </c>
      <c r="I755" s="16" t="n">
        <f aca="false">ROUND(H755*F755,0)</f>
        <v>22</v>
      </c>
      <c r="J755" s="22" t="n">
        <f aca="false">I755*Assumptions!B24</f>
        <v>13200</v>
      </c>
      <c r="K755" s="21" t="n">
        <f aca="false">K754*(1+Assumptions!B30)</f>
        <v>16.8079202405084</v>
      </c>
      <c r="L755" s="16" t="n">
        <f aca="false">ROUND(K755*F755,0)</f>
        <v>17</v>
      </c>
      <c r="M755" s="22" t="n">
        <f aca="false">L755*Assumptions!B31</f>
        <v>5100</v>
      </c>
      <c r="N755" s="22" t="n">
        <f aca="false">J755+M755</f>
        <v>18300</v>
      </c>
      <c r="O755" s="22" t="n">
        <f aca="false">IF(DAY(B755)=1,Assumptions!B38*G755,0)</f>
        <v>0</v>
      </c>
      <c r="P755" s="22" t="n">
        <f aca="false">IF(DAY(B755)=1,Assumptions!B39*G755,0)</f>
        <v>0</v>
      </c>
      <c r="Q755" s="22" t="n">
        <f aca="false">IF(DAY(B755)=1,Assumptions!B40*G755,0)</f>
        <v>0</v>
      </c>
      <c r="R755" s="22" t="n">
        <f aca="false">IF(DAY(B755)=1,Assumptions!B41*G755,0)</f>
        <v>0</v>
      </c>
      <c r="S755" s="22" t="n">
        <f aca="false">IF(AND(DAY(B755)=1,D755&gt;=13),Assumptions!B42*G755,0)</f>
        <v>0</v>
      </c>
      <c r="T755" s="22" t="n">
        <f aca="false">IF(DAY(B755)=1,Assumptions!B43*G755,0)</f>
        <v>0</v>
      </c>
      <c r="U755" s="22" t="n">
        <f aca="false">SUM(O755:T755)</f>
        <v>0</v>
      </c>
      <c r="V755" s="22" t="n">
        <f aca="false">N755-U755</f>
        <v>18300</v>
      </c>
      <c r="W755" s="22" t="n">
        <f aca="false">W754+V755</f>
        <v>-2538884.30785663</v>
      </c>
      <c r="X755" s="23" t="str">
        <f aca="false">IF(W755&gt;=0,"YES","No")</f>
        <v>No</v>
      </c>
    </row>
    <row r="756" customFormat="false" ht="15" hidden="false" customHeight="false" outlineLevel="0" collapsed="false">
      <c r="A756" s="16" t="n">
        <v>755</v>
      </c>
      <c r="B756" s="17" t="n">
        <f aca="false">B755+1</f>
        <v>46777</v>
      </c>
      <c r="C756" s="18" t="n">
        <f aca="false">MIN(ROUNDUP(A756/365,0),5)</f>
        <v>3</v>
      </c>
      <c r="D756" s="18" t="n">
        <f aca="false">DATEDIF(Assumptions!B5,B756,"m")+1</f>
        <v>25</v>
      </c>
      <c r="E756" s="18" t="str">
        <f aca="false">TEXT(B756,"ddd")</f>
        <v>Tue</v>
      </c>
      <c r="F756" s="19" t="n">
        <f aca="false">IF(WEEKDAY(B756,2)&gt;=6,Assumptions!B34,Assumptions!B35)</f>
        <v>1</v>
      </c>
      <c r="G756" s="20" t="n">
        <f aca="false">IF(D756&gt;=13,(1+Assumptions!B46)^(D756-12),1)</f>
        <v>1.03970978022899</v>
      </c>
      <c r="H756" s="21" t="n">
        <f aca="false">H755*(1+IF(C756=1,Assumptions!B22,Assumptions!B23))</f>
        <v>22.1879693610529</v>
      </c>
      <c r="I756" s="16" t="n">
        <f aca="false">ROUND(H756*F756,0)</f>
        <v>22</v>
      </c>
      <c r="J756" s="22" t="n">
        <f aca="false">I756*Assumptions!B24</f>
        <v>13200</v>
      </c>
      <c r="K756" s="21" t="n">
        <f aca="false">K755*(1+Assumptions!B30)</f>
        <v>16.8134153687945</v>
      </c>
      <c r="L756" s="16" t="n">
        <f aca="false">ROUND(K756*F756,0)</f>
        <v>17</v>
      </c>
      <c r="M756" s="22" t="n">
        <f aca="false">L756*Assumptions!B31</f>
        <v>5100</v>
      </c>
      <c r="N756" s="22" t="n">
        <f aca="false">J756+M756</f>
        <v>18300</v>
      </c>
      <c r="O756" s="22" t="n">
        <f aca="false">IF(DAY(B756)=1,Assumptions!B38*G756,0)</f>
        <v>0</v>
      </c>
      <c r="P756" s="22" t="n">
        <f aca="false">IF(DAY(B756)=1,Assumptions!B39*G756,0)</f>
        <v>0</v>
      </c>
      <c r="Q756" s="22" t="n">
        <f aca="false">IF(DAY(B756)=1,Assumptions!B40*G756,0)</f>
        <v>0</v>
      </c>
      <c r="R756" s="22" t="n">
        <f aca="false">IF(DAY(B756)=1,Assumptions!B41*G756,0)</f>
        <v>0</v>
      </c>
      <c r="S756" s="22" t="n">
        <f aca="false">IF(AND(DAY(B756)=1,D756&gt;=13),Assumptions!B42*G756,0)</f>
        <v>0</v>
      </c>
      <c r="T756" s="22" t="n">
        <f aca="false">IF(DAY(B756)=1,Assumptions!B43*G756,0)</f>
        <v>0</v>
      </c>
      <c r="U756" s="22" t="n">
        <f aca="false">SUM(O756:T756)</f>
        <v>0</v>
      </c>
      <c r="V756" s="22" t="n">
        <f aca="false">N756-U756</f>
        <v>18300</v>
      </c>
      <c r="W756" s="22" t="n">
        <f aca="false">W755+V756</f>
        <v>-2520584.30785663</v>
      </c>
      <c r="X756" s="23" t="str">
        <f aca="false">IF(W756&gt;=0,"YES","No")</f>
        <v>No</v>
      </c>
    </row>
    <row r="757" customFormat="false" ht="15" hidden="false" customHeight="false" outlineLevel="0" collapsed="false">
      <c r="A757" s="16" t="n">
        <v>756</v>
      </c>
      <c r="B757" s="17" t="n">
        <f aca="false">B756+1</f>
        <v>46778</v>
      </c>
      <c r="C757" s="18" t="n">
        <f aca="false">MIN(ROUNDUP(A757/365,0),5)</f>
        <v>3</v>
      </c>
      <c r="D757" s="18" t="n">
        <f aca="false">DATEDIF(Assumptions!B5,B757,"m")+1</f>
        <v>25</v>
      </c>
      <c r="E757" s="18" t="str">
        <f aca="false">TEXT(B757,"ddd")</f>
        <v>Wed</v>
      </c>
      <c r="F757" s="19" t="n">
        <f aca="false">IF(WEEKDAY(B757,2)&gt;=6,Assumptions!B34,Assumptions!B35)</f>
        <v>1</v>
      </c>
      <c r="G757" s="20" t="n">
        <f aca="false">IF(D757&gt;=13,(1+Assumptions!B46)^(D757-12),1)</f>
        <v>1.03970978022899</v>
      </c>
      <c r="H757" s="21" t="n">
        <f aca="false">H756*(1+IF(C757=1,Assumptions!B22,Assumptions!B23))</f>
        <v>22.1916051194213</v>
      </c>
      <c r="I757" s="16" t="n">
        <f aca="false">ROUND(H757*F757,0)</f>
        <v>22</v>
      </c>
      <c r="J757" s="22" t="n">
        <f aca="false">I757*Assumptions!B24</f>
        <v>13200</v>
      </c>
      <c r="K757" s="21" t="n">
        <f aca="false">K756*(1+Assumptions!B30)</f>
        <v>16.8189122936405</v>
      </c>
      <c r="L757" s="16" t="n">
        <f aca="false">ROUND(K757*F757,0)</f>
        <v>17</v>
      </c>
      <c r="M757" s="22" t="n">
        <f aca="false">L757*Assumptions!B31</f>
        <v>5100</v>
      </c>
      <c r="N757" s="22" t="n">
        <f aca="false">J757+M757</f>
        <v>18300</v>
      </c>
      <c r="O757" s="22" t="n">
        <f aca="false">IF(DAY(B757)=1,Assumptions!B38*G757,0)</f>
        <v>0</v>
      </c>
      <c r="P757" s="22" t="n">
        <f aca="false">IF(DAY(B757)=1,Assumptions!B39*G757,0)</f>
        <v>0</v>
      </c>
      <c r="Q757" s="22" t="n">
        <f aca="false">IF(DAY(B757)=1,Assumptions!B40*G757,0)</f>
        <v>0</v>
      </c>
      <c r="R757" s="22" t="n">
        <f aca="false">IF(DAY(B757)=1,Assumptions!B41*G757,0)</f>
        <v>0</v>
      </c>
      <c r="S757" s="22" t="n">
        <f aca="false">IF(AND(DAY(B757)=1,D757&gt;=13),Assumptions!B42*G757,0)</f>
        <v>0</v>
      </c>
      <c r="T757" s="22" t="n">
        <f aca="false">IF(DAY(B757)=1,Assumptions!B43*G757,0)</f>
        <v>0</v>
      </c>
      <c r="U757" s="22" t="n">
        <f aca="false">SUM(O757:T757)</f>
        <v>0</v>
      </c>
      <c r="V757" s="22" t="n">
        <f aca="false">N757-U757</f>
        <v>18300</v>
      </c>
      <c r="W757" s="22" t="n">
        <f aca="false">W756+V757</f>
        <v>-2502284.30785663</v>
      </c>
      <c r="X757" s="23" t="str">
        <f aca="false">IF(W757&gt;=0,"YES","No")</f>
        <v>No</v>
      </c>
    </row>
    <row r="758" customFormat="false" ht="15" hidden="false" customHeight="false" outlineLevel="0" collapsed="false">
      <c r="A758" s="16" t="n">
        <v>757</v>
      </c>
      <c r="B758" s="17" t="n">
        <f aca="false">B757+1</f>
        <v>46779</v>
      </c>
      <c r="C758" s="18" t="n">
        <f aca="false">MIN(ROUNDUP(A758/365,0),5)</f>
        <v>3</v>
      </c>
      <c r="D758" s="18" t="n">
        <f aca="false">DATEDIF(Assumptions!B5,B758,"m")+1</f>
        <v>25</v>
      </c>
      <c r="E758" s="18" t="str">
        <f aca="false">TEXT(B758,"ddd")</f>
        <v>Thu</v>
      </c>
      <c r="F758" s="19" t="n">
        <f aca="false">IF(WEEKDAY(B758,2)&gt;=6,Assumptions!B34,Assumptions!B35)</f>
        <v>1</v>
      </c>
      <c r="G758" s="20" t="n">
        <f aca="false">IF(D758&gt;=13,(1+Assumptions!B46)^(D758-12),1)</f>
        <v>1.03970978022899</v>
      </c>
      <c r="H758" s="21" t="n">
        <f aca="false">H757*(1+IF(C758=1,Assumptions!B22,Assumptions!B23))</f>
        <v>22.1952414735513</v>
      </c>
      <c r="I758" s="16" t="n">
        <f aca="false">ROUND(H758*F758,0)</f>
        <v>22</v>
      </c>
      <c r="J758" s="22" t="n">
        <f aca="false">I758*Assumptions!B24</f>
        <v>13200</v>
      </c>
      <c r="K758" s="21" t="n">
        <f aca="false">K757*(1+Assumptions!B30)</f>
        <v>16.8244110156337</v>
      </c>
      <c r="L758" s="16" t="n">
        <f aca="false">ROUND(K758*F758,0)</f>
        <v>17</v>
      </c>
      <c r="M758" s="22" t="n">
        <f aca="false">L758*Assumptions!B31</f>
        <v>5100</v>
      </c>
      <c r="N758" s="22" t="n">
        <f aca="false">J758+M758</f>
        <v>18300</v>
      </c>
      <c r="O758" s="22" t="n">
        <f aca="false">IF(DAY(B758)=1,Assumptions!B38*G758,0)</f>
        <v>0</v>
      </c>
      <c r="P758" s="22" t="n">
        <f aca="false">IF(DAY(B758)=1,Assumptions!B39*G758,0)</f>
        <v>0</v>
      </c>
      <c r="Q758" s="22" t="n">
        <f aca="false">IF(DAY(B758)=1,Assumptions!B40*G758,0)</f>
        <v>0</v>
      </c>
      <c r="R758" s="22" t="n">
        <f aca="false">IF(DAY(B758)=1,Assumptions!B41*G758,0)</f>
        <v>0</v>
      </c>
      <c r="S758" s="22" t="n">
        <f aca="false">IF(AND(DAY(B758)=1,D758&gt;=13),Assumptions!B42*G758,0)</f>
        <v>0</v>
      </c>
      <c r="T758" s="22" t="n">
        <f aca="false">IF(DAY(B758)=1,Assumptions!B43*G758,0)</f>
        <v>0</v>
      </c>
      <c r="U758" s="22" t="n">
        <f aca="false">SUM(O758:T758)</f>
        <v>0</v>
      </c>
      <c r="V758" s="22" t="n">
        <f aca="false">N758-U758</f>
        <v>18300</v>
      </c>
      <c r="W758" s="22" t="n">
        <f aca="false">W757+V758</f>
        <v>-2483984.30785663</v>
      </c>
      <c r="X758" s="23" t="str">
        <f aca="false">IF(W758&gt;=0,"YES","No")</f>
        <v>No</v>
      </c>
    </row>
    <row r="759" customFormat="false" ht="15" hidden="false" customHeight="false" outlineLevel="0" collapsed="false">
      <c r="A759" s="16" t="n">
        <v>758</v>
      </c>
      <c r="B759" s="17" t="n">
        <f aca="false">B758+1</f>
        <v>46780</v>
      </c>
      <c r="C759" s="18" t="n">
        <f aca="false">MIN(ROUNDUP(A759/365,0),5)</f>
        <v>3</v>
      </c>
      <c r="D759" s="18" t="n">
        <f aca="false">DATEDIF(Assumptions!B5,B759,"m")+1</f>
        <v>25</v>
      </c>
      <c r="E759" s="18" t="str">
        <f aca="false">TEXT(B759,"ddd")</f>
        <v>Fri</v>
      </c>
      <c r="F759" s="19" t="n">
        <f aca="false">IF(WEEKDAY(B759,2)&gt;=6,Assumptions!B34,Assumptions!B35)</f>
        <v>1</v>
      </c>
      <c r="G759" s="20" t="n">
        <f aca="false">IF(D759&gt;=13,(1+Assumptions!B46)^(D759-12),1)</f>
        <v>1.03970978022899</v>
      </c>
      <c r="H759" s="21" t="n">
        <f aca="false">H758*(1+IF(C759=1,Assumptions!B22,Assumptions!B23))</f>
        <v>22.1988784235404</v>
      </c>
      <c r="I759" s="16" t="n">
        <f aca="false">ROUND(H759*F759,0)</f>
        <v>22</v>
      </c>
      <c r="J759" s="22" t="n">
        <f aca="false">I759*Assumptions!B24</f>
        <v>13200</v>
      </c>
      <c r="K759" s="21" t="n">
        <f aca="false">K758*(1+Assumptions!B30)</f>
        <v>16.8299115353616</v>
      </c>
      <c r="L759" s="16" t="n">
        <f aca="false">ROUND(K759*F759,0)</f>
        <v>17</v>
      </c>
      <c r="M759" s="22" t="n">
        <f aca="false">L759*Assumptions!B31</f>
        <v>5100</v>
      </c>
      <c r="N759" s="22" t="n">
        <f aca="false">J759+M759</f>
        <v>18300</v>
      </c>
      <c r="O759" s="22" t="n">
        <f aca="false">IF(DAY(B759)=1,Assumptions!B38*G759,0)</f>
        <v>0</v>
      </c>
      <c r="P759" s="22" t="n">
        <f aca="false">IF(DAY(B759)=1,Assumptions!B39*G759,0)</f>
        <v>0</v>
      </c>
      <c r="Q759" s="22" t="n">
        <f aca="false">IF(DAY(B759)=1,Assumptions!B40*G759,0)</f>
        <v>0</v>
      </c>
      <c r="R759" s="22" t="n">
        <f aca="false">IF(DAY(B759)=1,Assumptions!B41*G759,0)</f>
        <v>0</v>
      </c>
      <c r="S759" s="22" t="n">
        <f aca="false">IF(AND(DAY(B759)=1,D759&gt;=13),Assumptions!B42*G759,0)</f>
        <v>0</v>
      </c>
      <c r="T759" s="22" t="n">
        <f aca="false">IF(DAY(B759)=1,Assumptions!B43*G759,0)</f>
        <v>0</v>
      </c>
      <c r="U759" s="22" t="n">
        <f aca="false">SUM(O759:T759)</f>
        <v>0</v>
      </c>
      <c r="V759" s="22" t="n">
        <f aca="false">N759-U759</f>
        <v>18300</v>
      </c>
      <c r="W759" s="22" t="n">
        <f aca="false">W758+V759</f>
        <v>-2465684.30785663</v>
      </c>
      <c r="X759" s="23" t="str">
        <f aca="false">IF(W759&gt;=0,"YES","No")</f>
        <v>No</v>
      </c>
    </row>
    <row r="760" customFormat="false" ht="15" hidden="false" customHeight="false" outlineLevel="0" collapsed="false">
      <c r="A760" s="16" t="n">
        <v>759</v>
      </c>
      <c r="B760" s="17" t="n">
        <f aca="false">B759+1</f>
        <v>46781</v>
      </c>
      <c r="C760" s="18" t="n">
        <f aca="false">MIN(ROUNDUP(A760/365,0),5)</f>
        <v>3</v>
      </c>
      <c r="D760" s="18" t="n">
        <f aca="false">DATEDIF(Assumptions!B5,B760,"m")+1</f>
        <v>25</v>
      </c>
      <c r="E760" s="18" t="str">
        <f aca="false">TEXT(B760,"ddd")</f>
        <v>Sat</v>
      </c>
      <c r="F760" s="19" t="n">
        <f aca="false">IF(WEEKDAY(B760,2)&gt;=6,Assumptions!B34,Assumptions!B35)</f>
        <v>0.6</v>
      </c>
      <c r="G760" s="20" t="n">
        <f aca="false">IF(D760&gt;=13,(1+Assumptions!B46)^(D760-12),1)</f>
        <v>1.03970978022899</v>
      </c>
      <c r="H760" s="21" t="n">
        <f aca="false">H759*(1+IF(C760=1,Assumptions!B22,Assumptions!B23))</f>
        <v>22.2025159694863</v>
      </c>
      <c r="I760" s="16" t="n">
        <f aca="false">ROUND(H760*F760,0)</f>
        <v>13</v>
      </c>
      <c r="J760" s="22" t="n">
        <f aca="false">I760*Assumptions!B24</f>
        <v>7800</v>
      </c>
      <c r="K760" s="21" t="n">
        <f aca="false">K759*(1+Assumptions!B30)</f>
        <v>16.8354138534122</v>
      </c>
      <c r="L760" s="16" t="n">
        <f aca="false">ROUND(K760*F760,0)</f>
        <v>10</v>
      </c>
      <c r="M760" s="22" t="n">
        <f aca="false">L760*Assumptions!B31</f>
        <v>3000</v>
      </c>
      <c r="N760" s="22" t="n">
        <f aca="false">J760+M760</f>
        <v>10800</v>
      </c>
      <c r="O760" s="22" t="n">
        <f aca="false">IF(DAY(B760)=1,Assumptions!B38*G760,0)</f>
        <v>0</v>
      </c>
      <c r="P760" s="22" t="n">
        <f aca="false">IF(DAY(B760)=1,Assumptions!B39*G760,0)</f>
        <v>0</v>
      </c>
      <c r="Q760" s="22" t="n">
        <f aca="false">IF(DAY(B760)=1,Assumptions!B40*G760,0)</f>
        <v>0</v>
      </c>
      <c r="R760" s="22" t="n">
        <f aca="false">IF(DAY(B760)=1,Assumptions!B41*G760,0)</f>
        <v>0</v>
      </c>
      <c r="S760" s="22" t="n">
        <f aca="false">IF(AND(DAY(B760)=1,D760&gt;=13),Assumptions!B42*G760,0)</f>
        <v>0</v>
      </c>
      <c r="T760" s="22" t="n">
        <f aca="false">IF(DAY(B760)=1,Assumptions!B43*G760,0)</f>
        <v>0</v>
      </c>
      <c r="U760" s="22" t="n">
        <f aca="false">SUM(O760:T760)</f>
        <v>0</v>
      </c>
      <c r="V760" s="22" t="n">
        <f aca="false">N760-U760</f>
        <v>10800</v>
      </c>
      <c r="W760" s="22" t="n">
        <f aca="false">W759+V760</f>
        <v>-2454884.30785663</v>
      </c>
      <c r="X760" s="23" t="str">
        <f aca="false">IF(W760&gt;=0,"YES","No")</f>
        <v>No</v>
      </c>
    </row>
    <row r="761" customFormat="false" ht="15" hidden="false" customHeight="false" outlineLevel="0" collapsed="false">
      <c r="A761" s="16" t="n">
        <v>760</v>
      </c>
      <c r="B761" s="17" t="n">
        <f aca="false">B760+1</f>
        <v>46782</v>
      </c>
      <c r="C761" s="18" t="n">
        <f aca="false">MIN(ROUNDUP(A761/365,0),5)</f>
        <v>3</v>
      </c>
      <c r="D761" s="18" t="n">
        <f aca="false">DATEDIF(Assumptions!B5,B761,"m")+1</f>
        <v>25</v>
      </c>
      <c r="E761" s="18" t="str">
        <f aca="false">TEXT(B761,"ddd")</f>
        <v>Sun</v>
      </c>
      <c r="F761" s="19" t="n">
        <f aca="false">IF(WEEKDAY(B761,2)&gt;=6,Assumptions!B34,Assumptions!B35)</f>
        <v>0.6</v>
      </c>
      <c r="G761" s="20" t="n">
        <f aca="false">IF(D761&gt;=13,(1+Assumptions!B46)^(D761-12),1)</f>
        <v>1.03970978022899</v>
      </c>
      <c r="H761" s="21" t="n">
        <f aca="false">H760*(1+IF(C761=1,Assumptions!B22,Assumptions!B23))</f>
        <v>22.2061541114867</v>
      </c>
      <c r="I761" s="16" t="n">
        <f aca="false">ROUND(H761*F761,0)</f>
        <v>13</v>
      </c>
      <c r="J761" s="22" t="n">
        <f aca="false">I761*Assumptions!B24</f>
        <v>7800</v>
      </c>
      <c r="K761" s="21" t="n">
        <f aca="false">K760*(1+Assumptions!B30)</f>
        <v>16.8409179703731</v>
      </c>
      <c r="L761" s="16" t="n">
        <f aca="false">ROUND(K761*F761,0)</f>
        <v>10</v>
      </c>
      <c r="M761" s="22" t="n">
        <f aca="false">L761*Assumptions!B31</f>
        <v>3000</v>
      </c>
      <c r="N761" s="22" t="n">
        <f aca="false">J761+M761</f>
        <v>10800</v>
      </c>
      <c r="O761" s="22" t="n">
        <f aca="false">IF(DAY(B761)=1,Assumptions!B38*G761,0)</f>
        <v>0</v>
      </c>
      <c r="P761" s="22" t="n">
        <f aca="false">IF(DAY(B761)=1,Assumptions!B39*G761,0)</f>
        <v>0</v>
      </c>
      <c r="Q761" s="22" t="n">
        <f aca="false">IF(DAY(B761)=1,Assumptions!B40*G761,0)</f>
        <v>0</v>
      </c>
      <c r="R761" s="22" t="n">
        <f aca="false">IF(DAY(B761)=1,Assumptions!B41*G761,0)</f>
        <v>0</v>
      </c>
      <c r="S761" s="22" t="n">
        <f aca="false">IF(AND(DAY(B761)=1,D761&gt;=13),Assumptions!B42*G761,0)</f>
        <v>0</v>
      </c>
      <c r="T761" s="22" t="n">
        <f aca="false">IF(DAY(B761)=1,Assumptions!B43*G761,0)</f>
        <v>0</v>
      </c>
      <c r="U761" s="22" t="n">
        <f aca="false">SUM(O761:T761)</f>
        <v>0</v>
      </c>
      <c r="V761" s="22" t="n">
        <f aca="false">N761-U761</f>
        <v>10800</v>
      </c>
      <c r="W761" s="22" t="n">
        <f aca="false">W760+V761</f>
        <v>-2444084.30785663</v>
      </c>
      <c r="X761" s="23" t="str">
        <f aca="false">IF(W761&gt;=0,"YES","No")</f>
        <v>No</v>
      </c>
    </row>
    <row r="762" customFormat="false" ht="15" hidden="false" customHeight="false" outlineLevel="0" collapsed="false">
      <c r="A762" s="16" t="n">
        <v>761</v>
      </c>
      <c r="B762" s="17" t="n">
        <f aca="false">B761+1</f>
        <v>46783</v>
      </c>
      <c r="C762" s="18" t="n">
        <f aca="false">MIN(ROUNDUP(A762/365,0),5)</f>
        <v>3</v>
      </c>
      <c r="D762" s="18" t="n">
        <f aca="false">DATEDIF(Assumptions!B5,B762,"m")+1</f>
        <v>25</v>
      </c>
      <c r="E762" s="18" t="str">
        <f aca="false">TEXT(B762,"ddd")</f>
        <v>Mon</v>
      </c>
      <c r="F762" s="19" t="n">
        <f aca="false">IF(WEEKDAY(B762,2)&gt;=6,Assumptions!B34,Assumptions!B35)</f>
        <v>1</v>
      </c>
      <c r="G762" s="20" t="n">
        <f aca="false">IF(D762&gt;=13,(1+Assumptions!B46)^(D762-12),1)</f>
        <v>1.03970978022899</v>
      </c>
      <c r="H762" s="21" t="n">
        <f aca="false">H761*(1+IF(C762=1,Assumptions!B22,Assumptions!B23))</f>
        <v>22.2097928496392</v>
      </c>
      <c r="I762" s="16" t="n">
        <f aca="false">ROUND(H762*F762,0)</f>
        <v>22</v>
      </c>
      <c r="J762" s="22" t="n">
        <f aca="false">I762*Assumptions!B24</f>
        <v>13200</v>
      </c>
      <c r="K762" s="21" t="n">
        <f aca="false">K761*(1+Assumptions!B30)</f>
        <v>16.8464238868327</v>
      </c>
      <c r="L762" s="16" t="n">
        <f aca="false">ROUND(K762*F762,0)</f>
        <v>17</v>
      </c>
      <c r="M762" s="22" t="n">
        <f aca="false">L762*Assumptions!B31</f>
        <v>5100</v>
      </c>
      <c r="N762" s="22" t="n">
        <f aca="false">J762+M762</f>
        <v>18300</v>
      </c>
      <c r="O762" s="22" t="n">
        <f aca="false">IF(DAY(B762)=1,Assumptions!B38*G762,0)</f>
        <v>0</v>
      </c>
      <c r="P762" s="22" t="n">
        <f aca="false">IF(DAY(B762)=1,Assumptions!B39*G762,0)</f>
        <v>0</v>
      </c>
      <c r="Q762" s="22" t="n">
        <f aca="false">IF(DAY(B762)=1,Assumptions!B40*G762,0)</f>
        <v>0</v>
      </c>
      <c r="R762" s="22" t="n">
        <f aca="false">IF(DAY(B762)=1,Assumptions!B41*G762,0)</f>
        <v>0</v>
      </c>
      <c r="S762" s="22" t="n">
        <f aca="false">IF(AND(DAY(B762)=1,D762&gt;=13),Assumptions!B42*G762,0)</f>
        <v>0</v>
      </c>
      <c r="T762" s="22" t="n">
        <f aca="false">IF(DAY(B762)=1,Assumptions!B43*G762,0)</f>
        <v>0</v>
      </c>
      <c r="U762" s="22" t="n">
        <f aca="false">SUM(O762:T762)</f>
        <v>0</v>
      </c>
      <c r="V762" s="22" t="n">
        <f aca="false">N762-U762</f>
        <v>18300</v>
      </c>
      <c r="W762" s="22" t="n">
        <f aca="false">W761+V762</f>
        <v>-2425784.30785663</v>
      </c>
      <c r="X762" s="23" t="str">
        <f aca="false">IF(W762&gt;=0,"YES","No")</f>
        <v>No</v>
      </c>
    </row>
    <row r="763" customFormat="false" ht="15" hidden="false" customHeight="false" outlineLevel="0" collapsed="false">
      <c r="A763" s="16" t="n">
        <v>762</v>
      </c>
      <c r="B763" s="17" t="n">
        <f aca="false">B762+1</f>
        <v>46784</v>
      </c>
      <c r="C763" s="18" t="n">
        <f aca="false">MIN(ROUNDUP(A763/365,0),5)</f>
        <v>3</v>
      </c>
      <c r="D763" s="18" t="n">
        <f aca="false">DATEDIF(Assumptions!B5,B763,"m")+1</f>
        <v>26</v>
      </c>
      <c r="E763" s="18" t="str">
        <f aca="false">TEXT(B763,"ddd")</f>
        <v>Tue</v>
      </c>
      <c r="F763" s="19" t="n">
        <f aca="false">IF(WEEKDAY(B763,2)&gt;=6,Assumptions!B34,Assumptions!B35)</f>
        <v>1</v>
      </c>
      <c r="G763" s="20" t="n">
        <f aca="false">IF(D763&gt;=13,(1+Assumptions!B46)^(D763-12),1)</f>
        <v>1.04282890956968</v>
      </c>
      <c r="H763" s="21" t="n">
        <f aca="false">H762*(1+IF(C763=1,Assumptions!B22,Assumptions!B23))</f>
        <v>22.2134321840415</v>
      </c>
      <c r="I763" s="16" t="n">
        <f aca="false">ROUND(H763*F763,0)</f>
        <v>22</v>
      </c>
      <c r="J763" s="22" t="n">
        <f aca="false">I763*Assumptions!B24</f>
        <v>13200</v>
      </c>
      <c r="K763" s="21" t="n">
        <f aca="false">K762*(1+Assumptions!B30)</f>
        <v>16.8519316033792</v>
      </c>
      <c r="L763" s="16" t="n">
        <f aca="false">ROUND(K763*F763,0)</f>
        <v>17</v>
      </c>
      <c r="M763" s="22" t="n">
        <f aca="false">L763*Assumptions!B31</f>
        <v>5100</v>
      </c>
      <c r="N763" s="22" t="n">
        <f aca="false">J763+M763</f>
        <v>18300</v>
      </c>
      <c r="O763" s="22" t="n">
        <f aca="false">IF(DAY(B763)=1,Assumptions!B38*G763,0)</f>
        <v>156424.336435452</v>
      </c>
      <c r="P763" s="22" t="n">
        <f aca="false">IF(DAY(B763)=1,Assumptions!B39*G763,0)</f>
        <v>41713.1563827872</v>
      </c>
      <c r="Q763" s="22" t="n">
        <f aca="false">IF(DAY(B763)=1,Assumptions!B40*G763,0)</f>
        <v>31284.8672870904</v>
      </c>
      <c r="R763" s="22" t="n">
        <f aca="false">IF(DAY(B763)=1,Assumptions!B41*G763,0)</f>
        <v>20856.5781913936</v>
      </c>
      <c r="S763" s="22" t="n">
        <f aca="false">IF(AND(DAY(B763)=1,D763&gt;=13),Assumptions!B42*G763,0)</f>
        <v>156424.336435452</v>
      </c>
      <c r="T763" s="22" t="n">
        <f aca="false">IF(DAY(B763)=1,Assumptions!B43*G763,0)</f>
        <v>20856.5781913936</v>
      </c>
      <c r="U763" s="22" t="n">
        <f aca="false">SUM(O763:T763)</f>
        <v>427559.852923569</v>
      </c>
      <c r="V763" s="22" t="n">
        <f aca="false">N763-U763</f>
        <v>-409259.852923569</v>
      </c>
      <c r="W763" s="22" t="n">
        <f aca="false">W762+V763</f>
        <v>-2835044.1607802</v>
      </c>
      <c r="X763" s="23" t="str">
        <f aca="false">IF(W763&gt;=0,"YES","No")</f>
        <v>No</v>
      </c>
    </row>
    <row r="764" customFormat="false" ht="15" hidden="false" customHeight="false" outlineLevel="0" collapsed="false">
      <c r="A764" s="16" t="n">
        <v>763</v>
      </c>
      <c r="B764" s="17" t="n">
        <f aca="false">B763+1</f>
        <v>46785</v>
      </c>
      <c r="C764" s="18" t="n">
        <f aca="false">MIN(ROUNDUP(A764/365,0),5)</f>
        <v>3</v>
      </c>
      <c r="D764" s="18" t="n">
        <f aca="false">DATEDIF(Assumptions!B5,B764,"m")+1</f>
        <v>26</v>
      </c>
      <c r="E764" s="18" t="str">
        <f aca="false">TEXT(B764,"ddd")</f>
        <v>Wed</v>
      </c>
      <c r="F764" s="19" t="n">
        <f aca="false">IF(WEEKDAY(B764,2)&gt;=6,Assumptions!B34,Assumptions!B35)</f>
        <v>1</v>
      </c>
      <c r="G764" s="20" t="n">
        <f aca="false">IF(D764&gt;=13,(1+Assumptions!B46)^(D764-12),1)</f>
        <v>1.04282890956968</v>
      </c>
      <c r="H764" s="21" t="n">
        <f aca="false">H763*(1+IF(C764=1,Assumptions!B22,Assumptions!B23))</f>
        <v>22.2170721147914</v>
      </c>
      <c r="I764" s="16" t="n">
        <f aca="false">ROUND(H764*F764,0)</f>
        <v>22</v>
      </c>
      <c r="J764" s="22" t="n">
        <f aca="false">I764*Assumptions!B24</f>
        <v>13200</v>
      </c>
      <c r="K764" s="21" t="n">
        <f aca="false">K763*(1+Assumptions!B30)</f>
        <v>16.8574411206011</v>
      </c>
      <c r="L764" s="16" t="n">
        <f aca="false">ROUND(K764*F764,0)</f>
        <v>17</v>
      </c>
      <c r="M764" s="22" t="n">
        <f aca="false">L764*Assumptions!B31</f>
        <v>5100</v>
      </c>
      <c r="N764" s="22" t="n">
        <f aca="false">J764+M764</f>
        <v>18300</v>
      </c>
      <c r="O764" s="22" t="n">
        <f aca="false">IF(DAY(B764)=1,Assumptions!B38*G764,0)</f>
        <v>0</v>
      </c>
      <c r="P764" s="22" t="n">
        <f aca="false">IF(DAY(B764)=1,Assumptions!B39*G764,0)</f>
        <v>0</v>
      </c>
      <c r="Q764" s="22" t="n">
        <f aca="false">IF(DAY(B764)=1,Assumptions!B40*G764,0)</f>
        <v>0</v>
      </c>
      <c r="R764" s="22" t="n">
        <f aca="false">IF(DAY(B764)=1,Assumptions!B41*G764,0)</f>
        <v>0</v>
      </c>
      <c r="S764" s="22" t="n">
        <f aca="false">IF(AND(DAY(B764)=1,D764&gt;=13),Assumptions!B42*G764,0)</f>
        <v>0</v>
      </c>
      <c r="T764" s="22" t="n">
        <f aca="false">IF(DAY(B764)=1,Assumptions!B43*G764,0)</f>
        <v>0</v>
      </c>
      <c r="U764" s="22" t="n">
        <f aca="false">SUM(O764:T764)</f>
        <v>0</v>
      </c>
      <c r="V764" s="22" t="n">
        <f aca="false">N764-U764</f>
        <v>18300</v>
      </c>
      <c r="W764" s="22" t="n">
        <f aca="false">W763+V764</f>
        <v>-2816744.1607802</v>
      </c>
      <c r="X764" s="23" t="str">
        <f aca="false">IF(W764&gt;=0,"YES","No")</f>
        <v>No</v>
      </c>
    </row>
    <row r="765" customFormat="false" ht="15" hidden="false" customHeight="false" outlineLevel="0" collapsed="false">
      <c r="A765" s="16" t="n">
        <v>764</v>
      </c>
      <c r="B765" s="17" t="n">
        <f aca="false">B764+1</f>
        <v>46786</v>
      </c>
      <c r="C765" s="18" t="n">
        <f aca="false">MIN(ROUNDUP(A765/365,0),5)</f>
        <v>3</v>
      </c>
      <c r="D765" s="18" t="n">
        <f aca="false">DATEDIF(Assumptions!B5,B765,"m")+1</f>
        <v>26</v>
      </c>
      <c r="E765" s="18" t="str">
        <f aca="false">TEXT(B765,"ddd")</f>
        <v>Thu</v>
      </c>
      <c r="F765" s="19" t="n">
        <f aca="false">IF(WEEKDAY(B765,2)&gt;=6,Assumptions!B34,Assumptions!B35)</f>
        <v>1</v>
      </c>
      <c r="G765" s="20" t="n">
        <f aca="false">IF(D765&gt;=13,(1+Assumptions!B46)^(D765-12),1)</f>
        <v>1.04282890956968</v>
      </c>
      <c r="H765" s="21" t="n">
        <f aca="false">H764*(1+IF(C765=1,Assumptions!B22,Assumptions!B23))</f>
        <v>22.2207126419865</v>
      </c>
      <c r="I765" s="16" t="n">
        <f aca="false">ROUND(H765*F765,0)</f>
        <v>22</v>
      </c>
      <c r="J765" s="22" t="n">
        <f aca="false">I765*Assumptions!B24</f>
        <v>13200</v>
      </c>
      <c r="K765" s="21" t="n">
        <f aca="false">K764*(1+Assumptions!B30)</f>
        <v>16.8629524390871</v>
      </c>
      <c r="L765" s="16" t="n">
        <f aca="false">ROUND(K765*F765,0)</f>
        <v>17</v>
      </c>
      <c r="M765" s="22" t="n">
        <f aca="false">L765*Assumptions!B31</f>
        <v>5100</v>
      </c>
      <c r="N765" s="22" t="n">
        <f aca="false">J765+M765</f>
        <v>18300</v>
      </c>
      <c r="O765" s="22" t="n">
        <f aca="false">IF(DAY(B765)=1,Assumptions!B38*G765,0)</f>
        <v>0</v>
      </c>
      <c r="P765" s="22" t="n">
        <f aca="false">IF(DAY(B765)=1,Assumptions!B39*G765,0)</f>
        <v>0</v>
      </c>
      <c r="Q765" s="22" t="n">
        <f aca="false">IF(DAY(B765)=1,Assumptions!B40*G765,0)</f>
        <v>0</v>
      </c>
      <c r="R765" s="22" t="n">
        <f aca="false">IF(DAY(B765)=1,Assumptions!B41*G765,0)</f>
        <v>0</v>
      </c>
      <c r="S765" s="22" t="n">
        <f aca="false">IF(AND(DAY(B765)=1,D765&gt;=13),Assumptions!B42*G765,0)</f>
        <v>0</v>
      </c>
      <c r="T765" s="22" t="n">
        <f aca="false">IF(DAY(B765)=1,Assumptions!B43*G765,0)</f>
        <v>0</v>
      </c>
      <c r="U765" s="22" t="n">
        <f aca="false">SUM(O765:T765)</f>
        <v>0</v>
      </c>
      <c r="V765" s="22" t="n">
        <f aca="false">N765-U765</f>
        <v>18300</v>
      </c>
      <c r="W765" s="22" t="n">
        <f aca="false">W764+V765</f>
        <v>-2798444.1607802</v>
      </c>
      <c r="X765" s="23" t="str">
        <f aca="false">IF(W765&gt;=0,"YES","No")</f>
        <v>No</v>
      </c>
    </row>
    <row r="766" customFormat="false" ht="15" hidden="false" customHeight="false" outlineLevel="0" collapsed="false">
      <c r="A766" s="16" t="n">
        <v>765</v>
      </c>
      <c r="B766" s="17" t="n">
        <f aca="false">B765+1</f>
        <v>46787</v>
      </c>
      <c r="C766" s="18" t="n">
        <f aca="false">MIN(ROUNDUP(A766/365,0),5)</f>
        <v>3</v>
      </c>
      <c r="D766" s="18" t="n">
        <f aca="false">DATEDIF(Assumptions!B5,B766,"m")+1</f>
        <v>26</v>
      </c>
      <c r="E766" s="18" t="str">
        <f aca="false">TEXT(B766,"ddd")</f>
        <v>Fri</v>
      </c>
      <c r="F766" s="19" t="n">
        <f aca="false">IF(WEEKDAY(B766,2)&gt;=6,Assumptions!B34,Assumptions!B35)</f>
        <v>1</v>
      </c>
      <c r="G766" s="20" t="n">
        <f aca="false">IF(D766&gt;=13,(1+Assumptions!B46)^(D766-12),1)</f>
        <v>1.04282890956968</v>
      </c>
      <c r="H766" s="21" t="n">
        <f aca="false">H765*(1+IF(C766=1,Assumptions!B22,Assumptions!B23))</f>
        <v>22.2243537657245</v>
      </c>
      <c r="I766" s="16" t="n">
        <f aca="false">ROUND(H766*F766,0)</f>
        <v>22</v>
      </c>
      <c r="J766" s="22" t="n">
        <f aca="false">I766*Assumptions!B24</f>
        <v>13200</v>
      </c>
      <c r="K766" s="21" t="n">
        <f aca="false">K765*(1+Assumptions!B30)</f>
        <v>16.8684655594262</v>
      </c>
      <c r="L766" s="16" t="n">
        <f aca="false">ROUND(K766*F766,0)</f>
        <v>17</v>
      </c>
      <c r="M766" s="22" t="n">
        <f aca="false">L766*Assumptions!B31</f>
        <v>5100</v>
      </c>
      <c r="N766" s="22" t="n">
        <f aca="false">J766+M766</f>
        <v>18300</v>
      </c>
      <c r="O766" s="22" t="n">
        <f aca="false">IF(DAY(B766)=1,Assumptions!B38*G766,0)</f>
        <v>0</v>
      </c>
      <c r="P766" s="22" t="n">
        <f aca="false">IF(DAY(B766)=1,Assumptions!B39*G766,0)</f>
        <v>0</v>
      </c>
      <c r="Q766" s="22" t="n">
        <f aca="false">IF(DAY(B766)=1,Assumptions!B40*G766,0)</f>
        <v>0</v>
      </c>
      <c r="R766" s="22" t="n">
        <f aca="false">IF(DAY(B766)=1,Assumptions!B41*G766,0)</f>
        <v>0</v>
      </c>
      <c r="S766" s="22" t="n">
        <f aca="false">IF(AND(DAY(B766)=1,D766&gt;=13),Assumptions!B42*G766,0)</f>
        <v>0</v>
      </c>
      <c r="T766" s="22" t="n">
        <f aca="false">IF(DAY(B766)=1,Assumptions!B43*G766,0)</f>
        <v>0</v>
      </c>
      <c r="U766" s="22" t="n">
        <f aca="false">SUM(O766:T766)</f>
        <v>0</v>
      </c>
      <c r="V766" s="22" t="n">
        <f aca="false">N766-U766</f>
        <v>18300</v>
      </c>
      <c r="W766" s="22" t="n">
        <f aca="false">W765+V766</f>
        <v>-2780144.1607802</v>
      </c>
      <c r="X766" s="23" t="str">
        <f aca="false">IF(W766&gt;=0,"YES","No")</f>
        <v>No</v>
      </c>
    </row>
    <row r="767" customFormat="false" ht="15" hidden="false" customHeight="false" outlineLevel="0" collapsed="false">
      <c r="A767" s="16" t="n">
        <v>766</v>
      </c>
      <c r="B767" s="17" t="n">
        <f aca="false">B766+1</f>
        <v>46788</v>
      </c>
      <c r="C767" s="18" t="n">
        <f aca="false">MIN(ROUNDUP(A767/365,0),5)</f>
        <v>3</v>
      </c>
      <c r="D767" s="18" t="n">
        <f aca="false">DATEDIF(Assumptions!B5,B767,"m")+1</f>
        <v>26</v>
      </c>
      <c r="E767" s="18" t="str">
        <f aca="false">TEXT(B767,"ddd")</f>
        <v>Sat</v>
      </c>
      <c r="F767" s="19" t="n">
        <f aca="false">IF(WEEKDAY(B767,2)&gt;=6,Assumptions!B34,Assumptions!B35)</f>
        <v>0.6</v>
      </c>
      <c r="G767" s="20" t="n">
        <f aca="false">IF(D767&gt;=13,(1+Assumptions!B46)^(D767-12),1)</f>
        <v>1.04282890956968</v>
      </c>
      <c r="H767" s="21" t="n">
        <f aca="false">H766*(1+IF(C767=1,Assumptions!B22,Assumptions!B23))</f>
        <v>22.2279954861033</v>
      </c>
      <c r="I767" s="16" t="n">
        <f aca="false">ROUND(H767*F767,0)</f>
        <v>13</v>
      </c>
      <c r="J767" s="22" t="n">
        <f aca="false">I767*Assumptions!B24</f>
        <v>7800</v>
      </c>
      <c r="K767" s="21" t="n">
        <f aca="false">K766*(1+Assumptions!B30)</f>
        <v>16.8739804822074</v>
      </c>
      <c r="L767" s="16" t="n">
        <f aca="false">ROUND(K767*F767,0)</f>
        <v>10</v>
      </c>
      <c r="M767" s="22" t="n">
        <f aca="false">L767*Assumptions!B31</f>
        <v>3000</v>
      </c>
      <c r="N767" s="22" t="n">
        <f aca="false">J767+M767</f>
        <v>10800</v>
      </c>
      <c r="O767" s="22" t="n">
        <f aca="false">IF(DAY(B767)=1,Assumptions!B38*G767,0)</f>
        <v>0</v>
      </c>
      <c r="P767" s="22" t="n">
        <f aca="false">IF(DAY(B767)=1,Assumptions!B39*G767,0)</f>
        <v>0</v>
      </c>
      <c r="Q767" s="22" t="n">
        <f aca="false">IF(DAY(B767)=1,Assumptions!B40*G767,0)</f>
        <v>0</v>
      </c>
      <c r="R767" s="22" t="n">
        <f aca="false">IF(DAY(B767)=1,Assumptions!B41*G767,0)</f>
        <v>0</v>
      </c>
      <c r="S767" s="22" t="n">
        <f aca="false">IF(AND(DAY(B767)=1,D767&gt;=13),Assumptions!B42*G767,0)</f>
        <v>0</v>
      </c>
      <c r="T767" s="22" t="n">
        <f aca="false">IF(DAY(B767)=1,Assumptions!B43*G767,0)</f>
        <v>0</v>
      </c>
      <c r="U767" s="22" t="n">
        <f aca="false">SUM(O767:T767)</f>
        <v>0</v>
      </c>
      <c r="V767" s="22" t="n">
        <f aca="false">N767-U767</f>
        <v>10800</v>
      </c>
      <c r="W767" s="22" t="n">
        <f aca="false">W766+V767</f>
        <v>-2769344.1607802</v>
      </c>
      <c r="X767" s="23" t="str">
        <f aca="false">IF(W767&gt;=0,"YES","No")</f>
        <v>No</v>
      </c>
    </row>
    <row r="768" customFormat="false" ht="15" hidden="false" customHeight="false" outlineLevel="0" collapsed="false">
      <c r="A768" s="16" t="n">
        <v>767</v>
      </c>
      <c r="B768" s="17" t="n">
        <f aca="false">B767+1</f>
        <v>46789</v>
      </c>
      <c r="C768" s="18" t="n">
        <f aca="false">MIN(ROUNDUP(A768/365,0),5)</f>
        <v>3</v>
      </c>
      <c r="D768" s="18" t="n">
        <f aca="false">DATEDIF(Assumptions!B5,B768,"m")+1</f>
        <v>26</v>
      </c>
      <c r="E768" s="18" t="str">
        <f aca="false">TEXT(B768,"ddd")</f>
        <v>Sun</v>
      </c>
      <c r="F768" s="19" t="n">
        <f aca="false">IF(WEEKDAY(B768,2)&gt;=6,Assumptions!B34,Assumptions!B35)</f>
        <v>0.6</v>
      </c>
      <c r="G768" s="20" t="n">
        <f aca="false">IF(D768&gt;=13,(1+Assumptions!B46)^(D768-12),1)</f>
        <v>1.04282890956968</v>
      </c>
      <c r="H768" s="21" t="n">
        <f aca="false">H767*(1+IF(C768=1,Assumptions!B22,Assumptions!B23))</f>
        <v>22.2316378032206</v>
      </c>
      <c r="I768" s="16" t="n">
        <f aca="false">ROUND(H768*F768,0)</f>
        <v>13</v>
      </c>
      <c r="J768" s="22" t="n">
        <f aca="false">I768*Assumptions!B24</f>
        <v>7800</v>
      </c>
      <c r="K768" s="21" t="n">
        <f aca="false">K767*(1+Assumptions!B30)</f>
        <v>16.87949720802</v>
      </c>
      <c r="L768" s="16" t="n">
        <f aca="false">ROUND(K768*F768,0)</f>
        <v>10</v>
      </c>
      <c r="M768" s="22" t="n">
        <f aca="false">L768*Assumptions!B31</f>
        <v>3000</v>
      </c>
      <c r="N768" s="22" t="n">
        <f aca="false">J768+M768</f>
        <v>10800</v>
      </c>
      <c r="O768" s="22" t="n">
        <f aca="false">IF(DAY(B768)=1,Assumptions!B38*G768,0)</f>
        <v>0</v>
      </c>
      <c r="P768" s="22" t="n">
        <f aca="false">IF(DAY(B768)=1,Assumptions!B39*G768,0)</f>
        <v>0</v>
      </c>
      <c r="Q768" s="22" t="n">
        <f aca="false">IF(DAY(B768)=1,Assumptions!B40*G768,0)</f>
        <v>0</v>
      </c>
      <c r="R768" s="22" t="n">
        <f aca="false">IF(DAY(B768)=1,Assumptions!B41*G768,0)</f>
        <v>0</v>
      </c>
      <c r="S768" s="22" t="n">
        <f aca="false">IF(AND(DAY(B768)=1,D768&gt;=13),Assumptions!B42*G768,0)</f>
        <v>0</v>
      </c>
      <c r="T768" s="22" t="n">
        <f aca="false">IF(DAY(B768)=1,Assumptions!B43*G768,0)</f>
        <v>0</v>
      </c>
      <c r="U768" s="22" t="n">
        <f aca="false">SUM(O768:T768)</f>
        <v>0</v>
      </c>
      <c r="V768" s="22" t="n">
        <f aca="false">N768-U768</f>
        <v>10800</v>
      </c>
      <c r="W768" s="22" t="n">
        <f aca="false">W767+V768</f>
        <v>-2758544.1607802</v>
      </c>
      <c r="X768" s="23" t="str">
        <f aca="false">IF(W768&gt;=0,"YES","No")</f>
        <v>No</v>
      </c>
    </row>
    <row r="769" customFormat="false" ht="15" hidden="false" customHeight="false" outlineLevel="0" collapsed="false">
      <c r="A769" s="16" t="n">
        <v>768</v>
      </c>
      <c r="B769" s="17" t="n">
        <f aca="false">B768+1</f>
        <v>46790</v>
      </c>
      <c r="C769" s="18" t="n">
        <f aca="false">MIN(ROUNDUP(A769/365,0),5)</f>
        <v>3</v>
      </c>
      <c r="D769" s="18" t="n">
        <f aca="false">DATEDIF(Assumptions!B5,B769,"m")+1</f>
        <v>26</v>
      </c>
      <c r="E769" s="18" t="str">
        <f aca="false">TEXT(B769,"ddd")</f>
        <v>Mon</v>
      </c>
      <c r="F769" s="19" t="n">
        <f aca="false">IF(WEEKDAY(B769,2)&gt;=6,Assumptions!B34,Assumptions!B35)</f>
        <v>1</v>
      </c>
      <c r="G769" s="20" t="n">
        <f aca="false">IF(D769&gt;=13,(1+Assumptions!B46)^(D769-12),1)</f>
        <v>1.04282890956968</v>
      </c>
      <c r="H769" s="21" t="n">
        <f aca="false">H768*(1+IF(C769=1,Assumptions!B22,Assumptions!B23))</f>
        <v>22.2352807171742</v>
      </c>
      <c r="I769" s="16" t="n">
        <f aca="false">ROUND(H769*F769,0)</f>
        <v>22</v>
      </c>
      <c r="J769" s="22" t="n">
        <f aca="false">I769*Assumptions!B24</f>
        <v>13200</v>
      </c>
      <c r="K769" s="21" t="n">
        <f aca="false">K768*(1+Assumptions!B30)</f>
        <v>16.8850157374535</v>
      </c>
      <c r="L769" s="16" t="n">
        <f aca="false">ROUND(K769*F769,0)</f>
        <v>17</v>
      </c>
      <c r="M769" s="22" t="n">
        <f aca="false">L769*Assumptions!B31</f>
        <v>5100</v>
      </c>
      <c r="N769" s="22" t="n">
        <f aca="false">J769+M769</f>
        <v>18300</v>
      </c>
      <c r="O769" s="22" t="n">
        <f aca="false">IF(DAY(B769)=1,Assumptions!B38*G769,0)</f>
        <v>0</v>
      </c>
      <c r="P769" s="22" t="n">
        <f aca="false">IF(DAY(B769)=1,Assumptions!B39*G769,0)</f>
        <v>0</v>
      </c>
      <c r="Q769" s="22" t="n">
        <f aca="false">IF(DAY(B769)=1,Assumptions!B40*G769,0)</f>
        <v>0</v>
      </c>
      <c r="R769" s="22" t="n">
        <f aca="false">IF(DAY(B769)=1,Assumptions!B41*G769,0)</f>
        <v>0</v>
      </c>
      <c r="S769" s="22" t="n">
        <f aca="false">IF(AND(DAY(B769)=1,D769&gt;=13),Assumptions!B42*G769,0)</f>
        <v>0</v>
      </c>
      <c r="T769" s="22" t="n">
        <f aca="false">IF(DAY(B769)=1,Assumptions!B43*G769,0)</f>
        <v>0</v>
      </c>
      <c r="U769" s="22" t="n">
        <f aca="false">SUM(O769:T769)</f>
        <v>0</v>
      </c>
      <c r="V769" s="22" t="n">
        <f aca="false">N769-U769</f>
        <v>18300</v>
      </c>
      <c r="W769" s="22" t="n">
        <f aca="false">W768+V769</f>
        <v>-2740244.1607802</v>
      </c>
      <c r="X769" s="23" t="str">
        <f aca="false">IF(W769&gt;=0,"YES","No")</f>
        <v>No</v>
      </c>
    </row>
    <row r="770" customFormat="false" ht="15" hidden="false" customHeight="false" outlineLevel="0" collapsed="false">
      <c r="A770" s="16" t="n">
        <v>769</v>
      </c>
      <c r="B770" s="17" t="n">
        <f aca="false">B769+1</f>
        <v>46791</v>
      </c>
      <c r="C770" s="18" t="n">
        <f aca="false">MIN(ROUNDUP(A770/365,0),5)</f>
        <v>3</v>
      </c>
      <c r="D770" s="18" t="n">
        <f aca="false">DATEDIF(Assumptions!B5,B770,"m")+1</f>
        <v>26</v>
      </c>
      <c r="E770" s="18" t="str">
        <f aca="false">TEXT(B770,"ddd")</f>
        <v>Tue</v>
      </c>
      <c r="F770" s="19" t="n">
        <f aca="false">IF(WEEKDAY(B770,2)&gt;=6,Assumptions!B34,Assumptions!B35)</f>
        <v>1</v>
      </c>
      <c r="G770" s="20" t="n">
        <f aca="false">IF(D770&gt;=13,(1+Assumptions!B46)^(D770-12),1)</f>
        <v>1.04282890956968</v>
      </c>
      <c r="H770" s="21" t="n">
        <f aca="false">H769*(1+IF(C770=1,Assumptions!B22,Assumptions!B23))</f>
        <v>22.2389242280618</v>
      </c>
      <c r="I770" s="16" t="n">
        <f aca="false">ROUND(H770*F770,0)</f>
        <v>22</v>
      </c>
      <c r="J770" s="22" t="n">
        <f aca="false">I770*Assumptions!B24</f>
        <v>13200</v>
      </c>
      <c r="K770" s="21" t="n">
        <f aca="false">K769*(1+Assumptions!B30)</f>
        <v>16.8905360710976</v>
      </c>
      <c r="L770" s="16" t="n">
        <f aca="false">ROUND(K770*F770,0)</f>
        <v>17</v>
      </c>
      <c r="M770" s="22" t="n">
        <f aca="false">L770*Assumptions!B31</f>
        <v>5100</v>
      </c>
      <c r="N770" s="22" t="n">
        <f aca="false">J770+M770</f>
        <v>18300</v>
      </c>
      <c r="O770" s="22" t="n">
        <f aca="false">IF(DAY(B770)=1,Assumptions!B38*G770,0)</f>
        <v>0</v>
      </c>
      <c r="P770" s="22" t="n">
        <f aca="false">IF(DAY(B770)=1,Assumptions!B39*G770,0)</f>
        <v>0</v>
      </c>
      <c r="Q770" s="22" t="n">
        <f aca="false">IF(DAY(B770)=1,Assumptions!B40*G770,0)</f>
        <v>0</v>
      </c>
      <c r="R770" s="22" t="n">
        <f aca="false">IF(DAY(B770)=1,Assumptions!B41*G770,0)</f>
        <v>0</v>
      </c>
      <c r="S770" s="22" t="n">
        <f aca="false">IF(AND(DAY(B770)=1,D770&gt;=13),Assumptions!B42*G770,0)</f>
        <v>0</v>
      </c>
      <c r="T770" s="22" t="n">
        <f aca="false">IF(DAY(B770)=1,Assumptions!B43*G770,0)</f>
        <v>0</v>
      </c>
      <c r="U770" s="22" t="n">
        <f aca="false">SUM(O770:T770)</f>
        <v>0</v>
      </c>
      <c r="V770" s="22" t="n">
        <f aca="false">N770-U770</f>
        <v>18300</v>
      </c>
      <c r="W770" s="22" t="n">
        <f aca="false">W769+V770</f>
        <v>-2721944.1607802</v>
      </c>
      <c r="X770" s="23" t="str">
        <f aca="false">IF(W770&gt;=0,"YES","No")</f>
        <v>No</v>
      </c>
    </row>
    <row r="771" customFormat="false" ht="15" hidden="false" customHeight="false" outlineLevel="0" collapsed="false">
      <c r="A771" s="16" t="n">
        <v>770</v>
      </c>
      <c r="B771" s="17" t="n">
        <f aca="false">B770+1</f>
        <v>46792</v>
      </c>
      <c r="C771" s="18" t="n">
        <f aca="false">MIN(ROUNDUP(A771/365,0),5)</f>
        <v>3</v>
      </c>
      <c r="D771" s="18" t="n">
        <f aca="false">DATEDIF(Assumptions!B5,B771,"m")+1</f>
        <v>26</v>
      </c>
      <c r="E771" s="18" t="str">
        <f aca="false">TEXT(B771,"ddd")</f>
        <v>Wed</v>
      </c>
      <c r="F771" s="19" t="n">
        <f aca="false">IF(WEEKDAY(B771,2)&gt;=6,Assumptions!B34,Assumptions!B35)</f>
        <v>1</v>
      </c>
      <c r="G771" s="20" t="n">
        <f aca="false">IF(D771&gt;=13,(1+Assumptions!B46)^(D771-12),1)</f>
        <v>1.04282890956968</v>
      </c>
      <c r="H771" s="21" t="n">
        <f aca="false">H770*(1+IF(C771=1,Assumptions!B22,Assumptions!B23))</f>
        <v>22.2425683359813</v>
      </c>
      <c r="I771" s="16" t="n">
        <f aca="false">ROUND(H771*F771,0)</f>
        <v>22</v>
      </c>
      <c r="J771" s="22" t="n">
        <f aca="false">I771*Assumptions!B24</f>
        <v>13200</v>
      </c>
      <c r="K771" s="21" t="n">
        <f aca="false">K770*(1+Assumptions!B30)</f>
        <v>16.8960582095421</v>
      </c>
      <c r="L771" s="16" t="n">
        <f aca="false">ROUND(K771*F771,0)</f>
        <v>17</v>
      </c>
      <c r="M771" s="22" t="n">
        <f aca="false">L771*Assumptions!B31</f>
        <v>5100</v>
      </c>
      <c r="N771" s="22" t="n">
        <f aca="false">J771+M771</f>
        <v>18300</v>
      </c>
      <c r="O771" s="22" t="n">
        <f aca="false">IF(DAY(B771)=1,Assumptions!B38*G771,0)</f>
        <v>0</v>
      </c>
      <c r="P771" s="22" t="n">
        <f aca="false">IF(DAY(B771)=1,Assumptions!B39*G771,0)</f>
        <v>0</v>
      </c>
      <c r="Q771" s="22" t="n">
        <f aca="false">IF(DAY(B771)=1,Assumptions!B40*G771,0)</f>
        <v>0</v>
      </c>
      <c r="R771" s="22" t="n">
        <f aca="false">IF(DAY(B771)=1,Assumptions!B41*G771,0)</f>
        <v>0</v>
      </c>
      <c r="S771" s="22" t="n">
        <f aca="false">IF(AND(DAY(B771)=1,D771&gt;=13),Assumptions!B42*G771,0)</f>
        <v>0</v>
      </c>
      <c r="T771" s="22" t="n">
        <f aca="false">IF(DAY(B771)=1,Assumptions!B43*G771,0)</f>
        <v>0</v>
      </c>
      <c r="U771" s="22" t="n">
        <f aca="false">SUM(O771:T771)</f>
        <v>0</v>
      </c>
      <c r="V771" s="22" t="n">
        <f aca="false">N771-U771</f>
        <v>18300</v>
      </c>
      <c r="W771" s="22" t="n">
        <f aca="false">W770+V771</f>
        <v>-2703644.1607802</v>
      </c>
      <c r="X771" s="23" t="str">
        <f aca="false">IF(W771&gt;=0,"YES","No")</f>
        <v>No</v>
      </c>
    </row>
    <row r="772" customFormat="false" ht="15" hidden="false" customHeight="false" outlineLevel="0" collapsed="false">
      <c r="A772" s="16" t="n">
        <v>771</v>
      </c>
      <c r="B772" s="17" t="n">
        <f aca="false">B771+1</f>
        <v>46793</v>
      </c>
      <c r="C772" s="18" t="n">
        <f aca="false">MIN(ROUNDUP(A772/365,0),5)</f>
        <v>3</v>
      </c>
      <c r="D772" s="18" t="n">
        <f aca="false">DATEDIF(Assumptions!B5,B772,"m")+1</f>
        <v>26</v>
      </c>
      <c r="E772" s="18" t="str">
        <f aca="false">TEXT(B772,"ddd")</f>
        <v>Thu</v>
      </c>
      <c r="F772" s="19" t="n">
        <f aca="false">IF(WEEKDAY(B772,2)&gt;=6,Assumptions!B34,Assumptions!B35)</f>
        <v>1</v>
      </c>
      <c r="G772" s="20" t="n">
        <f aca="false">IF(D772&gt;=13,(1+Assumptions!B46)^(D772-12),1)</f>
        <v>1.04282890956968</v>
      </c>
      <c r="H772" s="21" t="n">
        <f aca="false">H771*(1+IF(C772=1,Assumptions!B22,Assumptions!B23))</f>
        <v>22.2462130410305</v>
      </c>
      <c r="I772" s="16" t="n">
        <f aca="false">ROUND(H772*F772,0)</f>
        <v>22</v>
      </c>
      <c r="J772" s="22" t="n">
        <f aca="false">I772*Assumptions!B24</f>
        <v>13200</v>
      </c>
      <c r="K772" s="21" t="n">
        <f aca="false">K771*(1+Assumptions!B30)</f>
        <v>16.901582153377</v>
      </c>
      <c r="L772" s="16" t="n">
        <f aca="false">ROUND(K772*F772,0)</f>
        <v>17</v>
      </c>
      <c r="M772" s="22" t="n">
        <f aca="false">L772*Assumptions!B31</f>
        <v>5100</v>
      </c>
      <c r="N772" s="22" t="n">
        <f aca="false">J772+M772</f>
        <v>18300</v>
      </c>
      <c r="O772" s="22" t="n">
        <f aca="false">IF(DAY(B772)=1,Assumptions!B38*G772,0)</f>
        <v>0</v>
      </c>
      <c r="P772" s="22" t="n">
        <f aca="false">IF(DAY(B772)=1,Assumptions!B39*G772,0)</f>
        <v>0</v>
      </c>
      <c r="Q772" s="22" t="n">
        <f aca="false">IF(DAY(B772)=1,Assumptions!B40*G772,0)</f>
        <v>0</v>
      </c>
      <c r="R772" s="22" t="n">
        <f aca="false">IF(DAY(B772)=1,Assumptions!B41*G772,0)</f>
        <v>0</v>
      </c>
      <c r="S772" s="22" t="n">
        <f aca="false">IF(AND(DAY(B772)=1,D772&gt;=13),Assumptions!B42*G772,0)</f>
        <v>0</v>
      </c>
      <c r="T772" s="22" t="n">
        <f aca="false">IF(DAY(B772)=1,Assumptions!B43*G772,0)</f>
        <v>0</v>
      </c>
      <c r="U772" s="22" t="n">
        <f aca="false">SUM(O772:T772)</f>
        <v>0</v>
      </c>
      <c r="V772" s="22" t="n">
        <f aca="false">N772-U772</f>
        <v>18300</v>
      </c>
      <c r="W772" s="22" t="n">
        <f aca="false">W771+V772</f>
        <v>-2685344.1607802</v>
      </c>
      <c r="X772" s="23" t="str">
        <f aca="false">IF(W772&gt;=0,"YES","No")</f>
        <v>No</v>
      </c>
    </row>
    <row r="773" customFormat="false" ht="15" hidden="false" customHeight="false" outlineLevel="0" collapsed="false">
      <c r="A773" s="16" t="n">
        <v>772</v>
      </c>
      <c r="B773" s="17" t="n">
        <f aca="false">B772+1</f>
        <v>46794</v>
      </c>
      <c r="C773" s="18" t="n">
        <f aca="false">MIN(ROUNDUP(A773/365,0),5)</f>
        <v>3</v>
      </c>
      <c r="D773" s="18" t="n">
        <f aca="false">DATEDIF(Assumptions!B5,B773,"m")+1</f>
        <v>26</v>
      </c>
      <c r="E773" s="18" t="str">
        <f aca="false">TEXT(B773,"ddd")</f>
        <v>Fri</v>
      </c>
      <c r="F773" s="19" t="n">
        <f aca="false">IF(WEEKDAY(B773,2)&gt;=6,Assumptions!B34,Assumptions!B35)</f>
        <v>1</v>
      </c>
      <c r="G773" s="20" t="n">
        <f aca="false">IF(D773&gt;=13,(1+Assumptions!B46)^(D773-12),1)</f>
        <v>1.04282890956968</v>
      </c>
      <c r="H773" s="21" t="n">
        <f aca="false">H772*(1+IF(C773=1,Assumptions!B22,Assumptions!B23))</f>
        <v>22.2498583433073</v>
      </c>
      <c r="I773" s="16" t="n">
        <f aca="false">ROUND(H773*F773,0)</f>
        <v>22</v>
      </c>
      <c r="J773" s="22" t="n">
        <f aca="false">I773*Assumptions!B24</f>
        <v>13200</v>
      </c>
      <c r="K773" s="21" t="n">
        <f aca="false">K772*(1+Assumptions!B30)</f>
        <v>16.9071079031927</v>
      </c>
      <c r="L773" s="16" t="n">
        <f aca="false">ROUND(K773*F773,0)</f>
        <v>17</v>
      </c>
      <c r="M773" s="22" t="n">
        <f aca="false">L773*Assumptions!B31</f>
        <v>5100</v>
      </c>
      <c r="N773" s="22" t="n">
        <f aca="false">J773+M773</f>
        <v>18300</v>
      </c>
      <c r="O773" s="22" t="n">
        <f aca="false">IF(DAY(B773)=1,Assumptions!B38*G773,0)</f>
        <v>0</v>
      </c>
      <c r="P773" s="22" t="n">
        <f aca="false">IF(DAY(B773)=1,Assumptions!B39*G773,0)</f>
        <v>0</v>
      </c>
      <c r="Q773" s="22" t="n">
        <f aca="false">IF(DAY(B773)=1,Assumptions!B40*G773,0)</f>
        <v>0</v>
      </c>
      <c r="R773" s="22" t="n">
        <f aca="false">IF(DAY(B773)=1,Assumptions!B41*G773,0)</f>
        <v>0</v>
      </c>
      <c r="S773" s="22" t="n">
        <f aca="false">IF(AND(DAY(B773)=1,D773&gt;=13),Assumptions!B42*G773,0)</f>
        <v>0</v>
      </c>
      <c r="T773" s="22" t="n">
        <f aca="false">IF(DAY(B773)=1,Assumptions!B43*G773,0)</f>
        <v>0</v>
      </c>
      <c r="U773" s="22" t="n">
        <f aca="false">SUM(O773:T773)</f>
        <v>0</v>
      </c>
      <c r="V773" s="22" t="n">
        <f aca="false">N773-U773</f>
        <v>18300</v>
      </c>
      <c r="W773" s="22" t="n">
        <f aca="false">W772+V773</f>
        <v>-2667044.1607802</v>
      </c>
      <c r="X773" s="23" t="str">
        <f aca="false">IF(W773&gt;=0,"YES","No")</f>
        <v>No</v>
      </c>
    </row>
    <row r="774" customFormat="false" ht="15" hidden="false" customHeight="false" outlineLevel="0" collapsed="false">
      <c r="A774" s="16" t="n">
        <v>773</v>
      </c>
      <c r="B774" s="17" t="n">
        <f aca="false">B773+1</f>
        <v>46795</v>
      </c>
      <c r="C774" s="18" t="n">
        <f aca="false">MIN(ROUNDUP(A774/365,0),5)</f>
        <v>3</v>
      </c>
      <c r="D774" s="18" t="n">
        <f aca="false">DATEDIF(Assumptions!B5,B774,"m")+1</f>
        <v>26</v>
      </c>
      <c r="E774" s="18" t="str">
        <f aca="false">TEXT(B774,"ddd")</f>
        <v>Sat</v>
      </c>
      <c r="F774" s="19" t="n">
        <f aca="false">IF(WEEKDAY(B774,2)&gt;=6,Assumptions!B34,Assumptions!B35)</f>
        <v>0.6</v>
      </c>
      <c r="G774" s="20" t="n">
        <f aca="false">IF(D774&gt;=13,(1+Assumptions!B46)^(D774-12),1)</f>
        <v>1.04282890956968</v>
      </c>
      <c r="H774" s="21" t="n">
        <f aca="false">H773*(1+IF(C774=1,Assumptions!B22,Assumptions!B23))</f>
        <v>22.2535042429095</v>
      </c>
      <c r="I774" s="16" t="n">
        <f aca="false">ROUND(H774*F774,0)</f>
        <v>13</v>
      </c>
      <c r="J774" s="22" t="n">
        <f aca="false">I774*Assumptions!B24</f>
        <v>7800</v>
      </c>
      <c r="K774" s="21" t="n">
        <f aca="false">K773*(1+Assumptions!B30)</f>
        <v>16.9126354595796</v>
      </c>
      <c r="L774" s="16" t="n">
        <f aca="false">ROUND(K774*F774,0)</f>
        <v>10</v>
      </c>
      <c r="M774" s="22" t="n">
        <f aca="false">L774*Assumptions!B31</f>
        <v>3000</v>
      </c>
      <c r="N774" s="22" t="n">
        <f aca="false">J774+M774</f>
        <v>10800</v>
      </c>
      <c r="O774" s="22" t="n">
        <f aca="false">IF(DAY(B774)=1,Assumptions!B38*G774,0)</f>
        <v>0</v>
      </c>
      <c r="P774" s="22" t="n">
        <f aca="false">IF(DAY(B774)=1,Assumptions!B39*G774,0)</f>
        <v>0</v>
      </c>
      <c r="Q774" s="22" t="n">
        <f aca="false">IF(DAY(B774)=1,Assumptions!B40*G774,0)</f>
        <v>0</v>
      </c>
      <c r="R774" s="22" t="n">
        <f aca="false">IF(DAY(B774)=1,Assumptions!B41*G774,0)</f>
        <v>0</v>
      </c>
      <c r="S774" s="22" t="n">
        <f aca="false">IF(AND(DAY(B774)=1,D774&gt;=13),Assumptions!B42*G774,0)</f>
        <v>0</v>
      </c>
      <c r="T774" s="22" t="n">
        <f aca="false">IF(DAY(B774)=1,Assumptions!B43*G774,0)</f>
        <v>0</v>
      </c>
      <c r="U774" s="22" t="n">
        <f aca="false">SUM(O774:T774)</f>
        <v>0</v>
      </c>
      <c r="V774" s="22" t="n">
        <f aca="false">N774-U774</f>
        <v>10800</v>
      </c>
      <c r="W774" s="22" t="n">
        <f aca="false">W773+V774</f>
        <v>-2656244.1607802</v>
      </c>
      <c r="X774" s="23" t="str">
        <f aca="false">IF(W774&gt;=0,"YES","No")</f>
        <v>No</v>
      </c>
    </row>
    <row r="775" customFormat="false" ht="15" hidden="false" customHeight="false" outlineLevel="0" collapsed="false">
      <c r="A775" s="16" t="n">
        <v>774</v>
      </c>
      <c r="B775" s="17" t="n">
        <f aca="false">B774+1</f>
        <v>46796</v>
      </c>
      <c r="C775" s="18" t="n">
        <f aca="false">MIN(ROUNDUP(A775/365,0),5)</f>
        <v>3</v>
      </c>
      <c r="D775" s="18" t="n">
        <f aca="false">DATEDIF(Assumptions!B5,B775,"m")+1</f>
        <v>26</v>
      </c>
      <c r="E775" s="18" t="str">
        <f aca="false">TEXT(B775,"ddd")</f>
        <v>Sun</v>
      </c>
      <c r="F775" s="19" t="n">
        <f aca="false">IF(WEEKDAY(B775,2)&gt;=6,Assumptions!B34,Assumptions!B35)</f>
        <v>0.6</v>
      </c>
      <c r="G775" s="20" t="n">
        <f aca="false">IF(D775&gt;=13,(1+Assumptions!B46)^(D775-12),1)</f>
        <v>1.04282890956968</v>
      </c>
      <c r="H775" s="21" t="n">
        <f aca="false">H774*(1+IF(C775=1,Assumptions!B22,Assumptions!B23))</f>
        <v>22.257150739935</v>
      </c>
      <c r="I775" s="16" t="n">
        <f aca="false">ROUND(H775*F775,0)</f>
        <v>13</v>
      </c>
      <c r="J775" s="22" t="n">
        <f aca="false">I775*Assumptions!B24</f>
        <v>7800</v>
      </c>
      <c r="K775" s="21" t="n">
        <f aca="false">K774*(1+Assumptions!B30)</f>
        <v>16.9181648231283</v>
      </c>
      <c r="L775" s="16" t="n">
        <f aca="false">ROUND(K775*F775,0)</f>
        <v>10</v>
      </c>
      <c r="M775" s="22" t="n">
        <f aca="false">L775*Assumptions!B31</f>
        <v>3000</v>
      </c>
      <c r="N775" s="22" t="n">
        <f aca="false">J775+M775</f>
        <v>10800</v>
      </c>
      <c r="O775" s="22" t="n">
        <f aca="false">IF(DAY(B775)=1,Assumptions!B38*G775,0)</f>
        <v>0</v>
      </c>
      <c r="P775" s="22" t="n">
        <f aca="false">IF(DAY(B775)=1,Assumptions!B39*G775,0)</f>
        <v>0</v>
      </c>
      <c r="Q775" s="22" t="n">
        <f aca="false">IF(DAY(B775)=1,Assumptions!B40*G775,0)</f>
        <v>0</v>
      </c>
      <c r="R775" s="22" t="n">
        <f aca="false">IF(DAY(B775)=1,Assumptions!B41*G775,0)</f>
        <v>0</v>
      </c>
      <c r="S775" s="22" t="n">
        <f aca="false">IF(AND(DAY(B775)=1,D775&gt;=13),Assumptions!B42*G775,0)</f>
        <v>0</v>
      </c>
      <c r="T775" s="22" t="n">
        <f aca="false">IF(DAY(B775)=1,Assumptions!B43*G775,0)</f>
        <v>0</v>
      </c>
      <c r="U775" s="22" t="n">
        <f aca="false">SUM(O775:T775)</f>
        <v>0</v>
      </c>
      <c r="V775" s="22" t="n">
        <f aca="false">N775-U775</f>
        <v>10800</v>
      </c>
      <c r="W775" s="22" t="n">
        <f aca="false">W774+V775</f>
        <v>-2645444.1607802</v>
      </c>
      <c r="X775" s="23" t="str">
        <f aca="false">IF(W775&gt;=0,"YES","No")</f>
        <v>No</v>
      </c>
    </row>
    <row r="776" customFormat="false" ht="15" hidden="false" customHeight="false" outlineLevel="0" collapsed="false">
      <c r="A776" s="16" t="n">
        <v>775</v>
      </c>
      <c r="B776" s="17" t="n">
        <f aca="false">B775+1</f>
        <v>46797</v>
      </c>
      <c r="C776" s="18" t="n">
        <f aca="false">MIN(ROUNDUP(A776/365,0),5)</f>
        <v>3</v>
      </c>
      <c r="D776" s="18" t="n">
        <f aca="false">DATEDIF(Assumptions!B5,B776,"m")+1</f>
        <v>26</v>
      </c>
      <c r="E776" s="18" t="str">
        <f aca="false">TEXT(B776,"ddd")</f>
        <v>Mon</v>
      </c>
      <c r="F776" s="19" t="n">
        <f aca="false">IF(WEEKDAY(B776,2)&gt;=6,Assumptions!B34,Assumptions!B35)</f>
        <v>1</v>
      </c>
      <c r="G776" s="20" t="n">
        <f aca="false">IF(D776&gt;=13,(1+Assumptions!B46)^(D776-12),1)</f>
        <v>1.04282890956968</v>
      </c>
      <c r="H776" s="21" t="n">
        <f aca="false">H775*(1+IF(C776=1,Assumptions!B22,Assumptions!B23))</f>
        <v>22.2607978344818</v>
      </c>
      <c r="I776" s="16" t="n">
        <f aca="false">ROUND(H776*F776,0)</f>
        <v>22</v>
      </c>
      <c r="J776" s="22" t="n">
        <f aca="false">I776*Assumptions!B24</f>
        <v>13200</v>
      </c>
      <c r="K776" s="21" t="n">
        <f aca="false">K775*(1+Assumptions!B30)</f>
        <v>16.9236959944296</v>
      </c>
      <c r="L776" s="16" t="n">
        <f aca="false">ROUND(K776*F776,0)</f>
        <v>17</v>
      </c>
      <c r="M776" s="22" t="n">
        <f aca="false">L776*Assumptions!B31</f>
        <v>5100</v>
      </c>
      <c r="N776" s="22" t="n">
        <f aca="false">J776+M776</f>
        <v>18300</v>
      </c>
      <c r="O776" s="22" t="n">
        <f aca="false">IF(DAY(B776)=1,Assumptions!B38*G776,0)</f>
        <v>0</v>
      </c>
      <c r="P776" s="22" t="n">
        <f aca="false">IF(DAY(B776)=1,Assumptions!B39*G776,0)</f>
        <v>0</v>
      </c>
      <c r="Q776" s="22" t="n">
        <f aca="false">IF(DAY(B776)=1,Assumptions!B40*G776,0)</f>
        <v>0</v>
      </c>
      <c r="R776" s="22" t="n">
        <f aca="false">IF(DAY(B776)=1,Assumptions!B41*G776,0)</f>
        <v>0</v>
      </c>
      <c r="S776" s="22" t="n">
        <f aca="false">IF(AND(DAY(B776)=1,D776&gt;=13),Assumptions!B42*G776,0)</f>
        <v>0</v>
      </c>
      <c r="T776" s="22" t="n">
        <f aca="false">IF(DAY(B776)=1,Assumptions!B43*G776,0)</f>
        <v>0</v>
      </c>
      <c r="U776" s="22" t="n">
        <f aca="false">SUM(O776:T776)</f>
        <v>0</v>
      </c>
      <c r="V776" s="22" t="n">
        <f aca="false">N776-U776</f>
        <v>18300</v>
      </c>
      <c r="W776" s="22" t="n">
        <f aca="false">W775+V776</f>
        <v>-2627144.1607802</v>
      </c>
      <c r="X776" s="23" t="str">
        <f aca="false">IF(W776&gt;=0,"YES","No")</f>
        <v>No</v>
      </c>
    </row>
    <row r="777" customFormat="false" ht="15" hidden="false" customHeight="false" outlineLevel="0" collapsed="false">
      <c r="A777" s="16" t="n">
        <v>776</v>
      </c>
      <c r="B777" s="17" t="n">
        <f aca="false">B776+1</f>
        <v>46798</v>
      </c>
      <c r="C777" s="18" t="n">
        <f aca="false">MIN(ROUNDUP(A777/365,0),5)</f>
        <v>3</v>
      </c>
      <c r="D777" s="18" t="n">
        <f aca="false">DATEDIF(Assumptions!B5,B777,"m")+1</f>
        <v>26</v>
      </c>
      <c r="E777" s="18" t="str">
        <f aca="false">TEXT(B777,"ddd")</f>
        <v>Tue</v>
      </c>
      <c r="F777" s="19" t="n">
        <f aca="false">IF(WEEKDAY(B777,2)&gt;=6,Assumptions!B34,Assumptions!B35)</f>
        <v>1</v>
      </c>
      <c r="G777" s="20" t="n">
        <f aca="false">IF(D777&gt;=13,(1+Assumptions!B46)^(D777-12),1)</f>
        <v>1.04282890956968</v>
      </c>
      <c r="H777" s="21" t="n">
        <f aca="false">H776*(1+IF(C777=1,Assumptions!B22,Assumptions!B23))</f>
        <v>22.2644455266476</v>
      </c>
      <c r="I777" s="16" t="n">
        <f aca="false">ROUND(H777*F777,0)</f>
        <v>22</v>
      </c>
      <c r="J777" s="22" t="n">
        <f aca="false">I777*Assumptions!B24</f>
        <v>13200</v>
      </c>
      <c r="K777" s="21" t="n">
        <f aca="false">K776*(1+Assumptions!B30)</f>
        <v>16.9292289740745</v>
      </c>
      <c r="L777" s="16" t="n">
        <f aca="false">ROUND(K777*F777,0)</f>
        <v>17</v>
      </c>
      <c r="M777" s="22" t="n">
        <f aca="false">L777*Assumptions!B31</f>
        <v>5100</v>
      </c>
      <c r="N777" s="22" t="n">
        <f aca="false">J777+M777</f>
        <v>18300</v>
      </c>
      <c r="O777" s="22" t="n">
        <f aca="false">IF(DAY(B777)=1,Assumptions!B38*G777,0)</f>
        <v>0</v>
      </c>
      <c r="P777" s="22" t="n">
        <f aca="false">IF(DAY(B777)=1,Assumptions!B39*G777,0)</f>
        <v>0</v>
      </c>
      <c r="Q777" s="22" t="n">
        <f aca="false">IF(DAY(B777)=1,Assumptions!B40*G777,0)</f>
        <v>0</v>
      </c>
      <c r="R777" s="22" t="n">
        <f aca="false">IF(DAY(B777)=1,Assumptions!B41*G777,0)</f>
        <v>0</v>
      </c>
      <c r="S777" s="22" t="n">
        <f aca="false">IF(AND(DAY(B777)=1,D777&gt;=13),Assumptions!B42*G777,0)</f>
        <v>0</v>
      </c>
      <c r="T777" s="22" t="n">
        <f aca="false">IF(DAY(B777)=1,Assumptions!B43*G777,0)</f>
        <v>0</v>
      </c>
      <c r="U777" s="22" t="n">
        <f aca="false">SUM(O777:T777)</f>
        <v>0</v>
      </c>
      <c r="V777" s="22" t="n">
        <f aca="false">N777-U777</f>
        <v>18300</v>
      </c>
      <c r="W777" s="22" t="n">
        <f aca="false">W776+V777</f>
        <v>-2608844.1607802</v>
      </c>
      <c r="X777" s="23" t="str">
        <f aca="false">IF(W777&gt;=0,"YES","No")</f>
        <v>No</v>
      </c>
    </row>
    <row r="778" customFormat="false" ht="15" hidden="false" customHeight="false" outlineLevel="0" collapsed="false">
      <c r="A778" s="16" t="n">
        <v>777</v>
      </c>
      <c r="B778" s="17" t="n">
        <f aca="false">B777+1</f>
        <v>46799</v>
      </c>
      <c r="C778" s="18" t="n">
        <f aca="false">MIN(ROUNDUP(A778/365,0),5)</f>
        <v>3</v>
      </c>
      <c r="D778" s="18" t="n">
        <f aca="false">DATEDIF(Assumptions!B5,B778,"m")+1</f>
        <v>26</v>
      </c>
      <c r="E778" s="18" t="str">
        <f aca="false">TEXT(B778,"ddd")</f>
        <v>Wed</v>
      </c>
      <c r="F778" s="19" t="n">
        <f aca="false">IF(WEEKDAY(B778,2)&gt;=6,Assumptions!B34,Assumptions!B35)</f>
        <v>1</v>
      </c>
      <c r="G778" s="20" t="n">
        <f aca="false">IF(D778&gt;=13,(1+Assumptions!B46)^(D778-12),1)</f>
        <v>1.04282890956968</v>
      </c>
      <c r="H778" s="21" t="n">
        <f aca="false">H777*(1+IF(C778=1,Assumptions!B22,Assumptions!B23))</f>
        <v>22.2680938165305</v>
      </c>
      <c r="I778" s="16" t="n">
        <f aca="false">ROUND(H778*F778,0)</f>
        <v>22</v>
      </c>
      <c r="J778" s="22" t="n">
        <f aca="false">I778*Assumptions!B24</f>
        <v>13200</v>
      </c>
      <c r="K778" s="21" t="n">
        <f aca="false">K777*(1+Assumptions!B30)</f>
        <v>16.9347637626543</v>
      </c>
      <c r="L778" s="16" t="n">
        <f aca="false">ROUND(K778*F778,0)</f>
        <v>17</v>
      </c>
      <c r="M778" s="22" t="n">
        <f aca="false">L778*Assumptions!B31</f>
        <v>5100</v>
      </c>
      <c r="N778" s="22" t="n">
        <f aca="false">J778+M778</f>
        <v>18300</v>
      </c>
      <c r="O778" s="22" t="n">
        <f aca="false">IF(DAY(B778)=1,Assumptions!B38*G778,0)</f>
        <v>0</v>
      </c>
      <c r="P778" s="22" t="n">
        <f aca="false">IF(DAY(B778)=1,Assumptions!B39*G778,0)</f>
        <v>0</v>
      </c>
      <c r="Q778" s="22" t="n">
        <f aca="false">IF(DAY(B778)=1,Assumptions!B40*G778,0)</f>
        <v>0</v>
      </c>
      <c r="R778" s="22" t="n">
        <f aca="false">IF(DAY(B778)=1,Assumptions!B41*G778,0)</f>
        <v>0</v>
      </c>
      <c r="S778" s="22" t="n">
        <f aca="false">IF(AND(DAY(B778)=1,D778&gt;=13),Assumptions!B42*G778,0)</f>
        <v>0</v>
      </c>
      <c r="T778" s="22" t="n">
        <f aca="false">IF(DAY(B778)=1,Assumptions!B43*G778,0)</f>
        <v>0</v>
      </c>
      <c r="U778" s="22" t="n">
        <f aca="false">SUM(O778:T778)</f>
        <v>0</v>
      </c>
      <c r="V778" s="22" t="n">
        <f aca="false">N778-U778</f>
        <v>18300</v>
      </c>
      <c r="W778" s="22" t="n">
        <f aca="false">W777+V778</f>
        <v>-2590544.1607802</v>
      </c>
      <c r="X778" s="23" t="str">
        <f aca="false">IF(W778&gt;=0,"YES","No")</f>
        <v>No</v>
      </c>
    </row>
    <row r="779" customFormat="false" ht="15" hidden="false" customHeight="false" outlineLevel="0" collapsed="false">
      <c r="A779" s="16" t="n">
        <v>778</v>
      </c>
      <c r="B779" s="17" t="n">
        <f aca="false">B778+1</f>
        <v>46800</v>
      </c>
      <c r="C779" s="18" t="n">
        <f aca="false">MIN(ROUNDUP(A779/365,0),5)</f>
        <v>3</v>
      </c>
      <c r="D779" s="18" t="n">
        <f aca="false">DATEDIF(Assumptions!B5,B779,"m")+1</f>
        <v>26</v>
      </c>
      <c r="E779" s="18" t="str">
        <f aca="false">TEXT(B779,"ddd")</f>
        <v>Thu</v>
      </c>
      <c r="F779" s="19" t="n">
        <f aca="false">IF(WEEKDAY(B779,2)&gt;=6,Assumptions!B34,Assumptions!B35)</f>
        <v>1</v>
      </c>
      <c r="G779" s="20" t="n">
        <f aca="false">IF(D779&gt;=13,(1+Assumptions!B46)^(D779-12),1)</f>
        <v>1.04282890956968</v>
      </c>
      <c r="H779" s="21" t="n">
        <f aca="false">H778*(1+IF(C779=1,Assumptions!B22,Assumptions!B23))</f>
        <v>22.2717427042283</v>
      </c>
      <c r="I779" s="16" t="n">
        <f aca="false">ROUND(H779*F779,0)</f>
        <v>22</v>
      </c>
      <c r="J779" s="22" t="n">
        <f aca="false">I779*Assumptions!B24</f>
        <v>13200</v>
      </c>
      <c r="K779" s="21" t="n">
        <f aca="false">K778*(1+Assumptions!B30)</f>
        <v>16.9403003607604</v>
      </c>
      <c r="L779" s="16" t="n">
        <f aca="false">ROUND(K779*F779,0)</f>
        <v>17</v>
      </c>
      <c r="M779" s="22" t="n">
        <f aca="false">L779*Assumptions!B31</f>
        <v>5100</v>
      </c>
      <c r="N779" s="22" t="n">
        <f aca="false">J779+M779</f>
        <v>18300</v>
      </c>
      <c r="O779" s="22" t="n">
        <f aca="false">IF(DAY(B779)=1,Assumptions!B38*G779,0)</f>
        <v>0</v>
      </c>
      <c r="P779" s="22" t="n">
        <f aca="false">IF(DAY(B779)=1,Assumptions!B39*G779,0)</f>
        <v>0</v>
      </c>
      <c r="Q779" s="22" t="n">
        <f aca="false">IF(DAY(B779)=1,Assumptions!B40*G779,0)</f>
        <v>0</v>
      </c>
      <c r="R779" s="22" t="n">
        <f aca="false">IF(DAY(B779)=1,Assumptions!B41*G779,0)</f>
        <v>0</v>
      </c>
      <c r="S779" s="22" t="n">
        <f aca="false">IF(AND(DAY(B779)=1,D779&gt;=13),Assumptions!B42*G779,0)</f>
        <v>0</v>
      </c>
      <c r="T779" s="22" t="n">
        <f aca="false">IF(DAY(B779)=1,Assumptions!B43*G779,0)</f>
        <v>0</v>
      </c>
      <c r="U779" s="22" t="n">
        <f aca="false">SUM(O779:T779)</f>
        <v>0</v>
      </c>
      <c r="V779" s="22" t="n">
        <f aca="false">N779-U779</f>
        <v>18300</v>
      </c>
      <c r="W779" s="22" t="n">
        <f aca="false">W778+V779</f>
        <v>-2572244.1607802</v>
      </c>
      <c r="X779" s="23" t="str">
        <f aca="false">IF(W779&gt;=0,"YES","No")</f>
        <v>No</v>
      </c>
    </row>
    <row r="780" customFormat="false" ht="15" hidden="false" customHeight="false" outlineLevel="0" collapsed="false">
      <c r="A780" s="16" t="n">
        <v>779</v>
      </c>
      <c r="B780" s="17" t="n">
        <f aca="false">B779+1</f>
        <v>46801</v>
      </c>
      <c r="C780" s="18" t="n">
        <f aca="false">MIN(ROUNDUP(A780/365,0),5)</f>
        <v>3</v>
      </c>
      <c r="D780" s="18" t="n">
        <f aca="false">DATEDIF(Assumptions!B5,B780,"m")+1</f>
        <v>26</v>
      </c>
      <c r="E780" s="18" t="str">
        <f aca="false">TEXT(B780,"ddd")</f>
        <v>Fri</v>
      </c>
      <c r="F780" s="19" t="n">
        <f aca="false">IF(WEEKDAY(B780,2)&gt;=6,Assumptions!B34,Assumptions!B35)</f>
        <v>1</v>
      </c>
      <c r="G780" s="20" t="n">
        <f aca="false">IF(D780&gt;=13,(1+Assumptions!B46)^(D780-12),1)</f>
        <v>1.04282890956968</v>
      </c>
      <c r="H780" s="21" t="n">
        <f aca="false">H779*(1+IF(C780=1,Assumptions!B22,Assumptions!B23))</f>
        <v>22.2753921898391</v>
      </c>
      <c r="I780" s="16" t="n">
        <f aca="false">ROUND(H780*F780,0)</f>
        <v>22</v>
      </c>
      <c r="J780" s="22" t="n">
        <f aca="false">I780*Assumptions!B24</f>
        <v>13200</v>
      </c>
      <c r="K780" s="21" t="n">
        <f aca="false">K779*(1+Assumptions!B30)</f>
        <v>16.9458387689844</v>
      </c>
      <c r="L780" s="16" t="n">
        <f aca="false">ROUND(K780*F780,0)</f>
        <v>17</v>
      </c>
      <c r="M780" s="22" t="n">
        <f aca="false">L780*Assumptions!B31</f>
        <v>5100</v>
      </c>
      <c r="N780" s="22" t="n">
        <f aca="false">J780+M780</f>
        <v>18300</v>
      </c>
      <c r="O780" s="22" t="n">
        <f aca="false">IF(DAY(B780)=1,Assumptions!B38*G780,0)</f>
        <v>0</v>
      </c>
      <c r="P780" s="22" t="n">
        <f aca="false">IF(DAY(B780)=1,Assumptions!B39*G780,0)</f>
        <v>0</v>
      </c>
      <c r="Q780" s="22" t="n">
        <f aca="false">IF(DAY(B780)=1,Assumptions!B40*G780,0)</f>
        <v>0</v>
      </c>
      <c r="R780" s="22" t="n">
        <f aca="false">IF(DAY(B780)=1,Assumptions!B41*G780,0)</f>
        <v>0</v>
      </c>
      <c r="S780" s="22" t="n">
        <f aca="false">IF(AND(DAY(B780)=1,D780&gt;=13),Assumptions!B42*G780,0)</f>
        <v>0</v>
      </c>
      <c r="T780" s="22" t="n">
        <f aca="false">IF(DAY(B780)=1,Assumptions!B43*G780,0)</f>
        <v>0</v>
      </c>
      <c r="U780" s="22" t="n">
        <f aca="false">SUM(O780:T780)</f>
        <v>0</v>
      </c>
      <c r="V780" s="22" t="n">
        <f aca="false">N780-U780</f>
        <v>18300</v>
      </c>
      <c r="W780" s="22" t="n">
        <f aca="false">W779+V780</f>
        <v>-2553944.1607802</v>
      </c>
      <c r="X780" s="23" t="str">
        <f aca="false">IF(W780&gt;=0,"YES","No")</f>
        <v>No</v>
      </c>
    </row>
    <row r="781" customFormat="false" ht="15" hidden="false" customHeight="false" outlineLevel="0" collapsed="false">
      <c r="A781" s="16" t="n">
        <v>780</v>
      </c>
      <c r="B781" s="17" t="n">
        <f aca="false">B780+1</f>
        <v>46802</v>
      </c>
      <c r="C781" s="18" t="n">
        <f aca="false">MIN(ROUNDUP(A781/365,0),5)</f>
        <v>3</v>
      </c>
      <c r="D781" s="18" t="n">
        <f aca="false">DATEDIF(Assumptions!B5,B781,"m")+1</f>
        <v>26</v>
      </c>
      <c r="E781" s="18" t="str">
        <f aca="false">TEXT(B781,"ddd")</f>
        <v>Sat</v>
      </c>
      <c r="F781" s="19" t="n">
        <f aca="false">IF(WEEKDAY(B781,2)&gt;=6,Assumptions!B34,Assumptions!B35)</f>
        <v>0.6</v>
      </c>
      <c r="G781" s="20" t="n">
        <f aca="false">IF(D781&gt;=13,(1+Assumptions!B46)^(D781-12),1)</f>
        <v>1.04282890956968</v>
      </c>
      <c r="H781" s="21" t="n">
        <f aca="false">H780*(1+IF(C781=1,Assumptions!B22,Assumptions!B23))</f>
        <v>22.2790422734608</v>
      </c>
      <c r="I781" s="16" t="n">
        <f aca="false">ROUND(H781*F781,0)</f>
        <v>13</v>
      </c>
      <c r="J781" s="22" t="n">
        <f aca="false">I781*Assumptions!B24</f>
        <v>7800</v>
      </c>
      <c r="K781" s="21" t="n">
        <f aca="false">K780*(1+Assumptions!B30)</f>
        <v>16.951378987918</v>
      </c>
      <c r="L781" s="16" t="n">
        <f aca="false">ROUND(K781*F781,0)</f>
        <v>10</v>
      </c>
      <c r="M781" s="22" t="n">
        <f aca="false">L781*Assumptions!B31</f>
        <v>3000</v>
      </c>
      <c r="N781" s="22" t="n">
        <f aca="false">J781+M781</f>
        <v>10800</v>
      </c>
      <c r="O781" s="22" t="n">
        <f aca="false">IF(DAY(B781)=1,Assumptions!B38*G781,0)</f>
        <v>0</v>
      </c>
      <c r="P781" s="22" t="n">
        <f aca="false">IF(DAY(B781)=1,Assumptions!B39*G781,0)</f>
        <v>0</v>
      </c>
      <c r="Q781" s="22" t="n">
        <f aca="false">IF(DAY(B781)=1,Assumptions!B40*G781,0)</f>
        <v>0</v>
      </c>
      <c r="R781" s="22" t="n">
        <f aca="false">IF(DAY(B781)=1,Assumptions!B41*G781,0)</f>
        <v>0</v>
      </c>
      <c r="S781" s="22" t="n">
        <f aca="false">IF(AND(DAY(B781)=1,D781&gt;=13),Assumptions!B42*G781,0)</f>
        <v>0</v>
      </c>
      <c r="T781" s="22" t="n">
        <f aca="false">IF(DAY(B781)=1,Assumptions!B43*G781,0)</f>
        <v>0</v>
      </c>
      <c r="U781" s="22" t="n">
        <f aca="false">SUM(O781:T781)</f>
        <v>0</v>
      </c>
      <c r="V781" s="22" t="n">
        <f aca="false">N781-U781</f>
        <v>10800</v>
      </c>
      <c r="W781" s="22" t="n">
        <f aca="false">W780+V781</f>
        <v>-2543144.1607802</v>
      </c>
      <c r="X781" s="23" t="str">
        <f aca="false">IF(W781&gt;=0,"YES","No")</f>
        <v>No</v>
      </c>
    </row>
    <row r="782" customFormat="false" ht="15" hidden="false" customHeight="false" outlineLevel="0" collapsed="false">
      <c r="A782" s="16" t="n">
        <v>781</v>
      </c>
      <c r="B782" s="17" t="n">
        <f aca="false">B781+1</f>
        <v>46803</v>
      </c>
      <c r="C782" s="18" t="n">
        <f aca="false">MIN(ROUNDUP(A782/365,0),5)</f>
        <v>3</v>
      </c>
      <c r="D782" s="18" t="n">
        <f aca="false">DATEDIF(Assumptions!B5,B782,"m")+1</f>
        <v>26</v>
      </c>
      <c r="E782" s="18" t="str">
        <f aca="false">TEXT(B782,"ddd")</f>
        <v>Sun</v>
      </c>
      <c r="F782" s="19" t="n">
        <f aca="false">IF(WEEKDAY(B782,2)&gt;=6,Assumptions!B34,Assumptions!B35)</f>
        <v>0.6</v>
      </c>
      <c r="G782" s="20" t="n">
        <f aca="false">IF(D782&gt;=13,(1+Assumptions!B46)^(D782-12),1)</f>
        <v>1.04282890956968</v>
      </c>
      <c r="H782" s="21" t="n">
        <f aca="false">H781*(1+IF(C782=1,Assumptions!B22,Assumptions!B23))</f>
        <v>22.2826929551914</v>
      </c>
      <c r="I782" s="16" t="n">
        <f aca="false">ROUND(H782*F782,0)</f>
        <v>13</v>
      </c>
      <c r="J782" s="22" t="n">
        <f aca="false">I782*Assumptions!B24</f>
        <v>7800</v>
      </c>
      <c r="K782" s="21" t="n">
        <f aca="false">K781*(1+Assumptions!B30)</f>
        <v>16.9569210181533</v>
      </c>
      <c r="L782" s="16" t="n">
        <f aca="false">ROUND(K782*F782,0)</f>
        <v>10</v>
      </c>
      <c r="M782" s="22" t="n">
        <f aca="false">L782*Assumptions!B31</f>
        <v>3000</v>
      </c>
      <c r="N782" s="22" t="n">
        <f aca="false">J782+M782</f>
        <v>10800</v>
      </c>
      <c r="O782" s="22" t="n">
        <f aca="false">IF(DAY(B782)=1,Assumptions!B38*G782,0)</f>
        <v>0</v>
      </c>
      <c r="P782" s="22" t="n">
        <f aca="false">IF(DAY(B782)=1,Assumptions!B39*G782,0)</f>
        <v>0</v>
      </c>
      <c r="Q782" s="22" t="n">
        <f aca="false">IF(DAY(B782)=1,Assumptions!B40*G782,0)</f>
        <v>0</v>
      </c>
      <c r="R782" s="22" t="n">
        <f aca="false">IF(DAY(B782)=1,Assumptions!B41*G782,0)</f>
        <v>0</v>
      </c>
      <c r="S782" s="22" t="n">
        <f aca="false">IF(AND(DAY(B782)=1,D782&gt;=13),Assumptions!B42*G782,0)</f>
        <v>0</v>
      </c>
      <c r="T782" s="22" t="n">
        <f aca="false">IF(DAY(B782)=1,Assumptions!B43*G782,0)</f>
        <v>0</v>
      </c>
      <c r="U782" s="22" t="n">
        <f aca="false">SUM(O782:T782)</f>
        <v>0</v>
      </c>
      <c r="V782" s="22" t="n">
        <f aca="false">N782-U782</f>
        <v>10800</v>
      </c>
      <c r="W782" s="22" t="n">
        <f aca="false">W781+V782</f>
        <v>-2532344.1607802</v>
      </c>
      <c r="X782" s="23" t="str">
        <f aca="false">IF(W782&gt;=0,"YES","No")</f>
        <v>No</v>
      </c>
    </row>
    <row r="783" customFormat="false" ht="15" hidden="false" customHeight="false" outlineLevel="0" collapsed="false">
      <c r="A783" s="16" t="n">
        <v>782</v>
      </c>
      <c r="B783" s="17" t="n">
        <f aca="false">B782+1</f>
        <v>46804</v>
      </c>
      <c r="C783" s="18" t="n">
        <f aca="false">MIN(ROUNDUP(A783/365,0),5)</f>
        <v>3</v>
      </c>
      <c r="D783" s="18" t="n">
        <f aca="false">DATEDIF(Assumptions!B5,B783,"m")+1</f>
        <v>26</v>
      </c>
      <c r="E783" s="18" t="str">
        <f aca="false">TEXT(B783,"ddd")</f>
        <v>Mon</v>
      </c>
      <c r="F783" s="19" t="n">
        <f aca="false">IF(WEEKDAY(B783,2)&gt;=6,Assumptions!B34,Assumptions!B35)</f>
        <v>1</v>
      </c>
      <c r="G783" s="20" t="n">
        <f aca="false">IF(D783&gt;=13,(1+Assumptions!B46)^(D783-12),1)</f>
        <v>1.04282890956968</v>
      </c>
      <c r="H783" s="21" t="n">
        <f aca="false">H782*(1+IF(C783=1,Assumptions!B22,Assumptions!B23))</f>
        <v>22.2863442351289</v>
      </c>
      <c r="I783" s="16" t="n">
        <f aca="false">ROUND(H783*F783,0)</f>
        <v>22</v>
      </c>
      <c r="J783" s="22" t="n">
        <f aca="false">I783*Assumptions!B24</f>
        <v>13200</v>
      </c>
      <c r="K783" s="21" t="n">
        <f aca="false">K782*(1+Assumptions!B30)</f>
        <v>16.9624648602824</v>
      </c>
      <c r="L783" s="16" t="n">
        <f aca="false">ROUND(K783*F783,0)</f>
        <v>17</v>
      </c>
      <c r="M783" s="22" t="n">
        <f aca="false">L783*Assumptions!B31</f>
        <v>5100</v>
      </c>
      <c r="N783" s="22" t="n">
        <f aca="false">J783+M783</f>
        <v>18300</v>
      </c>
      <c r="O783" s="22" t="n">
        <f aca="false">IF(DAY(B783)=1,Assumptions!B38*G783,0)</f>
        <v>0</v>
      </c>
      <c r="P783" s="22" t="n">
        <f aca="false">IF(DAY(B783)=1,Assumptions!B39*G783,0)</f>
        <v>0</v>
      </c>
      <c r="Q783" s="22" t="n">
        <f aca="false">IF(DAY(B783)=1,Assumptions!B40*G783,0)</f>
        <v>0</v>
      </c>
      <c r="R783" s="22" t="n">
        <f aca="false">IF(DAY(B783)=1,Assumptions!B41*G783,0)</f>
        <v>0</v>
      </c>
      <c r="S783" s="22" t="n">
        <f aca="false">IF(AND(DAY(B783)=1,D783&gt;=13),Assumptions!B42*G783,0)</f>
        <v>0</v>
      </c>
      <c r="T783" s="22" t="n">
        <f aca="false">IF(DAY(B783)=1,Assumptions!B43*G783,0)</f>
        <v>0</v>
      </c>
      <c r="U783" s="22" t="n">
        <f aca="false">SUM(O783:T783)</f>
        <v>0</v>
      </c>
      <c r="V783" s="22" t="n">
        <f aca="false">N783-U783</f>
        <v>18300</v>
      </c>
      <c r="W783" s="22" t="n">
        <f aca="false">W782+V783</f>
        <v>-2514044.1607802</v>
      </c>
      <c r="X783" s="23" t="str">
        <f aca="false">IF(W783&gt;=0,"YES","No")</f>
        <v>No</v>
      </c>
    </row>
    <row r="784" customFormat="false" ht="15" hidden="false" customHeight="false" outlineLevel="0" collapsed="false">
      <c r="A784" s="16" t="n">
        <v>783</v>
      </c>
      <c r="B784" s="17" t="n">
        <f aca="false">B783+1</f>
        <v>46805</v>
      </c>
      <c r="C784" s="18" t="n">
        <f aca="false">MIN(ROUNDUP(A784/365,0),5)</f>
        <v>3</v>
      </c>
      <c r="D784" s="18" t="n">
        <f aca="false">DATEDIF(Assumptions!B5,B784,"m")+1</f>
        <v>26</v>
      </c>
      <c r="E784" s="18" t="str">
        <f aca="false">TEXT(B784,"ddd")</f>
        <v>Tue</v>
      </c>
      <c r="F784" s="19" t="n">
        <f aca="false">IF(WEEKDAY(B784,2)&gt;=6,Assumptions!B34,Assumptions!B35)</f>
        <v>1</v>
      </c>
      <c r="G784" s="20" t="n">
        <f aca="false">IF(D784&gt;=13,(1+Assumptions!B46)^(D784-12),1)</f>
        <v>1.04282890956968</v>
      </c>
      <c r="H784" s="21" t="n">
        <f aca="false">H783*(1+IF(C784=1,Assumptions!B22,Assumptions!B23))</f>
        <v>22.2899961133714</v>
      </c>
      <c r="I784" s="16" t="n">
        <f aca="false">ROUND(H784*F784,0)</f>
        <v>22</v>
      </c>
      <c r="J784" s="22" t="n">
        <f aca="false">I784*Assumptions!B24</f>
        <v>13200</v>
      </c>
      <c r="K784" s="21" t="n">
        <f aca="false">K783*(1+Assumptions!B30)</f>
        <v>16.9680105148978</v>
      </c>
      <c r="L784" s="16" t="n">
        <f aca="false">ROUND(K784*F784,0)</f>
        <v>17</v>
      </c>
      <c r="M784" s="22" t="n">
        <f aca="false">L784*Assumptions!B31</f>
        <v>5100</v>
      </c>
      <c r="N784" s="22" t="n">
        <f aca="false">J784+M784</f>
        <v>18300</v>
      </c>
      <c r="O784" s="22" t="n">
        <f aca="false">IF(DAY(B784)=1,Assumptions!B38*G784,0)</f>
        <v>0</v>
      </c>
      <c r="P784" s="22" t="n">
        <f aca="false">IF(DAY(B784)=1,Assumptions!B39*G784,0)</f>
        <v>0</v>
      </c>
      <c r="Q784" s="22" t="n">
        <f aca="false">IF(DAY(B784)=1,Assumptions!B40*G784,0)</f>
        <v>0</v>
      </c>
      <c r="R784" s="22" t="n">
        <f aca="false">IF(DAY(B784)=1,Assumptions!B41*G784,0)</f>
        <v>0</v>
      </c>
      <c r="S784" s="22" t="n">
        <f aca="false">IF(AND(DAY(B784)=1,D784&gt;=13),Assumptions!B42*G784,0)</f>
        <v>0</v>
      </c>
      <c r="T784" s="22" t="n">
        <f aca="false">IF(DAY(B784)=1,Assumptions!B43*G784,0)</f>
        <v>0</v>
      </c>
      <c r="U784" s="22" t="n">
        <f aca="false">SUM(O784:T784)</f>
        <v>0</v>
      </c>
      <c r="V784" s="22" t="n">
        <f aca="false">N784-U784</f>
        <v>18300</v>
      </c>
      <c r="W784" s="22" t="n">
        <f aca="false">W783+V784</f>
        <v>-2495744.1607802</v>
      </c>
      <c r="X784" s="23" t="str">
        <f aca="false">IF(W784&gt;=0,"YES","No")</f>
        <v>No</v>
      </c>
    </row>
    <row r="785" customFormat="false" ht="15" hidden="false" customHeight="false" outlineLevel="0" collapsed="false">
      <c r="A785" s="16" t="n">
        <v>784</v>
      </c>
      <c r="B785" s="17" t="n">
        <f aca="false">B784+1</f>
        <v>46806</v>
      </c>
      <c r="C785" s="18" t="n">
        <f aca="false">MIN(ROUNDUP(A785/365,0),5)</f>
        <v>3</v>
      </c>
      <c r="D785" s="18" t="n">
        <f aca="false">DATEDIF(Assumptions!B5,B785,"m")+1</f>
        <v>26</v>
      </c>
      <c r="E785" s="18" t="str">
        <f aca="false">TEXT(B785,"ddd")</f>
        <v>Wed</v>
      </c>
      <c r="F785" s="19" t="n">
        <f aca="false">IF(WEEKDAY(B785,2)&gt;=6,Assumptions!B34,Assumptions!B35)</f>
        <v>1</v>
      </c>
      <c r="G785" s="20" t="n">
        <f aca="false">IF(D785&gt;=13,(1+Assumptions!B46)^(D785-12),1)</f>
        <v>1.04282890956968</v>
      </c>
      <c r="H785" s="21" t="n">
        <f aca="false">H784*(1+IF(C785=1,Assumptions!B22,Assumptions!B23))</f>
        <v>22.2936485900168</v>
      </c>
      <c r="I785" s="16" t="n">
        <f aca="false">ROUND(H785*F785,0)</f>
        <v>22</v>
      </c>
      <c r="J785" s="22" t="n">
        <f aca="false">I785*Assumptions!B24</f>
        <v>13200</v>
      </c>
      <c r="K785" s="21" t="n">
        <f aca="false">K784*(1+Assumptions!B30)</f>
        <v>16.9735579825919</v>
      </c>
      <c r="L785" s="16" t="n">
        <f aca="false">ROUND(K785*F785,0)</f>
        <v>17</v>
      </c>
      <c r="M785" s="22" t="n">
        <f aca="false">L785*Assumptions!B31</f>
        <v>5100</v>
      </c>
      <c r="N785" s="22" t="n">
        <f aca="false">J785+M785</f>
        <v>18300</v>
      </c>
      <c r="O785" s="22" t="n">
        <f aca="false">IF(DAY(B785)=1,Assumptions!B38*G785,0)</f>
        <v>0</v>
      </c>
      <c r="P785" s="22" t="n">
        <f aca="false">IF(DAY(B785)=1,Assumptions!B39*G785,0)</f>
        <v>0</v>
      </c>
      <c r="Q785" s="22" t="n">
        <f aca="false">IF(DAY(B785)=1,Assumptions!B40*G785,0)</f>
        <v>0</v>
      </c>
      <c r="R785" s="22" t="n">
        <f aca="false">IF(DAY(B785)=1,Assumptions!B41*G785,0)</f>
        <v>0</v>
      </c>
      <c r="S785" s="22" t="n">
        <f aca="false">IF(AND(DAY(B785)=1,D785&gt;=13),Assumptions!B42*G785,0)</f>
        <v>0</v>
      </c>
      <c r="T785" s="22" t="n">
        <f aca="false">IF(DAY(B785)=1,Assumptions!B43*G785,0)</f>
        <v>0</v>
      </c>
      <c r="U785" s="22" t="n">
        <f aca="false">SUM(O785:T785)</f>
        <v>0</v>
      </c>
      <c r="V785" s="22" t="n">
        <f aca="false">N785-U785</f>
        <v>18300</v>
      </c>
      <c r="W785" s="22" t="n">
        <f aca="false">W784+V785</f>
        <v>-2477444.1607802</v>
      </c>
      <c r="X785" s="23" t="str">
        <f aca="false">IF(W785&gt;=0,"YES","No")</f>
        <v>No</v>
      </c>
    </row>
    <row r="786" customFormat="false" ht="15" hidden="false" customHeight="false" outlineLevel="0" collapsed="false">
      <c r="A786" s="16" t="n">
        <v>785</v>
      </c>
      <c r="B786" s="17" t="n">
        <f aca="false">B785+1</f>
        <v>46807</v>
      </c>
      <c r="C786" s="18" t="n">
        <f aca="false">MIN(ROUNDUP(A786/365,0),5)</f>
        <v>3</v>
      </c>
      <c r="D786" s="18" t="n">
        <f aca="false">DATEDIF(Assumptions!B5,B786,"m")+1</f>
        <v>26</v>
      </c>
      <c r="E786" s="18" t="str">
        <f aca="false">TEXT(B786,"ddd")</f>
        <v>Thu</v>
      </c>
      <c r="F786" s="19" t="n">
        <f aca="false">IF(WEEKDAY(B786,2)&gt;=6,Assumptions!B34,Assumptions!B35)</f>
        <v>1</v>
      </c>
      <c r="G786" s="20" t="n">
        <f aca="false">IF(D786&gt;=13,(1+Assumptions!B46)^(D786-12),1)</f>
        <v>1.04282890956968</v>
      </c>
      <c r="H786" s="21" t="n">
        <f aca="false">H785*(1+IF(C786=1,Assumptions!B22,Assumptions!B23))</f>
        <v>22.2973016651633</v>
      </c>
      <c r="I786" s="16" t="n">
        <f aca="false">ROUND(H786*F786,0)</f>
        <v>22</v>
      </c>
      <c r="J786" s="22" t="n">
        <f aca="false">I786*Assumptions!B24</f>
        <v>13200</v>
      </c>
      <c r="K786" s="21" t="n">
        <f aca="false">K785*(1+Assumptions!B30)</f>
        <v>16.9791072639576</v>
      </c>
      <c r="L786" s="16" t="n">
        <f aca="false">ROUND(K786*F786,0)</f>
        <v>17</v>
      </c>
      <c r="M786" s="22" t="n">
        <f aca="false">L786*Assumptions!B31</f>
        <v>5100</v>
      </c>
      <c r="N786" s="22" t="n">
        <f aca="false">J786+M786</f>
        <v>18300</v>
      </c>
      <c r="O786" s="22" t="n">
        <f aca="false">IF(DAY(B786)=1,Assumptions!B38*G786,0)</f>
        <v>0</v>
      </c>
      <c r="P786" s="22" t="n">
        <f aca="false">IF(DAY(B786)=1,Assumptions!B39*G786,0)</f>
        <v>0</v>
      </c>
      <c r="Q786" s="22" t="n">
        <f aca="false">IF(DAY(B786)=1,Assumptions!B40*G786,0)</f>
        <v>0</v>
      </c>
      <c r="R786" s="22" t="n">
        <f aca="false">IF(DAY(B786)=1,Assumptions!B41*G786,0)</f>
        <v>0</v>
      </c>
      <c r="S786" s="22" t="n">
        <f aca="false">IF(AND(DAY(B786)=1,D786&gt;=13),Assumptions!B42*G786,0)</f>
        <v>0</v>
      </c>
      <c r="T786" s="22" t="n">
        <f aca="false">IF(DAY(B786)=1,Assumptions!B43*G786,0)</f>
        <v>0</v>
      </c>
      <c r="U786" s="22" t="n">
        <f aca="false">SUM(O786:T786)</f>
        <v>0</v>
      </c>
      <c r="V786" s="22" t="n">
        <f aca="false">N786-U786</f>
        <v>18300</v>
      </c>
      <c r="W786" s="22" t="n">
        <f aca="false">W785+V786</f>
        <v>-2459144.1607802</v>
      </c>
      <c r="X786" s="23" t="str">
        <f aca="false">IF(W786&gt;=0,"YES","No")</f>
        <v>No</v>
      </c>
    </row>
    <row r="787" customFormat="false" ht="15" hidden="false" customHeight="false" outlineLevel="0" collapsed="false">
      <c r="A787" s="16" t="n">
        <v>786</v>
      </c>
      <c r="B787" s="17" t="n">
        <f aca="false">B786+1</f>
        <v>46808</v>
      </c>
      <c r="C787" s="18" t="n">
        <f aca="false">MIN(ROUNDUP(A787/365,0),5)</f>
        <v>3</v>
      </c>
      <c r="D787" s="18" t="n">
        <f aca="false">DATEDIF(Assumptions!B5,B787,"m")+1</f>
        <v>26</v>
      </c>
      <c r="E787" s="18" t="str">
        <f aca="false">TEXT(B787,"ddd")</f>
        <v>Fri</v>
      </c>
      <c r="F787" s="19" t="n">
        <f aca="false">IF(WEEKDAY(B787,2)&gt;=6,Assumptions!B34,Assumptions!B35)</f>
        <v>1</v>
      </c>
      <c r="G787" s="20" t="n">
        <f aca="false">IF(D787&gt;=13,(1+Assumptions!B46)^(D787-12),1)</f>
        <v>1.04282890956968</v>
      </c>
      <c r="H787" s="21" t="n">
        <f aca="false">H786*(1+IF(C787=1,Assumptions!B22,Assumptions!B23))</f>
        <v>22.3009553389089</v>
      </c>
      <c r="I787" s="16" t="n">
        <f aca="false">ROUND(H787*F787,0)</f>
        <v>22</v>
      </c>
      <c r="J787" s="22" t="n">
        <f aca="false">I787*Assumptions!B24</f>
        <v>13200</v>
      </c>
      <c r="K787" s="21" t="n">
        <f aca="false">K786*(1+Assumptions!B30)</f>
        <v>16.9846583595877</v>
      </c>
      <c r="L787" s="16" t="n">
        <f aca="false">ROUND(K787*F787,0)</f>
        <v>17</v>
      </c>
      <c r="M787" s="22" t="n">
        <f aca="false">L787*Assumptions!B31</f>
        <v>5100</v>
      </c>
      <c r="N787" s="22" t="n">
        <f aca="false">J787+M787</f>
        <v>18300</v>
      </c>
      <c r="O787" s="22" t="n">
        <f aca="false">IF(DAY(B787)=1,Assumptions!B38*G787,0)</f>
        <v>0</v>
      </c>
      <c r="P787" s="22" t="n">
        <f aca="false">IF(DAY(B787)=1,Assumptions!B39*G787,0)</f>
        <v>0</v>
      </c>
      <c r="Q787" s="22" t="n">
        <f aca="false">IF(DAY(B787)=1,Assumptions!B40*G787,0)</f>
        <v>0</v>
      </c>
      <c r="R787" s="22" t="n">
        <f aca="false">IF(DAY(B787)=1,Assumptions!B41*G787,0)</f>
        <v>0</v>
      </c>
      <c r="S787" s="22" t="n">
        <f aca="false">IF(AND(DAY(B787)=1,D787&gt;=13),Assumptions!B42*G787,0)</f>
        <v>0</v>
      </c>
      <c r="T787" s="22" t="n">
        <f aca="false">IF(DAY(B787)=1,Assumptions!B43*G787,0)</f>
        <v>0</v>
      </c>
      <c r="U787" s="22" t="n">
        <f aca="false">SUM(O787:T787)</f>
        <v>0</v>
      </c>
      <c r="V787" s="22" t="n">
        <f aca="false">N787-U787</f>
        <v>18300</v>
      </c>
      <c r="W787" s="22" t="n">
        <f aca="false">W786+V787</f>
        <v>-2440844.1607802</v>
      </c>
      <c r="X787" s="23" t="str">
        <f aca="false">IF(W787&gt;=0,"YES","No")</f>
        <v>No</v>
      </c>
    </row>
    <row r="788" customFormat="false" ht="15" hidden="false" customHeight="false" outlineLevel="0" collapsed="false">
      <c r="A788" s="16" t="n">
        <v>787</v>
      </c>
      <c r="B788" s="17" t="n">
        <f aca="false">B787+1</f>
        <v>46809</v>
      </c>
      <c r="C788" s="18" t="n">
        <f aca="false">MIN(ROUNDUP(A788/365,0),5)</f>
        <v>3</v>
      </c>
      <c r="D788" s="18" t="n">
        <f aca="false">DATEDIF(Assumptions!B5,B788,"m")+1</f>
        <v>26</v>
      </c>
      <c r="E788" s="18" t="str">
        <f aca="false">TEXT(B788,"ddd")</f>
        <v>Sat</v>
      </c>
      <c r="F788" s="19" t="n">
        <f aca="false">IF(WEEKDAY(B788,2)&gt;=6,Assumptions!B34,Assumptions!B35)</f>
        <v>0.6</v>
      </c>
      <c r="G788" s="20" t="n">
        <f aca="false">IF(D788&gt;=13,(1+Assumptions!B46)^(D788-12),1)</f>
        <v>1.04282890956968</v>
      </c>
      <c r="H788" s="21" t="n">
        <f aca="false">H787*(1+IF(C788=1,Assumptions!B22,Assumptions!B23))</f>
        <v>22.3046096113516</v>
      </c>
      <c r="I788" s="16" t="n">
        <f aca="false">ROUND(H788*F788,0)</f>
        <v>13</v>
      </c>
      <c r="J788" s="22" t="n">
        <f aca="false">I788*Assumptions!B24</f>
        <v>7800</v>
      </c>
      <c r="K788" s="21" t="n">
        <f aca="false">K787*(1+Assumptions!B30)</f>
        <v>16.9902112700755</v>
      </c>
      <c r="L788" s="16" t="n">
        <f aca="false">ROUND(K788*F788,0)</f>
        <v>10</v>
      </c>
      <c r="M788" s="22" t="n">
        <f aca="false">L788*Assumptions!B31</f>
        <v>3000</v>
      </c>
      <c r="N788" s="22" t="n">
        <f aca="false">J788+M788</f>
        <v>10800</v>
      </c>
      <c r="O788" s="22" t="n">
        <f aca="false">IF(DAY(B788)=1,Assumptions!B38*G788,0)</f>
        <v>0</v>
      </c>
      <c r="P788" s="22" t="n">
        <f aca="false">IF(DAY(B788)=1,Assumptions!B39*G788,0)</f>
        <v>0</v>
      </c>
      <c r="Q788" s="22" t="n">
        <f aca="false">IF(DAY(B788)=1,Assumptions!B40*G788,0)</f>
        <v>0</v>
      </c>
      <c r="R788" s="22" t="n">
        <f aca="false">IF(DAY(B788)=1,Assumptions!B41*G788,0)</f>
        <v>0</v>
      </c>
      <c r="S788" s="22" t="n">
        <f aca="false">IF(AND(DAY(B788)=1,D788&gt;=13),Assumptions!B42*G788,0)</f>
        <v>0</v>
      </c>
      <c r="T788" s="22" t="n">
        <f aca="false">IF(DAY(B788)=1,Assumptions!B43*G788,0)</f>
        <v>0</v>
      </c>
      <c r="U788" s="22" t="n">
        <f aca="false">SUM(O788:T788)</f>
        <v>0</v>
      </c>
      <c r="V788" s="22" t="n">
        <f aca="false">N788-U788</f>
        <v>10800</v>
      </c>
      <c r="W788" s="22" t="n">
        <f aca="false">W787+V788</f>
        <v>-2430044.1607802</v>
      </c>
      <c r="X788" s="23" t="str">
        <f aca="false">IF(W788&gt;=0,"YES","No")</f>
        <v>No</v>
      </c>
    </row>
    <row r="789" customFormat="false" ht="15" hidden="false" customHeight="false" outlineLevel="0" collapsed="false">
      <c r="A789" s="16" t="n">
        <v>788</v>
      </c>
      <c r="B789" s="17" t="n">
        <f aca="false">B788+1</f>
        <v>46810</v>
      </c>
      <c r="C789" s="18" t="n">
        <f aca="false">MIN(ROUNDUP(A789/365,0),5)</f>
        <v>3</v>
      </c>
      <c r="D789" s="18" t="n">
        <f aca="false">DATEDIF(Assumptions!B5,B789,"m")+1</f>
        <v>26</v>
      </c>
      <c r="E789" s="18" t="str">
        <f aca="false">TEXT(B789,"ddd")</f>
        <v>Sun</v>
      </c>
      <c r="F789" s="19" t="n">
        <f aca="false">IF(WEEKDAY(B789,2)&gt;=6,Assumptions!B34,Assumptions!B35)</f>
        <v>0.6</v>
      </c>
      <c r="G789" s="20" t="n">
        <f aca="false">IF(D789&gt;=13,(1+Assumptions!B46)^(D789-12),1)</f>
        <v>1.04282890956968</v>
      </c>
      <c r="H789" s="21" t="n">
        <f aca="false">H788*(1+IF(C789=1,Assumptions!B22,Assumptions!B23))</f>
        <v>22.3082644825897</v>
      </c>
      <c r="I789" s="16" t="n">
        <f aca="false">ROUND(H789*F789,0)</f>
        <v>13</v>
      </c>
      <c r="J789" s="22" t="n">
        <f aca="false">I789*Assumptions!B24</f>
        <v>7800</v>
      </c>
      <c r="K789" s="21" t="n">
        <f aca="false">K788*(1+Assumptions!B30)</f>
        <v>16.9957659960143</v>
      </c>
      <c r="L789" s="16" t="n">
        <f aca="false">ROUND(K789*F789,0)</f>
        <v>10</v>
      </c>
      <c r="M789" s="22" t="n">
        <f aca="false">L789*Assumptions!B31</f>
        <v>3000</v>
      </c>
      <c r="N789" s="22" t="n">
        <f aca="false">J789+M789</f>
        <v>10800</v>
      </c>
      <c r="O789" s="22" t="n">
        <f aca="false">IF(DAY(B789)=1,Assumptions!B38*G789,0)</f>
        <v>0</v>
      </c>
      <c r="P789" s="22" t="n">
        <f aca="false">IF(DAY(B789)=1,Assumptions!B39*G789,0)</f>
        <v>0</v>
      </c>
      <c r="Q789" s="22" t="n">
        <f aca="false">IF(DAY(B789)=1,Assumptions!B40*G789,0)</f>
        <v>0</v>
      </c>
      <c r="R789" s="22" t="n">
        <f aca="false">IF(DAY(B789)=1,Assumptions!B41*G789,0)</f>
        <v>0</v>
      </c>
      <c r="S789" s="22" t="n">
        <f aca="false">IF(AND(DAY(B789)=1,D789&gt;=13),Assumptions!B42*G789,0)</f>
        <v>0</v>
      </c>
      <c r="T789" s="22" t="n">
        <f aca="false">IF(DAY(B789)=1,Assumptions!B43*G789,0)</f>
        <v>0</v>
      </c>
      <c r="U789" s="22" t="n">
        <f aca="false">SUM(O789:T789)</f>
        <v>0</v>
      </c>
      <c r="V789" s="22" t="n">
        <f aca="false">N789-U789</f>
        <v>10800</v>
      </c>
      <c r="W789" s="22" t="n">
        <f aca="false">W788+V789</f>
        <v>-2419244.1607802</v>
      </c>
      <c r="X789" s="23" t="str">
        <f aca="false">IF(W789&gt;=0,"YES","No")</f>
        <v>No</v>
      </c>
    </row>
    <row r="790" customFormat="false" ht="15" hidden="false" customHeight="false" outlineLevel="0" collapsed="false">
      <c r="A790" s="16" t="n">
        <v>789</v>
      </c>
      <c r="B790" s="17" t="n">
        <f aca="false">B789+1</f>
        <v>46811</v>
      </c>
      <c r="C790" s="18" t="n">
        <f aca="false">MIN(ROUNDUP(A790/365,0),5)</f>
        <v>3</v>
      </c>
      <c r="D790" s="18" t="n">
        <f aca="false">DATEDIF(Assumptions!B5,B790,"m")+1</f>
        <v>26</v>
      </c>
      <c r="E790" s="18" t="str">
        <f aca="false">TEXT(B790,"ddd")</f>
        <v>Mon</v>
      </c>
      <c r="F790" s="19" t="n">
        <f aca="false">IF(WEEKDAY(B790,2)&gt;=6,Assumptions!B34,Assumptions!B35)</f>
        <v>1</v>
      </c>
      <c r="G790" s="20" t="n">
        <f aca="false">IF(D790&gt;=13,(1+Assumptions!B46)^(D790-12),1)</f>
        <v>1.04282890956968</v>
      </c>
      <c r="H790" s="21" t="n">
        <f aca="false">H789*(1+IF(C790=1,Assumptions!B22,Assumptions!B23))</f>
        <v>22.3119199527211</v>
      </c>
      <c r="I790" s="16" t="n">
        <f aca="false">ROUND(H790*F790,0)</f>
        <v>22</v>
      </c>
      <c r="J790" s="22" t="n">
        <f aca="false">I790*Assumptions!B24</f>
        <v>13200</v>
      </c>
      <c r="K790" s="21" t="n">
        <f aca="false">K789*(1+Assumptions!B30)</f>
        <v>17.0013225379977</v>
      </c>
      <c r="L790" s="16" t="n">
        <f aca="false">ROUND(K790*F790,0)</f>
        <v>17</v>
      </c>
      <c r="M790" s="22" t="n">
        <f aca="false">L790*Assumptions!B31</f>
        <v>5100</v>
      </c>
      <c r="N790" s="22" t="n">
        <f aca="false">J790+M790</f>
        <v>18300</v>
      </c>
      <c r="O790" s="22" t="n">
        <f aca="false">IF(DAY(B790)=1,Assumptions!B38*G790,0)</f>
        <v>0</v>
      </c>
      <c r="P790" s="22" t="n">
        <f aca="false">IF(DAY(B790)=1,Assumptions!B39*G790,0)</f>
        <v>0</v>
      </c>
      <c r="Q790" s="22" t="n">
        <f aca="false">IF(DAY(B790)=1,Assumptions!B40*G790,0)</f>
        <v>0</v>
      </c>
      <c r="R790" s="22" t="n">
        <f aca="false">IF(DAY(B790)=1,Assumptions!B41*G790,0)</f>
        <v>0</v>
      </c>
      <c r="S790" s="22" t="n">
        <f aca="false">IF(AND(DAY(B790)=1,D790&gt;=13),Assumptions!B42*G790,0)</f>
        <v>0</v>
      </c>
      <c r="T790" s="22" t="n">
        <f aca="false">IF(DAY(B790)=1,Assumptions!B43*G790,0)</f>
        <v>0</v>
      </c>
      <c r="U790" s="22" t="n">
        <f aca="false">SUM(O790:T790)</f>
        <v>0</v>
      </c>
      <c r="V790" s="22" t="n">
        <f aca="false">N790-U790</f>
        <v>18300</v>
      </c>
      <c r="W790" s="22" t="n">
        <f aca="false">W789+V790</f>
        <v>-2400944.1607802</v>
      </c>
      <c r="X790" s="23" t="str">
        <f aca="false">IF(W790&gt;=0,"YES","No")</f>
        <v>No</v>
      </c>
    </row>
    <row r="791" customFormat="false" ht="15" hidden="false" customHeight="false" outlineLevel="0" collapsed="false">
      <c r="A791" s="16" t="n">
        <v>790</v>
      </c>
      <c r="B791" s="17" t="n">
        <f aca="false">B790+1</f>
        <v>46812</v>
      </c>
      <c r="C791" s="18" t="n">
        <f aca="false">MIN(ROUNDUP(A791/365,0),5)</f>
        <v>3</v>
      </c>
      <c r="D791" s="18" t="n">
        <f aca="false">DATEDIF(Assumptions!B5,B791,"m")+1</f>
        <v>26</v>
      </c>
      <c r="E791" s="18" t="str">
        <f aca="false">TEXT(B791,"ddd")</f>
        <v>Tue</v>
      </c>
      <c r="F791" s="19" t="n">
        <f aca="false">IF(WEEKDAY(B791,2)&gt;=6,Assumptions!B34,Assumptions!B35)</f>
        <v>1</v>
      </c>
      <c r="G791" s="20" t="n">
        <f aca="false">IF(D791&gt;=13,(1+Assumptions!B46)^(D791-12),1)</f>
        <v>1.04282890956968</v>
      </c>
      <c r="H791" s="21" t="n">
        <f aca="false">H790*(1+IF(C791=1,Assumptions!B22,Assumptions!B23))</f>
        <v>22.3155760218441</v>
      </c>
      <c r="I791" s="16" t="n">
        <f aca="false">ROUND(H791*F791,0)</f>
        <v>22</v>
      </c>
      <c r="J791" s="22" t="n">
        <f aca="false">I791*Assumptions!B24</f>
        <v>13200</v>
      </c>
      <c r="K791" s="21" t="n">
        <f aca="false">K790*(1+Assumptions!B30)</f>
        <v>17.0068808966193</v>
      </c>
      <c r="L791" s="16" t="n">
        <f aca="false">ROUND(K791*F791,0)</f>
        <v>17</v>
      </c>
      <c r="M791" s="22" t="n">
        <f aca="false">L791*Assumptions!B31</f>
        <v>5100</v>
      </c>
      <c r="N791" s="22" t="n">
        <f aca="false">J791+M791</f>
        <v>18300</v>
      </c>
      <c r="O791" s="22" t="n">
        <f aca="false">IF(DAY(B791)=1,Assumptions!B38*G791,0)</f>
        <v>0</v>
      </c>
      <c r="P791" s="22" t="n">
        <f aca="false">IF(DAY(B791)=1,Assumptions!B39*G791,0)</f>
        <v>0</v>
      </c>
      <c r="Q791" s="22" t="n">
        <f aca="false">IF(DAY(B791)=1,Assumptions!B40*G791,0)</f>
        <v>0</v>
      </c>
      <c r="R791" s="22" t="n">
        <f aca="false">IF(DAY(B791)=1,Assumptions!B41*G791,0)</f>
        <v>0</v>
      </c>
      <c r="S791" s="22" t="n">
        <f aca="false">IF(AND(DAY(B791)=1,D791&gt;=13),Assumptions!B42*G791,0)</f>
        <v>0</v>
      </c>
      <c r="T791" s="22" t="n">
        <f aca="false">IF(DAY(B791)=1,Assumptions!B43*G791,0)</f>
        <v>0</v>
      </c>
      <c r="U791" s="22" t="n">
        <f aca="false">SUM(O791:T791)</f>
        <v>0</v>
      </c>
      <c r="V791" s="22" t="n">
        <f aca="false">N791-U791</f>
        <v>18300</v>
      </c>
      <c r="W791" s="22" t="n">
        <f aca="false">W790+V791</f>
        <v>-2382644.1607802</v>
      </c>
      <c r="X791" s="23" t="str">
        <f aca="false">IF(W791&gt;=0,"YES","No")</f>
        <v>No</v>
      </c>
    </row>
    <row r="792" customFormat="false" ht="15" hidden="false" customHeight="false" outlineLevel="0" collapsed="false">
      <c r="A792" s="16" t="n">
        <v>791</v>
      </c>
      <c r="B792" s="17" t="n">
        <f aca="false">B791+1</f>
        <v>46813</v>
      </c>
      <c r="C792" s="18" t="n">
        <f aca="false">MIN(ROUNDUP(A792/365,0),5)</f>
        <v>3</v>
      </c>
      <c r="D792" s="18" t="n">
        <f aca="false">DATEDIF(Assumptions!B5,B792,"m")+1</f>
        <v>27</v>
      </c>
      <c r="E792" s="18" t="str">
        <f aca="false">TEXT(B792,"ddd")</f>
        <v>Wed</v>
      </c>
      <c r="F792" s="19" t="n">
        <f aca="false">IF(WEEKDAY(B792,2)&gt;=6,Assumptions!B34,Assumptions!B35)</f>
        <v>1</v>
      </c>
      <c r="G792" s="20" t="n">
        <f aca="false">IF(D792&gt;=13,(1+Assumptions!B46)^(D792-12),1)</f>
        <v>1.04595739629839</v>
      </c>
      <c r="H792" s="21" t="n">
        <f aca="false">H791*(1+IF(C792=1,Assumptions!B22,Assumptions!B23))</f>
        <v>22.3192326900568</v>
      </c>
      <c r="I792" s="16" t="n">
        <f aca="false">ROUND(H792*F792,0)</f>
        <v>22</v>
      </c>
      <c r="J792" s="22" t="n">
        <f aca="false">I792*Assumptions!B24</f>
        <v>13200</v>
      </c>
      <c r="K792" s="21" t="n">
        <f aca="false">K791*(1+Assumptions!B30)</f>
        <v>17.0124410724731</v>
      </c>
      <c r="L792" s="16" t="n">
        <f aca="false">ROUND(K792*F792,0)</f>
        <v>17</v>
      </c>
      <c r="M792" s="22" t="n">
        <f aca="false">L792*Assumptions!B31</f>
        <v>5100</v>
      </c>
      <c r="N792" s="22" t="n">
        <f aca="false">J792+M792</f>
        <v>18300</v>
      </c>
      <c r="O792" s="22" t="n">
        <f aca="false">IF(DAY(B792)=1,Assumptions!B38*G792,0)</f>
        <v>156893.609444759</v>
      </c>
      <c r="P792" s="22" t="n">
        <f aca="false">IF(DAY(B792)=1,Assumptions!B39*G792,0)</f>
        <v>41838.2958519356</v>
      </c>
      <c r="Q792" s="22" t="n">
        <f aca="false">IF(DAY(B792)=1,Assumptions!B40*G792,0)</f>
        <v>31378.7218889517</v>
      </c>
      <c r="R792" s="22" t="n">
        <f aca="false">IF(DAY(B792)=1,Assumptions!B41*G792,0)</f>
        <v>20919.1479259678</v>
      </c>
      <c r="S792" s="22" t="n">
        <f aca="false">IF(AND(DAY(B792)=1,D792&gt;=13),Assumptions!B42*G792,0)</f>
        <v>156893.609444759</v>
      </c>
      <c r="T792" s="22" t="n">
        <f aca="false">IF(DAY(B792)=1,Assumptions!B43*G792,0)</f>
        <v>20919.1479259678</v>
      </c>
      <c r="U792" s="22" t="n">
        <f aca="false">SUM(O792:T792)</f>
        <v>428842.53248234</v>
      </c>
      <c r="V792" s="22" t="n">
        <f aca="false">N792-U792</f>
        <v>-410542.53248234</v>
      </c>
      <c r="W792" s="22" t="n">
        <f aca="false">W791+V792</f>
        <v>-2793186.69326254</v>
      </c>
      <c r="X792" s="23" t="str">
        <f aca="false">IF(W792&gt;=0,"YES","No")</f>
        <v>No</v>
      </c>
    </row>
    <row r="793" customFormat="false" ht="15" hidden="false" customHeight="false" outlineLevel="0" collapsed="false">
      <c r="A793" s="16" t="n">
        <v>792</v>
      </c>
      <c r="B793" s="17" t="n">
        <f aca="false">B792+1</f>
        <v>46814</v>
      </c>
      <c r="C793" s="18" t="n">
        <f aca="false">MIN(ROUNDUP(A793/365,0),5)</f>
        <v>3</v>
      </c>
      <c r="D793" s="18" t="n">
        <f aca="false">DATEDIF(Assumptions!B5,B793,"m")+1</f>
        <v>27</v>
      </c>
      <c r="E793" s="18" t="str">
        <f aca="false">TEXT(B793,"ddd")</f>
        <v>Thu</v>
      </c>
      <c r="F793" s="19" t="n">
        <f aca="false">IF(WEEKDAY(B793,2)&gt;=6,Assumptions!B34,Assumptions!B35)</f>
        <v>1</v>
      </c>
      <c r="G793" s="20" t="n">
        <f aca="false">IF(D793&gt;=13,(1+Assumptions!B46)^(D793-12),1)</f>
        <v>1.04595739629839</v>
      </c>
      <c r="H793" s="21" t="n">
        <f aca="false">H792*(1+IF(C793=1,Assumptions!B22,Assumptions!B23))</f>
        <v>22.3228899574574</v>
      </c>
      <c r="I793" s="16" t="n">
        <f aca="false">ROUND(H793*F793,0)</f>
        <v>22</v>
      </c>
      <c r="J793" s="22" t="n">
        <f aca="false">I793*Assumptions!B24</f>
        <v>13200</v>
      </c>
      <c r="K793" s="21" t="n">
        <f aca="false">K792*(1+Assumptions!B30)</f>
        <v>17.0180030661532</v>
      </c>
      <c r="L793" s="16" t="n">
        <f aca="false">ROUND(K793*F793,0)</f>
        <v>17</v>
      </c>
      <c r="M793" s="22" t="n">
        <f aca="false">L793*Assumptions!B31</f>
        <v>5100</v>
      </c>
      <c r="N793" s="22" t="n">
        <f aca="false">J793+M793</f>
        <v>18300</v>
      </c>
      <c r="O793" s="22" t="n">
        <f aca="false">IF(DAY(B793)=1,Assumptions!B38*G793,0)</f>
        <v>0</v>
      </c>
      <c r="P793" s="22" t="n">
        <f aca="false">IF(DAY(B793)=1,Assumptions!B39*G793,0)</f>
        <v>0</v>
      </c>
      <c r="Q793" s="22" t="n">
        <f aca="false">IF(DAY(B793)=1,Assumptions!B40*G793,0)</f>
        <v>0</v>
      </c>
      <c r="R793" s="22" t="n">
        <f aca="false">IF(DAY(B793)=1,Assumptions!B41*G793,0)</f>
        <v>0</v>
      </c>
      <c r="S793" s="22" t="n">
        <f aca="false">IF(AND(DAY(B793)=1,D793&gt;=13),Assumptions!B42*G793,0)</f>
        <v>0</v>
      </c>
      <c r="T793" s="22" t="n">
        <f aca="false">IF(DAY(B793)=1,Assumptions!B43*G793,0)</f>
        <v>0</v>
      </c>
      <c r="U793" s="22" t="n">
        <f aca="false">SUM(O793:T793)</f>
        <v>0</v>
      </c>
      <c r="V793" s="22" t="n">
        <f aca="false">N793-U793</f>
        <v>18300</v>
      </c>
      <c r="W793" s="22" t="n">
        <f aca="false">W792+V793</f>
        <v>-2774886.69326254</v>
      </c>
      <c r="X793" s="23" t="str">
        <f aca="false">IF(W793&gt;=0,"YES","No")</f>
        <v>No</v>
      </c>
    </row>
    <row r="794" customFormat="false" ht="15" hidden="false" customHeight="false" outlineLevel="0" collapsed="false">
      <c r="A794" s="16" t="n">
        <v>793</v>
      </c>
      <c r="B794" s="17" t="n">
        <f aca="false">B793+1</f>
        <v>46815</v>
      </c>
      <c r="C794" s="18" t="n">
        <f aca="false">MIN(ROUNDUP(A794/365,0),5)</f>
        <v>3</v>
      </c>
      <c r="D794" s="18" t="n">
        <f aca="false">DATEDIF(Assumptions!B5,B794,"m")+1</f>
        <v>27</v>
      </c>
      <c r="E794" s="18" t="str">
        <f aca="false">TEXT(B794,"ddd")</f>
        <v>Fri</v>
      </c>
      <c r="F794" s="19" t="n">
        <f aca="false">IF(WEEKDAY(B794,2)&gt;=6,Assumptions!B34,Assumptions!B35)</f>
        <v>1</v>
      </c>
      <c r="G794" s="20" t="n">
        <f aca="false">IF(D794&gt;=13,(1+Assumptions!B46)^(D794-12),1)</f>
        <v>1.04595739629839</v>
      </c>
      <c r="H794" s="21" t="n">
        <f aca="false">H793*(1+IF(C794=1,Assumptions!B22,Assumptions!B23))</f>
        <v>22.3265478241441</v>
      </c>
      <c r="I794" s="16" t="n">
        <f aca="false">ROUND(H794*F794,0)</f>
        <v>22</v>
      </c>
      <c r="J794" s="22" t="n">
        <f aca="false">I794*Assumptions!B24</f>
        <v>13200</v>
      </c>
      <c r="K794" s="21" t="n">
        <f aca="false">K793*(1+Assumptions!B30)</f>
        <v>17.0235668782539</v>
      </c>
      <c r="L794" s="16" t="n">
        <f aca="false">ROUND(K794*F794,0)</f>
        <v>17</v>
      </c>
      <c r="M794" s="22" t="n">
        <f aca="false">L794*Assumptions!B31</f>
        <v>5100</v>
      </c>
      <c r="N794" s="22" t="n">
        <f aca="false">J794+M794</f>
        <v>18300</v>
      </c>
      <c r="O794" s="22" t="n">
        <f aca="false">IF(DAY(B794)=1,Assumptions!B38*G794,0)</f>
        <v>0</v>
      </c>
      <c r="P794" s="22" t="n">
        <f aca="false">IF(DAY(B794)=1,Assumptions!B39*G794,0)</f>
        <v>0</v>
      </c>
      <c r="Q794" s="22" t="n">
        <f aca="false">IF(DAY(B794)=1,Assumptions!B40*G794,0)</f>
        <v>0</v>
      </c>
      <c r="R794" s="22" t="n">
        <f aca="false">IF(DAY(B794)=1,Assumptions!B41*G794,0)</f>
        <v>0</v>
      </c>
      <c r="S794" s="22" t="n">
        <f aca="false">IF(AND(DAY(B794)=1,D794&gt;=13),Assumptions!B42*G794,0)</f>
        <v>0</v>
      </c>
      <c r="T794" s="22" t="n">
        <f aca="false">IF(DAY(B794)=1,Assumptions!B43*G794,0)</f>
        <v>0</v>
      </c>
      <c r="U794" s="22" t="n">
        <f aca="false">SUM(O794:T794)</f>
        <v>0</v>
      </c>
      <c r="V794" s="22" t="n">
        <f aca="false">N794-U794</f>
        <v>18300</v>
      </c>
      <c r="W794" s="22" t="n">
        <f aca="false">W793+V794</f>
        <v>-2756586.69326254</v>
      </c>
      <c r="X794" s="23" t="str">
        <f aca="false">IF(W794&gt;=0,"YES","No")</f>
        <v>No</v>
      </c>
    </row>
    <row r="795" customFormat="false" ht="15" hidden="false" customHeight="false" outlineLevel="0" collapsed="false">
      <c r="A795" s="16" t="n">
        <v>794</v>
      </c>
      <c r="B795" s="17" t="n">
        <f aca="false">B794+1</f>
        <v>46816</v>
      </c>
      <c r="C795" s="18" t="n">
        <f aca="false">MIN(ROUNDUP(A795/365,0),5)</f>
        <v>3</v>
      </c>
      <c r="D795" s="18" t="n">
        <f aca="false">DATEDIF(Assumptions!B5,B795,"m")+1</f>
        <v>27</v>
      </c>
      <c r="E795" s="18" t="str">
        <f aca="false">TEXT(B795,"ddd")</f>
        <v>Sat</v>
      </c>
      <c r="F795" s="19" t="n">
        <f aca="false">IF(WEEKDAY(B795,2)&gt;=6,Assumptions!B34,Assumptions!B35)</f>
        <v>0.6</v>
      </c>
      <c r="G795" s="20" t="n">
        <f aca="false">IF(D795&gt;=13,(1+Assumptions!B46)^(D795-12),1)</f>
        <v>1.04595739629839</v>
      </c>
      <c r="H795" s="21" t="n">
        <f aca="false">H794*(1+IF(C795=1,Assumptions!B22,Assumptions!B23))</f>
        <v>22.3302062902149</v>
      </c>
      <c r="I795" s="16" t="n">
        <f aca="false">ROUND(H795*F795,0)</f>
        <v>13</v>
      </c>
      <c r="J795" s="22" t="n">
        <f aca="false">I795*Assumptions!B24</f>
        <v>7800</v>
      </c>
      <c r="K795" s="21" t="n">
        <f aca="false">K794*(1+Assumptions!B30)</f>
        <v>17.0291325093697</v>
      </c>
      <c r="L795" s="16" t="n">
        <f aca="false">ROUND(K795*F795,0)</f>
        <v>10</v>
      </c>
      <c r="M795" s="22" t="n">
        <f aca="false">L795*Assumptions!B31</f>
        <v>3000</v>
      </c>
      <c r="N795" s="22" t="n">
        <f aca="false">J795+M795</f>
        <v>10800</v>
      </c>
      <c r="O795" s="22" t="n">
        <f aca="false">IF(DAY(B795)=1,Assumptions!B38*G795,0)</f>
        <v>0</v>
      </c>
      <c r="P795" s="22" t="n">
        <f aca="false">IF(DAY(B795)=1,Assumptions!B39*G795,0)</f>
        <v>0</v>
      </c>
      <c r="Q795" s="22" t="n">
        <f aca="false">IF(DAY(B795)=1,Assumptions!B40*G795,0)</f>
        <v>0</v>
      </c>
      <c r="R795" s="22" t="n">
        <f aca="false">IF(DAY(B795)=1,Assumptions!B41*G795,0)</f>
        <v>0</v>
      </c>
      <c r="S795" s="22" t="n">
        <f aca="false">IF(AND(DAY(B795)=1,D795&gt;=13),Assumptions!B42*G795,0)</f>
        <v>0</v>
      </c>
      <c r="T795" s="22" t="n">
        <f aca="false">IF(DAY(B795)=1,Assumptions!B43*G795,0)</f>
        <v>0</v>
      </c>
      <c r="U795" s="22" t="n">
        <f aca="false">SUM(O795:T795)</f>
        <v>0</v>
      </c>
      <c r="V795" s="22" t="n">
        <f aca="false">N795-U795</f>
        <v>10800</v>
      </c>
      <c r="W795" s="22" t="n">
        <f aca="false">W794+V795</f>
        <v>-2745786.69326254</v>
      </c>
      <c r="X795" s="23" t="str">
        <f aca="false">IF(W795&gt;=0,"YES","No")</f>
        <v>No</v>
      </c>
    </row>
    <row r="796" customFormat="false" ht="15" hidden="false" customHeight="false" outlineLevel="0" collapsed="false">
      <c r="A796" s="16" t="n">
        <v>795</v>
      </c>
      <c r="B796" s="17" t="n">
        <f aca="false">B795+1</f>
        <v>46817</v>
      </c>
      <c r="C796" s="18" t="n">
        <f aca="false">MIN(ROUNDUP(A796/365,0),5)</f>
        <v>3</v>
      </c>
      <c r="D796" s="18" t="n">
        <f aca="false">DATEDIF(Assumptions!B5,B796,"m")+1</f>
        <v>27</v>
      </c>
      <c r="E796" s="18" t="str">
        <f aca="false">TEXT(B796,"ddd")</f>
        <v>Sun</v>
      </c>
      <c r="F796" s="19" t="n">
        <f aca="false">IF(WEEKDAY(B796,2)&gt;=6,Assumptions!B34,Assumptions!B35)</f>
        <v>0.6</v>
      </c>
      <c r="G796" s="20" t="n">
        <f aca="false">IF(D796&gt;=13,(1+Assumptions!B46)^(D796-12),1)</f>
        <v>1.04595739629839</v>
      </c>
      <c r="H796" s="21" t="n">
        <f aca="false">H795*(1+IF(C796=1,Assumptions!B22,Assumptions!B23))</f>
        <v>22.3338653557683</v>
      </c>
      <c r="I796" s="16" t="n">
        <f aca="false">ROUND(H796*F796,0)</f>
        <v>13</v>
      </c>
      <c r="J796" s="22" t="n">
        <f aca="false">I796*Assumptions!B24</f>
        <v>7800</v>
      </c>
      <c r="K796" s="21" t="n">
        <f aca="false">K795*(1+Assumptions!B30)</f>
        <v>17.0346999600954</v>
      </c>
      <c r="L796" s="16" t="n">
        <f aca="false">ROUND(K796*F796,0)</f>
        <v>10</v>
      </c>
      <c r="M796" s="22" t="n">
        <f aca="false">L796*Assumptions!B31</f>
        <v>3000</v>
      </c>
      <c r="N796" s="22" t="n">
        <f aca="false">J796+M796</f>
        <v>10800</v>
      </c>
      <c r="O796" s="22" t="n">
        <f aca="false">IF(DAY(B796)=1,Assumptions!B38*G796,0)</f>
        <v>0</v>
      </c>
      <c r="P796" s="22" t="n">
        <f aca="false">IF(DAY(B796)=1,Assumptions!B39*G796,0)</f>
        <v>0</v>
      </c>
      <c r="Q796" s="22" t="n">
        <f aca="false">IF(DAY(B796)=1,Assumptions!B40*G796,0)</f>
        <v>0</v>
      </c>
      <c r="R796" s="22" t="n">
        <f aca="false">IF(DAY(B796)=1,Assumptions!B41*G796,0)</f>
        <v>0</v>
      </c>
      <c r="S796" s="22" t="n">
        <f aca="false">IF(AND(DAY(B796)=1,D796&gt;=13),Assumptions!B42*G796,0)</f>
        <v>0</v>
      </c>
      <c r="T796" s="22" t="n">
        <f aca="false">IF(DAY(B796)=1,Assumptions!B43*G796,0)</f>
        <v>0</v>
      </c>
      <c r="U796" s="22" t="n">
        <f aca="false">SUM(O796:T796)</f>
        <v>0</v>
      </c>
      <c r="V796" s="22" t="n">
        <f aca="false">N796-U796</f>
        <v>10800</v>
      </c>
      <c r="W796" s="22" t="n">
        <f aca="false">W795+V796</f>
        <v>-2734986.69326254</v>
      </c>
      <c r="X796" s="23" t="str">
        <f aca="false">IF(W796&gt;=0,"YES","No")</f>
        <v>No</v>
      </c>
    </row>
    <row r="797" customFormat="false" ht="15" hidden="false" customHeight="false" outlineLevel="0" collapsed="false">
      <c r="A797" s="16" t="n">
        <v>796</v>
      </c>
      <c r="B797" s="17" t="n">
        <f aca="false">B796+1</f>
        <v>46818</v>
      </c>
      <c r="C797" s="18" t="n">
        <f aca="false">MIN(ROUNDUP(A797/365,0),5)</f>
        <v>3</v>
      </c>
      <c r="D797" s="18" t="n">
        <f aca="false">DATEDIF(Assumptions!B5,B797,"m")+1</f>
        <v>27</v>
      </c>
      <c r="E797" s="18" t="str">
        <f aca="false">TEXT(B797,"ddd")</f>
        <v>Mon</v>
      </c>
      <c r="F797" s="19" t="n">
        <f aca="false">IF(WEEKDAY(B797,2)&gt;=6,Assumptions!B34,Assumptions!B35)</f>
        <v>1</v>
      </c>
      <c r="G797" s="20" t="n">
        <f aca="false">IF(D797&gt;=13,(1+Assumptions!B46)^(D797-12),1)</f>
        <v>1.04595739629839</v>
      </c>
      <c r="H797" s="21" t="n">
        <f aca="false">H796*(1+IF(C797=1,Assumptions!B22,Assumptions!B23))</f>
        <v>22.3375250209023</v>
      </c>
      <c r="I797" s="16" t="n">
        <f aca="false">ROUND(H797*F797,0)</f>
        <v>22</v>
      </c>
      <c r="J797" s="22" t="n">
        <f aca="false">I797*Assumptions!B24</f>
        <v>13200</v>
      </c>
      <c r="K797" s="21" t="n">
        <f aca="false">K796*(1+Assumptions!B30)</f>
        <v>17.0402692310259</v>
      </c>
      <c r="L797" s="16" t="n">
        <f aca="false">ROUND(K797*F797,0)</f>
        <v>17</v>
      </c>
      <c r="M797" s="22" t="n">
        <f aca="false">L797*Assumptions!B31</f>
        <v>5100</v>
      </c>
      <c r="N797" s="22" t="n">
        <f aca="false">J797+M797</f>
        <v>18300</v>
      </c>
      <c r="O797" s="22" t="n">
        <f aca="false">IF(DAY(B797)=1,Assumptions!B38*G797,0)</f>
        <v>0</v>
      </c>
      <c r="P797" s="22" t="n">
        <f aca="false">IF(DAY(B797)=1,Assumptions!B39*G797,0)</f>
        <v>0</v>
      </c>
      <c r="Q797" s="22" t="n">
        <f aca="false">IF(DAY(B797)=1,Assumptions!B40*G797,0)</f>
        <v>0</v>
      </c>
      <c r="R797" s="22" t="n">
        <f aca="false">IF(DAY(B797)=1,Assumptions!B41*G797,0)</f>
        <v>0</v>
      </c>
      <c r="S797" s="22" t="n">
        <f aca="false">IF(AND(DAY(B797)=1,D797&gt;=13),Assumptions!B42*G797,0)</f>
        <v>0</v>
      </c>
      <c r="T797" s="22" t="n">
        <f aca="false">IF(DAY(B797)=1,Assumptions!B43*G797,0)</f>
        <v>0</v>
      </c>
      <c r="U797" s="22" t="n">
        <f aca="false">SUM(O797:T797)</f>
        <v>0</v>
      </c>
      <c r="V797" s="22" t="n">
        <f aca="false">N797-U797</f>
        <v>18300</v>
      </c>
      <c r="W797" s="22" t="n">
        <f aca="false">W796+V797</f>
        <v>-2716686.69326254</v>
      </c>
      <c r="X797" s="23" t="str">
        <f aca="false">IF(W797&gt;=0,"YES","No")</f>
        <v>No</v>
      </c>
    </row>
    <row r="798" customFormat="false" ht="15" hidden="false" customHeight="false" outlineLevel="0" collapsed="false">
      <c r="A798" s="16" t="n">
        <v>797</v>
      </c>
      <c r="B798" s="17" t="n">
        <f aca="false">B797+1</f>
        <v>46819</v>
      </c>
      <c r="C798" s="18" t="n">
        <f aca="false">MIN(ROUNDUP(A798/365,0),5)</f>
        <v>3</v>
      </c>
      <c r="D798" s="18" t="n">
        <f aca="false">DATEDIF(Assumptions!B5,B798,"m")+1</f>
        <v>27</v>
      </c>
      <c r="E798" s="18" t="str">
        <f aca="false">TEXT(B798,"ddd")</f>
        <v>Tue</v>
      </c>
      <c r="F798" s="19" t="n">
        <f aca="false">IF(WEEKDAY(B798,2)&gt;=6,Assumptions!B34,Assumptions!B35)</f>
        <v>1</v>
      </c>
      <c r="G798" s="20" t="n">
        <f aca="false">IF(D798&gt;=13,(1+Assumptions!B46)^(D798-12),1)</f>
        <v>1.04595739629839</v>
      </c>
      <c r="H798" s="21" t="n">
        <f aca="false">H797*(1+IF(C798=1,Assumptions!B22,Assumptions!B23))</f>
        <v>22.3411852857153</v>
      </c>
      <c r="I798" s="16" t="n">
        <f aca="false">ROUND(H798*F798,0)</f>
        <v>22</v>
      </c>
      <c r="J798" s="22" t="n">
        <f aca="false">I798*Assumptions!B24</f>
        <v>13200</v>
      </c>
      <c r="K798" s="21" t="n">
        <f aca="false">K797*(1+Assumptions!B30)</f>
        <v>17.0458403227561</v>
      </c>
      <c r="L798" s="16" t="n">
        <f aca="false">ROUND(K798*F798,0)</f>
        <v>17</v>
      </c>
      <c r="M798" s="22" t="n">
        <f aca="false">L798*Assumptions!B31</f>
        <v>5100</v>
      </c>
      <c r="N798" s="22" t="n">
        <f aca="false">J798+M798</f>
        <v>18300</v>
      </c>
      <c r="O798" s="22" t="n">
        <f aca="false">IF(DAY(B798)=1,Assumptions!B38*G798,0)</f>
        <v>0</v>
      </c>
      <c r="P798" s="22" t="n">
        <f aca="false">IF(DAY(B798)=1,Assumptions!B39*G798,0)</f>
        <v>0</v>
      </c>
      <c r="Q798" s="22" t="n">
        <f aca="false">IF(DAY(B798)=1,Assumptions!B40*G798,0)</f>
        <v>0</v>
      </c>
      <c r="R798" s="22" t="n">
        <f aca="false">IF(DAY(B798)=1,Assumptions!B41*G798,0)</f>
        <v>0</v>
      </c>
      <c r="S798" s="22" t="n">
        <f aca="false">IF(AND(DAY(B798)=1,D798&gt;=13),Assumptions!B42*G798,0)</f>
        <v>0</v>
      </c>
      <c r="T798" s="22" t="n">
        <f aca="false">IF(DAY(B798)=1,Assumptions!B43*G798,0)</f>
        <v>0</v>
      </c>
      <c r="U798" s="22" t="n">
        <f aca="false">SUM(O798:T798)</f>
        <v>0</v>
      </c>
      <c r="V798" s="22" t="n">
        <f aca="false">N798-U798</f>
        <v>18300</v>
      </c>
      <c r="W798" s="22" t="n">
        <f aca="false">W797+V798</f>
        <v>-2698386.69326254</v>
      </c>
      <c r="X798" s="23" t="str">
        <f aca="false">IF(W798&gt;=0,"YES","No")</f>
        <v>No</v>
      </c>
    </row>
    <row r="799" customFormat="false" ht="15" hidden="false" customHeight="false" outlineLevel="0" collapsed="false">
      <c r="A799" s="16" t="n">
        <v>798</v>
      </c>
      <c r="B799" s="17" t="n">
        <f aca="false">B798+1</f>
        <v>46820</v>
      </c>
      <c r="C799" s="18" t="n">
        <f aca="false">MIN(ROUNDUP(A799/365,0),5)</f>
        <v>3</v>
      </c>
      <c r="D799" s="18" t="n">
        <f aca="false">DATEDIF(Assumptions!B5,B799,"m")+1</f>
        <v>27</v>
      </c>
      <c r="E799" s="18" t="str">
        <f aca="false">TEXT(B799,"ddd")</f>
        <v>Wed</v>
      </c>
      <c r="F799" s="19" t="n">
        <f aca="false">IF(WEEKDAY(B799,2)&gt;=6,Assumptions!B34,Assumptions!B35)</f>
        <v>1</v>
      </c>
      <c r="G799" s="20" t="n">
        <f aca="false">IF(D799&gt;=13,(1+Assumptions!B46)^(D799-12),1)</f>
        <v>1.04595739629839</v>
      </c>
      <c r="H799" s="21" t="n">
        <f aca="false">H798*(1+IF(C799=1,Assumptions!B22,Assumptions!B23))</f>
        <v>22.3448461503055</v>
      </c>
      <c r="I799" s="16" t="n">
        <f aca="false">ROUND(H799*F799,0)</f>
        <v>22</v>
      </c>
      <c r="J799" s="22" t="n">
        <f aca="false">I799*Assumptions!B24</f>
        <v>13200</v>
      </c>
      <c r="K799" s="21" t="n">
        <f aca="false">K798*(1+Assumptions!B30)</f>
        <v>17.0514132358815</v>
      </c>
      <c r="L799" s="16" t="n">
        <f aca="false">ROUND(K799*F799,0)</f>
        <v>17</v>
      </c>
      <c r="M799" s="22" t="n">
        <f aca="false">L799*Assumptions!B31</f>
        <v>5100</v>
      </c>
      <c r="N799" s="22" t="n">
        <f aca="false">J799+M799</f>
        <v>18300</v>
      </c>
      <c r="O799" s="22" t="n">
        <f aca="false">IF(DAY(B799)=1,Assumptions!B38*G799,0)</f>
        <v>0</v>
      </c>
      <c r="P799" s="22" t="n">
        <f aca="false">IF(DAY(B799)=1,Assumptions!B39*G799,0)</f>
        <v>0</v>
      </c>
      <c r="Q799" s="22" t="n">
        <f aca="false">IF(DAY(B799)=1,Assumptions!B40*G799,0)</f>
        <v>0</v>
      </c>
      <c r="R799" s="22" t="n">
        <f aca="false">IF(DAY(B799)=1,Assumptions!B41*G799,0)</f>
        <v>0</v>
      </c>
      <c r="S799" s="22" t="n">
        <f aca="false">IF(AND(DAY(B799)=1,D799&gt;=13),Assumptions!B42*G799,0)</f>
        <v>0</v>
      </c>
      <c r="T799" s="22" t="n">
        <f aca="false">IF(DAY(B799)=1,Assumptions!B43*G799,0)</f>
        <v>0</v>
      </c>
      <c r="U799" s="22" t="n">
        <f aca="false">SUM(O799:T799)</f>
        <v>0</v>
      </c>
      <c r="V799" s="22" t="n">
        <f aca="false">N799-U799</f>
        <v>18300</v>
      </c>
      <c r="W799" s="22" t="n">
        <f aca="false">W798+V799</f>
        <v>-2680086.69326254</v>
      </c>
      <c r="X799" s="23" t="str">
        <f aca="false">IF(W799&gt;=0,"YES","No")</f>
        <v>No</v>
      </c>
    </row>
    <row r="800" customFormat="false" ht="15" hidden="false" customHeight="false" outlineLevel="0" collapsed="false">
      <c r="A800" s="16" t="n">
        <v>799</v>
      </c>
      <c r="B800" s="17" t="n">
        <f aca="false">B799+1</f>
        <v>46821</v>
      </c>
      <c r="C800" s="18" t="n">
        <f aca="false">MIN(ROUNDUP(A800/365,0),5)</f>
        <v>3</v>
      </c>
      <c r="D800" s="18" t="n">
        <f aca="false">DATEDIF(Assumptions!B5,B800,"m")+1</f>
        <v>27</v>
      </c>
      <c r="E800" s="18" t="str">
        <f aca="false">TEXT(B800,"ddd")</f>
        <v>Thu</v>
      </c>
      <c r="F800" s="19" t="n">
        <f aca="false">IF(WEEKDAY(B800,2)&gt;=6,Assumptions!B34,Assumptions!B35)</f>
        <v>1</v>
      </c>
      <c r="G800" s="20" t="n">
        <f aca="false">IF(D800&gt;=13,(1+Assumptions!B46)^(D800-12),1)</f>
        <v>1.04595739629839</v>
      </c>
      <c r="H800" s="21" t="n">
        <f aca="false">H799*(1+IF(C800=1,Assumptions!B22,Assumptions!B23))</f>
        <v>22.3485076147712</v>
      </c>
      <c r="I800" s="16" t="n">
        <f aca="false">ROUND(H800*F800,0)</f>
        <v>22</v>
      </c>
      <c r="J800" s="22" t="n">
        <f aca="false">I800*Assumptions!B24</f>
        <v>13200</v>
      </c>
      <c r="K800" s="21" t="n">
        <f aca="false">K799*(1+Assumptions!B30)</f>
        <v>17.0569879709974</v>
      </c>
      <c r="L800" s="16" t="n">
        <f aca="false">ROUND(K800*F800,0)</f>
        <v>17</v>
      </c>
      <c r="M800" s="22" t="n">
        <f aca="false">L800*Assumptions!B31</f>
        <v>5100</v>
      </c>
      <c r="N800" s="22" t="n">
        <f aca="false">J800+M800</f>
        <v>18300</v>
      </c>
      <c r="O800" s="22" t="n">
        <f aca="false">IF(DAY(B800)=1,Assumptions!B38*G800,0)</f>
        <v>0</v>
      </c>
      <c r="P800" s="22" t="n">
        <f aca="false">IF(DAY(B800)=1,Assumptions!B39*G800,0)</f>
        <v>0</v>
      </c>
      <c r="Q800" s="22" t="n">
        <f aca="false">IF(DAY(B800)=1,Assumptions!B40*G800,0)</f>
        <v>0</v>
      </c>
      <c r="R800" s="22" t="n">
        <f aca="false">IF(DAY(B800)=1,Assumptions!B41*G800,0)</f>
        <v>0</v>
      </c>
      <c r="S800" s="22" t="n">
        <f aca="false">IF(AND(DAY(B800)=1,D800&gt;=13),Assumptions!B42*G800,0)</f>
        <v>0</v>
      </c>
      <c r="T800" s="22" t="n">
        <f aca="false">IF(DAY(B800)=1,Assumptions!B43*G800,0)</f>
        <v>0</v>
      </c>
      <c r="U800" s="22" t="n">
        <f aca="false">SUM(O800:T800)</f>
        <v>0</v>
      </c>
      <c r="V800" s="22" t="n">
        <f aca="false">N800-U800</f>
        <v>18300</v>
      </c>
      <c r="W800" s="22" t="n">
        <f aca="false">W799+V800</f>
        <v>-2661786.69326254</v>
      </c>
      <c r="X800" s="23" t="str">
        <f aca="false">IF(W800&gt;=0,"YES","No")</f>
        <v>No</v>
      </c>
    </row>
    <row r="801" customFormat="false" ht="15" hidden="false" customHeight="false" outlineLevel="0" collapsed="false">
      <c r="A801" s="16" t="n">
        <v>800</v>
      </c>
      <c r="B801" s="17" t="n">
        <f aca="false">B800+1</f>
        <v>46822</v>
      </c>
      <c r="C801" s="18" t="n">
        <f aca="false">MIN(ROUNDUP(A801/365,0),5)</f>
        <v>3</v>
      </c>
      <c r="D801" s="18" t="n">
        <f aca="false">DATEDIF(Assumptions!B5,B801,"m")+1</f>
        <v>27</v>
      </c>
      <c r="E801" s="18" t="str">
        <f aca="false">TEXT(B801,"ddd")</f>
        <v>Fri</v>
      </c>
      <c r="F801" s="19" t="n">
        <f aca="false">IF(WEEKDAY(B801,2)&gt;=6,Assumptions!B34,Assumptions!B35)</f>
        <v>1</v>
      </c>
      <c r="G801" s="20" t="n">
        <f aca="false">IF(D801&gt;=13,(1+Assumptions!B46)^(D801-12),1)</f>
        <v>1.04595739629839</v>
      </c>
      <c r="H801" s="21" t="n">
        <f aca="false">H800*(1+IF(C801=1,Assumptions!B22,Assumptions!B23))</f>
        <v>22.3521696792107</v>
      </c>
      <c r="I801" s="16" t="n">
        <f aca="false">ROUND(H801*F801,0)</f>
        <v>22</v>
      </c>
      <c r="J801" s="22" t="n">
        <f aca="false">I801*Assumptions!B24</f>
        <v>13200</v>
      </c>
      <c r="K801" s="21" t="n">
        <f aca="false">K800*(1+Assumptions!B30)</f>
        <v>17.0625645286996</v>
      </c>
      <c r="L801" s="16" t="n">
        <f aca="false">ROUND(K801*F801,0)</f>
        <v>17</v>
      </c>
      <c r="M801" s="22" t="n">
        <f aca="false">L801*Assumptions!B31</f>
        <v>5100</v>
      </c>
      <c r="N801" s="22" t="n">
        <f aca="false">J801+M801</f>
        <v>18300</v>
      </c>
      <c r="O801" s="22" t="n">
        <f aca="false">IF(DAY(B801)=1,Assumptions!B38*G801,0)</f>
        <v>0</v>
      </c>
      <c r="P801" s="22" t="n">
        <f aca="false">IF(DAY(B801)=1,Assumptions!B39*G801,0)</f>
        <v>0</v>
      </c>
      <c r="Q801" s="22" t="n">
        <f aca="false">IF(DAY(B801)=1,Assumptions!B40*G801,0)</f>
        <v>0</v>
      </c>
      <c r="R801" s="22" t="n">
        <f aca="false">IF(DAY(B801)=1,Assumptions!B41*G801,0)</f>
        <v>0</v>
      </c>
      <c r="S801" s="22" t="n">
        <f aca="false">IF(AND(DAY(B801)=1,D801&gt;=13),Assumptions!B42*G801,0)</f>
        <v>0</v>
      </c>
      <c r="T801" s="22" t="n">
        <f aca="false">IF(DAY(B801)=1,Assumptions!B43*G801,0)</f>
        <v>0</v>
      </c>
      <c r="U801" s="22" t="n">
        <f aca="false">SUM(O801:T801)</f>
        <v>0</v>
      </c>
      <c r="V801" s="22" t="n">
        <f aca="false">N801-U801</f>
        <v>18300</v>
      </c>
      <c r="W801" s="22" t="n">
        <f aca="false">W800+V801</f>
        <v>-2643486.69326254</v>
      </c>
      <c r="X801" s="23" t="str">
        <f aca="false">IF(W801&gt;=0,"YES","No")</f>
        <v>No</v>
      </c>
    </row>
    <row r="802" customFormat="false" ht="15" hidden="false" customHeight="false" outlineLevel="0" collapsed="false">
      <c r="A802" s="16" t="n">
        <v>801</v>
      </c>
      <c r="B802" s="17" t="n">
        <f aca="false">B801+1</f>
        <v>46823</v>
      </c>
      <c r="C802" s="18" t="n">
        <f aca="false">MIN(ROUNDUP(A802/365,0),5)</f>
        <v>3</v>
      </c>
      <c r="D802" s="18" t="n">
        <f aca="false">DATEDIF(Assumptions!B5,B802,"m")+1</f>
        <v>27</v>
      </c>
      <c r="E802" s="18" t="str">
        <f aca="false">TEXT(B802,"ddd")</f>
        <v>Sat</v>
      </c>
      <c r="F802" s="19" t="n">
        <f aca="false">IF(WEEKDAY(B802,2)&gt;=6,Assumptions!B34,Assumptions!B35)</f>
        <v>0.6</v>
      </c>
      <c r="G802" s="20" t="n">
        <f aca="false">IF(D802&gt;=13,(1+Assumptions!B46)^(D802-12),1)</f>
        <v>1.04595739629839</v>
      </c>
      <c r="H802" s="21" t="n">
        <f aca="false">H801*(1+IF(C802=1,Assumptions!B22,Assumptions!B23))</f>
        <v>22.3558323437223</v>
      </c>
      <c r="I802" s="16" t="n">
        <f aca="false">ROUND(H802*F802,0)</f>
        <v>13</v>
      </c>
      <c r="J802" s="22" t="n">
        <f aca="false">I802*Assumptions!B24</f>
        <v>7800</v>
      </c>
      <c r="K802" s="21" t="n">
        <f aca="false">K801*(1+Assumptions!B30)</f>
        <v>17.068142909584</v>
      </c>
      <c r="L802" s="16" t="n">
        <f aca="false">ROUND(K802*F802,0)</f>
        <v>10</v>
      </c>
      <c r="M802" s="22" t="n">
        <f aca="false">L802*Assumptions!B31</f>
        <v>3000</v>
      </c>
      <c r="N802" s="22" t="n">
        <f aca="false">J802+M802</f>
        <v>10800</v>
      </c>
      <c r="O802" s="22" t="n">
        <f aca="false">IF(DAY(B802)=1,Assumptions!B38*G802,0)</f>
        <v>0</v>
      </c>
      <c r="P802" s="22" t="n">
        <f aca="false">IF(DAY(B802)=1,Assumptions!B39*G802,0)</f>
        <v>0</v>
      </c>
      <c r="Q802" s="22" t="n">
        <f aca="false">IF(DAY(B802)=1,Assumptions!B40*G802,0)</f>
        <v>0</v>
      </c>
      <c r="R802" s="22" t="n">
        <f aca="false">IF(DAY(B802)=1,Assumptions!B41*G802,0)</f>
        <v>0</v>
      </c>
      <c r="S802" s="22" t="n">
        <f aca="false">IF(AND(DAY(B802)=1,D802&gt;=13),Assumptions!B42*G802,0)</f>
        <v>0</v>
      </c>
      <c r="T802" s="22" t="n">
        <f aca="false">IF(DAY(B802)=1,Assumptions!B43*G802,0)</f>
        <v>0</v>
      </c>
      <c r="U802" s="22" t="n">
        <f aca="false">SUM(O802:T802)</f>
        <v>0</v>
      </c>
      <c r="V802" s="22" t="n">
        <f aca="false">N802-U802</f>
        <v>10800</v>
      </c>
      <c r="W802" s="22" t="n">
        <f aca="false">W801+V802</f>
        <v>-2632686.69326254</v>
      </c>
      <c r="X802" s="23" t="str">
        <f aca="false">IF(W802&gt;=0,"YES","No")</f>
        <v>No</v>
      </c>
    </row>
    <row r="803" customFormat="false" ht="15" hidden="false" customHeight="false" outlineLevel="0" collapsed="false">
      <c r="A803" s="16" t="n">
        <v>802</v>
      </c>
      <c r="B803" s="17" t="n">
        <f aca="false">B802+1</f>
        <v>46824</v>
      </c>
      <c r="C803" s="18" t="n">
        <f aca="false">MIN(ROUNDUP(A803/365,0),5)</f>
        <v>3</v>
      </c>
      <c r="D803" s="18" t="n">
        <f aca="false">DATEDIF(Assumptions!B5,B803,"m")+1</f>
        <v>27</v>
      </c>
      <c r="E803" s="18" t="str">
        <f aca="false">TEXT(B803,"ddd")</f>
        <v>Sun</v>
      </c>
      <c r="F803" s="19" t="n">
        <f aca="false">IF(WEEKDAY(B803,2)&gt;=6,Assumptions!B34,Assumptions!B35)</f>
        <v>0.6</v>
      </c>
      <c r="G803" s="20" t="n">
        <f aca="false">IF(D803&gt;=13,(1+Assumptions!B46)^(D803-12),1)</f>
        <v>1.04595739629839</v>
      </c>
      <c r="H803" s="21" t="n">
        <f aca="false">H802*(1+IF(C803=1,Assumptions!B22,Assumptions!B23))</f>
        <v>22.3594956084044</v>
      </c>
      <c r="I803" s="16" t="n">
        <f aca="false">ROUND(H803*F803,0)</f>
        <v>13</v>
      </c>
      <c r="J803" s="22" t="n">
        <f aca="false">I803*Assumptions!B24</f>
        <v>7800</v>
      </c>
      <c r="K803" s="21" t="n">
        <f aca="false">K802*(1+Assumptions!B30)</f>
        <v>17.0737231142465</v>
      </c>
      <c r="L803" s="16" t="n">
        <f aca="false">ROUND(K803*F803,0)</f>
        <v>10</v>
      </c>
      <c r="M803" s="22" t="n">
        <f aca="false">L803*Assumptions!B31</f>
        <v>3000</v>
      </c>
      <c r="N803" s="22" t="n">
        <f aca="false">J803+M803</f>
        <v>10800</v>
      </c>
      <c r="O803" s="22" t="n">
        <f aca="false">IF(DAY(B803)=1,Assumptions!B38*G803,0)</f>
        <v>0</v>
      </c>
      <c r="P803" s="22" t="n">
        <f aca="false">IF(DAY(B803)=1,Assumptions!B39*G803,0)</f>
        <v>0</v>
      </c>
      <c r="Q803" s="22" t="n">
        <f aca="false">IF(DAY(B803)=1,Assumptions!B40*G803,0)</f>
        <v>0</v>
      </c>
      <c r="R803" s="22" t="n">
        <f aca="false">IF(DAY(B803)=1,Assumptions!B41*G803,0)</f>
        <v>0</v>
      </c>
      <c r="S803" s="22" t="n">
        <f aca="false">IF(AND(DAY(B803)=1,D803&gt;=13),Assumptions!B42*G803,0)</f>
        <v>0</v>
      </c>
      <c r="T803" s="22" t="n">
        <f aca="false">IF(DAY(B803)=1,Assumptions!B43*G803,0)</f>
        <v>0</v>
      </c>
      <c r="U803" s="22" t="n">
        <f aca="false">SUM(O803:T803)</f>
        <v>0</v>
      </c>
      <c r="V803" s="22" t="n">
        <f aca="false">N803-U803</f>
        <v>10800</v>
      </c>
      <c r="W803" s="22" t="n">
        <f aca="false">W802+V803</f>
        <v>-2621886.69326254</v>
      </c>
      <c r="X803" s="23" t="str">
        <f aca="false">IF(W803&gt;=0,"YES","No")</f>
        <v>No</v>
      </c>
    </row>
    <row r="804" customFormat="false" ht="15" hidden="false" customHeight="false" outlineLevel="0" collapsed="false">
      <c r="A804" s="16" t="n">
        <v>803</v>
      </c>
      <c r="B804" s="17" t="n">
        <f aca="false">B803+1</f>
        <v>46825</v>
      </c>
      <c r="C804" s="18" t="n">
        <f aca="false">MIN(ROUNDUP(A804/365,0),5)</f>
        <v>3</v>
      </c>
      <c r="D804" s="18" t="n">
        <f aca="false">DATEDIF(Assumptions!B5,B804,"m")+1</f>
        <v>27</v>
      </c>
      <c r="E804" s="18" t="str">
        <f aca="false">TEXT(B804,"ddd")</f>
        <v>Mon</v>
      </c>
      <c r="F804" s="19" t="n">
        <f aca="false">IF(WEEKDAY(B804,2)&gt;=6,Assumptions!B34,Assumptions!B35)</f>
        <v>1</v>
      </c>
      <c r="G804" s="20" t="n">
        <f aca="false">IF(D804&gt;=13,(1+Assumptions!B46)^(D804-12),1)</f>
        <v>1.04595739629839</v>
      </c>
      <c r="H804" s="21" t="n">
        <f aca="false">H803*(1+IF(C804=1,Assumptions!B22,Assumptions!B23))</f>
        <v>22.3631594733552</v>
      </c>
      <c r="I804" s="16" t="n">
        <f aca="false">ROUND(H804*F804,0)</f>
        <v>22</v>
      </c>
      <c r="J804" s="22" t="n">
        <f aca="false">I804*Assumptions!B24</f>
        <v>13200</v>
      </c>
      <c r="K804" s="21" t="n">
        <f aca="false">K803*(1+Assumptions!B30)</f>
        <v>17.0793051432836</v>
      </c>
      <c r="L804" s="16" t="n">
        <f aca="false">ROUND(K804*F804,0)</f>
        <v>17</v>
      </c>
      <c r="M804" s="22" t="n">
        <f aca="false">L804*Assumptions!B31</f>
        <v>5100</v>
      </c>
      <c r="N804" s="22" t="n">
        <f aca="false">J804+M804</f>
        <v>18300</v>
      </c>
      <c r="O804" s="22" t="n">
        <f aca="false">IF(DAY(B804)=1,Assumptions!B38*G804,0)</f>
        <v>0</v>
      </c>
      <c r="P804" s="22" t="n">
        <f aca="false">IF(DAY(B804)=1,Assumptions!B39*G804,0)</f>
        <v>0</v>
      </c>
      <c r="Q804" s="22" t="n">
        <f aca="false">IF(DAY(B804)=1,Assumptions!B40*G804,0)</f>
        <v>0</v>
      </c>
      <c r="R804" s="22" t="n">
        <f aca="false">IF(DAY(B804)=1,Assumptions!B41*G804,0)</f>
        <v>0</v>
      </c>
      <c r="S804" s="22" t="n">
        <f aca="false">IF(AND(DAY(B804)=1,D804&gt;=13),Assumptions!B42*G804,0)</f>
        <v>0</v>
      </c>
      <c r="T804" s="22" t="n">
        <f aca="false">IF(DAY(B804)=1,Assumptions!B43*G804,0)</f>
        <v>0</v>
      </c>
      <c r="U804" s="22" t="n">
        <f aca="false">SUM(O804:T804)</f>
        <v>0</v>
      </c>
      <c r="V804" s="22" t="n">
        <f aca="false">N804-U804</f>
        <v>18300</v>
      </c>
      <c r="W804" s="22" t="n">
        <f aca="false">W803+V804</f>
        <v>-2603586.69326254</v>
      </c>
      <c r="X804" s="23" t="str">
        <f aca="false">IF(W804&gt;=0,"YES","No")</f>
        <v>No</v>
      </c>
    </row>
    <row r="805" customFormat="false" ht="15" hidden="false" customHeight="false" outlineLevel="0" collapsed="false">
      <c r="A805" s="16" t="n">
        <v>804</v>
      </c>
      <c r="B805" s="17" t="n">
        <f aca="false">B804+1</f>
        <v>46826</v>
      </c>
      <c r="C805" s="18" t="n">
        <f aca="false">MIN(ROUNDUP(A805/365,0),5)</f>
        <v>3</v>
      </c>
      <c r="D805" s="18" t="n">
        <f aca="false">DATEDIF(Assumptions!B5,B805,"m")+1</f>
        <v>27</v>
      </c>
      <c r="E805" s="18" t="str">
        <f aca="false">TEXT(B805,"ddd")</f>
        <v>Tue</v>
      </c>
      <c r="F805" s="19" t="n">
        <f aca="false">IF(WEEKDAY(B805,2)&gt;=6,Assumptions!B34,Assumptions!B35)</f>
        <v>1</v>
      </c>
      <c r="G805" s="20" t="n">
        <f aca="false">IF(D805&gt;=13,(1+Assumptions!B46)^(D805-12),1)</f>
        <v>1.04595739629839</v>
      </c>
      <c r="H805" s="21" t="n">
        <f aca="false">H804*(1+IF(C805=1,Assumptions!B22,Assumptions!B23))</f>
        <v>22.3668239386731</v>
      </c>
      <c r="I805" s="16" t="n">
        <f aca="false">ROUND(H805*F805,0)</f>
        <v>22</v>
      </c>
      <c r="J805" s="22" t="n">
        <f aca="false">I805*Assumptions!B24</f>
        <v>13200</v>
      </c>
      <c r="K805" s="21" t="n">
        <f aca="false">K804*(1+Assumptions!B30)</f>
        <v>17.0848889972915</v>
      </c>
      <c r="L805" s="16" t="n">
        <f aca="false">ROUND(K805*F805,0)</f>
        <v>17</v>
      </c>
      <c r="M805" s="22" t="n">
        <f aca="false">L805*Assumptions!B31</f>
        <v>5100</v>
      </c>
      <c r="N805" s="22" t="n">
        <f aca="false">J805+M805</f>
        <v>18300</v>
      </c>
      <c r="O805" s="22" t="n">
        <f aca="false">IF(DAY(B805)=1,Assumptions!B38*G805,0)</f>
        <v>0</v>
      </c>
      <c r="P805" s="22" t="n">
        <f aca="false">IF(DAY(B805)=1,Assumptions!B39*G805,0)</f>
        <v>0</v>
      </c>
      <c r="Q805" s="22" t="n">
        <f aca="false">IF(DAY(B805)=1,Assumptions!B40*G805,0)</f>
        <v>0</v>
      </c>
      <c r="R805" s="22" t="n">
        <f aca="false">IF(DAY(B805)=1,Assumptions!B41*G805,0)</f>
        <v>0</v>
      </c>
      <c r="S805" s="22" t="n">
        <f aca="false">IF(AND(DAY(B805)=1,D805&gt;=13),Assumptions!B42*G805,0)</f>
        <v>0</v>
      </c>
      <c r="T805" s="22" t="n">
        <f aca="false">IF(DAY(B805)=1,Assumptions!B43*G805,0)</f>
        <v>0</v>
      </c>
      <c r="U805" s="22" t="n">
        <f aca="false">SUM(O805:T805)</f>
        <v>0</v>
      </c>
      <c r="V805" s="22" t="n">
        <f aca="false">N805-U805</f>
        <v>18300</v>
      </c>
      <c r="W805" s="22" t="n">
        <f aca="false">W804+V805</f>
        <v>-2585286.69326254</v>
      </c>
      <c r="X805" s="23" t="str">
        <f aca="false">IF(W805&gt;=0,"YES","No")</f>
        <v>No</v>
      </c>
    </row>
    <row r="806" customFormat="false" ht="15" hidden="false" customHeight="false" outlineLevel="0" collapsed="false">
      <c r="A806" s="16" t="n">
        <v>805</v>
      </c>
      <c r="B806" s="17" t="n">
        <f aca="false">B805+1</f>
        <v>46827</v>
      </c>
      <c r="C806" s="18" t="n">
        <f aca="false">MIN(ROUNDUP(A806/365,0),5)</f>
        <v>3</v>
      </c>
      <c r="D806" s="18" t="n">
        <f aca="false">DATEDIF(Assumptions!B5,B806,"m")+1</f>
        <v>27</v>
      </c>
      <c r="E806" s="18" t="str">
        <f aca="false">TEXT(B806,"ddd")</f>
        <v>Wed</v>
      </c>
      <c r="F806" s="19" t="n">
        <f aca="false">IF(WEEKDAY(B806,2)&gt;=6,Assumptions!B34,Assumptions!B35)</f>
        <v>1</v>
      </c>
      <c r="G806" s="20" t="n">
        <f aca="false">IF(D806&gt;=13,(1+Assumptions!B46)^(D806-12),1)</f>
        <v>1.04595739629839</v>
      </c>
      <c r="H806" s="21" t="n">
        <f aca="false">H805*(1+IF(C806=1,Assumptions!B22,Assumptions!B23))</f>
        <v>22.3704890044566</v>
      </c>
      <c r="I806" s="16" t="n">
        <f aca="false">ROUND(H806*F806,0)</f>
        <v>22</v>
      </c>
      <c r="J806" s="22" t="n">
        <f aca="false">I806*Assumptions!B24</f>
        <v>13200</v>
      </c>
      <c r="K806" s="21" t="n">
        <f aca="false">K805*(1+Assumptions!B30)</f>
        <v>17.090474676867</v>
      </c>
      <c r="L806" s="16" t="n">
        <f aca="false">ROUND(K806*F806,0)</f>
        <v>17</v>
      </c>
      <c r="M806" s="22" t="n">
        <f aca="false">L806*Assumptions!B31</f>
        <v>5100</v>
      </c>
      <c r="N806" s="22" t="n">
        <f aca="false">J806+M806</f>
        <v>18300</v>
      </c>
      <c r="O806" s="22" t="n">
        <f aca="false">IF(DAY(B806)=1,Assumptions!B38*G806,0)</f>
        <v>0</v>
      </c>
      <c r="P806" s="22" t="n">
        <f aca="false">IF(DAY(B806)=1,Assumptions!B39*G806,0)</f>
        <v>0</v>
      </c>
      <c r="Q806" s="22" t="n">
        <f aca="false">IF(DAY(B806)=1,Assumptions!B40*G806,0)</f>
        <v>0</v>
      </c>
      <c r="R806" s="22" t="n">
        <f aca="false">IF(DAY(B806)=1,Assumptions!B41*G806,0)</f>
        <v>0</v>
      </c>
      <c r="S806" s="22" t="n">
        <f aca="false">IF(AND(DAY(B806)=1,D806&gt;=13),Assumptions!B42*G806,0)</f>
        <v>0</v>
      </c>
      <c r="T806" s="22" t="n">
        <f aca="false">IF(DAY(B806)=1,Assumptions!B43*G806,0)</f>
        <v>0</v>
      </c>
      <c r="U806" s="22" t="n">
        <f aca="false">SUM(O806:T806)</f>
        <v>0</v>
      </c>
      <c r="V806" s="22" t="n">
        <f aca="false">N806-U806</f>
        <v>18300</v>
      </c>
      <c r="W806" s="22" t="n">
        <f aca="false">W805+V806</f>
        <v>-2566986.69326254</v>
      </c>
      <c r="X806" s="23" t="str">
        <f aca="false">IF(W806&gt;=0,"YES","No")</f>
        <v>No</v>
      </c>
    </row>
    <row r="807" customFormat="false" ht="15" hidden="false" customHeight="false" outlineLevel="0" collapsed="false">
      <c r="A807" s="16" t="n">
        <v>806</v>
      </c>
      <c r="B807" s="17" t="n">
        <f aca="false">B806+1</f>
        <v>46828</v>
      </c>
      <c r="C807" s="18" t="n">
        <f aca="false">MIN(ROUNDUP(A807/365,0),5)</f>
        <v>3</v>
      </c>
      <c r="D807" s="18" t="n">
        <f aca="false">DATEDIF(Assumptions!B5,B807,"m")+1</f>
        <v>27</v>
      </c>
      <c r="E807" s="18" t="str">
        <f aca="false">TEXT(B807,"ddd")</f>
        <v>Thu</v>
      </c>
      <c r="F807" s="19" t="n">
        <f aca="false">IF(WEEKDAY(B807,2)&gt;=6,Assumptions!B34,Assumptions!B35)</f>
        <v>1</v>
      </c>
      <c r="G807" s="20" t="n">
        <f aca="false">IF(D807&gt;=13,(1+Assumptions!B46)^(D807-12),1)</f>
        <v>1.04595739629839</v>
      </c>
      <c r="H807" s="21" t="n">
        <f aca="false">H806*(1+IF(C807=1,Assumptions!B22,Assumptions!B23))</f>
        <v>22.3741546708039</v>
      </c>
      <c r="I807" s="16" t="n">
        <f aca="false">ROUND(H807*F807,0)</f>
        <v>22</v>
      </c>
      <c r="J807" s="22" t="n">
        <f aca="false">I807*Assumptions!B24</f>
        <v>13200</v>
      </c>
      <c r="K807" s="21" t="n">
        <f aca="false">K806*(1+Assumptions!B30)</f>
        <v>17.0960621826069</v>
      </c>
      <c r="L807" s="16" t="n">
        <f aca="false">ROUND(K807*F807,0)</f>
        <v>17</v>
      </c>
      <c r="M807" s="22" t="n">
        <f aca="false">L807*Assumptions!B31</f>
        <v>5100</v>
      </c>
      <c r="N807" s="22" t="n">
        <f aca="false">J807+M807</f>
        <v>18300</v>
      </c>
      <c r="O807" s="22" t="n">
        <f aca="false">IF(DAY(B807)=1,Assumptions!B38*G807,0)</f>
        <v>0</v>
      </c>
      <c r="P807" s="22" t="n">
        <f aca="false">IF(DAY(B807)=1,Assumptions!B39*G807,0)</f>
        <v>0</v>
      </c>
      <c r="Q807" s="22" t="n">
        <f aca="false">IF(DAY(B807)=1,Assumptions!B40*G807,0)</f>
        <v>0</v>
      </c>
      <c r="R807" s="22" t="n">
        <f aca="false">IF(DAY(B807)=1,Assumptions!B41*G807,0)</f>
        <v>0</v>
      </c>
      <c r="S807" s="22" t="n">
        <f aca="false">IF(AND(DAY(B807)=1,D807&gt;=13),Assumptions!B42*G807,0)</f>
        <v>0</v>
      </c>
      <c r="T807" s="22" t="n">
        <f aca="false">IF(DAY(B807)=1,Assumptions!B43*G807,0)</f>
        <v>0</v>
      </c>
      <c r="U807" s="22" t="n">
        <f aca="false">SUM(O807:T807)</f>
        <v>0</v>
      </c>
      <c r="V807" s="22" t="n">
        <f aca="false">N807-U807</f>
        <v>18300</v>
      </c>
      <c r="W807" s="22" t="n">
        <f aca="false">W806+V807</f>
        <v>-2548686.69326254</v>
      </c>
      <c r="X807" s="23" t="str">
        <f aca="false">IF(W807&gt;=0,"YES","No")</f>
        <v>No</v>
      </c>
    </row>
    <row r="808" customFormat="false" ht="15" hidden="false" customHeight="false" outlineLevel="0" collapsed="false">
      <c r="A808" s="16" t="n">
        <v>807</v>
      </c>
      <c r="B808" s="17" t="n">
        <f aca="false">B807+1</f>
        <v>46829</v>
      </c>
      <c r="C808" s="18" t="n">
        <f aca="false">MIN(ROUNDUP(A808/365,0),5)</f>
        <v>3</v>
      </c>
      <c r="D808" s="18" t="n">
        <f aca="false">DATEDIF(Assumptions!B5,B808,"m")+1</f>
        <v>27</v>
      </c>
      <c r="E808" s="18" t="str">
        <f aca="false">TEXT(B808,"ddd")</f>
        <v>Fri</v>
      </c>
      <c r="F808" s="19" t="n">
        <f aca="false">IF(WEEKDAY(B808,2)&gt;=6,Assumptions!B34,Assumptions!B35)</f>
        <v>1</v>
      </c>
      <c r="G808" s="20" t="n">
        <f aca="false">IF(D808&gt;=13,(1+Assumptions!B46)^(D808-12),1)</f>
        <v>1.04595739629839</v>
      </c>
      <c r="H808" s="21" t="n">
        <f aca="false">H807*(1+IF(C808=1,Assumptions!B22,Assumptions!B23))</f>
        <v>22.3778209378136</v>
      </c>
      <c r="I808" s="16" t="n">
        <f aca="false">ROUND(H808*F808,0)</f>
        <v>22</v>
      </c>
      <c r="J808" s="22" t="n">
        <f aca="false">I808*Assumptions!B24</f>
        <v>13200</v>
      </c>
      <c r="K808" s="21" t="n">
        <f aca="false">K807*(1+Assumptions!B30)</f>
        <v>17.1016515151083</v>
      </c>
      <c r="L808" s="16" t="n">
        <f aca="false">ROUND(K808*F808,0)</f>
        <v>17</v>
      </c>
      <c r="M808" s="22" t="n">
        <f aca="false">L808*Assumptions!B31</f>
        <v>5100</v>
      </c>
      <c r="N808" s="22" t="n">
        <f aca="false">J808+M808</f>
        <v>18300</v>
      </c>
      <c r="O808" s="22" t="n">
        <f aca="false">IF(DAY(B808)=1,Assumptions!B38*G808,0)</f>
        <v>0</v>
      </c>
      <c r="P808" s="22" t="n">
        <f aca="false">IF(DAY(B808)=1,Assumptions!B39*G808,0)</f>
        <v>0</v>
      </c>
      <c r="Q808" s="22" t="n">
        <f aca="false">IF(DAY(B808)=1,Assumptions!B40*G808,0)</f>
        <v>0</v>
      </c>
      <c r="R808" s="22" t="n">
        <f aca="false">IF(DAY(B808)=1,Assumptions!B41*G808,0)</f>
        <v>0</v>
      </c>
      <c r="S808" s="22" t="n">
        <f aca="false">IF(AND(DAY(B808)=1,D808&gt;=13),Assumptions!B42*G808,0)</f>
        <v>0</v>
      </c>
      <c r="T808" s="22" t="n">
        <f aca="false">IF(DAY(B808)=1,Assumptions!B43*G808,0)</f>
        <v>0</v>
      </c>
      <c r="U808" s="22" t="n">
        <f aca="false">SUM(O808:T808)</f>
        <v>0</v>
      </c>
      <c r="V808" s="22" t="n">
        <f aca="false">N808-U808</f>
        <v>18300</v>
      </c>
      <c r="W808" s="22" t="n">
        <f aca="false">W807+V808</f>
        <v>-2530386.69326254</v>
      </c>
      <c r="X808" s="23" t="str">
        <f aca="false">IF(W808&gt;=0,"YES","No")</f>
        <v>No</v>
      </c>
    </row>
    <row r="809" customFormat="false" ht="15" hidden="false" customHeight="false" outlineLevel="0" collapsed="false">
      <c r="A809" s="16" t="n">
        <v>808</v>
      </c>
      <c r="B809" s="17" t="n">
        <f aca="false">B808+1</f>
        <v>46830</v>
      </c>
      <c r="C809" s="18" t="n">
        <f aca="false">MIN(ROUNDUP(A809/365,0),5)</f>
        <v>3</v>
      </c>
      <c r="D809" s="18" t="n">
        <f aca="false">DATEDIF(Assumptions!B5,B809,"m")+1</f>
        <v>27</v>
      </c>
      <c r="E809" s="18" t="str">
        <f aca="false">TEXT(B809,"ddd")</f>
        <v>Sat</v>
      </c>
      <c r="F809" s="19" t="n">
        <f aca="false">IF(WEEKDAY(B809,2)&gt;=6,Assumptions!B34,Assumptions!B35)</f>
        <v>0.6</v>
      </c>
      <c r="G809" s="20" t="n">
        <f aca="false">IF(D809&gt;=13,(1+Assumptions!B46)^(D809-12),1)</f>
        <v>1.04595739629839</v>
      </c>
      <c r="H809" s="21" t="n">
        <f aca="false">H808*(1+IF(C809=1,Assumptions!B22,Assumptions!B23))</f>
        <v>22.3814878055841</v>
      </c>
      <c r="I809" s="16" t="n">
        <f aca="false">ROUND(H809*F809,0)</f>
        <v>13</v>
      </c>
      <c r="J809" s="22" t="n">
        <f aca="false">I809*Assumptions!B24</f>
        <v>7800</v>
      </c>
      <c r="K809" s="21" t="n">
        <f aca="false">K808*(1+Assumptions!B30)</f>
        <v>17.1072426749684</v>
      </c>
      <c r="L809" s="16" t="n">
        <f aca="false">ROUND(K809*F809,0)</f>
        <v>10</v>
      </c>
      <c r="M809" s="22" t="n">
        <f aca="false">L809*Assumptions!B31</f>
        <v>3000</v>
      </c>
      <c r="N809" s="22" t="n">
        <f aca="false">J809+M809</f>
        <v>10800</v>
      </c>
      <c r="O809" s="22" t="n">
        <f aca="false">IF(DAY(B809)=1,Assumptions!B38*G809,0)</f>
        <v>0</v>
      </c>
      <c r="P809" s="22" t="n">
        <f aca="false">IF(DAY(B809)=1,Assumptions!B39*G809,0)</f>
        <v>0</v>
      </c>
      <c r="Q809" s="22" t="n">
        <f aca="false">IF(DAY(B809)=1,Assumptions!B40*G809,0)</f>
        <v>0</v>
      </c>
      <c r="R809" s="22" t="n">
        <f aca="false">IF(DAY(B809)=1,Assumptions!B41*G809,0)</f>
        <v>0</v>
      </c>
      <c r="S809" s="22" t="n">
        <f aca="false">IF(AND(DAY(B809)=1,D809&gt;=13),Assumptions!B42*G809,0)</f>
        <v>0</v>
      </c>
      <c r="T809" s="22" t="n">
        <f aca="false">IF(DAY(B809)=1,Assumptions!B43*G809,0)</f>
        <v>0</v>
      </c>
      <c r="U809" s="22" t="n">
        <f aca="false">SUM(O809:T809)</f>
        <v>0</v>
      </c>
      <c r="V809" s="22" t="n">
        <f aca="false">N809-U809</f>
        <v>10800</v>
      </c>
      <c r="W809" s="22" t="n">
        <f aca="false">W808+V809</f>
        <v>-2519586.69326254</v>
      </c>
      <c r="X809" s="23" t="str">
        <f aca="false">IF(W809&gt;=0,"YES","No")</f>
        <v>No</v>
      </c>
    </row>
    <row r="810" customFormat="false" ht="15" hidden="false" customHeight="false" outlineLevel="0" collapsed="false">
      <c r="A810" s="16" t="n">
        <v>809</v>
      </c>
      <c r="B810" s="17" t="n">
        <f aca="false">B809+1</f>
        <v>46831</v>
      </c>
      <c r="C810" s="18" t="n">
        <f aca="false">MIN(ROUNDUP(A810/365,0),5)</f>
        <v>3</v>
      </c>
      <c r="D810" s="18" t="n">
        <f aca="false">DATEDIF(Assumptions!B5,B810,"m")+1</f>
        <v>27</v>
      </c>
      <c r="E810" s="18" t="str">
        <f aca="false">TEXT(B810,"ddd")</f>
        <v>Sun</v>
      </c>
      <c r="F810" s="19" t="n">
        <f aca="false">IF(WEEKDAY(B810,2)&gt;=6,Assumptions!B34,Assumptions!B35)</f>
        <v>0.6</v>
      </c>
      <c r="G810" s="20" t="n">
        <f aca="false">IF(D810&gt;=13,(1+Assumptions!B46)^(D810-12),1)</f>
        <v>1.04595739629839</v>
      </c>
      <c r="H810" s="21" t="n">
        <f aca="false">H809*(1+IF(C810=1,Assumptions!B22,Assumptions!B23))</f>
        <v>22.3851552742137</v>
      </c>
      <c r="I810" s="16" t="n">
        <f aca="false">ROUND(H810*F810,0)</f>
        <v>13</v>
      </c>
      <c r="J810" s="22" t="n">
        <f aca="false">I810*Assumptions!B24</f>
        <v>7800</v>
      </c>
      <c r="K810" s="21" t="n">
        <f aca="false">K809*(1+Assumptions!B30)</f>
        <v>17.1128356627846</v>
      </c>
      <c r="L810" s="16" t="n">
        <f aca="false">ROUND(K810*F810,0)</f>
        <v>10</v>
      </c>
      <c r="M810" s="22" t="n">
        <f aca="false">L810*Assumptions!B31</f>
        <v>3000</v>
      </c>
      <c r="N810" s="22" t="n">
        <f aca="false">J810+M810</f>
        <v>10800</v>
      </c>
      <c r="O810" s="22" t="n">
        <f aca="false">IF(DAY(B810)=1,Assumptions!B38*G810,0)</f>
        <v>0</v>
      </c>
      <c r="P810" s="22" t="n">
        <f aca="false">IF(DAY(B810)=1,Assumptions!B39*G810,0)</f>
        <v>0</v>
      </c>
      <c r="Q810" s="22" t="n">
        <f aca="false">IF(DAY(B810)=1,Assumptions!B40*G810,0)</f>
        <v>0</v>
      </c>
      <c r="R810" s="22" t="n">
        <f aca="false">IF(DAY(B810)=1,Assumptions!B41*G810,0)</f>
        <v>0</v>
      </c>
      <c r="S810" s="22" t="n">
        <f aca="false">IF(AND(DAY(B810)=1,D810&gt;=13),Assumptions!B42*G810,0)</f>
        <v>0</v>
      </c>
      <c r="T810" s="22" t="n">
        <f aca="false">IF(DAY(B810)=1,Assumptions!B43*G810,0)</f>
        <v>0</v>
      </c>
      <c r="U810" s="22" t="n">
        <f aca="false">SUM(O810:T810)</f>
        <v>0</v>
      </c>
      <c r="V810" s="22" t="n">
        <f aca="false">N810-U810</f>
        <v>10800</v>
      </c>
      <c r="W810" s="22" t="n">
        <f aca="false">W809+V810</f>
        <v>-2508786.69326254</v>
      </c>
      <c r="X810" s="23" t="str">
        <f aca="false">IF(W810&gt;=0,"YES","No")</f>
        <v>No</v>
      </c>
    </row>
    <row r="811" customFormat="false" ht="15" hidden="false" customHeight="false" outlineLevel="0" collapsed="false">
      <c r="A811" s="16" t="n">
        <v>810</v>
      </c>
      <c r="B811" s="17" t="n">
        <f aca="false">B810+1</f>
        <v>46832</v>
      </c>
      <c r="C811" s="18" t="n">
        <f aca="false">MIN(ROUNDUP(A811/365,0),5)</f>
        <v>3</v>
      </c>
      <c r="D811" s="18" t="n">
        <f aca="false">DATEDIF(Assumptions!B5,B811,"m")+1</f>
        <v>27</v>
      </c>
      <c r="E811" s="18" t="str">
        <f aca="false">TEXT(B811,"ddd")</f>
        <v>Mon</v>
      </c>
      <c r="F811" s="19" t="n">
        <f aca="false">IF(WEEKDAY(B811,2)&gt;=6,Assumptions!B34,Assumptions!B35)</f>
        <v>1</v>
      </c>
      <c r="G811" s="20" t="n">
        <f aca="false">IF(D811&gt;=13,(1+Assumptions!B46)^(D811-12),1)</f>
        <v>1.04595739629839</v>
      </c>
      <c r="H811" s="21" t="n">
        <f aca="false">H810*(1+IF(C811=1,Assumptions!B22,Assumptions!B23))</f>
        <v>22.3888233438009</v>
      </c>
      <c r="I811" s="16" t="n">
        <f aca="false">ROUND(H811*F811,0)</f>
        <v>22</v>
      </c>
      <c r="J811" s="22" t="n">
        <f aca="false">I811*Assumptions!B24</f>
        <v>13200</v>
      </c>
      <c r="K811" s="21" t="n">
        <f aca="false">K810*(1+Assumptions!B30)</f>
        <v>17.1184304791545</v>
      </c>
      <c r="L811" s="16" t="n">
        <f aca="false">ROUND(K811*F811,0)</f>
        <v>17</v>
      </c>
      <c r="M811" s="22" t="n">
        <f aca="false">L811*Assumptions!B31</f>
        <v>5100</v>
      </c>
      <c r="N811" s="22" t="n">
        <f aca="false">J811+M811</f>
        <v>18300</v>
      </c>
      <c r="O811" s="22" t="n">
        <f aca="false">IF(DAY(B811)=1,Assumptions!B38*G811,0)</f>
        <v>0</v>
      </c>
      <c r="P811" s="22" t="n">
        <f aca="false">IF(DAY(B811)=1,Assumptions!B39*G811,0)</f>
        <v>0</v>
      </c>
      <c r="Q811" s="22" t="n">
        <f aca="false">IF(DAY(B811)=1,Assumptions!B40*G811,0)</f>
        <v>0</v>
      </c>
      <c r="R811" s="22" t="n">
        <f aca="false">IF(DAY(B811)=1,Assumptions!B41*G811,0)</f>
        <v>0</v>
      </c>
      <c r="S811" s="22" t="n">
        <f aca="false">IF(AND(DAY(B811)=1,D811&gt;=13),Assumptions!B42*G811,0)</f>
        <v>0</v>
      </c>
      <c r="T811" s="22" t="n">
        <f aca="false">IF(DAY(B811)=1,Assumptions!B43*G811,0)</f>
        <v>0</v>
      </c>
      <c r="U811" s="22" t="n">
        <f aca="false">SUM(O811:T811)</f>
        <v>0</v>
      </c>
      <c r="V811" s="22" t="n">
        <f aca="false">N811-U811</f>
        <v>18300</v>
      </c>
      <c r="W811" s="22" t="n">
        <f aca="false">W810+V811</f>
        <v>-2490486.69326254</v>
      </c>
      <c r="X811" s="23" t="str">
        <f aca="false">IF(W811&gt;=0,"YES","No")</f>
        <v>No</v>
      </c>
    </row>
    <row r="812" customFormat="false" ht="15" hidden="false" customHeight="false" outlineLevel="0" collapsed="false">
      <c r="A812" s="16" t="n">
        <v>811</v>
      </c>
      <c r="B812" s="17" t="n">
        <f aca="false">B811+1</f>
        <v>46833</v>
      </c>
      <c r="C812" s="18" t="n">
        <f aca="false">MIN(ROUNDUP(A812/365,0),5)</f>
        <v>3</v>
      </c>
      <c r="D812" s="18" t="n">
        <f aca="false">DATEDIF(Assumptions!B5,B812,"m")+1</f>
        <v>27</v>
      </c>
      <c r="E812" s="18" t="str">
        <f aca="false">TEXT(B812,"ddd")</f>
        <v>Tue</v>
      </c>
      <c r="F812" s="19" t="n">
        <f aca="false">IF(WEEKDAY(B812,2)&gt;=6,Assumptions!B34,Assumptions!B35)</f>
        <v>1</v>
      </c>
      <c r="G812" s="20" t="n">
        <f aca="false">IF(D812&gt;=13,(1+Assumptions!B46)^(D812-12),1)</f>
        <v>1.04595739629839</v>
      </c>
      <c r="H812" s="21" t="n">
        <f aca="false">H811*(1+IF(C812=1,Assumptions!B22,Assumptions!B23))</f>
        <v>22.3924920144443</v>
      </c>
      <c r="I812" s="16" t="n">
        <f aca="false">ROUND(H812*F812,0)</f>
        <v>22</v>
      </c>
      <c r="J812" s="22" t="n">
        <f aca="false">I812*Assumptions!B24</f>
        <v>13200</v>
      </c>
      <c r="K812" s="21" t="n">
        <f aca="false">K811*(1+Assumptions!B30)</f>
        <v>17.124027124676</v>
      </c>
      <c r="L812" s="16" t="n">
        <f aca="false">ROUND(K812*F812,0)</f>
        <v>17</v>
      </c>
      <c r="M812" s="22" t="n">
        <f aca="false">L812*Assumptions!B31</f>
        <v>5100</v>
      </c>
      <c r="N812" s="22" t="n">
        <f aca="false">J812+M812</f>
        <v>18300</v>
      </c>
      <c r="O812" s="22" t="n">
        <f aca="false">IF(DAY(B812)=1,Assumptions!B38*G812,0)</f>
        <v>0</v>
      </c>
      <c r="P812" s="22" t="n">
        <f aca="false">IF(DAY(B812)=1,Assumptions!B39*G812,0)</f>
        <v>0</v>
      </c>
      <c r="Q812" s="22" t="n">
        <f aca="false">IF(DAY(B812)=1,Assumptions!B40*G812,0)</f>
        <v>0</v>
      </c>
      <c r="R812" s="22" t="n">
        <f aca="false">IF(DAY(B812)=1,Assumptions!B41*G812,0)</f>
        <v>0</v>
      </c>
      <c r="S812" s="22" t="n">
        <f aca="false">IF(AND(DAY(B812)=1,D812&gt;=13),Assumptions!B42*G812,0)</f>
        <v>0</v>
      </c>
      <c r="T812" s="22" t="n">
        <f aca="false">IF(DAY(B812)=1,Assumptions!B43*G812,0)</f>
        <v>0</v>
      </c>
      <c r="U812" s="22" t="n">
        <f aca="false">SUM(O812:T812)</f>
        <v>0</v>
      </c>
      <c r="V812" s="22" t="n">
        <f aca="false">N812-U812</f>
        <v>18300</v>
      </c>
      <c r="W812" s="22" t="n">
        <f aca="false">W811+V812</f>
        <v>-2472186.69326254</v>
      </c>
      <c r="X812" s="23" t="str">
        <f aca="false">IF(W812&gt;=0,"YES","No")</f>
        <v>No</v>
      </c>
    </row>
    <row r="813" customFormat="false" ht="15" hidden="false" customHeight="false" outlineLevel="0" collapsed="false">
      <c r="A813" s="16" t="n">
        <v>812</v>
      </c>
      <c r="B813" s="17" t="n">
        <f aca="false">B812+1</f>
        <v>46834</v>
      </c>
      <c r="C813" s="18" t="n">
        <f aca="false">MIN(ROUNDUP(A813/365,0),5)</f>
        <v>3</v>
      </c>
      <c r="D813" s="18" t="n">
        <f aca="false">DATEDIF(Assumptions!B5,B813,"m")+1</f>
        <v>27</v>
      </c>
      <c r="E813" s="18" t="str">
        <f aca="false">TEXT(B813,"ddd")</f>
        <v>Wed</v>
      </c>
      <c r="F813" s="19" t="n">
        <f aca="false">IF(WEEKDAY(B813,2)&gt;=6,Assumptions!B34,Assumptions!B35)</f>
        <v>1</v>
      </c>
      <c r="G813" s="20" t="n">
        <f aca="false">IF(D813&gt;=13,(1+Assumptions!B46)^(D813-12),1)</f>
        <v>1.04595739629839</v>
      </c>
      <c r="H813" s="21" t="n">
        <f aca="false">H812*(1+IF(C813=1,Assumptions!B22,Assumptions!B23))</f>
        <v>22.3961612862423</v>
      </c>
      <c r="I813" s="16" t="n">
        <f aca="false">ROUND(H813*F813,0)</f>
        <v>22</v>
      </c>
      <c r="J813" s="22" t="n">
        <f aca="false">I813*Assumptions!B24</f>
        <v>13200</v>
      </c>
      <c r="K813" s="21" t="n">
        <f aca="false">K812*(1+Assumptions!B30)</f>
        <v>17.1296255999471</v>
      </c>
      <c r="L813" s="16" t="n">
        <f aca="false">ROUND(K813*F813,0)</f>
        <v>17</v>
      </c>
      <c r="M813" s="22" t="n">
        <f aca="false">L813*Assumptions!B31</f>
        <v>5100</v>
      </c>
      <c r="N813" s="22" t="n">
        <f aca="false">J813+M813</f>
        <v>18300</v>
      </c>
      <c r="O813" s="22" t="n">
        <f aca="false">IF(DAY(B813)=1,Assumptions!B38*G813,0)</f>
        <v>0</v>
      </c>
      <c r="P813" s="22" t="n">
        <f aca="false">IF(DAY(B813)=1,Assumptions!B39*G813,0)</f>
        <v>0</v>
      </c>
      <c r="Q813" s="22" t="n">
        <f aca="false">IF(DAY(B813)=1,Assumptions!B40*G813,0)</f>
        <v>0</v>
      </c>
      <c r="R813" s="22" t="n">
        <f aca="false">IF(DAY(B813)=1,Assumptions!B41*G813,0)</f>
        <v>0</v>
      </c>
      <c r="S813" s="22" t="n">
        <f aca="false">IF(AND(DAY(B813)=1,D813&gt;=13),Assumptions!B42*G813,0)</f>
        <v>0</v>
      </c>
      <c r="T813" s="22" t="n">
        <f aca="false">IF(DAY(B813)=1,Assumptions!B43*G813,0)</f>
        <v>0</v>
      </c>
      <c r="U813" s="22" t="n">
        <f aca="false">SUM(O813:T813)</f>
        <v>0</v>
      </c>
      <c r="V813" s="22" t="n">
        <f aca="false">N813-U813</f>
        <v>18300</v>
      </c>
      <c r="W813" s="22" t="n">
        <f aca="false">W812+V813</f>
        <v>-2453886.69326254</v>
      </c>
      <c r="X813" s="23" t="str">
        <f aca="false">IF(W813&gt;=0,"YES","No")</f>
        <v>No</v>
      </c>
    </row>
    <row r="814" customFormat="false" ht="15" hidden="false" customHeight="false" outlineLevel="0" collapsed="false">
      <c r="A814" s="16" t="n">
        <v>813</v>
      </c>
      <c r="B814" s="17" t="n">
        <f aca="false">B813+1</f>
        <v>46835</v>
      </c>
      <c r="C814" s="18" t="n">
        <f aca="false">MIN(ROUNDUP(A814/365,0),5)</f>
        <v>3</v>
      </c>
      <c r="D814" s="18" t="n">
        <f aca="false">DATEDIF(Assumptions!B5,B814,"m")+1</f>
        <v>27</v>
      </c>
      <c r="E814" s="18" t="str">
        <f aca="false">TEXT(B814,"ddd")</f>
        <v>Thu</v>
      </c>
      <c r="F814" s="19" t="n">
        <f aca="false">IF(WEEKDAY(B814,2)&gt;=6,Assumptions!B34,Assumptions!B35)</f>
        <v>1</v>
      </c>
      <c r="G814" s="20" t="n">
        <f aca="false">IF(D814&gt;=13,(1+Assumptions!B46)^(D814-12),1)</f>
        <v>1.04595739629839</v>
      </c>
      <c r="H814" s="21" t="n">
        <f aca="false">H813*(1+IF(C814=1,Assumptions!B22,Assumptions!B23))</f>
        <v>22.3998311592934</v>
      </c>
      <c r="I814" s="16" t="n">
        <f aca="false">ROUND(H814*F814,0)</f>
        <v>22</v>
      </c>
      <c r="J814" s="22" t="n">
        <f aca="false">I814*Assumptions!B24</f>
        <v>13200</v>
      </c>
      <c r="K814" s="21" t="n">
        <f aca="false">K813*(1+Assumptions!B30)</f>
        <v>17.135225905566</v>
      </c>
      <c r="L814" s="16" t="n">
        <f aca="false">ROUND(K814*F814,0)</f>
        <v>17</v>
      </c>
      <c r="M814" s="22" t="n">
        <f aca="false">L814*Assumptions!B31</f>
        <v>5100</v>
      </c>
      <c r="N814" s="22" t="n">
        <f aca="false">J814+M814</f>
        <v>18300</v>
      </c>
      <c r="O814" s="22" t="n">
        <f aca="false">IF(DAY(B814)=1,Assumptions!B38*G814,0)</f>
        <v>0</v>
      </c>
      <c r="P814" s="22" t="n">
        <f aca="false">IF(DAY(B814)=1,Assumptions!B39*G814,0)</f>
        <v>0</v>
      </c>
      <c r="Q814" s="22" t="n">
        <f aca="false">IF(DAY(B814)=1,Assumptions!B40*G814,0)</f>
        <v>0</v>
      </c>
      <c r="R814" s="22" t="n">
        <f aca="false">IF(DAY(B814)=1,Assumptions!B41*G814,0)</f>
        <v>0</v>
      </c>
      <c r="S814" s="22" t="n">
        <f aca="false">IF(AND(DAY(B814)=1,D814&gt;=13),Assumptions!B42*G814,0)</f>
        <v>0</v>
      </c>
      <c r="T814" s="22" t="n">
        <f aca="false">IF(DAY(B814)=1,Assumptions!B43*G814,0)</f>
        <v>0</v>
      </c>
      <c r="U814" s="22" t="n">
        <f aca="false">SUM(O814:T814)</f>
        <v>0</v>
      </c>
      <c r="V814" s="22" t="n">
        <f aca="false">N814-U814</f>
        <v>18300</v>
      </c>
      <c r="W814" s="22" t="n">
        <f aca="false">W813+V814</f>
        <v>-2435586.69326254</v>
      </c>
      <c r="X814" s="23" t="str">
        <f aca="false">IF(W814&gt;=0,"YES","No")</f>
        <v>No</v>
      </c>
    </row>
    <row r="815" customFormat="false" ht="15" hidden="false" customHeight="false" outlineLevel="0" collapsed="false">
      <c r="A815" s="16" t="n">
        <v>814</v>
      </c>
      <c r="B815" s="17" t="n">
        <f aca="false">B814+1</f>
        <v>46836</v>
      </c>
      <c r="C815" s="18" t="n">
        <f aca="false">MIN(ROUNDUP(A815/365,0),5)</f>
        <v>3</v>
      </c>
      <c r="D815" s="18" t="n">
        <f aca="false">DATEDIF(Assumptions!B5,B815,"m")+1</f>
        <v>27</v>
      </c>
      <c r="E815" s="18" t="str">
        <f aca="false">TEXT(B815,"ddd")</f>
        <v>Fri</v>
      </c>
      <c r="F815" s="19" t="n">
        <f aca="false">IF(WEEKDAY(B815,2)&gt;=6,Assumptions!B34,Assumptions!B35)</f>
        <v>1</v>
      </c>
      <c r="G815" s="20" t="n">
        <f aca="false">IF(D815&gt;=13,(1+Assumptions!B46)^(D815-12),1)</f>
        <v>1.04595739629839</v>
      </c>
      <c r="H815" s="21" t="n">
        <f aca="false">H814*(1+IF(C815=1,Assumptions!B22,Assumptions!B23))</f>
        <v>22.4035016336961</v>
      </c>
      <c r="I815" s="16" t="n">
        <f aca="false">ROUND(H815*F815,0)</f>
        <v>22</v>
      </c>
      <c r="J815" s="22" t="n">
        <f aca="false">I815*Assumptions!B24</f>
        <v>13200</v>
      </c>
      <c r="K815" s="21" t="n">
        <f aca="false">K814*(1+Assumptions!B30)</f>
        <v>17.1408280421311</v>
      </c>
      <c r="L815" s="16" t="n">
        <f aca="false">ROUND(K815*F815,0)</f>
        <v>17</v>
      </c>
      <c r="M815" s="22" t="n">
        <f aca="false">L815*Assumptions!B31</f>
        <v>5100</v>
      </c>
      <c r="N815" s="22" t="n">
        <f aca="false">J815+M815</f>
        <v>18300</v>
      </c>
      <c r="O815" s="22" t="n">
        <f aca="false">IF(DAY(B815)=1,Assumptions!B38*G815,0)</f>
        <v>0</v>
      </c>
      <c r="P815" s="22" t="n">
        <f aca="false">IF(DAY(B815)=1,Assumptions!B39*G815,0)</f>
        <v>0</v>
      </c>
      <c r="Q815" s="22" t="n">
        <f aca="false">IF(DAY(B815)=1,Assumptions!B40*G815,0)</f>
        <v>0</v>
      </c>
      <c r="R815" s="22" t="n">
        <f aca="false">IF(DAY(B815)=1,Assumptions!B41*G815,0)</f>
        <v>0</v>
      </c>
      <c r="S815" s="22" t="n">
        <f aca="false">IF(AND(DAY(B815)=1,D815&gt;=13),Assumptions!B42*G815,0)</f>
        <v>0</v>
      </c>
      <c r="T815" s="22" t="n">
        <f aca="false">IF(DAY(B815)=1,Assumptions!B43*G815,0)</f>
        <v>0</v>
      </c>
      <c r="U815" s="22" t="n">
        <f aca="false">SUM(O815:T815)</f>
        <v>0</v>
      </c>
      <c r="V815" s="22" t="n">
        <f aca="false">N815-U815</f>
        <v>18300</v>
      </c>
      <c r="W815" s="22" t="n">
        <f aca="false">W814+V815</f>
        <v>-2417286.69326254</v>
      </c>
      <c r="X815" s="23" t="str">
        <f aca="false">IF(W815&gt;=0,"YES","No")</f>
        <v>No</v>
      </c>
    </row>
    <row r="816" customFormat="false" ht="15" hidden="false" customHeight="false" outlineLevel="0" collapsed="false">
      <c r="A816" s="16" t="n">
        <v>815</v>
      </c>
      <c r="B816" s="17" t="n">
        <f aca="false">B815+1</f>
        <v>46837</v>
      </c>
      <c r="C816" s="18" t="n">
        <f aca="false">MIN(ROUNDUP(A816/365,0),5)</f>
        <v>3</v>
      </c>
      <c r="D816" s="18" t="n">
        <f aca="false">DATEDIF(Assumptions!B5,B816,"m")+1</f>
        <v>27</v>
      </c>
      <c r="E816" s="18" t="str">
        <f aca="false">TEXT(B816,"ddd")</f>
        <v>Sat</v>
      </c>
      <c r="F816" s="19" t="n">
        <f aca="false">IF(WEEKDAY(B816,2)&gt;=6,Assumptions!B34,Assumptions!B35)</f>
        <v>0.6</v>
      </c>
      <c r="G816" s="20" t="n">
        <f aca="false">IF(D816&gt;=13,(1+Assumptions!B46)^(D816-12),1)</f>
        <v>1.04595739629839</v>
      </c>
      <c r="H816" s="21" t="n">
        <f aca="false">H815*(1+IF(C816=1,Assumptions!B22,Assumptions!B23))</f>
        <v>22.407172709549</v>
      </c>
      <c r="I816" s="16" t="n">
        <f aca="false">ROUND(H816*F816,0)</f>
        <v>13</v>
      </c>
      <c r="J816" s="22" t="n">
        <f aca="false">I816*Assumptions!B24</f>
        <v>7800</v>
      </c>
      <c r="K816" s="21" t="n">
        <f aca="false">K815*(1+Assumptions!B30)</f>
        <v>17.1464320102411</v>
      </c>
      <c r="L816" s="16" t="n">
        <f aca="false">ROUND(K816*F816,0)</f>
        <v>10</v>
      </c>
      <c r="M816" s="22" t="n">
        <f aca="false">L816*Assumptions!B31</f>
        <v>3000</v>
      </c>
      <c r="N816" s="22" t="n">
        <f aca="false">J816+M816</f>
        <v>10800</v>
      </c>
      <c r="O816" s="22" t="n">
        <f aca="false">IF(DAY(B816)=1,Assumptions!B38*G816,0)</f>
        <v>0</v>
      </c>
      <c r="P816" s="22" t="n">
        <f aca="false">IF(DAY(B816)=1,Assumptions!B39*G816,0)</f>
        <v>0</v>
      </c>
      <c r="Q816" s="22" t="n">
        <f aca="false">IF(DAY(B816)=1,Assumptions!B40*G816,0)</f>
        <v>0</v>
      </c>
      <c r="R816" s="22" t="n">
        <f aca="false">IF(DAY(B816)=1,Assumptions!B41*G816,0)</f>
        <v>0</v>
      </c>
      <c r="S816" s="22" t="n">
        <f aca="false">IF(AND(DAY(B816)=1,D816&gt;=13),Assumptions!B42*G816,0)</f>
        <v>0</v>
      </c>
      <c r="T816" s="22" t="n">
        <f aca="false">IF(DAY(B816)=1,Assumptions!B43*G816,0)</f>
        <v>0</v>
      </c>
      <c r="U816" s="22" t="n">
        <f aca="false">SUM(O816:T816)</f>
        <v>0</v>
      </c>
      <c r="V816" s="22" t="n">
        <f aca="false">N816-U816</f>
        <v>10800</v>
      </c>
      <c r="W816" s="22" t="n">
        <f aca="false">W815+V816</f>
        <v>-2406486.69326254</v>
      </c>
      <c r="X816" s="23" t="str">
        <f aca="false">IF(W816&gt;=0,"YES","No")</f>
        <v>No</v>
      </c>
    </row>
    <row r="817" customFormat="false" ht="15" hidden="false" customHeight="false" outlineLevel="0" collapsed="false">
      <c r="A817" s="16" t="n">
        <v>816</v>
      </c>
      <c r="B817" s="17" t="n">
        <f aca="false">B816+1</f>
        <v>46838</v>
      </c>
      <c r="C817" s="18" t="n">
        <f aca="false">MIN(ROUNDUP(A817/365,0),5)</f>
        <v>3</v>
      </c>
      <c r="D817" s="18" t="n">
        <f aca="false">DATEDIF(Assumptions!B5,B817,"m")+1</f>
        <v>27</v>
      </c>
      <c r="E817" s="18" t="str">
        <f aca="false">TEXT(B817,"ddd")</f>
        <v>Sun</v>
      </c>
      <c r="F817" s="19" t="n">
        <f aca="false">IF(WEEKDAY(B817,2)&gt;=6,Assumptions!B34,Assumptions!B35)</f>
        <v>0.6</v>
      </c>
      <c r="G817" s="20" t="n">
        <f aca="false">IF(D817&gt;=13,(1+Assumptions!B46)^(D817-12),1)</f>
        <v>1.04595739629839</v>
      </c>
      <c r="H817" s="21" t="n">
        <f aca="false">H816*(1+IF(C817=1,Assumptions!B22,Assumptions!B23))</f>
        <v>22.4108443869506</v>
      </c>
      <c r="I817" s="16" t="n">
        <f aca="false">ROUND(H817*F817,0)</f>
        <v>13</v>
      </c>
      <c r="J817" s="22" t="n">
        <f aca="false">I817*Assumptions!B24</f>
        <v>7800</v>
      </c>
      <c r="K817" s="21" t="n">
        <f aca="false">K816*(1+Assumptions!B30)</f>
        <v>17.1520378104946</v>
      </c>
      <c r="L817" s="16" t="n">
        <f aca="false">ROUND(K817*F817,0)</f>
        <v>10</v>
      </c>
      <c r="M817" s="22" t="n">
        <f aca="false">L817*Assumptions!B31</f>
        <v>3000</v>
      </c>
      <c r="N817" s="22" t="n">
        <f aca="false">J817+M817</f>
        <v>10800</v>
      </c>
      <c r="O817" s="22" t="n">
        <f aca="false">IF(DAY(B817)=1,Assumptions!B38*G817,0)</f>
        <v>0</v>
      </c>
      <c r="P817" s="22" t="n">
        <f aca="false">IF(DAY(B817)=1,Assumptions!B39*G817,0)</f>
        <v>0</v>
      </c>
      <c r="Q817" s="22" t="n">
        <f aca="false">IF(DAY(B817)=1,Assumptions!B40*G817,0)</f>
        <v>0</v>
      </c>
      <c r="R817" s="22" t="n">
        <f aca="false">IF(DAY(B817)=1,Assumptions!B41*G817,0)</f>
        <v>0</v>
      </c>
      <c r="S817" s="22" t="n">
        <f aca="false">IF(AND(DAY(B817)=1,D817&gt;=13),Assumptions!B42*G817,0)</f>
        <v>0</v>
      </c>
      <c r="T817" s="22" t="n">
        <f aca="false">IF(DAY(B817)=1,Assumptions!B43*G817,0)</f>
        <v>0</v>
      </c>
      <c r="U817" s="22" t="n">
        <f aca="false">SUM(O817:T817)</f>
        <v>0</v>
      </c>
      <c r="V817" s="22" t="n">
        <f aca="false">N817-U817</f>
        <v>10800</v>
      </c>
      <c r="W817" s="22" t="n">
        <f aca="false">W816+V817</f>
        <v>-2395686.69326254</v>
      </c>
      <c r="X817" s="23" t="str">
        <f aca="false">IF(W817&gt;=0,"YES","No")</f>
        <v>No</v>
      </c>
    </row>
    <row r="818" customFormat="false" ht="15" hidden="false" customHeight="false" outlineLevel="0" collapsed="false">
      <c r="A818" s="16" t="n">
        <v>817</v>
      </c>
      <c r="B818" s="17" t="n">
        <f aca="false">B817+1</f>
        <v>46839</v>
      </c>
      <c r="C818" s="18" t="n">
        <f aca="false">MIN(ROUNDUP(A818/365,0),5)</f>
        <v>3</v>
      </c>
      <c r="D818" s="18" t="n">
        <f aca="false">DATEDIF(Assumptions!B5,B818,"m")+1</f>
        <v>27</v>
      </c>
      <c r="E818" s="18" t="str">
        <f aca="false">TEXT(B818,"ddd")</f>
        <v>Mon</v>
      </c>
      <c r="F818" s="19" t="n">
        <f aca="false">IF(WEEKDAY(B818,2)&gt;=6,Assumptions!B34,Assumptions!B35)</f>
        <v>1</v>
      </c>
      <c r="G818" s="20" t="n">
        <f aca="false">IF(D818&gt;=13,(1+Assumptions!B46)^(D818-12),1)</f>
        <v>1.04595739629839</v>
      </c>
      <c r="H818" s="21" t="n">
        <f aca="false">H817*(1+IF(C818=1,Assumptions!B22,Assumptions!B23))</f>
        <v>22.4145166659995</v>
      </c>
      <c r="I818" s="16" t="n">
        <f aca="false">ROUND(H818*F818,0)</f>
        <v>22</v>
      </c>
      <c r="J818" s="22" t="n">
        <f aca="false">I818*Assumptions!B24</f>
        <v>13200</v>
      </c>
      <c r="K818" s="21" t="n">
        <f aca="false">K817*(1+Assumptions!B30)</f>
        <v>17.1576454434907</v>
      </c>
      <c r="L818" s="16" t="n">
        <f aca="false">ROUND(K818*F818,0)</f>
        <v>17</v>
      </c>
      <c r="M818" s="22" t="n">
        <f aca="false">L818*Assumptions!B31</f>
        <v>5100</v>
      </c>
      <c r="N818" s="22" t="n">
        <f aca="false">J818+M818</f>
        <v>18300</v>
      </c>
      <c r="O818" s="22" t="n">
        <f aca="false">IF(DAY(B818)=1,Assumptions!B38*G818,0)</f>
        <v>0</v>
      </c>
      <c r="P818" s="22" t="n">
        <f aca="false">IF(DAY(B818)=1,Assumptions!B39*G818,0)</f>
        <v>0</v>
      </c>
      <c r="Q818" s="22" t="n">
        <f aca="false">IF(DAY(B818)=1,Assumptions!B40*G818,0)</f>
        <v>0</v>
      </c>
      <c r="R818" s="22" t="n">
        <f aca="false">IF(DAY(B818)=1,Assumptions!B41*G818,0)</f>
        <v>0</v>
      </c>
      <c r="S818" s="22" t="n">
        <f aca="false">IF(AND(DAY(B818)=1,D818&gt;=13),Assumptions!B42*G818,0)</f>
        <v>0</v>
      </c>
      <c r="T818" s="22" t="n">
        <f aca="false">IF(DAY(B818)=1,Assumptions!B43*G818,0)</f>
        <v>0</v>
      </c>
      <c r="U818" s="22" t="n">
        <f aca="false">SUM(O818:T818)</f>
        <v>0</v>
      </c>
      <c r="V818" s="22" t="n">
        <f aca="false">N818-U818</f>
        <v>18300</v>
      </c>
      <c r="W818" s="22" t="n">
        <f aca="false">W817+V818</f>
        <v>-2377386.69326254</v>
      </c>
      <c r="X818" s="23" t="str">
        <f aca="false">IF(W818&gt;=0,"YES","No")</f>
        <v>No</v>
      </c>
    </row>
    <row r="819" customFormat="false" ht="15" hidden="false" customHeight="false" outlineLevel="0" collapsed="false">
      <c r="A819" s="16" t="n">
        <v>818</v>
      </c>
      <c r="B819" s="17" t="n">
        <f aca="false">B818+1</f>
        <v>46840</v>
      </c>
      <c r="C819" s="18" t="n">
        <f aca="false">MIN(ROUNDUP(A819/365,0),5)</f>
        <v>3</v>
      </c>
      <c r="D819" s="18" t="n">
        <f aca="false">DATEDIF(Assumptions!B5,B819,"m")+1</f>
        <v>27</v>
      </c>
      <c r="E819" s="18" t="str">
        <f aca="false">TEXT(B819,"ddd")</f>
        <v>Tue</v>
      </c>
      <c r="F819" s="19" t="n">
        <f aca="false">IF(WEEKDAY(B819,2)&gt;=6,Assumptions!B34,Assumptions!B35)</f>
        <v>1</v>
      </c>
      <c r="G819" s="20" t="n">
        <f aca="false">IF(D819&gt;=13,(1+Assumptions!B46)^(D819-12),1)</f>
        <v>1.04595739629839</v>
      </c>
      <c r="H819" s="21" t="n">
        <f aca="false">H818*(1+IF(C819=1,Assumptions!B22,Assumptions!B23))</f>
        <v>22.4181895467944</v>
      </c>
      <c r="I819" s="16" t="n">
        <f aca="false">ROUND(H819*F819,0)</f>
        <v>22</v>
      </c>
      <c r="J819" s="22" t="n">
        <f aca="false">I819*Assumptions!B24</f>
        <v>13200</v>
      </c>
      <c r="K819" s="21" t="n">
        <f aca="false">K818*(1+Assumptions!B30)</f>
        <v>17.1632549098286</v>
      </c>
      <c r="L819" s="16" t="n">
        <f aca="false">ROUND(K819*F819,0)</f>
        <v>17</v>
      </c>
      <c r="M819" s="22" t="n">
        <f aca="false">L819*Assumptions!B31</f>
        <v>5100</v>
      </c>
      <c r="N819" s="22" t="n">
        <f aca="false">J819+M819</f>
        <v>18300</v>
      </c>
      <c r="O819" s="22" t="n">
        <f aca="false">IF(DAY(B819)=1,Assumptions!B38*G819,0)</f>
        <v>0</v>
      </c>
      <c r="P819" s="22" t="n">
        <f aca="false">IF(DAY(B819)=1,Assumptions!B39*G819,0)</f>
        <v>0</v>
      </c>
      <c r="Q819" s="22" t="n">
        <f aca="false">IF(DAY(B819)=1,Assumptions!B40*G819,0)</f>
        <v>0</v>
      </c>
      <c r="R819" s="22" t="n">
        <f aca="false">IF(DAY(B819)=1,Assumptions!B41*G819,0)</f>
        <v>0</v>
      </c>
      <c r="S819" s="22" t="n">
        <f aca="false">IF(AND(DAY(B819)=1,D819&gt;=13),Assumptions!B42*G819,0)</f>
        <v>0</v>
      </c>
      <c r="T819" s="22" t="n">
        <f aca="false">IF(DAY(B819)=1,Assumptions!B43*G819,0)</f>
        <v>0</v>
      </c>
      <c r="U819" s="22" t="n">
        <f aca="false">SUM(O819:T819)</f>
        <v>0</v>
      </c>
      <c r="V819" s="22" t="n">
        <f aca="false">N819-U819</f>
        <v>18300</v>
      </c>
      <c r="W819" s="22" t="n">
        <f aca="false">W818+V819</f>
        <v>-2359086.69326254</v>
      </c>
      <c r="X819" s="23" t="str">
        <f aca="false">IF(W819&gt;=0,"YES","No")</f>
        <v>No</v>
      </c>
    </row>
    <row r="820" customFormat="false" ht="15" hidden="false" customHeight="false" outlineLevel="0" collapsed="false">
      <c r="A820" s="16" t="n">
        <v>819</v>
      </c>
      <c r="B820" s="17" t="n">
        <f aca="false">B819+1</f>
        <v>46841</v>
      </c>
      <c r="C820" s="18" t="n">
        <f aca="false">MIN(ROUNDUP(A820/365,0),5)</f>
        <v>3</v>
      </c>
      <c r="D820" s="18" t="n">
        <f aca="false">DATEDIF(Assumptions!B5,B820,"m")+1</f>
        <v>27</v>
      </c>
      <c r="E820" s="18" t="str">
        <f aca="false">TEXT(B820,"ddd")</f>
        <v>Wed</v>
      </c>
      <c r="F820" s="19" t="n">
        <f aca="false">IF(WEEKDAY(B820,2)&gt;=6,Assumptions!B34,Assumptions!B35)</f>
        <v>1</v>
      </c>
      <c r="G820" s="20" t="n">
        <f aca="false">IF(D820&gt;=13,(1+Assumptions!B46)^(D820-12),1)</f>
        <v>1.04595739629839</v>
      </c>
      <c r="H820" s="21" t="n">
        <f aca="false">H819*(1+IF(C820=1,Assumptions!B22,Assumptions!B23))</f>
        <v>22.4218630294337</v>
      </c>
      <c r="I820" s="16" t="n">
        <f aca="false">ROUND(H820*F820,0)</f>
        <v>22</v>
      </c>
      <c r="J820" s="22" t="n">
        <f aca="false">I820*Assumptions!B24</f>
        <v>13200</v>
      </c>
      <c r="K820" s="21" t="n">
        <f aca="false">K819*(1+Assumptions!B30)</f>
        <v>17.1688662101078</v>
      </c>
      <c r="L820" s="16" t="n">
        <f aca="false">ROUND(K820*F820,0)</f>
        <v>17</v>
      </c>
      <c r="M820" s="22" t="n">
        <f aca="false">L820*Assumptions!B31</f>
        <v>5100</v>
      </c>
      <c r="N820" s="22" t="n">
        <f aca="false">J820+M820</f>
        <v>18300</v>
      </c>
      <c r="O820" s="22" t="n">
        <f aca="false">IF(DAY(B820)=1,Assumptions!B38*G820,0)</f>
        <v>0</v>
      </c>
      <c r="P820" s="22" t="n">
        <f aca="false">IF(DAY(B820)=1,Assumptions!B39*G820,0)</f>
        <v>0</v>
      </c>
      <c r="Q820" s="22" t="n">
        <f aca="false">IF(DAY(B820)=1,Assumptions!B40*G820,0)</f>
        <v>0</v>
      </c>
      <c r="R820" s="22" t="n">
        <f aca="false">IF(DAY(B820)=1,Assumptions!B41*G820,0)</f>
        <v>0</v>
      </c>
      <c r="S820" s="22" t="n">
        <f aca="false">IF(AND(DAY(B820)=1,D820&gt;=13),Assumptions!B42*G820,0)</f>
        <v>0</v>
      </c>
      <c r="T820" s="22" t="n">
        <f aca="false">IF(DAY(B820)=1,Assumptions!B43*G820,0)</f>
        <v>0</v>
      </c>
      <c r="U820" s="22" t="n">
        <f aca="false">SUM(O820:T820)</f>
        <v>0</v>
      </c>
      <c r="V820" s="22" t="n">
        <f aca="false">N820-U820</f>
        <v>18300</v>
      </c>
      <c r="W820" s="22" t="n">
        <f aca="false">W819+V820</f>
        <v>-2340786.69326254</v>
      </c>
      <c r="X820" s="23" t="str">
        <f aca="false">IF(W820&gt;=0,"YES","No")</f>
        <v>No</v>
      </c>
    </row>
    <row r="821" customFormat="false" ht="15" hidden="false" customHeight="false" outlineLevel="0" collapsed="false">
      <c r="A821" s="16" t="n">
        <v>820</v>
      </c>
      <c r="B821" s="17" t="n">
        <f aca="false">B820+1</f>
        <v>46842</v>
      </c>
      <c r="C821" s="18" t="n">
        <f aca="false">MIN(ROUNDUP(A821/365,0),5)</f>
        <v>3</v>
      </c>
      <c r="D821" s="18" t="n">
        <f aca="false">DATEDIF(Assumptions!B5,B821,"m")+1</f>
        <v>27</v>
      </c>
      <c r="E821" s="18" t="str">
        <f aca="false">TEXT(B821,"ddd")</f>
        <v>Thu</v>
      </c>
      <c r="F821" s="19" t="n">
        <f aca="false">IF(WEEKDAY(B821,2)&gt;=6,Assumptions!B34,Assumptions!B35)</f>
        <v>1</v>
      </c>
      <c r="G821" s="20" t="n">
        <f aca="false">IF(D821&gt;=13,(1+Assumptions!B46)^(D821-12),1)</f>
        <v>1.04595739629839</v>
      </c>
      <c r="H821" s="21" t="n">
        <f aca="false">H820*(1+IF(C821=1,Assumptions!B22,Assumptions!B23))</f>
        <v>22.4255371140161</v>
      </c>
      <c r="I821" s="16" t="n">
        <f aca="false">ROUND(H821*F821,0)</f>
        <v>22</v>
      </c>
      <c r="J821" s="22" t="n">
        <f aca="false">I821*Assumptions!B24</f>
        <v>13200</v>
      </c>
      <c r="K821" s="21" t="n">
        <f aca="false">K820*(1+Assumptions!B30)</f>
        <v>17.1744793449276</v>
      </c>
      <c r="L821" s="16" t="n">
        <f aca="false">ROUND(K821*F821,0)</f>
        <v>17</v>
      </c>
      <c r="M821" s="22" t="n">
        <f aca="false">L821*Assumptions!B31</f>
        <v>5100</v>
      </c>
      <c r="N821" s="22" t="n">
        <f aca="false">J821+M821</f>
        <v>18300</v>
      </c>
      <c r="O821" s="22" t="n">
        <f aca="false">IF(DAY(B821)=1,Assumptions!B38*G821,0)</f>
        <v>0</v>
      </c>
      <c r="P821" s="22" t="n">
        <f aca="false">IF(DAY(B821)=1,Assumptions!B39*G821,0)</f>
        <v>0</v>
      </c>
      <c r="Q821" s="22" t="n">
        <f aca="false">IF(DAY(B821)=1,Assumptions!B40*G821,0)</f>
        <v>0</v>
      </c>
      <c r="R821" s="22" t="n">
        <f aca="false">IF(DAY(B821)=1,Assumptions!B41*G821,0)</f>
        <v>0</v>
      </c>
      <c r="S821" s="22" t="n">
        <f aca="false">IF(AND(DAY(B821)=1,D821&gt;=13),Assumptions!B42*G821,0)</f>
        <v>0</v>
      </c>
      <c r="T821" s="22" t="n">
        <f aca="false">IF(DAY(B821)=1,Assumptions!B43*G821,0)</f>
        <v>0</v>
      </c>
      <c r="U821" s="22" t="n">
        <f aca="false">SUM(O821:T821)</f>
        <v>0</v>
      </c>
      <c r="V821" s="22" t="n">
        <f aca="false">N821-U821</f>
        <v>18300</v>
      </c>
      <c r="W821" s="22" t="n">
        <f aca="false">W820+V821</f>
        <v>-2322486.69326254</v>
      </c>
      <c r="X821" s="23" t="str">
        <f aca="false">IF(W821&gt;=0,"YES","No")</f>
        <v>No</v>
      </c>
    </row>
    <row r="822" customFormat="false" ht="15" hidden="false" customHeight="false" outlineLevel="0" collapsed="false">
      <c r="A822" s="16" t="n">
        <v>821</v>
      </c>
      <c r="B822" s="17" t="n">
        <f aca="false">B821+1</f>
        <v>46843</v>
      </c>
      <c r="C822" s="18" t="n">
        <f aca="false">MIN(ROUNDUP(A822/365,0),5)</f>
        <v>3</v>
      </c>
      <c r="D822" s="18" t="n">
        <f aca="false">DATEDIF(Assumptions!B5,B822,"m")+1</f>
        <v>27</v>
      </c>
      <c r="E822" s="18" t="str">
        <f aca="false">TEXT(B822,"ddd")</f>
        <v>Fri</v>
      </c>
      <c r="F822" s="19" t="n">
        <f aca="false">IF(WEEKDAY(B822,2)&gt;=6,Assumptions!B34,Assumptions!B35)</f>
        <v>1</v>
      </c>
      <c r="G822" s="20" t="n">
        <f aca="false">IF(D822&gt;=13,(1+Assumptions!B46)^(D822-12),1)</f>
        <v>1.04595739629839</v>
      </c>
      <c r="H822" s="21" t="n">
        <f aca="false">H821*(1+IF(C822=1,Assumptions!B22,Assumptions!B23))</f>
        <v>22.4292118006402</v>
      </c>
      <c r="I822" s="16" t="n">
        <f aca="false">ROUND(H822*F822,0)</f>
        <v>22</v>
      </c>
      <c r="J822" s="22" t="n">
        <f aca="false">I822*Assumptions!B24</f>
        <v>13200</v>
      </c>
      <c r="K822" s="21" t="n">
        <f aca="false">K821*(1+Assumptions!B30)</f>
        <v>17.1800943148881</v>
      </c>
      <c r="L822" s="16" t="n">
        <f aca="false">ROUND(K822*F822,0)</f>
        <v>17</v>
      </c>
      <c r="M822" s="22" t="n">
        <f aca="false">L822*Assumptions!B31</f>
        <v>5100</v>
      </c>
      <c r="N822" s="22" t="n">
        <f aca="false">J822+M822</f>
        <v>18300</v>
      </c>
      <c r="O822" s="22" t="n">
        <f aca="false">IF(DAY(B822)=1,Assumptions!B38*G822,0)</f>
        <v>0</v>
      </c>
      <c r="P822" s="22" t="n">
        <f aca="false">IF(DAY(B822)=1,Assumptions!B39*G822,0)</f>
        <v>0</v>
      </c>
      <c r="Q822" s="22" t="n">
        <f aca="false">IF(DAY(B822)=1,Assumptions!B40*G822,0)</f>
        <v>0</v>
      </c>
      <c r="R822" s="22" t="n">
        <f aca="false">IF(DAY(B822)=1,Assumptions!B41*G822,0)</f>
        <v>0</v>
      </c>
      <c r="S822" s="22" t="n">
        <f aca="false">IF(AND(DAY(B822)=1,D822&gt;=13),Assumptions!B42*G822,0)</f>
        <v>0</v>
      </c>
      <c r="T822" s="22" t="n">
        <f aca="false">IF(DAY(B822)=1,Assumptions!B43*G822,0)</f>
        <v>0</v>
      </c>
      <c r="U822" s="22" t="n">
        <f aca="false">SUM(O822:T822)</f>
        <v>0</v>
      </c>
      <c r="V822" s="22" t="n">
        <f aca="false">N822-U822</f>
        <v>18300</v>
      </c>
      <c r="W822" s="22" t="n">
        <f aca="false">W821+V822</f>
        <v>-2304186.69326254</v>
      </c>
      <c r="X822" s="23" t="str">
        <f aca="false">IF(W822&gt;=0,"YES","No")</f>
        <v>No</v>
      </c>
    </row>
    <row r="823" customFormat="false" ht="15" hidden="false" customHeight="false" outlineLevel="0" collapsed="false">
      <c r="A823" s="16" t="n">
        <v>822</v>
      </c>
      <c r="B823" s="17" t="n">
        <f aca="false">B822+1</f>
        <v>46844</v>
      </c>
      <c r="C823" s="18" t="n">
        <f aca="false">MIN(ROUNDUP(A823/365,0),5)</f>
        <v>3</v>
      </c>
      <c r="D823" s="18" t="n">
        <f aca="false">DATEDIF(Assumptions!B5,B823,"m")+1</f>
        <v>28</v>
      </c>
      <c r="E823" s="18" t="str">
        <f aca="false">TEXT(B823,"ddd")</f>
        <v>Sat</v>
      </c>
      <c r="F823" s="19" t="n">
        <f aca="false">IF(WEEKDAY(B823,2)&gt;=6,Assumptions!B34,Assumptions!B35)</f>
        <v>0.6</v>
      </c>
      <c r="G823" s="20" t="n">
        <f aca="false">IF(D823&gt;=13,(1+Assumptions!B46)^(D823-12),1)</f>
        <v>1.04909526848729</v>
      </c>
      <c r="H823" s="21" t="n">
        <f aca="false">H822*(1+IF(C823=1,Assumptions!B22,Assumptions!B23))</f>
        <v>22.4328870894048</v>
      </c>
      <c r="I823" s="16" t="n">
        <f aca="false">ROUND(H823*F823,0)</f>
        <v>13</v>
      </c>
      <c r="J823" s="22" t="n">
        <f aca="false">I823*Assumptions!B24</f>
        <v>7800</v>
      </c>
      <c r="K823" s="21" t="n">
        <f aca="false">K822*(1+Assumptions!B30)</f>
        <v>17.185711120589</v>
      </c>
      <c r="L823" s="16" t="n">
        <f aca="false">ROUND(K823*F823,0)</f>
        <v>10</v>
      </c>
      <c r="M823" s="22" t="n">
        <f aca="false">L823*Assumptions!B31</f>
        <v>3000</v>
      </c>
      <c r="N823" s="22" t="n">
        <f aca="false">J823+M823</f>
        <v>10800</v>
      </c>
      <c r="O823" s="22" t="n">
        <f aca="false">IF(DAY(B823)=1,Assumptions!B38*G823,0)</f>
        <v>157364.290273093</v>
      </c>
      <c r="P823" s="22" t="n">
        <f aca="false">IF(DAY(B823)=1,Assumptions!B39*G823,0)</f>
        <v>41963.8107394914</v>
      </c>
      <c r="Q823" s="22" t="n">
        <f aca="false">IF(DAY(B823)=1,Assumptions!B40*G823,0)</f>
        <v>31472.8580546186</v>
      </c>
      <c r="R823" s="22" t="n">
        <f aca="false">IF(DAY(B823)=1,Assumptions!B41*G823,0)</f>
        <v>20981.9053697457</v>
      </c>
      <c r="S823" s="22" t="n">
        <f aca="false">IF(AND(DAY(B823)=1,D823&gt;=13),Assumptions!B42*G823,0)</f>
        <v>157364.290273093</v>
      </c>
      <c r="T823" s="22" t="n">
        <f aca="false">IF(DAY(B823)=1,Assumptions!B43*G823,0)</f>
        <v>20981.9053697457</v>
      </c>
      <c r="U823" s="22" t="n">
        <f aca="false">SUM(O823:T823)</f>
        <v>430129.060079787</v>
      </c>
      <c r="V823" s="22" t="n">
        <f aca="false">N823-U823</f>
        <v>-419329.060079787</v>
      </c>
      <c r="W823" s="22" t="n">
        <f aca="false">W822+V823</f>
        <v>-2723515.75334233</v>
      </c>
      <c r="X823" s="23" t="str">
        <f aca="false">IF(W823&gt;=0,"YES","No")</f>
        <v>No</v>
      </c>
    </row>
    <row r="824" customFormat="false" ht="15" hidden="false" customHeight="false" outlineLevel="0" collapsed="false">
      <c r="A824" s="16" t="n">
        <v>823</v>
      </c>
      <c r="B824" s="17" t="n">
        <f aca="false">B823+1</f>
        <v>46845</v>
      </c>
      <c r="C824" s="18" t="n">
        <f aca="false">MIN(ROUNDUP(A824/365,0),5)</f>
        <v>3</v>
      </c>
      <c r="D824" s="18" t="n">
        <f aca="false">DATEDIF(Assumptions!B5,B824,"m")+1</f>
        <v>28</v>
      </c>
      <c r="E824" s="18" t="str">
        <f aca="false">TEXT(B824,"ddd")</f>
        <v>Sun</v>
      </c>
      <c r="F824" s="19" t="n">
        <f aca="false">IF(WEEKDAY(B824,2)&gt;=6,Assumptions!B34,Assumptions!B35)</f>
        <v>0.6</v>
      </c>
      <c r="G824" s="20" t="n">
        <f aca="false">IF(D824&gt;=13,(1+Assumptions!B46)^(D824-12),1)</f>
        <v>1.04909526848729</v>
      </c>
      <c r="H824" s="21" t="n">
        <f aca="false">H823*(1+IF(C824=1,Assumptions!B22,Assumptions!B23))</f>
        <v>22.4365629804084</v>
      </c>
      <c r="I824" s="16" t="n">
        <f aca="false">ROUND(H824*F824,0)</f>
        <v>13</v>
      </c>
      <c r="J824" s="22" t="n">
        <f aca="false">I824*Assumptions!B24</f>
        <v>7800</v>
      </c>
      <c r="K824" s="21" t="n">
        <f aca="false">K823*(1+Assumptions!B30)</f>
        <v>17.1913297626306</v>
      </c>
      <c r="L824" s="16" t="n">
        <f aca="false">ROUND(K824*F824,0)</f>
        <v>10</v>
      </c>
      <c r="M824" s="22" t="n">
        <f aca="false">L824*Assumptions!B31</f>
        <v>3000</v>
      </c>
      <c r="N824" s="22" t="n">
        <f aca="false">J824+M824</f>
        <v>10800</v>
      </c>
      <c r="O824" s="22" t="n">
        <f aca="false">IF(DAY(B824)=1,Assumptions!B38*G824,0)</f>
        <v>0</v>
      </c>
      <c r="P824" s="22" t="n">
        <f aca="false">IF(DAY(B824)=1,Assumptions!B39*G824,0)</f>
        <v>0</v>
      </c>
      <c r="Q824" s="22" t="n">
        <f aca="false">IF(DAY(B824)=1,Assumptions!B40*G824,0)</f>
        <v>0</v>
      </c>
      <c r="R824" s="22" t="n">
        <f aca="false">IF(DAY(B824)=1,Assumptions!B41*G824,0)</f>
        <v>0</v>
      </c>
      <c r="S824" s="22" t="n">
        <f aca="false">IF(AND(DAY(B824)=1,D824&gt;=13),Assumptions!B42*G824,0)</f>
        <v>0</v>
      </c>
      <c r="T824" s="22" t="n">
        <f aca="false">IF(DAY(B824)=1,Assumptions!B43*G824,0)</f>
        <v>0</v>
      </c>
      <c r="U824" s="22" t="n">
        <f aca="false">SUM(O824:T824)</f>
        <v>0</v>
      </c>
      <c r="V824" s="22" t="n">
        <f aca="false">N824-U824</f>
        <v>10800</v>
      </c>
      <c r="W824" s="22" t="n">
        <f aca="false">W823+V824</f>
        <v>-2712715.75334233</v>
      </c>
      <c r="X824" s="23" t="str">
        <f aca="false">IF(W824&gt;=0,"YES","No")</f>
        <v>No</v>
      </c>
    </row>
    <row r="825" customFormat="false" ht="15" hidden="false" customHeight="false" outlineLevel="0" collapsed="false">
      <c r="A825" s="16" t="n">
        <v>824</v>
      </c>
      <c r="B825" s="17" t="n">
        <f aca="false">B824+1</f>
        <v>46846</v>
      </c>
      <c r="C825" s="18" t="n">
        <f aca="false">MIN(ROUNDUP(A825/365,0),5)</f>
        <v>3</v>
      </c>
      <c r="D825" s="18" t="n">
        <f aca="false">DATEDIF(Assumptions!B5,B825,"m")+1</f>
        <v>28</v>
      </c>
      <c r="E825" s="18" t="str">
        <f aca="false">TEXT(B825,"ddd")</f>
        <v>Mon</v>
      </c>
      <c r="F825" s="19" t="n">
        <f aca="false">IF(WEEKDAY(B825,2)&gt;=6,Assumptions!B34,Assumptions!B35)</f>
        <v>1</v>
      </c>
      <c r="G825" s="20" t="n">
        <f aca="false">IF(D825&gt;=13,(1+Assumptions!B46)^(D825-12),1)</f>
        <v>1.04909526848729</v>
      </c>
      <c r="H825" s="21" t="n">
        <f aca="false">H824*(1+IF(C825=1,Assumptions!B22,Assumptions!B23))</f>
        <v>22.4402394737497</v>
      </c>
      <c r="I825" s="16" t="n">
        <f aca="false">ROUND(H825*F825,0)</f>
        <v>22</v>
      </c>
      <c r="J825" s="22" t="n">
        <f aca="false">I825*Assumptions!B24</f>
        <v>13200</v>
      </c>
      <c r="K825" s="21" t="n">
        <f aca="false">K824*(1+Assumptions!B30)</f>
        <v>17.1969502416133</v>
      </c>
      <c r="L825" s="16" t="n">
        <f aca="false">ROUND(K825*F825,0)</f>
        <v>17</v>
      </c>
      <c r="M825" s="22" t="n">
        <f aca="false">L825*Assumptions!B31</f>
        <v>5100</v>
      </c>
      <c r="N825" s="22" t="n">
        <f aca="false">J825+M825</f>
        <v>18300</v>
      </c>
      <c r="O825" s="22" t="n">
        <f aca="false">IF(DAY(B825)=1,Assumptions!B38*G825,0)</f>
        <v>0</v>
      </c>
      <c r="P825" s="22" t="n">
        <f aca="false">IF(DAY(B825)=1,Assumptions!B39*G825,0)</f>
        <v>0</v>
      </c>
      <c r="Q825" s="22" t="n">
        <f aca="false">IF(DAY(B825)=1,Assumptions!B40*G825,0)</f>
        <v>0</v>
      </c>
      <c r="R825" s="22" t="n">
        <f aca="false">IF(DAY(B825)=1,Assumptions!B41*G825,0)</f>
        <v>0</v>
      </c>
      <c r="S825" s="22" t="n">
        <f aca="false">IF(AND(DAY(B825)=1,D825&gt;=13),Assumptions!B42*G825,0)</f>
        <v>0</v>
      </c>
      <c r="T825" s="22" t="n">
        <f aca="false">IF(DAY(B825)=1,Assumptions!B43*G825,0)</f>
        <v>0</v>
      </c>
      <c r="U825" s="22" t="n">
        <f aca="false">SUM(O825:T825)</f>
        <v>0</v>
      </c>
      <c r="V825" s="22" t="n">
        <f aca="false">N825-U825</f>
        <v>18300</v>
      </c>
      <c r="W825" s="22" t="n">
        <f aca="false">W824+V825</f>
        <v>-2694415.75334233</v>
      </c>
      <c r="X825" s="23" t="str">
        <f aca="false">IF(W825&gt;=0,"YES","No")</f>
        <v>No</v>
      </c>
    </row>
    <row r="826" customFormat="false" ht="15" hidden="false" customHeight="false" outlineLevel="0" collapsed="false">
      <c r="A826" s="16" t="n">
        <v>825</v>
      </c>
      <c r="B826" s="17" t="n">
        <f aca="false">B825+1</f>
        <v>46847</v>
      </c>
      <c r="C826" s="18" t="n">
        <f aca="false">MIN(ROUNDUP(A826/365,0),5)</f>
        <v>3</v>
      </c>
      <c r="D826" s="18" t="n">
        <f aca="false">DATEDIF(Assumptions!B5,B826,"m")+1</f>
        <v>28</v>
      </c>
      <c r="E826" s="18" t="str">
        <f aca="false">TEXT(B826,"ddd")</f>
        <v>Tue</v>
      </c>
      <c r="F826" s="19" t="n">
        <f aca="false">IF(WEEKDAY(B826,2)&gt;=6,Assumptions!B34,Assumptions!B35)</f>
        <v>1</v>
      </c>
      <c r="G826" s="20" t="n">
        <f aca="false">IF(D826&gt;=13,(1+Assumptions!B46)^(D826-12),1)</f>
        <v>1.04909526848729</v>
      </c>
      <c r="H826" s="21" t="n">
        <f aca="false">H825*(1+IF(C826=1,Assumptions!B22,Assumptions!B23))</f>
        <v>22.4439165695275</v>
      </c>
      <c r="I826" s="16" t="n">
        <f aca="false">ROUND(H826*F826,0)</f>
        <v>22</v>
      </c>
      <c r="J826" s="22" t="n">
        <f aca="false">I826*Assumptions!B24</f>
        <v>13200</v>
      </c>
      <c r="K826" s="21" t="n">
        <f aca="false">K825*(1+Assumptions!B30)</f>
        <v>17.2025725581377</v>
      </c>
      <c r="L826" s="16" t="n">
        <f aca="false">ROUND(K826*F826,0)</f>
        <v>17</v>
      </c>
      <c r="M826" s="22" t="n">
        <f aca="false">L826*Assumptions!B31</f>
        <v>5100</v>
      </c>
      <c r="N826" s="22" t="n">
        <f aca="false">J826+M826</f>
        <v>18300</v>
      </c>
      <c r="O826" s="22" t="n">
        <f aca="false">IF(DAY(B826)=1,Assumptions!B38*G826,0)</f>
        <v>0</v>
      </c>
      <c r="P826" s="22" t="n">
        <f aca="false">IF(DAY(B826)=1,Assumptions!B39*G826,0)</f>
        <v>0</v>
      </c>
      <c r="Q826" s="22" t="n">
        <f aca="false">IF(DAY(B826)=1,Assumptions!B40*G826,0)</f>
        <v>0</v>
      </c>
      <c r="R826" s="22" t="n">
        <f aca="false">IF(DAY(B826)=1,Assumptions!B41*G826,0)</f>
        <v>0</v>
      </c>
      <c r="S826" s="22" t="n">
        <f aca="false">IF(AND(DAY(B826)=1,D826&gt;=13),Assumptions!B42*G826,0)</f>
        <v>0</v>
      </c>
      <c r="T826" s="22" t="n">
        <f aca="false">IF(DAY(B826)=1,Assumptions!B43*G826,0)</f>
        <v>0</v>
      </c>
      <c r="U826" s="22" t="n">
        <f aca="false">SUM(O826:T826)</f>
        <v>0</v>
      </c>
      <c r="V826" s="22" t="n">
        <f aca="false">N826-U826</f>
        <v>18300</v>
      </c>
      <c r="W826" s="22" t="n">
        <f aca="false">W825+V826</f>
        <v>-2676115.75334233</v>
      </c>
      <c r="X826" s="23" t="str">
        <f aca="false">IF(W826&gt;=0,"YES","No")</f>
        <v>No</v>
      </c>
    </row>
    <row r="827" customFormat="false" ht="15" hidden="false" customHeight="false" outlineLevel="0" collapsed="false">
      <c r="A827" s="16" t="n">
        <v>826</v>
      </c>
      <c r="B827" s="17" t="n">
        <f aca="false">B826+1</f>
        <v>46848</v>
      </c>
      <c r="C827" s="18" t="n">
        <f aca="false">MIN(ROUNDUP(A827/365,0),5)</f>
        <v>3</v>
      </c>
      <c r="D827" s="18" t="n">
        <f aca="false">DATEDIF(Assumptions!B5,B827,"m")+1</f>
        <v>28</v>
      </c>
      <c r="E827" s="18" t="str">
        <f aca="false">TEXT(B827,"ddd")</f>
        <v>Wed</v>
      </c>
      <c r="F827" s="19" t="n">
        <f aca="false">IF(WEEKDAY(B827,2)&gt;=6,Assumptions!B34,Assumptions!B35)</f>
        <v>1</v>
      </c>
      <c r="G827" s="20" t="n">
        <f aca="false">IF(D827&gt;=13,(1+Assumptions!B46)^(D827-12),1)</f>
        <v>1.04909526848729</v>
      </c>
      <c r="H827" s="21" t="n">
        <f aca="false">H826*(1+IF(C827=1,Assumptions!B22,Assumptions!B23))</f>
        <v>22.4475942678405</v>
      </c>
      <c r="I827" s="16" t="n">
        <f aca="false">ROUND(H827*F827,0)</f>
        <v>22</v>
      </c>
      <c r="J827" s="22" t="n">
        <f aca="false">I827*Assumptions!B24</f>
        <v>13200</v>
      </c>
      <c r="K827" s="21" t="n">
        <f aca="false">K826*(1+Assumptions!B30)</f>
        <v>17.2081967128044</v>
      </c>
      <c r="L827" s="16" t="n">
        <f aca="false">ROUND(K827*F827,0)</f>
        <v>17</v>
      </c>
      <c r="M827" s="22" t="n">
        <f aca="false">L827*Assumptions!B31</f>
        <v>5100</v>
      </c>
      <c r="N827" s="22" t="n">
        <f aca="false">J827+M827</f>
        <v>18300</v>
      </c>
      <c r="O827" s="22" t="n">
        <f aca="false">IF(DAY(B827)=1,Assumptions!B38*G827,0)</f>
        <v>0</v>
      </c>
      <c r="P827" s="22" t="n">
        <f aca="false">IF(DAY(B827)=1,Assumptions!B39*G827,0)</f>
        <v>0</v>
      </c>
      <c r="Q827" s="22" t="n">
        <f aca="false">IF(DAY(B827)=1,Assumptions!B40*G827,0)</f>
        <v>0</v>
      </c>
      <c r="R827" s="22" t="n">
        <f aca="false">IF(DAY(B827)=1,Assumptions!B41*G827,0)</f>
        <v>0</v>
      </c>
      <c r="S827" s="22" t="n">
        <f aca="false">IF(AND(DAY(B827)=1,D827&gt;=13),Assumptions!B42*G827,0)</f>
        <v>0</v>
      </c>
      <c r="T827" s="22" t="n">
        <f aca="false">IF(DAY(B827)=1,Assumptions!B43*G827,0)</f>
        <v>0</v>
      </c>
      <c r="U827" s="22" t="n">
        <f aca="false">SUM(O827:T827)</f>
        <v>0</v>
      </c>
      <c r="V827" s="22" t="n">
        <f aca="false">N827-U827</f>
        <v>18300</v>
      </c>
      <c r="W827" s="22" t="n">
        <f aca="false">W826+V827</f>
        <v>-2657815.75334233</v>
      </c>
      <c r="X827" s="23" t="str">
        <f aca="false">IF(W827&gt;=0,"YES","No")</f>
        <v>No</v>
      </c>
    </row>
    <row r="828" customFormat="false" ht="15" hidden="false" customHeight="false" outlineLevel="0" collapsed="false">
      <c r="A828" s="16" t="n">
        <v>827</v>
      </c>
      <c r="B828" s="17" t="n">
        <f aca="false">B827+1</f>
        <v>46849</v>
      </c>
      <c r="C828" s="18" t="n">
        <f aca="false">MIN(ROUNDUP(A828/365,0),5)</f>
        <v>3</v>
      </c>
      <c r="D828" s="18" t="n">
        <f aca="false">DATEDIF(Assumptions!B5,B828,"m")+1</f>
        <v>28</v>
      </c>
      <c r="E828" s="18" t="str">
        <f aca="false">TEXT(B828,"ddd")</f>
        <v>Thu</v>
      </c>
      <c r="F828" s="19" t="n">
        <f aca="false">IF(WEEKDAY(B828,2)&gt;=6,Assumptions!B34,Assumptions!B35)</f>
        <v>1</v>
      </c>
      <c r="G828" s="20" t="n">
        <f aca="false">IF(D828&gt;=13,(1+Assumptions!B46)^(D828-12),1)</f>
        <v>1.04909526848729</v>
      </c>
      <c r="H828" s="21" t="n">
        <f aca="false">H827*(1+IF(C828=1,Assumptions!B22,Assumptions!B23))</f>
        <v>22.4512725687874</v>
      </c>
      <c r="I828" s="16" t="n">
        <f aca="false">ROUND(H828*F828,0)</f>
        <v>22</v>
      </c>
      <c r="J828" s="22" t="n">
        <f aca="false">I828*Assumptions!B24</f>
        <v>13200</v>
      </c>
      <c r="K828" s="21" t="n">
        <f aca="false">K827*(1+Assumptions!B30)</f>
        <v>17.2138227062144</v>
      </c>
      <c r="L828" s="16" t="n">
        <f aca="false">ROUND(K828*F828,0)</f>
        <v>17</v>
      </c>
      <c r="M828" s="22" t="n">
        <f aca="false">L828*Assumptions!B31</f>
        <v>5100</v>
      </c>
      <c r="N828" s="22" t="n">
        <f aca="false">J828+M828</f>
        <v>18300</v>
      </c>
      <c r="O828" s="22" t="n">
        <f aca="false">IF(DAY(B828)=1,Assumptions!B38*G828,0)</f>
        <v>0</v>
      </c>
      <c r="P828" s="22" t="n">
        <f aca="false">IF(DAY(B828)=1,Assumptions!B39*G828,0)</f>
        <v>0</v>
      </c>
      <c r="Q828" s="22" t="n">
        <f aca="false">IF(DAY(B828)=1,Assumptions!B40*G828,0)</f>
        <v>0</v>
      </c>
      <c r="R828" s="22" t="n">
        <f aca="false">IF(DAY(B828)=1,Assumptions!B41*G828,0)</f>
        <v>0</v>
      </c>
      <c r="S828" s="22" t="n">
        <f aca="false">IF(AND(DAY(B828)=1,D828&gt;=13),Assumptions!B42*G828,0)</f>
        <v>0</v>
      </c>
      <c r="T828" s="22" t="n">
        <f aca="false">IF(DAY(B828)=1,Assumptions!B43*G828,0)</f>
        <v>0</v>
      </c>
      <c r="U828" s="22" t="n">
        <f aca="false">SUM(O828:T828)</f>
        <v>0</v>
      </c>
      <c r="V828" s="22" t="n">
        <f aca="false">N828-U828</f>
        <v>18300</v>
      </c>
      <c r="W828" s="22" t="n">
        <f aca="false">W827+V828</f>
        <v>-2639515.75334233</v>
      </c>
      <c r="X828" s="23" t="str">
        <f aca="false">IF(W828&gt;=0,"YES","No")</f>
        <v>No</v>
      </c>
    </row>
    <row r="829" customFormat="false" ht="15" hidden="false" customHeight="false" outlineLevel="0" collapsed="false">
      <c r="A829" s="16" t="n">
        <v>828</v>
      </c>
      <c r="B829" s="17" t="n">
        <f aca="false">B828+1</f>
        <v>46850</v>
      </c>
      <c r="C829" s="18" t="n">
        <f aca="false">MIN(ROUNDUP(A829/365,0),5)</f>
        <v>3</v>
      </c>
      <c r="D829" s="18" t="n">
        <f aca="false">DATEDIF(Assumptions!B5,B829,"m")+1</f>
        <v>28</v>
      </c>
      <c r="E829" s="18" t="str">
        <f aca="false">TEXT(B829,"ddd")</f>
        <v>Fri</v>
      </c>
      <c r="F829" s="19" t="n">
        <f aca="false">IF(WEEKDAY(B829,2)&gt;=6,Assumptions!B34,Assumptions!B35)</f>
        <v>1</v>
      </c>
      <c r="G829" s="20" t="n">
        <f aca="false">IF(D829&gt;=13,(1+Assumptions!B46)^(D829-12),1)</f>
        <v>1.04909526848729</v>
      </c>
      <c r="H829" s="21" t="n">
        <f aca="false">H828*(1+IF(C829=1,Assumptions!B22,Assumptions!B23))</f>
        <v>22.4549514724669</v>
      </c>
      <c r="I829" s="16" t="n">
        <f aca="false">ROUND(H829*F829,0)</f>
        <v>22</v>
      </c>
      <c r="J829" s="22" t="n">
        <f aca="false">I829*Assumptions!B24</f>
        <v>13200</v>
      </c>
      <c r="K829" s="21" t="n">
        <f aca="false">K828*(1+Assumptions!B30)</f>
        <v>17.219450538969</v>
      </c>
      <c r="L829" s="16" t="n">
        <f aca="false">ROUND(K829*F829,0)</f>
        <v>17</v>
      </c>
      <c r="M829" s="22" t="n">
        <f aca="false">L829*Assumptions!B31</f>
        <v>5100</v>
      </c>
      <c r="N829" s="22" t="n">
        <f aca="false">J829+M829</f>
        <v>18300</v>
      </c>
      <c r="O829" s="22" t="n">
        <f aca="false">IF(DAY(B829)=1,Assumptions!B38*G829,0)</f>
        <v>0</v>
      </c>
      <c r="P829" s="22" t="n">
        <f aca="false">IF(DAY(B829)=1,Assumptions!B39*G829,0)</f>
        <v>0</v>
      </c>
      <c r="Q829" s="22" t="n">
        <f aca="false">IF(DAY(B829)=1,Assumptions!B40*G829,0)</f>
        <v>0</v>
      </c>
      <c r="R829" s="22" t="n">
        <f aca="false">IF(DAY(B829)=1,Assumptions!B41*G829,0)</f>
        <v>0</v>
      </c>
      <c r="S829" s="22" t="n">
        <f aca="false">IF(AND(DAY(B829)=1,D829&gt;=13),Assumptions!B42*G829,0)</f>
        <v>0</v>
      </c>
      <c r="T829" s="22" t="n">
        <f aca="false">IF(DAY(B829)=1,Assumptions!B43*G829,0)</f>
        <v>0</v>
      </c>
      <c r="U829" s="22" t="n">
        <f aca="false">SUM(O829:T829)</f>
        <v>0</v>
      </c>
      <c r="V829" s="22" t="n">
        <f aca="false">N829-U829</f>
        <v>18300</v>
      </c>
      <c r="W829" s="22" t="n">
        <f aca="false">W828+V829</f>
        <v>-2621215.75334233</v>
      </c>
      <c r="X829" s="23" t="str">
        <f aca="false">IF(W829&gt;=0,"YES","No")</f>
        <v>No</v>
      </c>
    </row>
    <row r="830" customFormat="false" ht="15" hidden="false" customHeight="false" outlineLevel="0" collapsed="false">
      <c r="A830" s="16" t="n">
        <v>829</v>
      </c>
      <c r="B830" s="17" t="n">
        <f aca="false">B829+1</f>
        <v>46851</v>
      </c>
      <c r="C830" s="18" t="n">
        <f aca="false">MIN(ROUNDUP(A830/365,0),5)</f>
        <v>3</v>
      </c>
      <c r="D830" s="18" t="n">
        <f aca="false">DATEDIF(Assumptions!B5,B830,"m")+1</f>
        <v>28</v>
      </c>
      <c r="E830" s="18" t="str">
        <f aca="false">TEXT(B830,"ddd")</f>
        <v>Sat</v>
      </c>
      <c r="F830" s="19" t="n">
        <f aca="false">IF(WEEKDAY(B830,2)&gt;=6,Assumptions!B34,Assumptions!B35)</f>
        <v>0.6</v>
      </c>
      <c r="G830" s="20" t="n">
        <f aca="false">IF(D830&gt;=13,(1+Assumptions!B46)^(D830-12),1)</f>
        <v>1.04909526848729</v>
      </c>
      <c r="H830" s="21" t="n">
        <f aca="false">H829*(1+IF(C830=1,Assumptions!B22,Assumptions!B23))</f>
        <v>22.4586309789778</v>
      </c>
      <c r="I830" s="16" t="n">
        <f aca="false">ROUND(H830*F830,0)</f>
        <v>13</v>
      </c>
      <c r="J830" s="22" t="n">
        <f aca="false">I830*Assumptions!B24</f>
        <v>7800</v>
      </c>
      <c r="K830" s="21" t="n">
        <f aca="false">K829*(1+Assumptions!B30)</f>
        <v>17.2250802116693</v>
      </c>
      <c r="L830" s="16" t="n">
        <f aca="false">ROUND(K830*F830,0)</f>
        <v>10</v>
      </c>
      <c r="M830" s="22" t="n">
        <f aca="false">L830*Assumptions!B31</f>
        <v>3000</v>
      </c>
      <c r="N830" s="22" t="n">
        <f aca="false">J830+M830</f>
        <v>10800</v>
      </c>
      <c r="O830" s="22" t="n">
        <f aca="false">IF(DAY(B830)=1,Assumptions!B38*G830,0)</f>
        <v>0</v>
      </c>
      <c r="P830" s="22" t="n">
        <f aca="false">IF(DAY(B830)=1,Assumptions!B39*G830,0)</f>
        <v>0</v>
      </c>
      <c r="Q830" s="22" t="n">
        <f aca="false">IF(DAY(B830)=1,Assumptions!B40*G830,0)</f>
        <v>0</v>
      </c>
      <c r="R830" s="22" t="n">
        <f aca="false">IF(DAY(B830)=1,Assumptions!B41*G830,0)</f>
        <v>0</v>
      </c>
      <c r="S830" s="22" t="n">
        <f aca="false">IF(AND(DAY(B830)=1,D830&gt;=13),Assumptions!B42*G830,0)</f>
        <v>0</v>
      </c>
      <c r="T830" s="22" t="n">
        <f aca="false">IF(DAY(B830)=1,Assumptions!B43*G830,0)</f>
        <v>0</v>
      </c>
      <c r="U830" s="22" t="n">
        <f aca="false">SUM(O830:T830)</f>
        <v>0</v>
      </c>
      <c r="V830" s="22" t="n">
        <f aca="false">N830-U830</f>
        <v>10800</v>
      </c>
      <c r="W830" s="22" t="n">
        <f aca="false">W829+V830</f>
        <v>-2610415.75334233</v>
      </c>
      <c r="X830" s="23" t="str">
        <f aca="false">IF(W830&gt;=0,"YES","No")</f>
        <v>No</v>
      </c>
    </row>
    <row r="831" customFormat="false" ht="15" hidden="false" customHeight="false" outlineLevel="0" collapsed="false">
      <c r="A831" s="16" t="n">
        <v>830</v>
      </c>
      <c r="B831" s="17" t="n">
        <f aca="false">B830+1</f>
        <v>46852</v>
      </c>
      <c r="C831" s="18" t="n">
        <f aca="false">MIN(ROUNDUP(A831/365,0),5)</f>
        <v>3</v>
      </c>
      <c r="D831" s="18" t="n">
        <f aca="false">DATEDIF(Assumptions!B5,B831,"m")+1</f>
        <v>28</v>
      </c>
      <c r="E831" s="18" t="str">
        <f aca="false">TEXT(B831,"ddd")</f>
        <v>Sun</v>
      </c>
      <c r="F831" s="19" t="n">
        <f aca="false">IF(WEEKDAY(B831,2)&gt;=6,Assumptions!B34,Assumptions!B35)</f>
        <v>0.6</v>
      </c>
      <c r="G831" s="20" t="n">
        <f aca="false">IF(D831&gt;=13,(1+Assumptions!B46)^(D831-12),1)</f>
        <v>1.04909526848729</v>
      </c>
      <c r="H831" s="21" t="n">
        <f aca="false">H830*(1+IF(C831=1,Assumptions!B22,Assumptions!B23))</f>
        <v>22.4623110884189</v>
      </c>
      <c r="I831" s="16" t="n">
        <f aca="false">ROUND(H831*F831,0)</f>
        <v>13</v>
      </c>
      <c r="J831" s="22" t="n">
        <f aca="false">I831*Assumptions!B24</f>
        <v>7800</v>
      </c>
      <c r="K831" s="21" t="n">
        <f aca="false">K830*(1+Assumptions!B30)</f>
        <v>17.2307117249171</v>
      </c>
      <c r="L831" s="16" t="n">
        <f aca="false">ROUND(K831*F831,0)</f>
        <v>10</v>
      </c>
      <c r="M831" s="22" t="n">
        <f aca="false">L831*Assumptions!B31</f>
        <v>3000</v>
      </c>
      <c r="N831" s="22" t="n">
        <f aca="false">J831+M831</f>
        <v>10800</v>
      </c>
      <c r="O831" s="22" t="n">
        <f aca="false">IF(DAY(B831)=1,Assumptions!B38*G831,0)</f>
        <v>0</v>
      </c>
      <c r="P831" s="22" t="n">
        <f aca="false">IF(DAY(B831)=1,Assumptions!B39*G831,0)</f>
        <v>0</v>
      </c>
      <c r="Q831" s="22" t="n">
        <f aca="false">IF(DAY(B831)=1,Assumptions!B40*G831,0)</f>
        <v>0</v>
      </c>
      <c r="R831" s="22" t="n">
        <f aca="false">IF(DAY(B831)=1,Assumptions!B41*G831,0)</f>
        <v>0</v>
      </c>
      <c r="S831" s="22" t="n">
        <f aca="false">IF(AND(DAY(B831)=1,D831&gt;=13),Assumptions!B42*G831,0)</f>
        <v>0</v>
      </c>
      <c r="T831" s="22" t="n">
        <f aca="false">IF(DAY(B831)=1,Assumptions!B43*G831,0)</f>
        <v>0</v>
      </c>
      <c r="U831" s="22" t="n">
        <f aca="false">SUM(O831:T831)</f>
        <v>0</v>
      </c>
      <c r="V831" s="22" t="n">
        <f aca="false">N831-U831</f>
        <v>10800</v>
      </c>
      <c r="W831" s="22" t="n">
        <f aca="false">W830+V831</f>
        <v>-2599615.75334233</v>
      </c>
      <c r="X831" s="23" t="str">
        <f aca="false">IF(W831&gt;=0,"YES","No")</f>
        <v>No</v>
      </c>
    </row>
    <row r="832" customFormat="false" ht="15" hidden="false" customHeight="false" outlineLevel="0" collapsed="false">
      <c r="A832" s="16" t="n">
        <v>831</v>
      </c>
      <c r="B832" s="17" t="n">
        <f aca="false">B831+1</f>
        <v>46853</v>
      </c>
      <c r="C832" s="18" t="n">
        <f aca="false">MIN(ROUNDUP(A832/365,0),5)</f>
        <v>3</v>
      </c>
      <c r="D832" s="18" t="n">
        <f aca="false">DATEDIF(Assumptions!B5,B832,"m")+1</f>
        <v>28</v>
      </c>
      <c r="E832" s="18" t="str">
        <f aca="false">TEXT(B832,"ddd")</f>
        <v>Mon</v>
      </c>
      <c r="F832" s="19" t="n">
        <f aca="false">IF(WEEKDAY(B832,2)&gt;=6,Assumptions!B34,Assumptions!B35)</f>
        <v>1</v>
      </c>
      <c r="G832" s="20" t="n">
        <f aca="false">IF(D832&gt;=13,(1+Assumptions!B46)^(D832-12),1)</f>
        <v>1.04909526848729</v>
      </c>
      <c r="H832" s="21" t="n">
        <f aca="false">H831*(1+IF(C832=1,Assumptions!B22,Assumptions!B23))</f>
        <v>22.465991800889</v>
      </c>
      <c r="I832" s="16" t="n">
        <f aca="false">ROUND(H832*F832,0)</f>
        <v>22</v>
      </c>
      <c r="J832" s="22" t="n">
        <f aca="false">I832*Assumptions!B24</f>
        <v>13200</v>
      </c>
      <c r="K832" s="21" t="n">
        <f aca="false">K831*(1+Assumptions!B30)</f>
        <v>17.236345079314</v>
      </c>
      <c r="L832" s="16" t="n">
        <f aca="false">ROUND(K832*F832,0)</f>
        <v>17</v>
      </c>
      <c r="M832" s="22" t="n">
        <f aca="false">L832*Assumptions!B31</f>
        <v>5100</v>
      </c>
      <c r="N832" s="22" t="n">
        <f aca="false">J832+M832</f>
        <v>18300</v>
      </c>
      <c r="O832" s="22" t="n">
        <f aca="false">IF(DAY(B832)=1,Assumptions!B38*G832,0)</f>
        <v>0</v>
      </c>
      <c r="P832" s="22" t="n">
        <f aca="false">IF(DAY(B832)=1,Assumptions!B39*G832,0)</f>
        <v>0</v>
      </c>
      <c r="Q832" s="22" t="n">
        <f aca="false">IF(DAY(B832)=1,Assumptions!B40*G832,0)</f>
        <v>0</v>
      </c>
      <c r="R832" s="22" t="n">
        <f aca="false">IF(DAY(B832)=1,Assumptions!B41*G832,0)</f>
        <v>0</v>
      </c>
      <c r="S832" s="22" t="n">
        <f aca="false">IF(AND(DAY(B832)=1,D832&gt;=13),Assumptions!B42*G832,0)</f>
        <v>0</v>
      </c>
      <c r="T832" s="22" t="n">
        <f aca="false">IF(DAY(B832)=1,Assumptions!B43*G832,0)</f>
        <v>0</v>
      </c>
      <c r="U832" s="22" t="n">
        <f aca="false">SUM(O832:T832)</f>
        <v>0</v>
      </c>
      <c r="V832" s="22" t="n">
        <f aca="false">N832-U832</f>
        <v>18300</v>
      </c>
      <c r="W832" s="22" t="n">
        <f aca="false">W831+V832</f>
        <v>-2581315.75334233</v>
      </c>
      <c r="X832" s="23" t="str">
        <f aca="false">IF(W832&gt;=0,"YES","No")</f>
        <v>No</v>
      </c>
    </row>
    <row r="833" customFormat="false" ht="15" hidden="false" customHeight="false" outlineLevel="0" collapsed="false">
      <c r="A833" s="16" t="n">
        <v>832</v>
      </c>
      <c r="B833" s="17" t="n">
        <f aca="false">B832+1</f>
        <v>46854</v>
      </c>
      <c r="C833" s="18" t="n">
        <f aca="false">MIN(ROUNDUP(A833/365,0),5)</f>
        <v>3</v>
      </c>
      <c r="D833" s="18" t="n">
        <f aca="false">DATEDIF(Assumptions!B5,B833,"m")+1</f>
        <v>28</v>
      </c>
      <c r="E833" s="18" t="str">
        <f aca="false">TEXT(B833,"ddd")</f>
        <v>Tue</v>
      </c>
      <c r="F833" s="19" t="n">
        <f aca="false">IF(WEEKDAY(B833,2)&gt;=6,Assumptions!B34,Assumptions!B35)</f>
        <v>1</v>
      </c>
      <c r="G833" s="20" t="n">
        <f aca="false">IF(D833&gt;=13,(1+Assumptions!B46)^(D833-12),1)</f>
        <v>1.04909526848729</v>
      </c>
      <c r="H833" s="21" t="n">
        <f aca="false">H832*(1+IF(C833=1,Assumptions!B22,Assumptions!B23))</f>
        <v>22.4696731164869</v>
      </c>
      <c r="I833" s="16" t="n">
        <f aca="false">ROUND(H833*F833,0)</f>
        <v>22</v>
      </c>
      <c r="J833" s="22" t="n">
        <f aca="false">I833*Assumptions!B24</f>
        <v>13200</v>
      </c>
      <c r="K833" s="21" t="n">
        <f aca="false">K832*(1+Assumptions!B30)</f>
        <v>17.241980275462</v>
      </c>
      <c r="L833" s="16" t="n">
        <f aca="false">ROUND(K833*F833,0)</f>
        <v>17</v>
      </c>
      <c r="M833" s="22" t="n">
        <f aca="false">L833*Assumptions!B31</f>
        <v>5100</v>
      </c>
      <c r="N833" s="22" t="n">
        <f aca="false">J833+M833</f>
        <v>18300</v>
      </c>
      <c r="O833" s="22" t="n">
        <f aca="false">IF(DAY(B833)=1,Assumptions!B38*G833,0)</f>
        <v>0</v>
      </c>
      <c r="P833" s="22" t="n">
        <f aca="false">IF(DAY(B833)=1,Assumptions!B39*G833,0)</f>
        <v>0</v>
      </c>
      <c r="Q833" s="22" t="n">
        <f aca="false">IF(DAY(B833)=1,Assumptions!B40*G833,0)</f>
        <v>0</v>
      </c>
      <c r="R833" s="22" t="n">
        <f aca="false">IF(DAY(B833)=1,Assumptions!B41*G833,0)</f>
        <v>0</v>
      </c>
      <c r="S833" s="22" t="n">
        <f aca="false">IF(AND(DAY(B833)=1,D833&gt;=13),Assumptions!B42*G833,0)</f>
        <v>0</v>
      </c>
      <c r="T833" s="22" t="n">
        <f aca="false">IF(DAY(B833)=1,Assumptions!B43*G833,0)</f>
        <v>0</v>
      </c>
      <c r="U833" s="22" t="n">
        <f aca="false">SUM(O833:T833)</f>
        <v>0</v>
      </c>
      <c r="V833" s="22" t="n">
        <f aca="false">N833-U833</f>
        <v>18300</v>
      </c>
      <c r="W833" s="22" t="n">
        <f aca="false">W832+V833</f>
        <v>-2563015.75334233</v>
      </c>
      <c r="X833" s="23" t="str">
        <f aca="false">IF(W833&gt;=0,"YES","No")</f>
        <v>No</v>
      </c>
    </row>
    <row r="834" customFormat="false" ht="15" hidden="false" customHeight="false" outlineLevel="0" collapsed="false">
      <c r="A834" s="16" t="n">
        <v>833</v>
      </c>
      <c r="B834" s="17" t="n">
        <f aca="false">B833+1</f>
        <v>46855</v>
      </c>
      <c r="C834" s="18" t="n">
        <f aca="false">MIN(ROUNDUP(A834/365,0),5)</f>
        <v>3</v>
      </c>
      <c r="D834" s="18" t="n">
        <f aca="false">DATEDIF(Assumptions!B5,B834,"m")+1</f>
        <v>28</v>
      </c>
      <c r="E834" s="18" t="str">
        <f aca="false">TEXT(B834,"ddd")</f>
        <v>Wed</v>
      </c>
      <c r="F834" s="19" t="n">
        <f aca="false">IF(WEEKDAY(B834,2)&gt;=6,Assumptions!B34,Assumptions!B35)</f>
        <v>1</v>
      </c>
      <c r="G834" s="20" t="n">
        <f aca="false">IF(D834&gt;=13,(1+Assumptions!B46)^(D834-12),1)</f>
        <v>1.04909526848729</v>
      </c>
      <c r="H834" s="21" t="n">
        <f aca="false">H833*(1+IF(C834=1,Assumptions!B22,Assumptions!B23))</f>
        <v>22.4733550353114</v>
      </c>
      <c r="I834" s="16" t="n">
        <f aca="false">ROUND(H834*F834,0)</f>
        <v>22</v>
      </c>
      <c r="J834" s="22" t="n">
        <f aca="false">I834*Assumptions!B24</f>
        <v>13200</v>
      </c>
      <c r="K834" s="21" t="n">
        <f aca="false">K833*(1+Assumptions!B30)</f>
        <v>17.2476173139631</v>
      </c>
      <c r="L834" s="16" t="n">
        <f aca="false">ROUND(K834*F834,0)</f>
        <v>17</v>
      </c>
      <c r="M834" s="22" t="n">
        <f aca="false">L834*Assumptions!B31</f>
        <v>5100</v>
      </c>
      <c r="N834" s="22" t="n">
        <f aca="false">J834+M834</f>
        <v>18300</v>
      </c>
      <c r="O834" s="22" t="n">
        <f aca="false">IF(DAY(B834)=1,Assumptions!B38*G834,0)</f>
        <v>0</v>
      </c>
      <c r="P834" s="22" t="n">
        <f aca="false">IF(DAY(B834)=1,Assumptions!B39*G834,0)</f>
        <v>0</v>
      </c>
      <c r="Q834" s="22" t="n">
        <f aca="false">IF(DAY(B834)=1,Assumptions!B40*G834,0)</f>
        <v>0</v>
      </c>
      <c r="R834" s="22" t="n">
        <f aca="false">IF(DAY(B834)=1,Assumptions!B41*G834,0)</f>
        <v>0</v>
      </c>
      <c r="S834" s="22" t="n">
        <f aca="false">IF(AND(DAY(B834)=1,D834&gt;=13),Assumptions!B42*G834,0)</f>
        <v>0</v>
      </c>
      <c r="T834" s="22" t="n">
        <f aca="false">IF(DAY(B834)=1,Assumptions!B43*G834,0)</f>
        <v>0</v>
      </c>
      <c r="U834" s="22" t="n">
        <f aca="false">SUM(O834:T834)</f>
        <v>0</v>
      </c>
      <c r="V834" s="22" t="n">
        <f aca="false">N834-U834</f>
        <v>18300</v>
      </c>
      <c r="W834" s="22" t="n">
        <f aca="false">W833+V834</f>
        <v>-2544715.75334233</v>
      </c>
      <c r="X834" s="23" t="str">
        <f aca="false">IF(W834&gt;=0,"YES","No")</f>
        <v>No</v>
      </c>
    </row>
    <row r="835" customFormat="false" ht="15" hidden="false" customHeight="false" outlineLevel="0" collapsed="false">
      <c r="A835" s="16" t="n">
        <v>834</v>
      </c>
      <c r="B835" s="17" t="n">
        <f aca="false">B834+1</f>
        <v>46856</v>
      </c>
      <c r="C835" s="18" t="n">
        <f aca="false">MIN(ROUNDUP(A835/365,0),5)</f>
        <v>3</v>
      </c>
      <c r="D835" s="18" t="n">
        <f aca="false">DATEDIF(Assumptions!B5,B835,"m")+1</f>
        <v>28</v>
      </c>
      <c r="E835" s="18" t="str">
        <f aca="false">TEXT(B835,"ddd")</f>
        <v>Thu</v>
      </c>
      <c r="F835" s="19" t="n">
        <f aca="false">IF(WEEKDAY(B835,2)&gt;=6,Assumptions!B34,Assumptions!B35)</f>
        <v>1</v>
      </c>
      <c r="G835" s="20" t="n">
        <f aca="false">IF(D835&gt;=13,(1+Assumptions!B46)^(D835-12),1)</f>
        <v>1.04909526848729</v>
      </c>
      <c r="H835" s="21" t="n">
        <f aca="false">H834*(1+IF(C835=1,Assumptions!B22,Assumptions!B23))</f>
        <v>22.4770375574614</v>
      </c>
      <c r="I835" s="16" t="n">
        <f aca="false">ROUND(H835*F835,0)</f>
        <v>22</v>
      </c>
      <c r="J835" s="22" t="n">
        <f aca="false">I835*Assumptions!B24</f>
        <v>13200</v>
      </c>
      <c r="K835" s="21" t="n">
        <f aca="false">K834*(1+Assumptions!B30)</f>
        <v>17.2532561954199</v>
      </c>
      <c r="L835" s="16" t="n">
        <f aca="false">ROUND(K835*F835,0)</f>
        <v>17</v>
      </c>
      <c r="M835" s="22" t="n">
        <f aca="false">L835*Assumptions!B31</f>
        <v>5100</v>
      </c>
      <c r="N835" s="22" t="n">
        <f aca="false">J835+M835</f>
        <v>18300</v>
      </c>
      <c r="O835" s="22" t="n">
        <f aca="false">IF(DAY(B835)=1,Assumptions!B38*G835,0)</f>
        <v>0</v>
      </c>
      <c r="P835" s="22" t="n">
        <f aca="false">IF(DAY(B835)=1,Assumptions!B39*G835,0)</f>
        <v>0</v>
      </c>
      <c r="Q835" s="22" t="n">
        <f aca="false">IF(DAY(B835)=1,Assumptions!B40*G835,0)</f>
        <v>0</v>
      </c>
      <c r="R835" s="22" t="n">
        <f aca="false">IF(DAY(B835)=1,Assumptions!B41*G835,0)</f>
        <v>0</v>
      </c>
      <c r="S835" s="22" t="n">
        <f aca="false">IF(AND(DAY(B835)=1,D835&gt;=13),Assumptions!B42*G835,0)</f>
        <v>0</v>
      </c>
      <c r="T835" s="22" t="n">
        <f aca="false">IF(DAY(B835)=1,Assumptions!B43*G835,0)</f>
        <v>0</v>
      </c>
      <c r="U835" s="22" t="n">
        <f aca="false">SUM(O835:T835)</f>
        <v>0</v>
      </c>
      <c r="V835" s="22" t="n">
        <f aca="false">N835-U835</f>
        <v>18300</v>
      </c>
      <c r="W835" s="22" t="n">
        <f aca="false">W834+V835</f>
        <v>-2526415.75334233</v>
      </c>
      <c r="X835" s="23" t="str">
        <f aca="false">IF(W835&gt;=0,"YES","No")</f>
        <v>No</v>
      </c>
    </row>
    <row r="836" customFormat="false" ht="15" hidden="false" customHeight="false" outlineLevel="0" collapsed="false">
      <c r="A836" s="16" t="n">
        <v>835</v>
      </c>
      <c r="B836" s="17" t="n">
        <f aca="false">B835+1</f>
        <v>46857</v>
      </c>
      <c r="C836" s="18" t="n">
        <f aca="false">MIN(ROUNDUP(A836/365,0),5)</f>
        <v>3</v>
      </c>
      <c r="D836" s="18" t="n">
        <f aca="false">DATEDIF(Assumptions!B5,B836,"m")+1</f>
        <v>28</v>
      </c>
      <c r="E836" s="18" t="str">
        <f aca="false">TEXT(B836,"ddd")</f>
        <v>Fri</v>
      </c>
      <c r="F836" s="19" t="n">
        <f aca="false">IF(WEEKDAY(B836,2)&gt;=6,Assumptions!B34,Assumptions!B35)</f>
        <v>1</v>
      </c>
      <c r="G836" s="20" t="n">
        <f aca="false">IF(D836&gt;=13,(1+Assumptions!B46)^(D836-12),1)</f>
        <v>1.04909526848729</v>
      </c>
      <c r="H836" s="21" t="n">
        <f aca="false">H835*(1+IF(C836=1,Assumptions!B22,Assumptions!B23))</f>
        <v>22.4807206830358</v>
      </c>
      <c r="I836" s="16" t="n">
        <f aca="false">ROUND(H836*F836,0)</f>
        <v>22</v>
      </c>
      <c r="J836" s="22" t="n">
        <f aca="false">I836*Assumptions!B24</f>
        <v>13200</v>
      </c>
      <c r="K836" s="21" t="n">
        <f aca="false">K835*(1+Assumptions!B30)</f>
        <v>17.2588969204346</v>
      </c>
      <c r="L836" s="16" t="n">
        <f aca="false">ROUND(K836*F836,0)</f>
        <v>17</v>
      </c>
      <c r="M836" s="22" t="n">
        <f aca="false">L836*Assumptions!B31</f>
        <v>5100</v>
      </c>
      <c r="N836" s="22" t="n">
        <f aca="false">J836+M836</f>
        <v>18300</v>
      </c>
      <c r="O836" s="22" t="n">
        <f aca="false">IF(DAY(B836)=1,Assumptions!B38*G836,0)</f>
        <v>0</v>
      </c>
      <c r="P836" s="22" t="n">
        <f aca="false">IF(DAY(B836)=1,Assumptions!B39*G836,0)</f>
        <v>0</v>
      </c>
      <c r="Q836" s="22" t="n">
        <f aca="false">IF(DAY(B836)=1,Assumptions!B40*G836,0)</f>
        <v>0</v>
      </c>
      <c r="R836" s="22" t="n">
        <f aca="false">IF(DAY(B836)=1,Assumptions!B41*G836,0)</f>
        <v>0</v>
      </c>
      <c r="S836" s="22" t="n">
        <f aca="false">IF(AND(DAY(B836)=1,D836&gt;=13),Assumptions!B42*G836,0)</f>
        <v>0</v>
      </c>
      <c r="T836" s="22" t="n">
        <f aca="false">IF(DAY(B836)=1,Assumptions!B43*G836,0)</f>
        <v>0</v>
      </c>
      <c r="U836" s="22" t="n">
        <f aca="false">SUM(O836:T836)</f>
        <v>0</v>
      </c>
      <c r="V836" s="22" t="n">
        <f aca="false">N836-U836</f>
        <v>18300</v>
      </c>
      <c r="W836" s="22" t="n">
        <f aca="false">W835+V836</f>
        <v>-2508115.75334233</v>
      </c>
      <c r="X836" s="23" t="str">
        <f aca="false">IF(W836&gt;=0,"YES","No")</f>
        <v>No</v>
      </c>
    </row>
    <row r="837" customFormat="false" ht="15" hidden="false" customHeight="false" outlineLevel="0" collapsed="false">
      <c r="A837" s="16" t="n">
        <v>836</v>
      </c>
      <c r="B837" s="17" t="n">
        <f aca="false">B836+1</f>
        <v>46858</v>
      </c>
      <c r="C837" s="18" t="n">
        <f aca="false">MIN(ROUNDUP(A837/365,0),5)</f>
        <v>3</v>
      </c>
      <c r="D837" s="18" t="n">
        <f aca="false">DATEDIF(Assumptions!B5,B837,"m")+1</f>
        <v>28</v>
      </c>
      <c r="E837" s="18" t="str">
        <f aca="false">TEXT(B837,"ddd")</f>
        <v>Sat</v>
      </c>
      <c r="F837" s="19" t="n">
        <f aca="false">IF(WEEKDAY(B837,2)&gt;=6,Assumptions!B34,Assumptions!B35)</f>
        <v>0.6</v>
      </c>
      <c r="G837" s="20" t="n">
        <f aca="false">IF(D837&gt;=13,(1+Assumptions!B46)^(D837-12),1)</f>
        <v>1.04909526848729</v>
      </c>
      <c r="H837" s="21" t="n">
        <f aca="false">H836*(1+IF(C837=1,Assumptions!B22,Assumptions!B23))</f>
        <v>22.4844044121334</v>
      </c>
      <c r="I837" s="16" t="n">
        <f aca="false">ROUND(H837*F837,0)</f>
        <v>13</v>
      </c>
      <c r="J837" s="22" t="n">
        <f aca="false">I837*Assumptions!B24</f>
        <v>7800</v>
      </c>
      <c r="K837" s="21" t="n">
        <f aca="false">K836*(1+Assumptions!B30)</f>
        <v>17.2645394896102</v>
      </c>
      <c r="L837" s="16" t="n">
        <f aca="false">ROUND(K837*F837,0)</f>
        <v>10</v>
      </c>
      <c r="M837" s="22" t="n">
        <f aca="false">L837*Assumptions!B31</f>
        <v>3000</v>
      </c>
      <c r="N837" s="22" t="n">
        <f aca="false">J837+M837</f>
        <v>10800</v>
      </c>
      <c r="O837" s="22" t="n">
        <f aca="false">IF(DAY(B837)=1,Assumptions!B38*G837,0)</f>
        <v>0</v>
      </c>
      <c r="P837" s="22" t="n">
        <f aca="false">IF(DAY(B837)=1,Assumptions!B39*G837,0)</f>
        <v>0</v>
      </c>
      <c r="Q837" s="22" t="n">
        <f aca="false">IF(DAY(B837)=1,Assumptions!B40*G837,0)</f>
        <v>0</v>
      </c>
      <c r="R837" s="22" t="n">
        <f aca="false">IF(DAY(B837)=1,Assumptions!B41*G837,0)</f>
        <v>0</v>
      </c>
      <c r="S837" s="22" t="n">
        <f aca="false">IF(AND(DAY(B837)=1,D837&gt;=13),Assumptions!B42*G837,0)</f>
        <v>0</v>
      </c>
      <c r="T837" s="22" t="n">
        <f aca="false">IF(DAY(B837)=1,Assumptions!B43*G837,0)</f>
        <v>0</v>
      </c>
      <c r="U837" s="22" t="n">
        <f aca="false">SUM(O837:T837)</f>
        <v>0</v>
      </c>
      <c r="V837" s="22" t="n">
        <f aca="false">N837-U837</f>
        <v>10800</v>
      </c>
      <c r="W837" s="22" t="n">
        <f aca="false">W836+V837</f>
        <v>-2497315.75334233</v>
      </c>
      <c r="X837" s="23" t="str">
        <f aca="false">IF(W837&gt;=0,"YES","No")</f>
        <v>No</v>
      </c>
    </row>
    <row r="838" customFormat="false" ht="15" hidden="false" customHeight="false" outlineLevel="0" collapsed="false">
      <c r="A838" s="16" t="n">
        <v>837</v>
      </c>
      <c r="B838" s="17" t="n">
        <f aca="false">B837+1</f>
        <v>46859</v>
      </c>
      <c r="C838" s="18" t="n">
        <f aca="false">MIN(ROUNDUP(A838/365,0),5)</f>
        <v>3</v>
      </c>
      <c r="D838" s="18" t="n">
        <f aca="false">DATEDIF(Assumptions!B5,B838,"m")+1</f>
        <v>28</v>
      </c>
      <c r="E838" s="18" t="str">
        <f aca="false">TEXT(B838,"ddd")</f>
        <v>Sun</v>
      </c>
      <c r="F838" s="19" t="n">
        <f aca="false">IF(WEEKDAY(B838,2)&gt;=6,Assumptions!B34,Assumptions!B35)</f>
        <v>0.6</v>
      </c>
      <c r="G838" s="20" t="n">
        <f aca="false">IF(D838&gt;=13,(1+Assumptions!B46)^(D838-12),1)</f>
        <v>1.04909526848729</v>
      </c>
      <c r="H838" s="21" t="n">
        <f aca="false">H837*(1+IF(C838=1,Assumptions!B22,Assumptions!B23))</f>
        <v>22.488088744853</v>
      </c>
      <c r="I838" s="16" t="n">
        <f aca="false">ROUND(H838*F838,0)</f>
        <v>13</v>
      </c>
      <c r="J838" s="22" t="n">
        <f aca="false">I838*Assumptions!B24</f>
        <v>7800</v>
      </c>
      <c r="K838" s="21" t="n">
        <f aca="false">K837*(1+Assumptions!B30)</f>
        <v>17.2701839035495</v>
      </c>
      <c r="L838" s="16" t="n">
        <f aca="false">ROUND(K838*F838,0)</f>
        <v>10</v>
      </c>
      <c r="M838" s="22" t="n">
        <f aca="false">L838*Assumptions!B31</f>
        <v>3000</v>
      </c>
      <c r="N838" s="22" t="n">
        <f aca="false">J838+M838</f>
        <v>10800</v>
      </c>
      <c r="O838" s="22" t="n">
        <f aca="false">IF(DAY(B838)=1,Assumptions!B38*G838,0)</f>
        <v>0</v>
      </c>
      <c r="P838" s="22" t="n">
        <f aca="false">IF(DAY(B838)=1,Assumptions!B39*G838,0)</f>
        <v>0</v>
      </c>
      <c r="Q838" s="22" t="n">
        <f aca="false">IF(DAY(B838)=1,Assumptions!B40*G838,0)</f>
        <v>0</v>
      </c>
      <c r="R838" s="22" t="n">
        <f aca="false">IF(DAY(B838)=1,Assumptions!B41*G838,0)</f>
        <v>0</v>
      </c>
      <c r="S838" s="22" t="n">
        <f aca="false">IF(AND(DAY(B838)=1,D838&gt;=13),Assumptions!B42*G838,0)</f>
        <v>0</v>
      </c>
      <c r="T838" s="22" t="n">
        <f aca="false">IF(DAY(B838)=1,Assumptions!B43*G838,0)</f>
        <v>0</v>
      </c>
      <c r="U838" s="22" t="n">
        <f aca="false">SUM(O838:T838)</f>
        <v>0</v>
      </c>
      <c r="V838" s="22" t="n">
        <f aca="false">N838-U838</f>
        <v>10800</v>
      </c>
      <c r="W838" s="22" t="n">
        <f aca="false">W837+V838</f>
        <v>-2486515.75334233</v>
      </c>
      <c r="X838" s="23" t="str">
        <f aca="false">IF(W838&gt;=0,"YES","No")</f>
        <v>No</v>
      </c>
    </row>
    <row r="839" customFormat="false" ht="15" hidden="false" customHeight="false" outlineLevel="0" collapsed="false">
      <c r="A839" s="16" t="n">
        <v>838</v>
      </c>
      <c r="B839" s="17" t="n">
        <f aca="false">B838+1</f>
        <v>46860</v>
      </c>
      <c r="C839" s="18" t="n">
        <f aca="false">MIN(ROUNDUP(A839/365,0),5)</f>
        <v>3</v>
      </c>
      <c r="D839" s="18" t="n">
        <f aca="false">DATEDIF(Assumptions!B5,B839,"m")+1</f>
        <v>28</v>
      </c>
      <c r="E839" s="18" t="str">
        <f aca="false">TEXT(B839,"ddd")</f>
        <v>Mon</v>
      </c>
      <c r="F839" s="19" t="n">
        <f aca="false">IF(WEEKDAY(B839,2)&gt;=6,Assumptions!B34,Assumptions!B35)</f>
        <v>1</v>
      </c>
      <c r="G839" s="20" t="n">
        <f aca="false">IF(D839&gt;=13,(1+Assumptions!B46)^(D839-12),1)</f>
        <v>1.04909526848729</v>
      </c>
      <c r="H839" s="21" t="n">
        <f aca="false">H838*(1+IF(C839=1,Assumptions!B22,Assumptions!B23))</f>
        <v>22.4917736812937</v>
      </c>
      <c r="I839" s="16" t="n">
        <f aca="false">ROUND(H839*F839,0)</f>
        <v>22</v>
      </c>
      <c r="J839" s="22" t="n">
        <f aca="false">I839*Assumptions!B24</f>
        <v>13200</v>
      </c>
      <c r="K839" s="21" t="n">
        <f aca="false">K838*(1+Assumptions!B30)</f>
        <v>17.2758301628557</v>
      </c>
      <c r="L839" s="16" t="n">
        <f aca="false">ROUND(K839*F839,0)</f>
        <v>17</v>
      </c>
      <c r="M839" s="22" t="n">
        <f aca="false">L839*Assumptions!B31</f>
        <v>5100</v>
      </c>
      <c r="N839" s="22" t="n">
        <f aca="false">J839+M839</f>
        <v>18300</v>
      </c>
      <c r="O839" s="22" t="n">
        <f aca="false">IF(DAY(B839)=1,Assumptions!B38*G839,0)</f>
        <v>0</v>
      </c>
      <c r="P839" s="22" t="n">
        <f aca="false">IF(DAY(B839)=1,Assumptions!B39*G839,0)</f>
        <v>0</v>
      </c>
      <c r="Q839" s="22" t="n">
        <f aca="false">IF(DAY(B839)=1,Assumptions!B40*G839,0)</f>
        <v>0</v>
      </c>
      <c r="R839" s="22" t="n">
        <f aca="false">IF(DAY(B839)=1,Assumptions!B41*G839,0)</f>
        <v>0</v>
      </c>
      <c r="S839" s="22" t="n">
        <f aca="false">IF(AND(DAY(B839)=1,D839&gt;=13),Assumptions!B42*G839,0)</f>
        <v>0</v>
      </c>
      <c r="T839" s="22" t="n">
        <f aca="false">IF(DAY(B839)=1,Assumptions!B43*G839,0)</f>
        <v>0</v>
      </c>
      <c r="U839" s="22" t="n">
        <f aca="false">SUM(O839:T839)</f>
        <v>0</v>
      </c>
      <c r="V839" s="22" t="n">
        <f aca="false">N839-U839</f>
        <v>18300</v>
      </c>
      <c r="W839" s="22" t="n">
        <f aca="false">W838+V839</f>
        <v>-2468215.75334233</v>
      </c>
      <c r="X839" s="23" t="str">
        <f aca="false">IF(W839&gt;=0,"YES","No")</f>
        <v>No</v>
      </c>
    </row>
    <row r="840" customFormat="false" ht="15" hidden="false" customHeight="false" outlineLevel="0" collapsed="false">
      <c r="A840" s="16" t="n">
        <v>839</v>
      </c>
      <c r="B840" s="17" t="n">
        <f aca="false">B839+1</f>
        <v>46861</v>
      </c>
      <c r="C840" s="18" t="n">
        <f aca="false">MIN(ROUNDUP(A840/365,0),5)</f>
        <v>3</v>
      </c>
      <c r="D840" s="18" t="n">
        <f aca="false">DATEDIF(Assumptions!B5,B840,"m")+1</f>
        <v>28</v>
      </c>
      <c r="E840" s="18" t="str">
        <f aca="false">TEXT(B840,"ddd")</f>
        <v>Tue</v>
      </c>
      <c r="F840" s="19" t="n">
        <f aca="false">IF(WEEKDAY(B840,2)&gt;=6,Assumptions!B34,Assumptions!B35)</f>
        <v>1</v>
      </c>
      <c r="G840" s="20" t="n">
        <f aca="false">IF(D840&gt;=13,(1+Assumptions!B46)^(D840-12),1)</f>
        <v>1.04909526848729</v>
      </c>
      <c r="H840" s="21" t="n">
        <f aca="false">H839*(1+IF(C840=1,Assumptions!B22,Assumptions!B23))</f>
        <v>22.4954592215544</v>
      </c>
      <c r="I840" s="16" t="n">
        <f aca="false">ROUND(H840*F840,0)</f>
        <v>22</v>
      </c>
      <c r="J840" s="22" t="n">
        <f aca="false">I840*Assumptions!B24</f>
        <v>13200</v>
      </c>
      <c r="K840" s="21" t="n">
        <f aca="false">K839*(1+Assumptions!B30)</f>
        <v>17.281478268132</v>
      </c>
      <c r="L840" s="16" t="n">
        <f aca="false">ROUND(K840*F840,0)</f>
        <v>17</v>
      </c>
      <c r="M840" s="22" t="n">
        <f aca="false">L840*Assumptions!B31</f>
        <v>5100</v>
      </c>
      <c r="N840" s="22" t="n">
        <f aca="false">J840+M840</f>
        <v>18300</v>
      </c>
      <c r="O840" s="22" t="n">
        <f aca="false">IF(DAY(B840)=1,Assumptions!B38*G840,0)</f>
        <v>0</v>
      </c>
      <c r="P840" s="22" t="n">
        <f aca="false">IF(DAY(B840)=1,Assumptions!B39*G840,0)</f>
        <v>0</v>
      </c>
      <c r="Q840" s="22" t="n">
        <f aca="false">IF(DAY(B840)=1,Assumptions!B40*G840,0)</f>
        <v>0</v>
      </c>
      <c r="R840" s="22" t="n">
        <f aca="false">IF(DAY(B840)=1,Assumptions!B41*G840,0)</f>
        <v>0</v>
      </c>
      <c r="S840" s="22" t="n">
        <f aca="false">IF(AND(DAY(B840)=1,D840&gt;=13),Assumptions!B42*G840,0)</f>
        <v>0</v>
      </c>
      <c r="T840" s="22" t="n">
        <f aca="false">IF(DAY(B840)=1,Assumptions!B43*G840,0)</f>
        <v>0</v>
      </c>
      <c r="U840" s="22" t="n">
        <f aca="false">SUM(O840:T840)</f>
        <v>0</v>
      </c>
      <c r="V840" s="22" t="n">
        <f aca="false">N840-U840</f>
        <v>18300</v>
      </c>
      <c r="W840" s="22" t="n">
        <f aca="false">W839+V840</f>
        <v>-2449915.75334233</v>
      </c>
      <c r="X840" s="23" t="str">
        <f aca="false">IF(W840&gt;=0,"YES","No")</f>
        <v>No</v>
      </c>
    </row>
    <row r="841" customFormat="false" ht="15" hidden="false" customHeight="false" outlineLevel="0" collapsed="false">
      <c r="A841" s="16" t="n">
        <v>840</v>
      </c>
      <c r="B841" s="17" t="n">
        <f aca="false">B840+1</f>
        <v>46862</v>
      </c>
      <c r="C841" s="18" t="n">
        <f aca="false">MIN(ROUNDUP(A841/365,0),5)</f>
        <v>3</v>
      </c>
      <c r="D841" s="18" t="n">
        <f aca="false">DATEDIF(Assumptions!B5,B841,"m")+1</f>
        <v>28</v>
      </c>
      <c r="E841" s="18" t="str">
        <f aca="false">TEXT(B841,"ddd")</f>
        <v>Wed</v>
      </c>
      <c r="F841" s="19" t="n">
        <f aca="false">IF(WEEKDAY(B841,2)&gt;=6,Assumptions!B34,Assumptions!B35)</f>
        <v>1</v>
      </c>
      <c r="G841" s="20" t="n">
        <f aca="false">IF(D841&gt;=13,(1+Assumptions!B46)^(D841-12),1)</f>
        <v>1.04909526848729</v>
      </c>
      <c r="H841" s="21" t="n">
        <f aca="false">H840*(1+IF(C841=1,Assumptions!B22,Assumptions!B23))</f>
        <v>22.4991453657339</v>
      </c>
      <c r="I841" s="16" t="n">
        <f aca="false">ROUND(H841*F841,0)</f>
        <v>22</v>
      </c>
      <c r="J841" s="22" t="n">
        <f aca="false">I841*Assumptions!B24</f>
        <v>13200</v>
      </c>
      <c r="K841" s="21" t="n">
        <f aca="false">K840*(1+Assumptions!B30)</f>
        <v>17.2871282199819</v>
      </c>
      <c r="L841" s="16" t="n">
        <f aca="false">ROUND(K841*F841,0)</f>
        <v>17</v>
      </c>
      <c r="M841" s="22" t="n">
        <f aca="false">L841*Assumptions!B31</f>
        <v>5100</v>
      </c>
      <c r="N841" s="22" t="n">
        <f aca="false">J841+M841</f>
        <v>18300</v>
      </c>
      <c r="O841" s="22" t="n">
        <f aca="false">IF(DAY(B841)=1,Assumptions!B38*G841,0)</f>
        <v>0</v>
      </c>
      <c r="P841" s="22" t="n">
        <f aca="false">IF(DAY(B841)=1,Assumptions!B39*G841,0)</f>
        <v>0</v>
      </c>
      <c r="Q841" s="22" t="n">
        <f aca="false">IF(DAY(B841)=1,Assumptions!B40*G841,0)</f>
        <v>0</v>
      </c>
      <c r="R841" s="22" t="n">
        <f aca="false">IF(DAY(B841)=1,Assumptions!B41*G841,0)</f>
        <v>0</v>
      </c>
      <c r="S841" s="22" t="n">
        <f aca="false">IF(AND(DAY(B841)=1,D841&gt;=13),Assumptions!B42*G841,0)</f>
        <v>0</v>
      </c>
      <c r="T841" s="22" t="n">
        <f aca="false">IF(DAY(B841)=1,Assumptions!B43*G841,0)</f>
        <v>0</v>
      </c>
      <c r="U841" s="22" t="n">
        <f aca="false">SUM(O841:T841)</f>
        <v>0</v>
      </c>
      <c r="V841" s="22" t="n">
        <f aca="false">N841-U841</f>
        <v>18300</v>
      </c>
      <c r="W841" s="22" t="n">
        <f aca="false">W840+V841</f>
        <v>-2431615.75334233</v>
      </c>
      <c r="X841" s="23" t="str">
        <f aca="false">IF(W841&gt;=0,"YES","No")</f>
        <v>No</v>
      </c>
    </row>
    <row r="842" customFormat="false" ht="15" hidden="false" customHeight="false" outlineLevel="0" collapsed="false">
      <c r="A842" s="16" t="n">
        <v>841</v>
      </c>
      <c r="B842" s="17" t="n">
        <f aca="false">B841+1</f>
        <v>46863</v>
      </c>
      <c r="C842" s="18" t="n">
        <f aca="false">MIN(ROUNDUP(A842/365,0),5)</f>
        <v>3</v>
      </c>
      <c r="D842" s="18" t="n">
        <f aca="false">DATEDIF(Assumptions!B5,B842,"m")+1</f>
        <v>28</v>
      </c>
      <c r="E842" s="18" t="str">
        <f aca="false">TEXT(B842,"ddd")</f>
        <v>Thu</v>
      </c>
      <c r="F842" s="19" t="n">
        <f aca="false">IF(WEEKDAY(B842,2)&gt;=6,Assumptions!B34,Assumptions!B35)</f>
        <v>1</v>
      </c>
      <c r="G842" s="20" t="n">
        <f aca="false">IF(D842&gt;=13,(1+Assumptions!B46)^(D842-12),1)</f>
        <v>1.04909526848729</v>
      </c>
      <c r="H842" s="21" t="n">
        <f aca="false">H841*(1+IF(C842=1,Assumptions!B22,Assumptions!B23))</f>
        <v>22.5028321139313</v>
      </c>
      <c r="I842" s="16" t="n">
        <f aca="false">ROUND(H842*F842,0)</f>
        <v>23</v>
      </c>
      <c r="J842" s="22" t="n">
        <f aca="false">I842*Assumptions!B24</f>
        <v>13800</v>
      </c>
      <c r="K842" s="21" t="n">
        <f aca="false">K841*(1+Assumptions!B30)</f>
        <v>17.2927800190093</v>
      </c>
      <c r="L842" s="16" t="n">
        <f aca="false">ROUND(K842*F842,0)</f>
        <v>17</v>
      </c>
      <c r="M842" s="22" t="n">
        <f aca="false">L842*Assumptions!B31</f>
        <v>5100</v>
      </c>
      <c r="N842" s="22" t="n">
        <f aca="false">J842+M842</f>
        <v>18900</v>
      </c>
      <c r="O842" s="22" t="n">
        <f aca="false">IF(DAY(B842)=1,Assumptions!B38*G842,0)</f>
        <v>0</v>
      </c>
      <c r="P842" s="22" t="n">
        <f aca="false">IF(DAY(B842)=1,Assumptions!B39*G842,0)</f>
        <v>0</v>
      </c>
      <c r="Q842" s="22" t="n">
        <f aca="false">IF(DAY(B842)=1,Assumptions!B40*G842,0)</f>
        <v>0</v>
      </c>
      <c r="R842" s="22" t="n">
        <f aca="false">IF(DAY(B842)=1,Assumptions!B41*G842,0)</f>
        <v>0</v>
      </c>
      <c r="S842" s="22" t="n">
        <f aca="false">IF(AND(DAY(B842)=1,D842&gt;=13),Assumptions!B42*G842,0)</f>
        <v>0</v>
      </c>
      <c r="T842" s="22" t="n">
        <f aca="false">IF(DAY(B842)=1,Assumptions!B43*G842,0)</f>
        <v>0</v>
      </c>
      <c r="U842" s="22" t="n">
        <f aca="false">SUM(O842:T842)</f>
        <v>0</v>
      </c>
      <c r="V842" s="22" t="n">
        <f aca="false">N842-U842</f>
        <v>18900</v>
      </c>
      <c r="W842" s="22" t="n">
        <f aca="false">W841+V842</f>
        <v>-2412715.75334233</v>
      </c>
      <c r="X842" s="23" t="str">
        <f aca="false">IF(W842&gt;=0,"YES","No")</f>
        <v>No</v>
      </c>
    </row>
    <row r="843" customFormat="false" ht="15" hidden="false" customHeight="false" outlineLevel="0" collapsed="false">
      <c r="A843" s="16" t="n">
        <v>842</v>
      </c>
      <c r="B843" s="17" t="n">
        <f aca="false">B842+1</f>
        <v>46864</v>
      </c>
      <c r="C843" s="18" t="n">
        <f aca="false">MIN(ROUNDUP(A843/365,0),5)</f>
        <v>3</v>
      </c>
      <c r="D843" s="18" t="n">
        <f aca="false">DATEDIF(Assumptions!B5,B843,"m")+1</f>
        <v>28</v>
      </c>
      <c r="E843" s="18" t="str">
        <f aca="false">TEXT(B843,"ddd")</f>
        <v>Fri</v>
      </c>
      <c r="F843" s="19" t="n">
        <f aca="false">IF(WEEKDAY(B843,2)&gt;=6,Assumptions!B34,Assumptions!B35)</f>
        <v>1</v>
      </c>
      <c r="G843" s="20" t="n">
        <f aca="false">IF(D843&gt;=13,(1+Assumptions!B46)^(D843-12),1)</f>
        <v>1.04909526848729</v>
      </c>
      <c r="H843" s="21" t="n">
        <f aca="false">H842*(1+IF(C843=1,Assumptions!B22,Assumptions!B23))</f>
        <v>22.5065194662455</v>
      </c>
      <c r="I843" s="16" t="n">
        <f aca="false">ROUND(H843*F843,0)</f>
        <v>23</v>
      </c>
      <c r="J843" s="22" t="n">
        <f aca="false">I843*Assumptions!B24</f>
        <v>13800</v>
      </c>
      <c r="K843" s="21" t="n">
        <f aca="false">K842*(1+Assumptions!B30)</f>
        <v>17.298433665818</v>
      </c>
      <c r="L843" s="16" t="n">
        <f aca="false">ROUND(K843*F843,0)</f>
        <v>17</v>
      </c>
      <c r="M843" s="22" t="n">
        <f aca="false">L843*Assumptions!B31</f>
        <v>5100</v>
      </c>
      <c r="N843" s="22" t="n">
        <f aca="false">J843+M843</f>
        <v>18900</v>
      </c>
      <c r="O843" s="22" t="n">
        <f aca="false">IF(DAY(B843)=1,Assumptions!B38*G843,0)</f>
        <v>0</v>
      </c>
      <c r="P843" s="22" t="n">
        <f aca="false">IF(DAY(B843)=1,Assumptions!B39*G843,0)</f>
        <v>0</v>
      </c>
      <c r="Q843" s="22" t="n">
        <f aca="false">IF(DAY(B843)=1,Assumptions!B40*G843,0)</f>
        <v>0</v>
      </c>
      <c r="R843" s="22" t="n">
        <f aca="false">IF(DAY(B843)=1,Assumptions!B41*G843,0)</f>
        <v>0</v>
      </c>
      <c r="S843" s="22" t="n">
        <f aca="false">IF(AND(DAY(B843)=1,D843&gt;=13),Assumptions!B42*G843,0)</f>
        <v>0</v>
      </c>
      <c r="T843" s="22" t="n">
        <f aca="false">IF(DAY(B843)=1,Assumptions!B43*G843,0)</f>
        <v>0</v>
      </c>
      <c r="U843" s="22" t="n">
        <f aca="false">SUM(O843:T843)</f>
        <v>0</v>
      </c>
      <c r="V843" s="22" t="n">
        <f aca="false">N843-U843</f>
        <v>18900</v>
      </c>
      <c r="W843" s="22" t="n">
        <f aca="false">W842+V843</f>
        <v>-2393815.75334233</v>
      </c>
      <c r="X843" s="23" t="str">
        <f aca="false">IF(W843&gt;=0,"YES","No")</f>
        <v>No</v>
      </c>
    </row>
    <row r="844" customFormat="false" ht="15" hidden="false" customHeight="false" outlineLevel="0" collapsed="false">
      <c r="A844" s="16" t="n">
        <v>843</v>
      </c>
      <c r="B844" s="17" t="n">
        <f aca="false">B843+1</f>
        <v>46865</v>
      </c>
      <c r="C844" s="18" t="n">
        <f aca="false">MIN(ROUNDUP(A844/365,0),5)</f>
        <v>3</v>
      </c>
      <c r="D844" s="18" t="n">
        <f aca="false">DATEDIF(Assumptions!B5,B844,"m")+1</f>
        <v>28</v>
      </c>
      <c r="E844" s="18" t="str">
        <f aca="false">TEXT(B844,"ddd")</f>
        <v>Sat</v>
      </c>
      <c r="F844" s="19" t="n">
        <f aca="false">IF(WEEKDAY(B844,2)&gt;=6,Assumptions!B34,Assumptions!B35)</f>
        <v>0.6</v>
      </c>
      <c r="G844" s="20" t="n">
        <f aca="false">IF(D844&gt;=13,(1+Assumptions!B46)^(D844-12),1)</f>
        <v>1.04909526848729</v>
      </c>
      <c r="H844" s="21" t="n">
        <f aca="false">H843*(1+IF(C844=1,Assumptions!B22,Assumptions!B23))</f>
        <v>22.5102074227755</v>
      </c>
      <c r="I844" s="16" t="n">
        <f aca="false">ROUND(H844*F844,0)</f>
        <v>14</v>
      </c>
      <c r="J844" s="22" t="n">
        <f aca="false">I844*Assumptions!B24</f>
        <v>8400</v>
      </c>
      <c r="K844" s="21" t="n">
        <f aca="false">K843*(1+Assumptions!B30)</f>
        <v>17.3040891610121</v>
      </c>
      <c r="L844" s="16" t="n">
        <f aca="false">ROUND(K844*F844,0)</f>
        <v>10</v>
      </c>
      <c r="M844" s="22" t="n">
        <f aca="false">L844*Assumptions!B31</f>
        <v>3000</v>
      </c>
      <c r="N844" s="22" t="n">
        <f aca="false">J844+M844</f>
        <v>11400</v>
      </c>
      <c r="O844" s="22" t="n">
        <f aca="false">IF(DAY(B844)=1,Assumptions!B38*G844,0)</f>
        <v>0</v>
      </c>
      <c r="P844" s="22" t="n">
        <f aca="false">IF(DAY(B844)=1,Assumptions!B39*G844,0)</f>
        <v>0</v>
      </c>
      <c r="Q844" s="22" t="n">
        <f aca="false">IF(DAY(B844)=1,Assumptions!B40*G844,0)</f>
        <v>0</v>
      </c>
      <c r="R844" s="22" t="n">
        <f aca="false">IF(DAY(B844)=1,Assumptions!B41*G844,0)</f>
        <v>0</v>
      </c>
      <c r="S844" s="22" t="n">
        <f aca="false">IF(AND(DAY(B844)=1,D844&gt;=13),Assumptions!B42*G844,0)</f>
        <v>0</v>
      </c>
      <c r="T844" s="22" t="n">
        <f aca="false">IF(DAY(B844)=1,Assumptions!B43*G844,0)</f>
        <v>0</v>
      </c>
      <c r="U844" s="22" t="n">
        <f aca="false">SUM(O844:T844)</f>
        <v>0</v>
      </c>
      <c r="V844" s="22" t="n">
        <f aca="false">N844-U844</f>
        <v>11400</v>
      </c>
      <c r="W844" s="22" t="n">
        <f aca="false">W843+V844</f>
        <v>-2382415.75334233</v>
      </c>
      <c r="X844" s="23" t="str">
        <f aca="false">IF(W844&gt;=0,"YES","No")</f>
        <v>No</v>
      </c>
    </row>
    <row r="845" customFormat="false" ht="15" hidden="false" customHeight="false" outlineLevel="0" collapsed="false">
      <c r="A845" s="16" t="n">
        <v>844</v>
      </c>
      <c r="B845" s="17" t="n">
        <f aca="false">B844+1</f>
        <v>46866</v>
      </c>
      <c r="C845" s="18" t="n">
        <f aca="false">MIN(ROUNDUP(A845/365,0),5)</f>
        <v>3</v>
      </c>
      <c r="D845" s="18" t="n">
        <f aca="false">DATEDIF(Assumptions!B5,B845,"m")+1</f>
        <v>28</v>
      </c>
      <c r="E845" s="18" t="str">
        <f aca="false">TEXT(B845,"ddd")</f>
        <v>Sun</v>
      </c>
      <c r="F845" s="19" t="n">
        <f aca="false">IF(WEEKDAY(B845,2)&gt;=6,Assumptions!B34,Assumptions!B35)</f>
        <v>0.6</v>
      </c>
      <c r="G845" s="20" t="n">
        <f aca="false">IF(D845&gt;=13,(1+Assumptions!B46)^(D845-12),1)</f>
        <v>1.04909526848729</v>
      </c>
      <c r="H845" s="21" t="n">
        <f aca="false">H844*(1+IF(C845=1,Assumptions!B22,Assumptions!B23))</f>
        <v>22.5138959836203</v>
      </c>
      <c r="I845" s="16" t="n">
        <f aca="false">ROUND(H845*F845,0)</f>
        <v>14</v>
      </c>
      <c r="J845" s="22" t="n">
        <f aca="false">I845*Assumptions!B24</f>
        <v>8400</v>
      </c>
      <c r="K845" s="21" t="n">
        <f aca="false">K844*(1+Assumptions!B30)</f>
        <v>17.3097465051958</v>
      </c>
      <c r="L845" s="16" t="n">
        <f aca="false">ROUND(K845*F845,0)</f>
        <v>10</v>
      </c>
      <c r="M845" s="22" t="n">
        <f aca="false">L845*Assumptions!B31</f>
        <v>3000</v>
      </c>
      <c r="N845" s="22" t="n">
        <f aca="false">J845+M845</f>
        <v>11400</v>
      </c>
      <c r="O845" s="22" t="n">
        <f aca="false">IF(DAY(B845)=1,Assumptions!B38*G845,0)</f>
        <v>0</v>
      </c>
      <c r="P845" s="22" t="n">
        <f aca="false">IF(DAY(B845)=1,Assumptions!B39*G845,0)</f>
        <v>0</v>
      </c>
      <c r="Q845" s="22" t="n">
        <f aca="false">IF(DAY(B845)=1,Assumptions!B40*G845,0)</f>
        <v>0</v>
      </c>
      <c r="R845" s="22" t="n">
        <f aca="false">IF(DAY(B845)=1,Assumptions!B41*G845,0)</f>
        <v>0</v>
      </c>
      <c r="S845" s="22" t="n">
        <f aca="false">IF(AND(DAY(B845)=1,D845&gt;=13),Assumptions!B42*G845,0)</f>
        <v>0</v>
      </c>
      <c r="T845" s="22" t="n">
        <f aca="false">IF(DAY(B845)=1,Assumptions!B43*G845,0)</f>
        <v>0</v>
      </c>
      <c r="U845" s="22" t="n">
        <f aca="false">SUM(O845:T845)</f>
        <v>0</v>
      </c>
      <c r="V845" s="22" t="n">
        <f aca="false">N845-U845</f>
        <v>11400</v>
      </c>
      <c r="W845" s="22" t="n">
        <f aca="false">W844+V845</f>
        <v>-2371015.75334233</v>
      </c>
      <c r="X845" s="23" t="str">
        <f aca="false">IF(W845&gt;=0,"YES","No")</f>
        <v>No</v>
      </c>
    </row>
    <row r="846" customFormat="false" ht="15" hidden="false" customHeight="false" outlineLevel="0" collapsed="false">
      <c r="A846" s="16" t="n">
        <v>845</v>
      </c>
      <c r="B846" s="17" t="n">
        <f aca="false">B845+1</f>
        <v>46867</v>
      </c>
      <c r="C846" s="18" t="n">
        <f aca="false">MIN(ROUNDUP(A846/365,0),5)</f>
        <v>3</v>
      </c>
      <c r="D846" s="18" t="n">
        <f aca="false">DATEDIF(Assumptions!B5,B846,"m")+1</f>
        <v>28</v>
      </c>
      <c r="E846" s="18" t="str">
        <f aca="false">TEXT(B846,"ddd")</f>
        <v>Mon</v>
      </c>
      <c r="F846" s="19" t="n">
        <f aca="false">IF(WEEKDAY(B846,2)&gt;=6,Assumptions!B34,Assumptions!B35)</f>
        <v>1</v>
      </c>
      <c r="G846" s="20" t="n">
        <f aca="false">IF(D846&gt;=13,(1+Assumptions!B46)^(D846-12),1)</f>
        <v>1.04909526848729</v>
      </c>
      <c r="H846" s="21" t="n">
        <f aca="false">H845*(1+IF(C846=1,Assumptions!B22,Assumptions!B23))</f>
        <v>22.517585148879</v>
      </c>
      <c r="I846" s="16" t="n">
        <f aca="false">ROUND(H846*F846,0)</f>
        <v>23</v>
      </c>
      <c r="J846" s="22" t="n">
        <f aca="false">I846*Assumptions!B24</f>
        <v>13800</v>
      </c>
      <c r="K846" s="21" t="n">
        <f aca="false">K845*(1+Assumptions!B30)</f>
        <v>17.3154056989738</v>
      </c>
      <c r="L846" s="16" t="n">
        <f aca="false">ROUND(K846*F846,0)</f>
        <v>17</v>
      </c>
      <c r="M846" s="22" t="n">
        <f aca="false">L846*Assumptions!B31</f>
        <v>5100</v>
      </c>
      <c r="N846" s="22" t="n">
        <f aca="false">J846+M846</f>
        <v>18900</v>
      </c>
      <c r="O846" s="22" t="n">
        <f aca="false">IF(DAY(B846)=1,Assumptions!B38*G846,0)</f>
        <v>0</v>
      </c>
      <c r="P846" s="22" t="n">
        <f aca="false">IF(DAY(B846)=1,Assumptions!B39*G846,0)</f>
        <v>0</v>
      </c>
      <c r="Q846" s="22" t="n">
        <f aca="false">IF(DAY(B846)=1,Assumptions!B40*G846,0)</f>
        <v>0</v>
      </c>
      <c r="R846" s="22" t="n">
        <f aca="false">IF(DAY(B846)=1,Assumptions!B41*G846,0)</f>
        <v>0</v>
      </c>
      <c r="S846" s="22" t="n">
        <f aca="false">IF(AND(DAY(B846)=1,D846&gt;=13),Assumptions!B42*G846,0)</f>
        <v>0</v>
      </c>
      <c r="T846" s="22" t="n">
        <f aca="false">IF(DAY(B846)=1,Assumptions!B43*G846,0)</f>
        <v>0</v>
      </c>
      <c r="U846" s="22" t="n">
        <f aca="false">SUM(O846:T846)</f>
        <v>0</v>
      </c>
      <c r="V846" s="22" t="n">
        <f aca="false">N846-U846</f>
        <v>18900</v>
      </c>
      <c r="W846" s="22" t="n">
        <f aca="false">W845+V846</f>
        <v>-2352115.75334233</v>
      </c>
      <c r="X846" s="23" t="str">
        <f aca="false">IF(W846&gt;=0,"YES","No")</f>
        <v>No</v>
      </c>
    </row>
    <row r="847" customFormat="false" ht="15" hidden="false" customHeight="false" outlineLevel="0" collapsed="false">
      <c r="A847" s="16" t="n">
        <v>846</v>
      </c>
      <c r="B847" s="17" t="n">
        <f aca="false">B846+1</f>
        <v>46868</v>
      </c>
      <c r="C847" s="18" t="n">
        <f aca="false">MIN(ROUNDUP(A847/365,0),5)</f>
        <v>3</v>
      </c>
      <c r="D847" s="18" t="n">
        <f aca="false">DATEDIF(Assumptions!B5,B847,"m")+1</f>
        <v>28</v>
      </c>
      <c r="E847" s="18" t="str">
        <f aca="false">TEXT(B847,"ddd")</f>
        <v>Tue</v>
      </c>
      <c r="F847" s="19" t="n">
        <f aca="false">IF(WEEKDAY(B847,2)&gt;=6,Assumptions!B34,Assumptions!B35)</f>
        <v>1</v>
      </c>
      <c r="G847" s="20" t="n">
        <f aca="false">IF(D847&gt;=13,(1+Assumptions!B46)^(D847-12),1)</f>
        <v>1.04909526848729</v>
      </c>
      <c r="H847" s="21" t="n">
        <f aca="false">H846*(1+IF(C847=1,Assumptions!B22,Assumptions!B23))</f>
        <v>22.5212749186506</v>
      </c>
      <c r="I847" s="16" t="n">
        <f aca="false">ROUND(H847*F847,0)</f>
        <v>23</v>
      </c>
      <c r="J847" s="22" t="n">
        <f aca="false">I847*Assumptions!B24</f>
        <v>13800</v>
      </c>
      <c r="K847" s="21" t="n">
        <f aca="false">K846*(1+Assumptions!B30)</f>
        <v>17.3210667429508</v>
      </c>
      <c r="L847" s="16" t="n">
        <f aca="false">ROUND(K847*F847,0)</f>
        <v>17</v>
      </c>
      <c r="M847" s="22" t="n">
        <f aca="false">L847*Assumptions!B31</f>
        <v>5100</v>
      </c>
      <c r="N847" s="22" t="n">
        <f aca="false">J847+M847</f>
        <v>18900</v>
      </c>
      <c r="O847" s="22" t="n">
        <f aca="false">IF(DAY(B847)=1,Assumptions!B38*G847,0)</f>
        <v>0</v>
      </c>
      <c r="P847" s="22" t="n">
        <f aca="false">IF(DAY(B847)=1,Assumptions!B39*G847,0)</f>
        <v>0</v>
      </c>
      <c r="Q847" s="22" t="n">
        <f aca="false">IF(DAY(B847)=1,Assumptions!B40*G847,0)</f>
        <v>0</v>
      </c>
      <c r="R847" s="22" t="n">
        <f aca="false">IF(DAY(B847)=1,Assumptions!B41*G847,0)</f>
        <v>0</v>
      </c>
      <c r="S847" s="22" t="n">
        <f aca="false">IF(AND(DAY(B847)=1,D847&gt;=13),Assumptions!B42*G847,0)</f>
        <v>0</v>
      </c>
      <c r="T847" s="22" t="n">
        <f aca="false">IF(DAY(B847)=1,Assumptions!B43*G847,0)</f>
        <v>0</v>
      </c>
      <c r="U847" s="22" t="n">
        <f aca="false">SUM(O847:T847)</f>
        <v>0</v>
      </c>
      <c r="V847" s="22" t="n">
        <f aca="false">N847-U847</f>
        <v>18900</v>
      </c>
      <c r="W847" s="22" t="n">
        <f aca="false">W846+V847</f>
        <v>-2333215.75334233</v>
      </c>
      <c r="X847" s="23" t="str">
        <f aca="false">IF(W847&gt;=0,"YES","No")</f>
        <v>No</v>
      </c>
    </row>
    <row r="848" customFormat="false" ht="15" hidden="false" customHeight="false" outlineLevel="0" collapsed="false">
      <c r="A848" s="16" t="n">
        <v>847</v>
      </c>
      <c r="B848" s="17" t="n">
        <f aca="false">B847+1</f>
        <v>46869</v>
      </c>
      <c r="C848" s="18" t="n">
        <f aca="false">MIN(ROUNDUP(A848/365,0),5)</f>
        <v>3</v>
      </c>
      <c r="D848" s="18" t="n">
        <f aca="false">DATEDIF(Assumptions!B5,B848,"m")+1</f>
        <v>28</v>
      </c>
      <c r="E848" s="18" t="str">
        <f aca="false">TEXT(B848,"ddd")</f>
        <v>Wed</v>
      </c>
      <c r="F848" s="19" t="n">
        <f aca="false">IF(WEEKDAY(B848,2)&gt;=6,Assumptions!B34,Assumptions!B35)</f>
        <v>1</v>
      </c>
      <c r="G848" s="20" t="n">
        <f aca="false">IF(D848&gt;=13,(1+Assumptions!B46)^(D848-12),1)</f>
        <v>1.04909526848729</v>
      </c>
      <c r="H848" s="21" t="n">
        <f aca="false">H847*(1+IF(C848=1,Assumptions!B22,Assumptions!B23))</f>
        <v>22.5249652930341</v>
      </c>
      <c r="I848" s="16" t="n">
        <f aca="false">ROUND(H848*F848,0)</f>
        <v>23</v>
      </c>
      <c r="J848" s="22" t="n">
        <f aca="false">I848*Assumptions!B24</f>
        <v>13800</v>
      </c>
      <c r="K848" s="21" t="n">
        <f aca="false">K847*(1+Assumptions!B30)</f>
        <v>17.3267296377315</v>
      </c>
      <c r="L848" s="16" t="n">
        <f aca="false">ROUND(K848*F848,0)</f>
        <v>17</v>
      </c>
      <c r="M848" s="22" t="n">
        <f aca="false">L848*Assumptions!B31</f>
        <v>5100</v>
      </c>
      <c r="N848" s="22" t="n">
        <f aca="false">J848+M848</f>
        <v>18900</v>
      </c>
      <c r="O848" s="22" t="n">
        <f aca="false">IF(DAY(B848)=1,Assumptions!B38*G848,0)</f>
        <v>0</v>
      </c>
      <c r="P848" s="22" t="n">
        <f aca="false">IF(DAY(B848)=1,Assumptions!B39*G848,0)</f>
        <v>0</v>
      </c>
      <c r="Q848" s="22" t="n">
        <f aca="false">IF(DAY(B848)=1,Assumptions!B40*G848,0)</f>
        <v>0</v>
      </c>
      <c r="R848" s="22" t="n">
        <f aca="false">IF(DAY(B848)=1,Assumptions!B41*G848,0)</f>
        <v>0</v>
      </c>
      <c r="S848" s="22" t="n">
        <f aca="false">IF(AND(DAY(B848)=1,D848&gt;=13),Assumptions!B42*G848,0)</f>
        <v>0</v>
      </c>
      <c r="T848" s="22" t="n">
        <f aca="false">IF(DAY(B848)=1,Assumptions!B43*G848,0)</f>
        <v>0</v>
      </c>
      <c r="U848" s="22" t="n">
        <f aca="false">SUM(O848:T848)</f>
        <v>0</v>
      </c>
      <c r="V848" s="22" t="n">
        <f aca="false">N848-U848</f>
        <v>18900</v>
      </c>
      <c r="W848" s="22" t="n">
        <f aca="false">W847+V848</f>
        <v>-2314315.75334233</v>
      </c>
      <c r="X848" s="23" t="str">
        <f aca="false">IF(W848&gt;=0,"YES","No")</f>
        <v>No</v>
      </c>
    </row>
    <row r="849" customFormat="false" ht="15" hidden="false" customHeight="false" outlineLevel="0" collapsed="false">
      <c r="A849" s="16" t="n">
        <v>848</v>
      </c>
      <c r="B849" s="17" t="n">
        <f aca="false">B848+1</f>
        <v>46870</v>
      </c>
      <c r="C849" s="18" t="n">
        <f aca="false">MIN(ROUNDUP(A849/365,0),5)</f>
        <v>3</v>
      </c>
      <c r="D849" s="18" t="n">
        <f aca="false">DATEDIF(Assumptions!B5,B849,"m")+1</f>
        <v>28</v>
      </c>
      <c r="E849" s="18" t="str">
        <f aca="false">TEXT(B849,"ddd")</f>
        <v>Thu</v>
      </c>
      <c r="F849" s="19" t="n">
        <f aca="false">IF(WEEKDAY(B849,2)&gt;=6,Assumptions!B34,Assumptions!B35)</f>
        <v>1</v>
      </c>
      <c r="G849" s="20" t="n">
        <f aca="false">IF(D849&gt;=13,(1+Assumptions!B46)^(D849-12),1)</f>
        <v>1.04909526848729</v>
      </c>
      <c r="H849" s="21" t="n">
        <f aca="false">H848*(1+IF(C849=1,Assumptions!B22,Assumptions!B23))</f>
        <v>22.5286562721287</v>
      </c>
      <c r="I849" s="16" t="n">
        <f aca="false">ROUND(H849*F849,0)</f>
        <v>23</v>
      </c>
      <c r="J849" s="22" t="n">
        <f aca="false">I849*Assumptions!B24</f>
        <v>13800</v>
      </c>
      <c r="K849" s="21" t="n">
        <f aca="false">K848*(1+Assumptions!B30)</f>
        <v>17.3323943839211</v>
      </c>
      <c r="L849" s="16" t="n">
        <f aca="false">ROUND(K849*F849,0)</f>
        <v>17</v>
      </c>
      <c r="M849" s="22" t="n">
        <f aca="false">L849*Assumptions!B31</f>
        <v>5100</v>
      </c>
      <c r="N849" s="22" t="n">
        <f aca="false">J849+M849</f>
        <v>18900</v>
      </c>
      <c r="O849" s="22" t="n">
        <f aca="false">IF(DAY(B849)=1,Assumptions!B38*G849,0)</f>
        <v>0</v>
      </c>
      <c r="P849" s="22" t="n">
        <f aca="false">IF(DAY(B849)=1,Assumptions!B39*G849,0)</f>
        <v>0</v>
      </c>
      <c r="Q849" s="22" t="n">
        <f aca="false">IF(DAY(B849)=1,Assumptions!B40*G849,0)</f>
        <v>0</v>
      </c>
      <c r="R849" s="22" t="n">
        <f aca="false">IF(DAY(B849)=1,Assumptions!B41*G849,0)</f>
        <v>0</v>
      </c>
      <c r="S849" s="22" t="n">
        <f aca="false">IF(AND(DAY(B849)=1,D849&gt;=13),Assumptions!B42*G849,0)</f>
        <v>0</v>
      </c>
      <c r="T849" s="22" t="n">
        <f aca="false">IF(DAY(B849)=1,Assumptions!B43*G849,0)</f>
        <v>0</v>
      </c>
      <c r="U849" s="22" t="n">
        <f aca="false">SUM(O849:T849)</f>
        <v>0</v>
      </c>
      <c r="V849" s="22" t="n">
        <f aca="false">N849-U849</f>
        <v>18900</v>
      </c>
      <c r="W849" s="22" t="n">
        <f aca="false">W848+V849</f>
        <v>-2295415.75334233</v>
      </c>
      <c r="X849" s="23" t="str">
        <f aca="false">IF(W849&gt;=0,"YES","No")</f>
        <v>No</v>
      </c>
    </row>
    <row r="850" customFormat="false" ht="15" hidden="false" customHeight="false" outlineLevel="0" collapsed="false">
      <c r="A850" s="16" t="n">
        <v>849</v>
      </c>
      <c r="B850" s="17" t="n">
        <f aca="false">B849+1</f>
        <v>46871</v>
      </c>
      <c r="C850" s="18" t="n">
        <f aca="false">MIN(ROUNDUP(A850/365,0),5)</f>
        <v>3</v>
      </c>
      <c r="D850" s="18" t="n">
        <f aca="false">DATEDIF(Assumptions!B5,B850,"m")+1</f>
        <v>28</v>
      </c>
      <c r="E850" s="18" t="str">
        <f aca="false">TEXT(B850,"ddd")</f>
        <v>Fri</v>
      </c>
      <c r="F850" s="19" t="n">
        <f aca="false">IF(WEEKDAY(B850,2)&gt;=6,Assumptions!B34,Assumptions!B35)</f>
        <v>1</v>
      </c>
      <c r="G850" s="20" t="n">
        <f aca="false">IF(D850&gt;=13,(1+Assumptions!B46)^(D850-12),1)</f>
        <v>1.04909526848729</v>
      </c>
      <c r="H850" s="21" t="n">
        <f aca="false">H849*(1+IF(C850=1,Assumptions!B22,Assumptions!B23))</f>
        <v>22.5323478560333</v>
      </c>
      <c r="I850" s="16" t="n">
        <f aca="false">ROUND(H850*F850,0)</f>
        <v>23</v>
      </c>
      <c r="J850" s="22" t="n">
        <f aca="false">I850*Assumptions!B24</f>
        <v>13800</v>
      </c>
      <c r="K850" s="21" t="n">
        <f aca="false">K849*(1+Assumptions!B30)</f>
        <v>17.338060982125</v>
      </c>
      <c r="L850" s="16" t="n">
        <f aca="false">ROUND(K850*F850,0)</f>
        <v>17</v>
      </c>
      <c r="M850" s="22" t="n">
        <f aca="false">L850*Assumptions!B31</f>
        <v>5100</v>
      </c>
      <c r="N850" s="22" t="n">
        <f aca="false">J850+M850</f>
        <v>18900</v>
      </c>
      <c r="O850" s="22" t="n">
        <f aca="false">IF(DAY(B850)=1,Assumptions!B38*G850,0)</f>
        <v>0</v>
      </c>
      <c r="P850" s="22" t="n">
        <f aca="false">IF(DAY(B850)=1,Assumptions!B39*G850,0)</f>
        <v>0</v>
      </c>
      <c r="Q850" s="22" t="n">
        <f aca="false">IF(DAY(B850)=1,Assumptions!B40*G850,0)</f>
        <v>0</v>
      </c>
      <c r="R850" s="22" t="n">
        <f aca="false">IF(DAY(B850)=1,Assumptions!B41*G850,0)</f>
        <v>0</v>
      </c>
      <c r="S850" s="22" t="n">
        <f aca="false">IF(AND(DAY(B850)=1,D850&gt;=13),Assumptions!B42*G850,0)</f>
        <v>0</v>
      </c>
      <c r="T850" s="22" t="n">
        <f aca="false">IF(DAY(B850)=1,Assumptions!B43*G850,0)</f>
        <v>0</v>
      </c>
      <c r="U850" s="22" t="n">
        <f aca="false">SUM(O850:T850)</f>
        <v>0</v>
      </c>
      <c r="V850" s="22" t="n">
        <f aca="false">N850-U850</f>
        <v>18900</v>
      </c>
      <c r="W850" s="22" t="n">
        <f aca="false">W849+V850</f>
        <v>-2276515.75334233</v>
      </c>
      <c r="X850" s="23" t="str">
        <f aca="false">IF(W850&gt;=0,"YES","No")</f>
        <v>No</v>
      </c>
    </row>
    <row r="851" customFormat="false" ht="15" hidden="false" customHeight="false" outlineLevel="0" collapsed="false">
      <c r="A851" s="16" t="n">
        <v>850</v>
      </c>
      <c r="B851" s="17" t="n">
        <f aca="false">B850+1</f>
        <v>46872</v>
      </c>
      <c r="C851" s="18" t="n">
        <f aca="false">MIN(ROUNDUP(A851/365,0),5)</f>
        <v>3</v>
      </c>
      <c r="D851" s="18" t="n">
        <f aca="false">DATEDIF(Assumptions!B5,B851,"m")+1</f>
        <v>28</v>
      </c>
      <c r="E851" s="18" t="str">
        <f aca="false">TEXT(B851,"ddd")</f>
        <v>Sat</v>
      </c>
      <c r="F851" s="19" t="n">
        <f aca="false">IF(WEEKDAY(B851,2)&gt;=6,Assumptions!B34,Assumptions!B35)</f>
        <v>0.6</v>
      </c>
      <c r="G851" s="20" t="n">
        <f aca="false">IF(D851&gt;=13,(1+Assumptions!B46)^(D851-12),1)</f>
        <v>1.04909526848729</v>
      </c>
      <c r="H851" s="21" t="n">
        <f aca="false">H850*(1+IF(C851=1,Assumptions!B22,Assumptions!B23))</f>
        <v>22.5360400448472</v>
      </c>
      <c r="I851" s="16" t="n">
        <f aca="false">ROUND(H851*F851,0)</f>
        <v>14</v>
      </c>
      <c r="J851" s="22" t="n">
        <f aca="false">I851*Assumptions!B24</f>
        <v>8400</v>
      </c>
      <c r="K851" s="21" t="n">
        <f aca="false">K850*(1+Assumptions!B30)</f>
        <v>17.3437294329485</v>
      </c>
      <c r="L851" s="16" t="n">
        <f aca="false">ROUND(K851*F851,0)</f>
        <v>10</v>
      </c>
      <c r="M851" s="22" t="n">
        <f aca="false">L851*Assumptions!B31</f>
        <v>3000</v>
      </c>
      <c r="N851" s="22" t="n">
        <f aca="false">J851+M851</f>
        <v>11400</v>
      </c>
      <c r="O851" s="22" t="n">
        <f aca="false">IF(DAY(B851)=1,Assumptions!B38*G851,0)</f>
        <v>0</v>
      </c>
      <c r="P851" s="22" t="n">
        <f aca="false">IF(DAY(B851)=1,Assumptions!B39*G851,0)</f>
        <v>0</v>
      </c>
      <c r="Q851" s="22" t="n">
        <f aca="false">IF(DAY(B851)=1,Assumptions!B40*G851,0)</f>
        <v>0</v>
      </c>
      <c r="R851" s="22" t="n">
        <f aca="false">IF(DAY(B851)=1,Assumptions!B41*G851,0)</f>
        <v>0</v>
      </c>
      <c r="S851" s="22" t="n">
        <f aca="false">IF(AND(DAY(B851)=1,D851&gt;=13),Assumptions!B42*G851,0)</f>
        <v>0</v>
      </c>
      <c r="T851" s="22" t="n">
        <f aca="false">IF(DAY(B851)=1,Assumptions!B43*G851,0)</f>
        <v>0</v>
      </c>
      <c r="U851" s="22" t="n">
        <f aca="false">SUM(O851:T851)</f>
        <v>0</v>
      </c>
      <c r="V851" s="22" t="n">
        <f aca="false">N851-U851</f>
        <v>11400</v>
      </c>
      <c r="W851" s="22" t="n">
        <f aca="false">W850+V851</f>
        <v>-2265115.75334233</v>
      </c>
      <c r="X851" s="23" t="str">
        <f aca="false">IF(W851&gt;=0,"YES","No")</f>
        <v>No</v>
      </c>
    </row>
    <row r="852" customFormat="false" ht="15" hidden="false" customHeight="false" outlineLevel="0" collapsed="false">
      <c r="A852" s="16" t="n">
        <v>851</v>
      </c>
      <c r="B852" s="17" t="n">
        <f aca="false">B851+1</f>
        <v>46873</v>
      </c>
      <c r="C852" s="18" t="n">
        <f aca="false">MIN(ROUNDUP(A852/365,0),5)</f>
        <v>3</v>
      </c>
      <c r="D852" s="18" t="n">
        <f aca="false">DATEDIF(Assumptions!B5,B852,"m")+1</f>
        <v>28</v>
      </c>
      <c r="E852" s="18" t="str">
        <f aca="false">TEXT(B852,"ddd")</f>
        <v>Sun</v>
      </c>
      <c r="F852" s="19" t="n">
        <f aca="false">IF(WEEKDAY(B852,2)&gt;=6,Assumptions!B34,Assumptions!B35)</f>
        <v>0.6</v>
      </c>
      <c r="G852" s="20" t="n">
        <f aca="false">IF(D852&gt;=13,(1+Assumptions!B46)^(D852-12),1)</f>
        <v>1.04909526848729</v>
      </c>
      <c r="H852" s="21" t="n">
        <f aca="false">H851*(1+IF(C852=1,Assumptions!B22,Assumptions!B23))</f>
        <v>22.5397328386694</v>
      </c>
      <c r="I852" s="16" t="n">
        <f aca="false">ROUND(H852*F852,0)</f>
        <v>14</v>
      </c>
      <c r="J852" s="22" t="n">
        <f aca="false">I852*Assumptions!B24</f>
        <v>8400</v>
      </c>
      <c r="K852" s="21" t="n">
        <f aca="false">K851*(1+Assumptions!B30)</f>
        <v>17.3493997369975</v>
      </c>
      <c r="L852" s="16" t="n">
        <f aca="false">ROUND(K852*F852,0)</f>
        <v>10</v>
      </c>
      <c r="M852" s="22" t="n">
        <f aca="false">L852*Assumptions!B31</f>
        <v>3000</v>
      </c>
      <c r="N852" s="22" t="n">
        <f aca="false">J852+M852</f>
        <v>11400</v>
      </c>
      <c r="O852" s="22" t="n">
        <f aca="false">IF(DAY(B852)=1,Assumptions!B38*G852,0)</f>
        <v>0</v>
      </c>
      <c r="P852" s="22" t="n">
        <f aca="false">IF(DAY(B852)=1,Assumptions!B39*G852,0)</f>
        <v>0</v>
      </c>
      <c r="Q852" s="22" t="n">
        <f aca="false">IF(DAY(B852)=1,Assumptions!B40*G852,0)</f>
        <v>0</v>
      </c>
      <c r="R852" s="22" t="n">
        <f aca="false">IF(DAY(B852)=1,Assumptions!B41*G852,0)</f>
        <v>0</v>
      </c>
      <c r="S852" s="22" t="n">
        <f aca="false">IF(AND(DAY(B852)=1,D852&gt;=13),Assumptions!B42*G852,0)</f>
        <v>0</v>
      </c>
      <c r="T852" s="22" t="n">
        <f aca="false">IF(DAY(B852)=1,Assumptions!B43*G852,0)</f>
        <v>0</v>
      </c>
      <c r="U852" s="22" t="n">
        <f aca="false">SUM(O852:T852)</f>
        <v>0</v>
      </c>
      <c r="V852" s="22" t="n">
        <f aca="false">N852-U852</f>
        <v>11400</v>
      </c>
      <c r="W852" s="22" t="n">
        <f aca="false">W851+V852</f>
        <v>-2253715.75334233</v>
      </c>
      <c r="X852" s="23" t="str">
        <f aca="false">IF(W852&gt;=0,"YES","No")</f>
        <v>No</v>
      </c>
    </row>
    <row r="853" customFormat="false" ht="15" hidden="false" customHeight="false" outlineLevel="0" collapsed="false">
      <c r="A853" s="16" t="n">
        <v>852</v>
      </c>
      <c r="B853" s="17" t="n">
        <f aca="false">B852+1</f>
        <v>46874</v>
      </c>
      <c r="C853" s="18" t="n">
        <f aca="false">MIN(ROUNDUP(A853/365,0),5)</f>
        <v>3</v>
      </c>
      <c r="D853" s="18" t="n">
        <f aca="false">DATEDIF(Assumptions!B5,B853,"m")+1</f>
        <v>29</v>
      </c>
      <c r="E853" s="18" t="str">
        <f aca="false">TEXT(B853,"ddd")</f>
        <v>Mon</v>
      </c>
      <c r="F853" s="19" t="n">
        <f aca="false">IF(WEEKDAY(B853,2)&gt;=6,Assumptions!B34,Assumptions!B35)</f>
        <v>1</v>
      </c>
      <c r="G853" s="20" t="n">
        <f aca="false">IF(D853&gt;=13,(1+Assumptions!B46)^(D853-12),1)</f>
        <v>1.05224255429275</v>
      </c>
      <c r="H853" s="21" t="n">
        <f aca="false">H852*(1+IF(C853=1,Assumptions!B22,Assumptions!B23))</f>
        <v>22.5434262375991</v>
      </c>
      <c r="I853" s="16" t="n">
        <f aca="false">ROUND(H853*F853,0)</f>
        <v>23</v>
      </c>
      <c r="J853" s="22" t="n">
        <f aca="false">I853*Assumptions!B24</f>
        <v>13800</v>
      </c>
      <c r="K853" s="21" t="n">
        <f aca="false">K852*(1+Assumptions!B30)</f>
        <v>17.3550718948777</v>
      </c>
      <c r="L853" s="16" t="n">
        <f aca="false">ROUND(K853*F853,0)</f>
        <v>17</v>
      </c>
      <c r="M853" s="22" t="n">
        <f aca="false">L853*Assumptions!B31</f>
        <v>5100</v>
      </c>
      <c r="N853" s="22" t="n">
        <f aca="false">J853+M853</f>
        <v>18900</v>
      </c>
      <c r="O853" s="22" t="n">
        <f aca="false">IF(DAY(B853)=1,Assumptions!B38*G853,0)</f>
        <v>157836.383143912</v>
      </c>
      <c r="P853" s="22" t="n">
        <f aca="false">IF(DAY(B853)=1,Assumptions!B39*G853,0)</f>
        <v>42089.7021717099</v>
      </c>
      <c r="Q853" s="22" t="n">
        <f aca="false">IF(DAY(B853)=1,Assumptions!B40*G853,0)</f>
        <v>31567.2766287824</v>
      </c>
      <c r="R853" s="22" t="n">
        <f aca="false">IF(DAY(B853)=1,Assumptions!B41*G853,0)</f>
        <v>21044.8510858549</v>
      </c>
      <c r="S853" s="22" t="n">
        <f aca="false">IF(AND(DAY(B853)=1,D853&gt;=13),Assumptions!B42*G853,0)</f>
        <v>157836.383143912</v>
      </c>
      <c r="T853" s="22" t="n">
        <f aca="false">IF(DAY(B853)=1,Assumptions!B43*G853,0)</f>
        <v>21044.8510858549</v>
      </c>
      <c r="U853" s="22" t="n">
        <f aca="false">SUM(O853:T853)</f>
        <v>431419.447260026</v>
      </c>
      <c r="V853" s="22" t="n">
        <f aca="false">N853-U853</f>
        <v>-412519.447260026</v>
      </c>
      <c r="W853" s="22" t="n">
        <f aca="false">W852+V853</f>
        <v>-2666235.20060236</v>
      </c>
      <c r="X853" s="23" t="str">
        <f aca="false">IF(W853&gt;=0,"YES","No")</f>
        <v>No</v>
      </c>
    </row>
    <row r="854" customFormat="false" ht="15" hidden="false" customHeight="false" outlineLevel="0" collapsed="false">
      <c r="A854" s="16" t="n">
        <v>853</v>
      </c>
      <c r="B854" s="17" t="n">
        <f aca="false">B853+1</f>
        <v>46875</v>
      </c>
      <c r="C854" s="18" t="n">
        <f aca="false">MIN(ROUNDUP(A854/365,0),5)</f>
        <v>3</v>
      </c>
      <c r="D854" s="18" t="n">
        <f aca="false">DATEDIF(Assumptions!B5,B854,"m")+1</f>
        <v>29</v>
      </c>
      <c r="E854" s="18" t="str">
        <f aca="false">TEXT(B854,"ddd")</f>
        <v>Tue</v>
      </c>
      <c r="F854" s="19" t="n">
        <f aca="false">IF(WEEKDAY(B854,2)&gt;=6,Assumptions!B34,Assumptions!B35)</f>
        <v>1</v>
      </c>
      <c r="G854" s="20" t="n">
        <f aca="false">IF(D854&gt;=13,(1+Assumptions!B46)^(D854-12),1)</f>
        <v>1.05224255429275</v>
      </c>
      <c r="H854" s="21" t="n">
        <f aca="false">H853*(1+IF(C854=1,Assumptions!B22,Assumptions!B23))</f>
        <v>22.5471202417354</v>
      </c>
      <c r="I854" s="16" t="n">
        <f aca="false">ROUND(H854*F854,0)</f>
        <v>23</v>
      </c>
      <c r="J854" s="22" t="n">
        <f aca="false">I854*Assumptions!B24</f>
        <v>13800</v>
      </c>
      <c r="K854" s="21" t="n">
        <f aca="false">K853*(1+Assumptions!B30)</f>
        <v>17.3607459071952</v>
      </c>
      <c r="L854" s="16" t="n">
        <f aca="false">ROUND(K854*F854,0)</f>
        <v>17</v>
      </c>
      <c r="M854" s="22" t="n">
        <f aca="false">L854*Assumptions!B31</f>
        <v>5100</v>
      </c>
      <c r="N854" s="22" t="n">
        <f aca="false">J854+M854</f>
        <v>18900</v>
      </c>
      <c r="O854" s="22" t="n">
        <f aca="false">IF(DAY(B854)=1,Assumptions!B38*G854,0)</f>
        <v>0</v>
      </c>
      <c r="P854" s="22" t="n">
        <f aca="false">IF(DAY(B854)=1,Assumptions!B39*G854,0)</f>
        <v>0</v>
      </c>
      <c r="Q854" s="22" t="n">
        <f aca="false">IF(DAY(B854)=1,Assumptions!B40*G854,0)</f>
        <v>0</v>
      </c>
      <c r="R854" s="22" t="n">
        <f aca="false">IF(DAY(B854)=1,Assumptions!B41*G854,0)</f>
        <v>0</v>
      </c>
      <c r="S854" s="22" t="n">
        <f aca="false">IF(AND(DAY(B854)=1,D854&gt;=13),Assumptions!B42*G854,0)</f>
        <v>0</v>
      </c>
      <c r="T854" s="22" t="n">
        <f aca="false">IF(DAY(B854)=1,Assumptions!B43*G854,0)</f>
        <v>0</v>
      </c>
      <c r="U854" s="22" t="n">
        <f aca="false">SUM(O854:T854)</f>
        <v>0</v>
      </c>
      <c r="V854" s="22" t="n">
        <f aca="false">N854-U854</f>
        <v>18900</v>
      </c>
      <c r="W854" s="22" t="n">
        <f aca="false">W853+V854</f>
        <v>-2647335.20060236</v>
      </c>
      <c r="X854" s="23" t="str">
        <f aca="false">IF(W854&gt;=0,"YES","No")</f>
        <v>No</v>
      </c>
    </row>
    <row r="855" customFormat="false" ht="15" hidden="false" customHeight="false" outlineLevel="0" collapsed="false">
      <c r="A855" s="16" t="n">
        <v>854</v>
      </c>
      <c r="B855" s="17" t="n">
        <f aca="false">B854+1</f>
        <v>46876</v>
      </c>
      <c r="C855" s="18" t="n">
        <f aca="false">MIN(ROUNDUP(A855/365,0),5)</f>
        <v>3</v>
      </c>
      <c r="D855" s="18" t="n">
        <f aca="false">DATEDIF(Assumptions!B5,B855,"m")+1</f>
        <v>29</v>
      </c>
      <c r="E855" s="18" t="str">
        <f aca="false">TEXT(B855,"ddd")</f>
        <v>Wed</v>
      </c>
      <c r="F855" s="19" t="n">
        <f aca="false">IF(WEEKDAY(B855,2)&gt;=6,Assumptions!B34,Assumptions!B35)</f>
        <v>1</v>
      </c>
      <c r="G855" s="20" t="n">
        <f aca="false">IF(D855&gt;=13,(1+Assumptions!B46)^(D855-12),1)</f>
        <v>1.05224255429275</v>
      </c>
      <c r="H855" s="21" t="n">
        <f aca="false">H854*(1+IF(C855=1,Assumptions!B22,Assumptions!B23))</f>
        <v>22.5508148511775</v>
      </c>
      <c r="I855" s="16" t="n">
        <f aca="false">ROUND(H855*F855,0)</f>
        <v>23</v>
      </c>
      <c r="J855" s="22" t="n">
        <f aca="false">I855*Assumptions!B24</f>
        <v>13800</v>
      </c>
      <c r="K855" s="21" t="n">
        <f aca="false">K854*(1+Assumptions!B30)</f>
        <v>17.3664217745564</v>
      </c>
      <c r="L855" s="16" t="n">
        <f aca="false">ROUND(K855*F855,0)</f>
        <v>17</v>
      </c>
      <c r="M855" s="22" t="n">
        <f aca="false">L855*Assumptions!B31</f>
        <v>5100</v>
      </c>
      <c r="N855" s="22" t="n">
        <f aca="false">J855+M855</f>
        <v>18900</v>
      </c>
      <c r="O855" s="22" t="n">
        <f aca="false">IF(DAY(B855)=1,Assumptions!B38*G855,0)</f>
        <v>0</v>
      </c>
      <c r="P855" s="22" t="n">
        <f aca="false">IF(DAY(B855)=1,Assumptions!B39*G855,0)</f>
        <v>0</v>
      </c>
      <c r="Q855" s="22" t="n">
        <f aca="false">IF(DAY(B855)=1,Assumptions!B40*G855,0)</f>
        <v>0</v>
      </c>
      <c r="R855" s="22" t="n">
        <f aca="false">IF(DAY(B855)=1,Assumptions!B41*G855,0)</f>
        <v>0</v>
      </c>
      <c r="S855" s="22" t="n">
        <f aca="false">IF(AND(DAY(B855)=1,D855&gt;=13),Assumptions!B42*G855,0)</f>
        <v>0</v>
      </c>
      <c r="T855" s="22" t="n">
        <f aca="false">IF(DAY(B855)=1,Assumptions!B43*G855,0)</f>
        <v>0</v>
      </c>
      <c r="U855" s="22" t="n">
        <f aca="false">SUM(O855:T855)</f>
        <v>0</v>
      </c>
      <c r="V855" s="22" t="n">
        <f aca="false">N855-U855</f>
        <v>18900</v>
      </c>
      <c r="W855" s="22" t="n">
        <f aca="false">W854+V855</f>
        <v>-2628435.20060236</v>
      </c>
      <c r="X855" s="23" t="str">
        <f aca="false">IF(W855&gt;=0,"YES","No")</f>
        <v>No</v>
      </c>
    </row>
    <row r="856" customFormat="false" ht="15" hidden="false" customHeight="false" outlineLevel="0" collapsed="false">
      <c r="A856" s="16" t="n">
        <v>855</v>
      </c>
      <c r="B856" s="17" t="n">
        <f aca="false">B855+1</f>
        <v>46877</v>
      </c>
      <c r="C856" s="18" t="n">
        <f aca="false">MIN(ROUNDUP(A856/365,0),5)</f>
        <v>3</v>
      </c>
      <c r="D856" s="18" t="n">
        <f aca="false">DATEDIF(Assumptions!B5,B856,"m")+1</f>
        <v>29</v>
      </c>
      <c r="E856" s="18" t="str">
        <f aca="false">TEXT(B856,"ddd")</f>
        <v>Thu</v>
      </c>
      <c r="F856" s="19" t="n">
        <f aca="false">IF(WEEKDAY(B856,2)&gt;=6,Assumptions!B34,Assumptions!B35)</f>
        <v>1</v>
      </c>
      <c r="G856" s="20" t="n">
        <f aca="false">IF(D856&gt;=13,(1+Assumptions!B46)^(D856-12),1)</f>
        <v>1.05224255429275</v>
      </c>
      <c r="H856" s="21" t="n">
        <f aca="false">H855*(1+IF(C856=1,Assumptions!B22,Assumptions!B23))</f>
        <v>22.5545100660246</v>
      </c>
      <c r="I856" s="16" t="n">
        <f aca="false">ROUND(H856*F856,0)</f>
        <v>23</v>
      </c>
      <c r="J856" s="22" t="n">
        <f aca="false">I856*Assumptions!B24</f>
        <v>13800</v>
      </c>
      <c r="K856" s="21" t="n">
        <f aca="false">K855*(1+Assumptions!B30)</f>
        <v>17.3720994975677</v>
      </c>
      <c r="L856" s="16" t="n">
        <f aca="false">ROUND(K856*F856,0)</f>
        <v>17</v>
      </c>
      <c r="M856" s="22" t="n">
        <f aca="false">L856*Assumptions!B31</f>
        <v>5100</v>
      </c>
      <c r="N856" s="22" t="n">
        <f aca="false">J856+M856</f>
        <v>18900</v>
      </c>
      <c r="O856" s="22" t="n">
        <f aca="false">IF(DAY(B856)=1,Assumptions!B38*G856,0)</f>
        <v>0</v>
      </c>
      <c r="P856" s="22" t="n">
        <f aca="false">IF(DAY(B856)=1,Assumptions!B39*G856,0)</f>
        <v>0</v>
      </c>
      <c r="Q856" s="22" t="n">
        <f aca="false">IF(DAY(B856)=1,Assumptions!B40*G856,0)</f>
        <v>0</v>
      </c>
      <c r="R856" s="22" t="n">
        <f aca="false">IF(DAY(B856)=1,Assumptions!B41*G856,0)</f>
        <v>0</v>
      </c>
      <c r="S856" s="22" t="n">
        <f aca="false">IF(AND(DAY(B856)=1,D856&gt;=13),Assumptions!B42*G856,0)</f>
        <v>0</v>
      </c>
      <c r="T856" s="22" t="n">
        <f aca="false">IF(DAY(B856)=1,Assumptions!B43*G856,0)</f>
        <v>0</v>
      </c>
      <c r="U856" s="22" t="n">
        <f aca="false">SUM(O856:T856)</f>
        <v>0</v>
      </c>
      <c r="V856" s="22" t="n">
        <f aca="false">N856-U856</f>
        <v>18900</v>
      </c>
      <c r="W856" s="22" t="n">
        <f aca="false">W855+V856</f>
        <v>-2609535.20060236</v>
      </c>
      <c r="X856" s="23" t="str">
        <f aca="false">IF(W856&gt;=0,"YES","No")</f>
        <v>No</v>
      </c>
    </row>
    <row r="857" customFormat="false" ht="15" hidden="false" customHeight="false" outlineLevel="0" collapsed="false">
      <c r="A857" s="16" t="n">
        <v>856</v>
      </c>
      <c r="B857" s="17" t="n">
        <f aca="false">B856+1</f>
        <v>46878</v>
      </c>
      <c r="C857" s="18" t="n">
        <f aca="false">MIN(ROUNDUP(A857/365,0),5)</f>
        <v>3</v>
      </c>
      <c r="D857" s="18" t="n">
        <f aca="false">DATEDIF(Assumptions!B5,B857,"m")+1</f>
        <v>29</v>
      </c>
      <c r="E857" s="18" t="str">
        <f aca="false">TEXT(B857,"ddd")</f>
        <v>Fri</v>
      </c>
      <c r="F857" s="19" t="n">
        <f aca="false">IF(WEEKDAY(B857,2)&gt;=6,Assumptions!B34,Assumptions!B35)</f>
        <v>1</v>
      </c>
      <c r="G857" s="20" t="n">
        <f aca="false">IF(D857&gt;=13,(1+Assumptions!B46)^(D857-12),1)</f>
        <v>1.05224255429275</v>
      </c>
      <c r="H857" s="21" t="n">
        <f aca="false">H856*(1+IF(C857=1,Assumptions!B22,Assumptions!B23))</f>
        <v>22.5582058863758</v>
      </c>
      <c r="I857" s="16" t="n">
        <f aca="false">ROUND(H857*F857,0)</f>
        <v>23</v>
      </c>
      <c r="J857" s="22" t="n">
        <f aca="false">I857*Assumptions!B24</f>
        <v>13800</v>
      </c>
      <c r="K857" s="21" t="n">
        <f aca="false">K856*(1+Assumptions!B30)</f>
        <v>17.3777790768359</v>
      </c>
      <c r="L857" s="16" t="n">
        <f aca="false">ROUND(K857*F857,0)</f>
        <v>17</v>
      </c>
      <c r="M857" s="22" t="n">
        <f aca="false">L857*Assumptions!B31</f>
        <v>5100</v>
      </c>
      <c r="N857" s="22" t="n">
        <f aca="false">J857+M857</f>
        <v>18900</v>
      </c>
      <c r="O857" s="22" t="n">
        <f aca="false">IF(DAY(B857)=1,Assumptions!B38*G857,0)</f>
        <v>0</v>
      </c>
      <c r="P857" s="22" t="n">
        <f aca="false">IF(DAY(B857)=1,Assumptions!B39*G857,0)</f>
        <v>0</v>
      </c>
      <c r="Q857" s="22" t="n">
        <f aca="false">IF(DAY(B857)=1,Assumptions!B40*G857,0)</f>
        <v>0</v>
      </c>
      <c r="R857" s="22" t="n">
        <f aca="false">IF(DAY(B857)=1,Assumptions!B41*G857,0)</f>
        <v>0</v>
      </c>
      <c r="S857" s="22" t="n">
        <f aca="false">IF(AND(DAY(B857)=1,D857&gt;=13),Assumptions!B42*G857,0)</f>
        <v>0</v>
      </c>
      <c r="T857" s="22" t="n">
        <f aca="false">IF(DAY(B857)=1,Assumptions!B43*G857,0)</f>
        <v>0</v>
      </c>
      <c r="U857" s="22" t="n">
        <f aca="false">SUM(O857:T857)</f>
        <v>0</v>
      </c>
      <c r="V857" s="22" t="n">
        <f aca="false">N857-U857</f>
        <v>18900</v>
      </c>
      <c r="W857" s="22" t="n">
        <f aca="false">W856+V857</f>
        <v>-2590635.20060236</v>
      </c>
      <c r="X857" s="23" t="str">
        <f aca="false">IF(W857&gt;=0,"YES","No")</f>
        <v>No</v>
      </c>
    </row>
    <row r="858" customFormat="false" ht="15" hidden="false" customHeight="false" outlineLevel="0" collapsed="false">
      <c r="A858" s="16" t="n">
        <v>857</v>
      </c>
      <c r="B858" s="17" t="n">
        <f aca="false">B857+1</f>
        <v>46879</v>
      </c>
      <c r="C858" s="18" t="n">
        <f aca="false">MIN(ROUNDUP(A858/365,0),5)</f>
        <v>3</v>
      </c>
      <c r="D858" s="18" t="n">
        <f aca="false">DATEDIF(Assumptions!B5,B858,"m")+1</f>
        <v>29</v>
      </c>
      <c r="E858" s="18" t="str">
        <f aca="false">TEXT(B858,"ddd")</f>
        <v>Sat</v>
      </c>
      <c r="F858" s="19" t="n">
        <f aca="false">IF(WEEKDAY(B858,2)&gt;=6,Assumptions!B34,Assumptions!B35)</f>
        <v>0.6</v>
      </c>
      <c r="G858" s="20" t="n">
        <f aca="false">IF(D858&gt;=13,(1+Assumptions!B46)^(D858-12),1)</f>
        <v>1.05224255429275</v>
      </c>
      <c r="H858" s="21" t="n">
        <f aca="false">H857*(1+IF(C858=1,Assumptions!B22,Assumptions!B23))</f>
        <v>22.5619023123305</v>
      </c>
      <c r="I858" s="16" t="n">
        <f aca="false">ROUND(H858*F858,0)</f>
        <v>14</v>
      </c>
      <c r="J858" s="22" t="n">
        <f aca="false">I858*Assumptions!B24</f>
        <v>8400</v>
      </c>
      <c r="K858" s="21" t="n">
        <f aca="false">K857*(1+Assumptions!B30)</f>
        <v>17.3834605129677</v>
      </c>
      <c r="L858" s="16" t="n">
        <f aca="false">ROUND(K858*F858,0)</f>
        <v>10</v>
      </c>
      <c r="M858" s="22" t="n">
        <f aca="false">L858*Assumptions!B31</f>
        <v>3000</v>
      </c>
      <c r="N858" s="22" t="n">
        <f aca="false">J858+M858</f>
        <v>11400</v>
      </c>
      <c r="O858" s="22" t="n">
        <f aca="false">IF(DAY(B858)=1,Assumptions!B38*G858,0)</f>
        <v>0</v>
      </c>
      <c r="P858" s="22" t="n">
        <f aca="false">IF(DAY(B858)=1,Assumptions!B39*G858,0)</f>
        <v>0</v>
      </c>
      <c r="Q858" s="22" t="n">
        <f aca="false">IF(DAY(B858)=1,Assumptions!B40*G858,0)</f>
        <v>0</v>
      </c>
      <c r="R858" s="22" t="n">
        <f aca="false">IF(DAY(B858)=1,Assumptions!B41*G858,0)</f>
        <v>0</v>
      </c>
      <c r="S858" s="22" t="n">
        <f aca="false">IF(AND(DAY(B858)=1,D858&gt;=13),Assumptions!B42*G858,0)</f>
        <v>0</v>
      </c>
      <c r="T858" s="22" t="n">
        <f aca="false">IF(DAY(B858)=1,Assumptions!B43*G858,0)</f>
        <v>0</v>
      </c>
      <c r="U858" s="22" t="n">
        <f aca="false">SUM(O858:T858)</f>
        <v>0</v>
      </c>
      <c r="V858" s="22" t="n">
        <f aca="false">N858-U858</f>
        <v>11400</v>
      </c>
      <c r="W858" s="22" t="n">
        <f aca="false">W857+V858</f>
        <v>-2579235.20060236</v>
      </c>
      <c r="X858" s="23" t="str">
        <f aca="false">IF(W858&gt;=0,"YES","No")</f>
        <v>No</v>
      </c>
    </row>
    <row r="859" customFormat="false" ht="15" hidden="false" customHeight="false" outlineLevel="0" collapsed="false">
      <c r="A859" s="16" t="n">
        <v>858</v>
      </c>
      <c r="B859" s="17" t="n">
        <f aca="false">B858+1</f>
        <v>46880</v>
      </c>
      <c r="C859" s="18" t="n">
        <f aca="false">MIN(ROUNDUP(A859/365,0),5)</f>
        <v>3</v>
      </c>
      <c r="D859" s="18" t="n">
        <f aca="false">DATEDIF(Assumptions!B5,B859,"m")+1</f>
        <v>29</v>
      </c>
      <c r="E859" s="18" t="str">
        <f aca="false">TEXT(B859,"ddd")</f>
        <v>Sun</v>
      </c>
      <c r="F859" s="19" t="n">
        <f aca="false">IF(WEEKDAY(B859,2)&gt;=6,Assumptions!B34,Assumptions!B35)</f>
        <v>0.6</v>
      </c>
      <c r="G859" s="20" t="n">
        <f aca="false">IF(D859&gt;=13,(1+Assumptions!B46)^(D859-12),1)</f>
        <v>1.05224255429275</v>
      </c>
      <c r="H859" s="21" t="n">
        <f aca="false">H858*(1+IF(C859=1,Assumptions!B22,Assumptions!B23))</f>
        <v>22.5655993439878</v>
      </c>
      <c r="I859" s="16" t="n">
        <f aca="false">ROUND(H859*F859,0)</f>
        <v>14</v>
      </c>
      <c r="J859" s="22" t="n">
        <f aca="false">I859*Assumptions!B24</f>
        <v>8400</v>
      </c>
      <c r="K859" s="21" t="n">
        <f aca="false">K858*(1+Assumptions!B30)</f>
        <v>17.3891438065703</v>
      </c>
      <c r="L859" s="16" t="n">
        <f aca="false">ROUND(K859*F859,0)</f>
        <v>10</v>
      </c>
      <c r="M859" s="22" t="n">
        <f aca="false">L859*Assumptions!B31</f>
        <v>3000</v>
      </c>
      <c r="N859" s="22" t="n">
        <f aca="false">J859+M859</f>
        <v>11400</v>
      </c>
      <c r="O859" s="22" t="n">
        <f aca="false">IF(DAY(B859)=1,Assumptions!B38*G859,0)</f>
        <v>0</v>
      </c>
      <c r="P859" s="22" t="n">
        <f aca="false">IF(DAY(B859)=1,Assumptions!B39*G859,0)</f>
        <v>0</v>
      </c>
      <c r="Q859" s="22" t="n">
        <f aca="false">IF(DAY(B859)=1,Assumptions!B40*G859,0)</f>
        <v>0</v>
      </c>
      <c r="R859" s="22" t="n">
        <f aca="false">IF(DAY(B859)=1,Assumptions!B41*G859,0)</f>
        <v>0</v>
      </c>
      <c r="S859" s="22" t="n">
        <f aca="false">IF(AND(DAY(B859)=1,D859&gt;=13),Assumptions!B42*G859,0)</f>
        <v>0</v>
      </c>
      <c r="T859" s="22" t="n">
        <f aca="false">IF(DAY(B859)=1,Assumptions!B43*G859,0)</f>
        <v>0</v>
      </c>
      <c r="U859" s="22" t="n">
        <f aca="false">SUM(O859:T859)</f>
        <v>0</v>
      </c>
      <c r="V859" s="22" t="n">
        <f aca="false">N859-U859</f>
        <v>11400</v>
      </c>
      <c r="W859" s="22" t="n">
        <f aca="false">W858+V859</f>
        <v>-2567835.20060236</v>
      </c>
      <c r="X859" s="23" t="str">
        <f aca="false">IF(W859&gt;=0,"YES","No")</f>
        <v>No</v>
      </c>
    </row>
    <row r="860" customFormat="false" ht="15" hidden="false" customHeight="false" outlineLevel="0" collapsed="false">
      <c r="A860" s="16" t="n">
        <v>859</v>
      </c>
      <c r="B860" s="17" t="n">
        <f aca="false">B859+1</f>
        <v>46881</v>
      </c>
      <c r="C860" s="18" t="n">
        <f aca="false">MIN(ROUNDUP(A860/365,0),5)</f>
        <v>3</v>
      </c>
      <c r="D860" s="18" t="n">
        <f aca="false">DATEDIF(Assumptions!B5,B860,"m")+1</f>
        <v>29</v>
      </c>
      <c r="E860" s="18" t="str">
        <f aca="false">TEXT(B860,"ddd")</f>
        <v>Mon</v>
      </c>
      <c r="F860" s="19" t="n">
        <f aca="false">IF(WEEKDAY(B860,2)&gt;=6,Assumptions!B34,Assumptions!B35)</f>
        <v>1</v>
      </c>
      <c r="G860" s="20" t="n">
        <f aca="false">IF(D860&gt;=13,(1+Assumptions!B46)^(D860-12),1)</f>
        <v>1.05224255429275</v>
      </c>
      <c r="H860" s="21" t="n">
        <f aca="false">H859*(1+IF(C860=1,Assumptions!B22,Assumptions!B23))</f>
        <v>22.569296981447</v>
      </c>
      <c r="I860" s="16" t="n">
        <f aca="false">ROUND(H860*F860,0)</f>
        <v>23</v>
      </c>
      <c r="J860" s="22" t="n">
        <f aca="false">I860*Assumptions!B24</f>
        <v>13800</v>
      </c>
      <c r="K860" s="21" t="n">
        <f aca="false">K859*(1+Assumptions!B30)</f>
        <v>17.3948289582509</v>
      </c>
      <c r="L860" s="16" t="n">
        <f aca="false">ROUND(K860*F860,0)</f>
        <v>17</v>
      </c>
      <c r="M860" s="22" t="n">
        <f aca="false">L860*Assumptions!B31</f>
        <v>5100</v>
      </c>
      <c r="N860" s="22" t="n">
        <f aca="false">J860+M860</f>
        <v>18900</v>
      </c>
      <c r="O860" s="22" t="n">
        <f aca="false">IF(DAY(B860)=1,Assumptions!B38*G860,0)</f>
        <v>0</v>
      </c>
      <c r="P860" s="22" t="n">
        <f aca="false">IF(DAY(B860)=1,Assumptions!B39*G860,0)</f>
        <v>0</v>
      </c>
      <c r="Q860" s="22" t="n">
        <f aca="false">IF(DAY(B860)=1,Assumptions!B40*G860,0)</f>
        <v>0</v>
      </c>
      <c r="R860" s="22" t="n">
        <f aca="false">IF(DAY(B860)=1,Assumptions!B41*G860,0)</f>
        <v>0</v>
      </c>
      <c r="S860" s="22" t="n">
        <f aca="false">IF(AND(DAY(B860)=1,D860&gt;=13),Assumptions!B42*G860,0)</f>
        <v>0</v>
      </c>
      <c r="T860" s="22" t="n">
        <f aca="false">IF(DAY(B860)=1,Assumptions!B43*G860,0)</f>
        <v>0</v>
      </c>
      <c r="U860" s="22" t="n">
        <f aca="false">SUM(O860:T860)</f>
        <v>0</v>
      </c>
      <c r="V860" s="22" t="n">
        <f aca="false">N860-U860</f>
        <v>18900</v>
      </c>
      <c r="W860" s="22" t="n">
        <f aca="false">W859+V860</f>
        <v>-2548935.20060236</v>
      </c>
      <c r="X860" s="23" t="str">
        <f aca="false">IF(W860&gt;=0,"YES","No")</f>
        <v>No</v>
      </c>
    </row>
    <row r="861" customFormat="false" ht="15" hidden="false" customHeight="false" outlineLevel="0" collapsed="false">
      <c r="A861" s="16" t="n">
        <v>860</v>
      </c>
      <c r="B861" s="17" t="n">
        <f aca="false">B860+1</f>
        <v>46882</v>
      </c>
      <c r="C861" s="18" t="n">
        <f aca="false">MIN(ROUNDUP(A861/365,0),5)</f>
        <v>3</v>
      </c>
      <c r="D861" s="18" t="n">
        <f aca="false">DATEDIF(Assumptions!B5,B861,"m")+1</f>
        <v>29</v>
      </c>
      <c r="E861" s="18" t="str">
        <f aca="false">TEXT(B861,"ddd")</f>
        <v>Tue</v>
      </c>
      <c r="F861" s="19" t="n">
        <f aca="false">IF(WEEKDAY(B861,2)&gt;=6,Assumptions!B34,Assumptions!B35)</f>
        <v>1</v>
      </c>
      <c r="G861" s="20" t="n">
        <f aca="false">IF(D861&gt;=13,(1+Assumptions!B46)^(D861-12),1)</f>
        <v>1.05224255429275</v>
      </c>
      <c r="H861" s="21" t="n">
        <f aca="false">H860*(1+IF(C861=1,Assumptions!B22,Assumptions!B23))</f>
        <v>22.5729952248073</v>
      </c>
      <c r="I861" s="16" t="n">
        <f aca="false">ROUND(H861*F861,0)</f>
        <v>23</v>
      </c>
      <c r="J861" s="22" t="n">
        <f aca="false">I861*Assumptions!B24</f>
        <v>13800</v>
      </c>
      <c r="K861" s="21" t="n">
        <f aca="false">K860*(1+Assumptions!B30)</f>
        <v>17.400515968617</v>
      </c>
      <c r="L861" s="16" t="n">
        <f aca="false">ROUND(K861*F861,0)</f>
        <v>17</v>
      </c>
      <c r="M861" s="22" t="n">
        <f aca="false">L861*Assumptions!B31</f>
        <v>5100</v>
      </c>
      <c r="N861" s="22" t="n">
        <f aca="false">J861+M861</f>
        <v>18900</v>
      </c>
      <c r="O861" s="22" t="n">
        <f aca="false">IF(DAY(B861)=1,Assumptions!B38*G861,0)</f>
        <v>0</v>
      </c>
      <c r="P861" s="22" t="n">
        <f aca="false">IF(DAY(B861)=1,Assumptions!B39*G861,0)</f>
        <v>0</v>
      </c>
      <c r="Q861" s="22" t="n">
        <f aca="false">IF(DAY(B861)=1,Assumptions!B40*G861,0)</f>
        <v>0</v>
      </c>
      <c r="R861" s="22" t="n">
        <f aca="false">IF(DAY(B861)=1,Assumptions!B41*G861,0)</f>
        <v>0</v>
      </c>
      <c r="S861" s="22" t="n">
        <f aca="false">IF(AND(DAY(B861)=1,D861&gt;=13),Assumptions!B42*G861,0)</f>
        <v>0</v>
      </c>
      <c r="T861" s="22" t="n">
        <f aca="false">IF(DAY(B861)=1,Assumptions!B43*G861,0)</f>
        <v>0</v>
      </c>
      <c r="U861" s="22" t="n">
        <f aca="false">SUM(O861:T861)</f>
        <v>0</v>
      </c>
      <c r="V861" s="22" t="n">
        <f aca="false">N861-U861</f>
        <v>18900</v>
      </c>
      <c r="W861" s="22" t="n">
        <f aca="false">W860+V861</f>
        <v>-2530035.20060236</v>
      </c>
      <c r="X861" s="23" t="str">
        <f aca="false">IF(W861&gt;=0,"YES","No")</f>
        <v>No</v>
      </c>
    </row>
    <row r="862" customFormat="false" ht="15" hidden="false" customHeight="false" outlineLevel="0" collapsed="false">
      <c r="A862" s="16" t="n">
        <v>861</v>
      </c>
      <c r="B862" s="17" t="n">
        <f aca="false">B861+1</f>
        <v>46883</v>
      </c>
      <c r="C862" s="18" t="n">
        <f aca="false">MIN(ROUNDUP(A862/365,0),5)</f>
        <v>3</v>
      </c>
      <c r="D862" s="18" t="n">
        <f aca="false">DATEDIF(Assumptions!B5,B862,"m")+1</f>
        <v>29</v>
      </c>
      <c r="E862" s="18" t="str">
        <f aca="false">TEXT(B862,"ddd")</f>
        <v>Wed</v>
      </c>
      <c r="F862" s="19" t="n">
        <f aca="false">IF(WEEKDAY(B862,2)&gt;=6,Assumptions!B34,Assumptions!B35)</f>
        <v>1</v>
      </c>
      <c r="G862" s="20" t="n">
        <f aca="false">IF(D862&gt;=13,(1+Assumptions!B46)^(D862-12),1)</f>
        <v>1.05224255429275</v>
      </c>
      <c r="H862" s="21" t="n">
        <f aca="false">H861*(1+IF(C862=1,Assumptions!B22,Assumptions!B23))</f>
        <v>22.5766940741681</v>
      </c>
      <c r="I862" s="16" t="n">
        <f aca="false">ROUND(H862*F862,0)</f>
        <v>23</v>
      </c>
      <c r="J862" s="22" t="n">
        <f aca="false">I862*Assumptions!B24</f>
        <v>13800</v>
      </c>
      <c r="K862" s="21" t="n">
        <f aca="false">K861*(1+Assumptions!B30)</f>
        <v>17.4062048382763</v>
      </c>
      <c r="L862" s="16" t="n">
        <f aca="false">ROUND(K862*F862,0)</f>
        <v>17</v>
      </c>
      <c r="M862" s="22" t="n">
        <f aca="false">L862*Assumptions!B31</f>
        <v>5100</v>
      </c>
      <c r="N862" s="22" t="n">
        <f aca="false">J862+M862</f>
        <v>18900</v>
      </c>
      <c r="O862" s="22" t="n">
        <f aca="false">IF(DAY(B862)=1,Assumptions!B38*G862,0)</f>
        <v>0</v>
      </c>
      <c r="P862" s="22" t="n">
        <f aca="false">IF(DAY(B862)=1,Assumptions!B39*G862,0)</f>
        <v>0</v>
      </c>
      <c r="Q862" s="22" t="n">
        <f aca="false">IF(DAY(B862)=1,Assumptions!B40*G862,0)</f>
        <v>0</v>
      </c>
      <c r="R862" s="22" t="n">
        <f aca="false">IF(DAY(B862)=1,Assumptions!B41*G862,0)</f>
        <v>0</v>
      </c>
      <c r="S862" s="22" t="n">
        <f aca="false">IF(AND(DAY(B862)=1,D862&gt;=13),Assumptions!B42*G862,0)</f>
        <v>0</v>
      </c>
      <c r="T862" s="22" t="n">
        <f aca="false">IF(DAY(B862)=1,Assumptions!B43*G862,0)</f>
        <v>0</v>
      </c>
      <c r="U862" s="22" t="n">
        <f aca="false">SUM(O862:T862)</f>
        <v>0</v>
      </c>
      <c r="V862" s="22" t="n">
        <f aca="false">N862-U862</f>
        <v>18900</v>
      </c>
      <c r="W862" s="22" t="n">
        <f aca="false">W861+V862</f>
        <v>-2511135.20060236</v>
      </c>
      <c r="X862" s="23" t="str">
        <f aca="false">IF(W862&gt;=0,"YES","No")</f>
        <v>No</v>
      </c>
    </row>
    <row r="863" customFormat="false" ht="15" hidden="false" customHeight="false" outlineLevel="0" collapsed="false">
      <c r="A863" s="16" t="n">
        <v>862</v>
      </c>
      <c r="B863" s="17" t="n">
        <f aca="false">B862+1</f>
        <v>46884</v>
      </c>
      <c r="C863" s="18" t="n">
        <f aca="false">MIN(ROUNDUP(A863/365,0),5)</f>
        <v>3</v>
      </c>
      <c r="D863" s="18" t="n">
        <f aca="false">DATEDIF(Assumptions!B5,B863,"m")+1</f>
        <v>29</v>
      </c>
      <c r="E863" s="18" t="str">
        <f aca="false">TEXT(B863,"ddd")</f>
        <v>Thu</v>
      </c>
      <c r="F863" s="19" t="n">
        <f aca="false">IF(WEEKDAY(B863,2)&gt;=6,Assumptions!B34,Assumptions!B35)</f>
        <v>1</v>
      </c>
      <c r="G863" s="20" t="n">
        <f aca="false">IF(D863&gt;=13,(1+Assumptions!B46)^(D863-12),1)</f>
        <v>1.05224255429275</v>
      </c>
      <c r="H863" s="21" t="n">
        <f aca="false">H862*(1+IF(C863=1,Assumptions!B22,Assumptions!B23))</f>
        <v>22.5803935296287</v>
      </c>
      <c r="I863" s="16" t="n">
        <f aca="false">ROUND(H863*F863,0)</f>
        <v>23</v>
      </c>
      <c r="J863" s="22" t="n">
        <f aca="false">I863*Assumptions!B24</f>
        <v>13800</v>
      </c>
      <c r="K863" s="21" t="n">
        <f aca="false">K862*(1+Assumptions!B30)</f>
        <v>17.4118955678367</v>
      </c>
      <c r="L863" s="16" t="n">
        <f aca="false">ROUND(K863*F863,0)</f>
        <v>17</v>
      </c>
      <c r="M863" s="22" t="n">
        <f aca="false">L863*Assumptions!B31</f>
        <v>5100</v>
      </c>
      <c r="N863" s="22" t="n">
        <f aca="false">J863+M863</f>
        <v>18900</v>
      </c>
      <c r="O863" s="22" t="n">
        <f aca="false">IF(DAY(B863)=1,Assumptions!B38*G863,0)</f>
        <v>0</v>
      </c>
      <c r="P863" s="22" t="n">
        <f aca="false">IF(DAY(B863)=1,Assumptions!B39*G863,0)</f>
        <v>0</v>
      </c>
      <c r="Q863" s="22" t="n">
        <f aca="false">IF(DAY(B863)=1,Assumptions!B40*G863,0)</f>
        <v>0</v>
      </c>
      <c r="R863" s="22" t="n">
        <f aca="false">IF(DAY(B863)=1,Assumptions!B41*G863,0)</f>
        <v>0</v>
      </c>
      <c r="S863" s="22" t="n">
        <f aca="false">IF(AND(DAY(B863)=1,D863&gt;=13),Assumptions!B42*G863,0)</f>
        <v>0</v>
      </c>
      <c r="T863" s="22" t="n">
        <f aca="false">IF(DAY(B863)=1,Assumptions!B43*G863,0)</f>
        <v>0</v>
      </c>
      <c r="U863" s="22" t="n">
        <f aca="false">SUM(O863:T863)</f>
        <v>0</v>
      </c>
      <c r="V863" s="22" t="n">
        <f aca="false">N863-U863</f>
        <v>18900</v>
      </c>
      <c r="W863" s="22" t="n">
        <f aca="false">W862+V863</f>
        <v>-2492235.20060236</v>
      </c>
      <c r="X863" s="23" t="str">
        <f aca="false">IF(W863&gt;=0,"YES","No")</f>
        <v>No</v>
      </c>
    </row>
    <row r="864" customFormat="false" ht="15" hidden="false" customHeight="false" outlineLevel="0" collapsed="false">
      <c r="A864" s="16" t="n">
        <v>863</v>
      </c>
      <c r="B864" s="17" t="n">
        <f aca="false">B863+1</f>
        <v>46885</v>
      </c>
      <c r="C864" s="18" t="n">
        <f aca="false">MIN(ROUNDUP(A864/365,0),5)</f>
        <v>3</v>
      </c>
      <c r="D864" s="18" t="n">
        <f aca="false">DATEDIF(Assumptions!B5,B864,"m")+1</f>
        <v>29</v>
      </c>
      <c r="E864" s="18" t="str">
        <f aca="false">TEXT(B864,"ddd")</f>
        <v>Fri</v>
      </c>
      <c r="F864" s="19" t="n">
        <f aca="false">IF(WEEKDAY(B864,2)&gt;=6,Assumptions!B34,Assumptions!B35)</f>
        <v>1</v>
      </c>
      <c r="G864" s="20" t="n">
        <f aca="false">IF(D864&gt;=13,(1+Assumptions!B46)^(D864-12),1)</f>
        <v>1.05224255429275</v>
      </c>
      <c r="H864" s="21" t="n">
        <f aca="false">H863*(1+IF(C864=1,Assumptions!B22,Assumptions!B23))</f>
        <v>22.5840935912883</v>
      </c>
      <c r="I864" s="16" t="n">
        <f aca="false">ROUND(H864*F864,0)</f>
        <v>23</v>
      </c>
      <c r="J864" s="22" t="n">
        <f aca="false">I864*Assumptions!B24</f>
        <v>13800</v>
      </c>
      <c r="K864" s="21" t="n">
        <f aca="false">K863*(1+Assumptions!B30)</f>
        <v>17.4175881579061</v>
      </c>
      <c r="L864" s="16" t="n">
        <f aca="false">ROUND(K864*F864,0)</f>
        <v>17</v>
      </c>
      <c r="M864" s="22" t="n">
        <f aca="false">L864*Assumptions!B31</f>
        <v>5100</v>
      </c>
      <c r="N864" s="22" t="n">
        <f aca="false">J864+M864</f>
        <v>18900</v>
      </c>
      <c r="O864" s="22" t="n">
        <f aca="false">IF(DAY(B864)=1,Assumptions!B38*G864,0)</f>
        <v>0</v>
      </c>
      <c r="P864" s="22" t="n">
        <f aca="false">IF(DAY(B864)=1,Assumptions!B39*G864,0)</f>
        <v>0</v>
      </c>
      <c r="Q864" s="22" t="n">
        <f aca="false">IF(DAY(B864)=1,Assumptions!B40*G864,0)</f>
        <v>0</v>
      </c>
      <c r="R864" s="22" t="n">
        <f aca="false">IF(DAY(B864)=1,Assumptions!B41*G864,0)</f>
        <v>0</v>
      </c>
      <c r="S864" s="22" t="n">
        <f aca="false">IF(AND(DAY(B864)=1,D864&gt;=13),Assumptions!B42*G864,0)</f>
        <v>0</v>
      </c>
      <c r="T864" s="22" t="n">
        <f aca="false">IF(DAY(B864)=1,Assumptions!B43*G864,0)</f>
        <v>0</v>
      </c>
      <c r="U864" s="22" t="n">
        <f aca="false">SUM(O864:T864)</f>
        <v>0</v>
      </c>
      <c r="V864" s="22" t="n">
        <f aca="false">N864-U864</f>
        <v>18900</v>
      </c>
      <c r="W864" s="22" t="n">
        <f aca="false">W863+V864</f>
        <v>-2473335.20060236</v>
      </c>
      <c r="X864" s="23" t="str">
        <f aca="false">IF(W864&gt;=0,"YES","No")</f>
        <v>No</v>
      </c>
    </row>
    <row r="865" customFormat="false" ht="15" hidden="false" customHeight="false" outlineLevel="0" collapsed="false">
      <c r="A865" s="16" t="n">
        <v>864</v>
      </c>
      <c r="B865" s="17" t="n">
        <f aca="false">B864+1</f>
        <v>46886</v>
      </c>
      <c r="C865" s="18" t="n">
        <f aca="false">MIN(ROUNDUP(A865/365,0),5)</f>
        <v>3</v>
      </c>
      <c r="D865" s="18" t="n">
        <f aca="false">DATEDIF(Assumptions!B5,B865,"m")+1</f>
        <v>29</v>
      </c>
      <c r="E865" s="18" t="str">
        <f aca="false">TEXT(B865,"ddd")</f>
        <v>Sat</v>
      </c>
      <c r="F865" s="19" t="n">
        <f aca="false">IF(WEEKDAY(B865,2)&gt;=6,Assumptions!B34,Assumptions!B35)</f>
        <v>0.6</v>
      </c>
      <c r="G865" s="20" t="n">
        <f aca="false">IF(D865&gt;=13,(1+Assumptions!B46)^(D865-12),1)</f>
        <v>1.05224255429275</v>
      </c>
      <c r="H865" s="21" t="n">
        <f aca="false">H864*(1+IF(C865=1,Assumptions!B22,Assumptions!B23))</f>
        <v>22.5877942592463</v>
      </c>
      <c r="I865" s="16" t="n">
        <f aca="false">ROUND(H865*F865,0)</f>
        <v>14</v>
      </c>
      <c r="J865" s="22" t="n">
        <f aca="false">I865*Assumptions!B24</f>
        <v>8400</v>
      </c>
      <c r="K865" s="21" t="n">
        <f aca="false">K864*(1+Assumptions!B30)</f>
        <v>17.423282609093</v>
      </c>
      <c r="L865" s="16" t="n">
        <f aca="false">ROUND(K865*F865,0)</f>
        <v>10</v>
      </c>
      <c r="M865" s="22" t="n">
        <f aca="false">L865*Assumptions!B31</f>
        <v>3000</v>
      </c>
      <c r="N865" s="22" t="n">
        <f aca="false">J865+M865</f>
        <v>11400</v>
      </c>
      <c r="O865" s="22" t="n">
        <f aca="false">IF(DAY(B865)=1,Assumptions!B38*G865,0)</f>
        <v>0</v>
      </c>
      <c r="P865" s="22" t="n">
        <f aca="false">IF(DAY(B865)=1,Assumptions!B39*G865,0)</f>
        <v>0</v>
      </c>
      <c r="Q865" s="22" t="n">
        <f aca="false">IF(DAY(B865)=1,Assumptions!B40*G865,0)</f>
        <v>0</v>
      </c>
      <c r="R865" s="22" t="n">
        <f aca="false">IF(DAY(B865)=1,Assumptions!B41*G865,0)</f>
        <v>0</v>
      </c>
      <c r="S865" s="22" t="n">
        <f aca="false">IF(AND(DAY(B865)=1,D865&gt;=13),Assumptions!B42*G865,0)</f>
        <v>0</v>
      </c>
      <c r="T865" s="22" t="n">
        <f aca="false">IF(DAY(B865)=1,Assumptions!B43*G865,0)</f>
        <v>0</v>
      </c>
      <c r="U865" s="22" t="n">
        <f aca="false">SUM(O865:T865)</f>
        <v>0</v>
      </c>
      <c r="V865" s="22" t="n">
        <f aca="false">N865-U865</f>
        <v>11400</v>
      </c>
      <c r="W865" s="22" t="n">
        <f aca="false">W864+V865</f>
        <v>-2461935.20060236</v>
      </c>
      <c r="X865" s="23" t="str">
        <f aca="false">IF(W865&gt;=0,"YES","No")</f>
        <v>No</v>
      </c>
    </row>
    <row r="866" customFormat="false" ht="15" hidden="false" customHeight="false" outlineLevel="0" collapsed="false">
      <c r="A866" s="16" t="n">
        <v>865</v>
      </c>
      <c r="B866" s="17" t="n">
        <f aca="false">B865+1</f>
        <v>46887</v>
      </c>
      <c r="C866" s="18" t="n">
        <f aca="false">MIN(ROUNDUP(A866/365,0),5)</f>
        <v>3</v>
      </c>
      <c r="D866" s="18" t="n">
        <f aca="false">DATEDIF(Assumptions!B5,B866,"m")+1</f>
        <v>29</v>
      </c>
      <c r="E866" s="18" t="str">
        <f aca="false">TEXT(B866,"ddd")</f>
        <v>Sun</v>
      </c>
      <c r="F866" s="19" t="n">
        <f aca="false">IF(WEEKDAY(B866,2)&gt;=6,Assumptions!B34,Assumptions!B35)</f>
        <v>0.6</v>
      </c>
      <c r="G866" s="20" t="n">
        <f aca="false">IF(D866&gt;=13,(1+Assumptions!B46)^(D866-12),1)</f>
        <v>1.05224255429275</v>
      </c>
      <c r="H866" s="21" t="n">
        <f aca="false">H865*(1+IF(C866=1,Assumptions!B22,Assumptions!B23))</f>
        <v>22.591495533602</v>
      </c>
      <c r="I866" s="16" t="n">
        <f aca="false">ROUND(H866*F866,0)</f>
        <v>14</v>
      </c>
      <c r="J866" s="22" t="n">
        <f aca="false">I866*Assumptions!B24</f>
        <v>8400</v>
      </c>
      <c r="K866" s="21" t="n">
        <f aca="false">K865*(1+Assumptions!B30)</f>
        <v>17.4289789220058</v>
      </c>
      <c r="L866" s="16" t="n">
        <f aca="false">ROUND(K866*F866,0)</f>
        <v>10</v>
      </c>
      <c r="M866" s="22" t="n">
        <f aca="false">L866*Assumptions!B31</f>
        <v>3000</v>
      </c>
      <c r="N866" s="22" t="n">
        <f aca="false">J866+M866</f>
        <v>11400</v>
      </c>
      <c r="O866" s="22" t="n">
        <f aca="false">IF(DAY(B866)=1,Assumptions!B38*G866,0)</f>
        <v>0</v>
      </c>
      <c r="P866" s="22" t="n">
        <f aca="false">IF(DAY(B866)=1,Assumptions!B39*G866,0)</f>
        <v>0</v>
      </c>
      <c r="Q866" s="22" t="n">
        <f aca="false">IF(DAY(B866)=1,Assumptions!B40*G866,0)</f>
        <v>0</v>
      </c>
      <c r="R866" s="22" t="n">
        <f aca="false">IF(DAY(B866)=1,Assumptions!B41*G866,0)</f>
        <v>0</v>
      </c>
      <c r="S866" s="22" t="n">
        <f aca="false">IF(AND(DAY(B866)=1,D866&gt;=13),Assumptions!B42*G866,0)</f>
        <v>0</v>
      </c>
      <c r="T866" s="22" t="n">
        <f aca="false">IF(DAY(B866)=1,Assumptions!B43*G866,0)</f>
        <v>0</v>
      </c>
      <c r="U866" s="22" t="n">
        <f aca="false">SUM(O866:T866)</f>
        <v>0</v>
      </c>
      <c r="V866" s="22" t="n">
        <f aca="false">N866-U866</f>
        <v>11400</v>
      </c>
      <c r="W866" s="22" t="n">
        <f aca="false">W865+V866</f>
        <v>-2450535.20060236</v>
      </c>
      <c r="X866" s="23" t="str">
        <f aca="false">IF(W866&gt;=0,"YES","No")</f>
        <v>No</v>
      </c>
    </row>
    <row r="867" customFormat="false" ht="15" hidden="false" customHeight="false" outlineLevel="0" collapsed="false">
      <c r="A867" s="16" t="n">
        <v>866</v>
      </c>
      <c r="B867" s="17" t="n">
        <f aca="false">B866+1</f>
        <v>46888</v>
      </c>
      <c r="C867" s="18" t="n">
        <f aca="false">MIN(ROUNDUP(A867/365,0),5)</f>
        <v>3</v>
      </c>
      <c r="D867" s="18" t="n">
        <f aca="false">DATEDIF(Assumptions!B5,B867,"m")+1</f>
        <v>29</v>
      </c>
      <c r="E867" s="18" t="str">
        <f aca="false">TEXT(B867,"ddd")</f>
        <v>Mon</v>
      </c>
      <c r="F867" s="19" t="n">
        <f aca="false">IF(WEEKDAY(B867,2)&gt;=6,Assumptions!B34,Assumptions!B35)</f>
        <v>1</v>
      </c>
      <c r="G867" s="20" t="n">
        <f aca="false">IF(D867&gt;=13,(1+Assumptions!B46)^(D867-12),1)</f>
        <v>1.05224255429275</v>
      </c>
      <c r="H867" s="21" t="n">
        <f aca="false">H866*(1+IF(C867=1,Assumptions!B22,Assumptions!B23))</f>
        <v>22.5951974144548</v>
      </c>
      <c r="I867" s="16" t="n">
        <f aca="false">ROUND(H867*F867,0)</f>
        <v>23</v>
      </c>
      <c r="J867" s="22" t="n">
        <f aca="false">I867*Assumptions!B24</f>
        <v>13800</v>
      </c>
      <c r="K867" s="21" t="n">
        <f aca="false">K866*(1+Assumptions!B30)</f>
        <v>17.434677097253</v>
      </c>
      <c r="L867" s="16" t="n">
        <f aca="false">ROUND(K867*F867,0)</f>
        <v>17</v>
      </c>
      <c r="M867" s="22" t="n">
        <f aca="false">L867*Assumptions!B31</f>
        <v>5100</v>
      </c>
      <c r="N867" s="22" t="n">
        <f aca="false">J867+M867</f>
        <v>18900</v>
      </c>
      <c r="O867" s="22" t="n">
        <f aca="false">IF(DAY(B867)=1,Assumptions!B38*G867,0)</f>
        <v>0</v>
      </c>
      <c r="P867" s="22" t="n">
        <f aca="false">IF(DAY(B867)=1,Assumptions!B39*G867,0)</f>
        <v>0</v>
      </c>
      <c r="Q867" s="22" t="n">
        <f aca="false">IF(DAY(B867)=1,Assumptions!B40*G867,0)</f>
        <v>0</v>
      </c>
      <c r="R867" s="22" t="n">
        <f aca="false">IF(DAY(B867)=1,Assumptions!B41*G867,0)</f>
        <v>0</v>
      </c>
      <c r="S867" s="22" t="n">
        <f aca="false">IF(AND(DAY(B867)=1,D867&gt;=13),Assumptions!B42*G867,0)</f>
        <v>0</v>
      </c>
      <c r="T867" s="22" t="n">
        <f aca="false">IF(DAY(B867)=1,Assumptions!B43*G867,0)</f>
        <v>0</v>
      </c>
      <c r="U867" s="22" t="n">
        <f aca="false">SUM(O867:T867)</f>
        <v>0</v>
      </c>
      <c r="V867" s="22" t="n">
        <f aca="false">N867-U867</f>
        <v>18900</v>
      </c>
      <c r="W867" s="22" t="n">
        <f aca="false">W866+V867</f>
        <v>-2431635.20060236</v>
      </c>
      <c r="X867" s="23" t="str">
        <f aca="false">IF(W867&gt;=0,"YES","No")</f>
        <v>No</v>
      </c>
    </row>
    <row r="868" customFormat="false" ht="15" hidden="false" customHeight="false" outlineLevel="0" collapsed="false">
      <c r="A868" s="16" t="n">
        <v>867</v>
      </c>
      <c r="B868" s="17" t="n">
        <f aca="false">B867+1</f>
        <v>46889</v>
      </c>
      <c r="C868" s="18" t="n">
        <f aca="false">MIN(ROUNDUP(A868/365,0),5)</f>
        <v>3</v>
      </c>
      <c r="D868" s="18" t="n">
        <f aca="false">DATEDIF(Assumptions!B5,B868,"m")+1</f>
        <v>29</v>
      </c>
      <c r="E868" s="18" t="str">
        <f aca="false">TEXT(B868,"ddd")</f>
        <v>Tue</v>
      </c>
      <c r="F868" s="19" t="n">
        <f aca="false">IF(WEEKDAY(B868,2)&gt;=6,Assumptions!B34,Assumptions!B35)</f>
        <v>1</v>
      </c>
      <c r="G868" s="20" t="n">
        <f aca="false">IF(D868&gt;=13,(1+Assumptions!B46)^(D868-12),1)</f>
        <v>1.05224255429275</v>
      </c>
      <c r="H868" s="21" t="n">
        <f aca="false">H867*(1+IF(C868=1,Assumptions!B22,Assumptions!B23))</f>
        <v>22.5988999019041</v>
      </c>
      <c r="I868" s="16" t="n">
        <f aca="false">ROUND(H868*F868,0)</f>
        <v>23</v>
      </c>
      <c r="J868" s="22" t="n">
        <f aca="false">I868*Assumptions!B24</f>
        <v>13800</v>
      </c>
      <c r="K868" s="21" t="n">
        <f aca="false">K867*(1+Assumptions!B30)</f>
        <v>17.4403771354437</v>
      </c>
      <c r="L868" s="16" t="n">
        <f aca="false">ROUND(K868*F868,0)</f>
        <v>17</v>
      </c>
      <c r="M868" s="22" t="n">
        <f aca="false">L868*Assumptions!B31</f>
        <v>5100</v>
      </c>
      <c r="N868" s="22" t="n">
        <f aca="false">J868+M868</f>
        <v>18900</v>
      </c>
      <c r="O868" s="22" t="n">
        <f aca="false">IF(DAY(B868)=1,Assumptions!B38*G868,0)</f>
        <v>0</v>
      </c>
      <c r="P868" s="22" t="n">
        <f aca="false">IF(DAY(B868)=1,Assumptions!B39*G868,0)</f>
        <v>0</v>
      </c>
      <c r="Q868" s="22" t="n">
        <f aca="false">IF(DAY(B868)=1,Assumptions!B40*G868,0)</f>
        <v>0</v>
      </c>
      <c r="R868" s="22" t="n">
        <f aca="false">IF(DAY(B868)=1,Assumptions!B41*G868,0)</f>
        <v>0</v>
      </c>
      <c r="S868" s="22" t="n">
        <f aca="false">IF(AND(DAY(B868)=1,D868&gt;=13),Assumptions!B42*G868,0)</f>
        <v>0</v>
      </c>
      <c r="T868" s="22" t="n">
        <f aca="false">IF(DAY(B868)=1,Assumptions!B43*G868,0)</f>
        <v>0</v>
      </c>
      <c r="U868" s="22" t="n">
        <f aca="false">SUM(O868:T868)</f>
        <v>0</v>
      </c>
      <c r="V868" s="22" t="n">
        <f aca="false">N868-U868</f>
        <v>18900</v>
      </c>
      <c r="W868" s="22" t="n">
        <f aca="false">W867+V868</f>
        <v>-2412735.20060236</v>
      </c>
      <c r="X868" s="23" t="str">
        <f aca="false">IF(W868&gt;=0,"YES","No")</f>
        <v>No</v>
      </c>
    </row>
    <row r="869" customFormat="false" ht="15" hidden="false" customHeight="false" outlineLevel="0" collapsed="false">
      <c r="A869" s="16" t="n">
        <v>868</v>
      </c>
      <c r="B869" s="17" t="n">
        <f aca="false">B868+1</f>
        <v>46890</v>
      </c>
      <c r="C869" s="18" t="n">
        <f aca="false">MIN(ROUNDUP(A869/365,0),5)</f>
        <v>3</v>
      </c>
      <c r="D869" s="18" t="n">
        <f aca="false">DATEDIF(Assumptions!B5,B869,"m")+1</f>
        <v>29</v>
      </c>
      <c r="E869" s="18" t="str">
        <f aca="false">TEXT(B869,"ddd")</f>
        <v>Wed</v>
      </c>
      <c r="F869" s="19" t="n">
        <f aca="false">IF(WEEKDAY(B869,2)&gt;=6,Assumptions!B34,Assumptions!B35)</f>
        <v>1</v>
      </c>
      <c r="G869" s="20" t="n">
        <f aca="false">IF(D869&gt;=13,(1+Assumptions!B46)^(D869-12),1)</f>
        <v>1.05224255429275</v>
      </c>
      <c r="H869" s="21" t="n">
        <f aca="false">H868*(1+IF(C869=1,Assumptions!B22,Assumptions!B23))</f>
        <v>22.6026029960494</v>
      </c>
      <c r="I869" s="16" t="n">
        <f aca="false">ROUND(H869*F869,0)</f>
        <v>23</v>
      </c>
      <c r="J869" s="22" t="n">
        <f aca="false">I869*Assumptions!B24</f>
        <v>13800</v>
      </c>
      <c r="K869" s="21" t="n">
        <f aca="false">K868*(1+Assumptions!B30)</f>
        <v>17.4460790371868</v>
      </c>
      <c r="L869" s="16" t="n">
        <f aca="false">ROUND(K869*F869,0)</f>
        <v>17</v>
      </c>
      <c r="M869" s="22" t="n">
        <f aca="false">L869*Assumptions!B31</f>
        <v>5100</v>
      </c>
      <c r="N869" s="22" t="n">
        <f aca="false">J869+M869</f>
        <v>18900</v>
      </c>
      <c r="O869" s="22" t="n">
        <f aca="false">IF(DAY(B869)=1,Assumptions!B38*G869,0)</f>
        <v>0</v>
      </c>
      <c r="P869" s="22" t="n">
        <f aca="false">IF(DAY(B869)=1,Assumptions!B39*G869,0)</f>
        <v>0</v>
      </c>
      <c r="Q869" s="22" t="n">
        <f aca="false">IF(DAY(B869)=1,Assumptions!B40*G869,0)</f>
        <v>0</v>
      </c>
      <c r="R869" s="22" t="n">
        <f aca="false">IF(DAY(B869)=1,Assumptions!B41*G869,0)</f>
        <v>0</v>
      </c>
      <c r="S869" s="22" t="n">
        <f aca="false">IF(AND(DAY(B869)=1,D869&gt;=13),Assumptions!B42*G869,0)</f>
        <v>0</v>
      </c>
      <c r="T869" s="22" t="n">
        <f aca="false">IF(DAY(B869)=1,Assumptions!B43*G869,0)</f>
        <v>0</v>
      </c>
      <c r="U869" s="22" t="n">
        <f aca="false">SUM(O869:T869)</f>
        <v>0</v>
      </c>
      <c r="V869" s="22" t="n">
        <f aca="false">N869-U869</f>
        <v>18900</v>
      </c>
      <c r="W869" s="22" t="n">
        <f aca="false">W868+V869</f>
        <v>-2393835.20060236</v>
      </c>
      <c r="X869" s="23" t="str">
        <f aca="false">IF(W869&gt;=0,"YES","No")</f>
        <v>No</v>
      </c>
    </row>
    <row r="870" customFormat="false" ht="15" hidden="false" customHeight="false" outlineLevel="0" collapsed="false">
      <c r="A870" s="16" t="n">
        <v>869</v>
      </c>
      <c r="B870" s="17" t="n">
        <f aca="false">B869+1</f>
        <v>46891</v>
      </c>
      <c r="C870" s="18" t="n">
        <f aca="false">MIN(ROUNDUP(A870/365,0),5)</f>
        <v>3</v>
      </c>
      <c r="D870" s="18" t="n">
        <f aca="false">DATEDIF(Assumptions!B5,B870,"m")+1</f>
        <v>29</v>
      </c>
      <c r="E870" s="18" t="str">
        <f aca="false">TEXT(B870,"ddd")</f>
        <v>Thu</v>
      </c>
      <c r="F870" s="19" t="n">
        <f aca="false">IF(WEEKDAY(B870,2)&gt;=6,Assumptions!B34,Assumptions!B35)</f>
        <v>1</v>
      </c>
      <c r="G870" s="20" t="n">
        <f aca="false">IF(D870&gt;=13,(1+Assumptions!B46)^(D870-12),1)</f>
        <v>1.05224255429275</v>
      </c>
      <c r="H870" s="21" t="n">
        <f aca="false">H869*(1+IF(C870=1,Assumptions!B22,Assumptions!B23))</f>
        <v>22.6063066969899</v>
      </c>
      <c r="I870" s="16" t="n">
        <f aca="false">ROUND(H870*F870,0)</f>
        <v>23</v>
      </c>
      <c r="J870" s="22" t="n">
        <f aca="false">I870*Assumptions!B24</f>
        <v>13800</v>
      </c>
      <c r="K870" s="21" t="n">
        <f aca="false">K869*(1+Assumptions!B30)</f>
        <v>17.4517828030916</v>
      </c>
      <c r="L870" s="16" t="n">
        <f aca="false">ROUND(K870*F870,0)</f>
        <v>17</v>
      </c>
      <c r="M870" s="22" t="n">
        <f aca="false">L870*Assumptions!B31</f>
        <v>5100</v>
      </c>
      <c r="N870" s="22" t="n">
        <f aca="false">J870+M870</f>
        <v>18900</v>
      </c>
      <c r="O870" s="22" t="n">
        <f aca="false">IF(DAY(B870)=1,Assumptions!B38*G870,0)</f>
        <v>0</v>
      </c>
      <c r="P870" s="22" t="n">
        <f aca="false">IF(DAY(B870)=1,Assumptions!B39*G870,0)</f>
        <v>0</v>
      </c>
      <c r="Q870" s="22" t="n">
        <f aca="false">IF(DAY(B870)=1,Assumptions!B40*G870,0)</f>
        <v>0</v>
      </c>
      <c r="R870" s="22" t="n">
        <f aca="false">IF(DAY(B870)=1,Assumptions!B41*G870,0)</f>
        <v>0</v>
      </c>
      <c r="S870" s="22" t="n">
        <f aca="false">IF(AND(DAY(B870)=1,D870&gt;=13),Assumptions!B42*G870,0)</f>
        <v>0</v>
      </c>
      <c r="T870" s="22" t="n">
        <f aca="false">IF(DAY(B870)=1,Assumptions!B43*G870,0)</f>
        <v>0</v>
      </c>
      <c r="U870" s="22" t="n">
        <f aca="false">SUM(O870:T870)</f>
        <v>0</v>
      </c>
      <c r="V870" s="22" t="n">
        <f aca="false">N870-U870</f>
        <v>18900</v>
      </c>
      <c r="W870" s="22" t="n">
        <f aca="false">W869+V870</f>
        <v>-2374935.20060236</v>
      </c>
      <c r="X870" s="23" t="str">
        <f aca="false">IF(W870&gt;=0,"YES","No")</f>
        <v>No</v>
      </c>
    </row>
    <row r="871" customFormat="false" ht="15" hidden="false" customHeight="false" outlineLevel="0" collapsed="false">
      <c r="A871" s="16" t="n">
        <v>870</v>
      </c>
      <c r="B871" s="17" t="n">
        <f aca="false">B870+1</f>
        <v>46892</v>
      </c>
      <c r="C871" s="18" t="n">
        <f aca="false">MIN(ROUNDUP(A871/365,0),5)</f>
        <v>3</v>
      </c>
      <c r="D871" s="18" t="n">
        <f aca="false">DATEDIF(Assumptions!B5,B871,"m")+1</f>
        <v>29</v>
      </c>
      <c r="E871" s="18" t="str">
        <f aca="false">TEXT(B871,"ddd")</f>
        <v>Fri</v>
      </c>
      <c r="F871" s="19" t="n">
        <f aca="false">IF(WEEKDAY(B871,2)&gt;=6,Assumptions!B34,Assumptions!B35)</f>
        <v>1</v>
      </c>
      <c r="G871" s="20" t="n">
        <f aca="false">IF(D871&gt;=13,(1+Assumptions!B46)^(D871-12),1)</f>
        <v>1.05224255429275</v>
      </c>
      <c r="H871" s="21" t="n">
        <f aca="false">H870*(1+IF(C871=1,Assumptions!B22,Assumptions!B23))</f>
        <v>22.6100110048251</v>
      </c>
      <c r="I871" s="16" t="n">
        <f aca="false">ROUND(H871*F871,0)</f>
        <v>23</v>
      </c>
      <c r="J871" s="22" t="n">
        <f aca="false">I871*Assumptions!B24</f>
        <v>13800</v>
      </c>
      <c r="K871" s="21" t="n">
        <f aca="false">K870*(1+Assumptions!B30)</f>
        <v>17.4574884337677</v>
      </c>
      <c r="L871" s="16" t="n">
        <f aca="false">ROUND(K871*F871,0)</f>
        <v>17</v>
      </c>
      <c r="M871" s="22" t="n">
        <f aca="false">L871*Assumptions!B31</f>
        <v>5100</v>
      </c>
      <c r="N871" s="22" t="n">
        <f aca="false">J871+M871</f>
        <v>18900</v>
      </c>
      <c r="O871" s="22" t="n">
        <f aca="false">IF(DAY(B871)=1,Assumptions!B38*G871,0)</f>
        <v>0</v>
      </c>
      <c r="P871" s="22" t="n">
        <f aca="false">IF(DAY(B871)=1,Assumptions!B39*G871,0)</f>
        <v>0</v>
      </c>
      <c r="Q871" s="22" t="n">
        <f aca="false">IF(DAY(B871)=1,Assumptions!B40*G871,0)</f>
        <v>0</v>
      </c>
      <c r="R871" s="22" t="n">
        <f aca="false">IF(DAY(B871)=1,Assumptions!B41*G871,0)</f>
        <v>0</v>
      </c>
      <c r="S871" s="22" t="n">
        <f aca="false">IF(AND(DAY(B871)=1,D871&gt;=13),Assumptions!B42*G871,0)</f>
        <v>0</v>
      </c>
      <c r="T871" s="22" t="n">
        <f aca="false">IF(DAY(B871)=1,Assumptions!B43*G871,0)</f>
        <v>0</v>
      </c>
      <c r="U871" s="22" t="n">
        <f aca="false">SUM(O871:T871)</f>
        <v>0</v>
      </c>
      <c r="V871" s="22" t="n">
        <f aca="false">N871-U871</f>
        <v>18900</v>
      </c>
      <c r="W871" s="22" t="n">
        <f aca="false">W870+V871</f>
        <v>-2356035.20060236</v>
      </c>
      <c r="X871" s="23" t="str">
        <f aca="false">IF(W871&gt;=0,"YES","No")</f>
        <v>No</v>
      </c>
    </row>
    <row r="872" customFormat="false" ht="15" hidden="false" customHeight="false" outlineLevel="0" collapsed="false">
      <c r="A872" s="16" t="n">
        <v>871</v>
      </c>
      <c r="B872" s="17" t="n">
        <f aca="false">B871+1</f>
        <v>46893</v>
      </c>
      <c r="C872" s="18" t="n">
        <f aca="false">MIN(ROUNDUP(A872/365,0),5)</f>
        <v>3</v>
      </c>
      <c r="D872" s="18" t="n">
        <f aca="false">DATEDIF(Assumptions!B5,B872,"m")+1</f>
        <v>29</v>
      </c>
      <c r="E872" s="18" t="str">
        <f aca="false">TEXT(B872,"ddd")</f>
        <v>Sat</v>
      </c>
      <c r="F872" s="19" t="n">
        <f aca="false">IF(WEEKDAY(B872,2)&gt;=6,Assumptions!B34,Assumptions!B35)</f>
        <v>0.6</v>
      </c>
      <c r="G872" s="20" t="n">
        <f aca="false">IF(D872&gt;=13,(1+Assumptions!B46)^(D872-12),1)</f>
        <v>1.05224255429275</v>
      </c>
      <c r="H872" s="21" t="n">
        <f aca="false">H871*(1+IF(C872=1,Assumptions!B22,Assumptions!B23))</f>
        <v>22.6137159196545</v>
      </c>
      <c r="I872" s="16" t="n">
        <f aca="false">ROUND(H872*F872,0)</f>
        <v>14</v>
      </c>
      <c r="J872" s="22" t="n">
        <f aca="false">I872*Assumptions!B24</f>
        <v>8400</v>
      </c>
      <c r="K872" s="21" t="n">
        <f aca="false">K871*(1+Assumptions!B30)</f>
        <v>17.4631959298246</v>
      </c>
      <c r="L872" s="16" t="n">
        <f aca="false">ROUND(K872*F872,0)</f>
        <v>10</v>
      </c>
      <c r="M872" s="22" t="n">
        <f aca="false">L872*Assumptions!B31</f>
        <v>3000</v>
      </c>
      <c r="N872" s="22" t="n">
        <f aca="false">J872+M872</f>
        <v>11400</v>
      </c>
      <c r="O872" s="22" t="n">
        <f aca="false">IF(DAY(B872)=1,Assumptions!B38*G872,0)</f>
        <v>0</v>
      </c>
      <c r="P872" s="22" t="n">
        <f aca="false">IF(DAY(B872)=1,Assumptions!B39*G872,0)</f>
        <v>0</v>
      </c>
      <c r="Q872" s="22" t="n">
        <f aca="false">IF(DAY(B872)=1,Assumptions!B40*G872,0)</f>
        <v>0</v>
      </c>
      <c r="R872" s="22" t="n">
        <f aca="false">IF(DAY(B872)=1,Assumptions!B41*G872,0)</f>
        <v>0</v>
      </c>
      <c r="S872" s="22" t="n">
        <f aca="false">IF(AND(DAY(B872)=1,D872&gt;=13),Assumptions!B42*G872,0)</f>
        <v>0</v>
      </c>
      <c r="T872" s="22" t="n">
        <f aca="false">IF(DAY(B872)=1,Assumptions!B43*G872,0)</f>
        <v>0</v>
      </c>
      <c r="U872" s="22" t="n">
        <f aca="false">SUM(O872:T872)</f>
        <v>0</v>
      </c>
      <c r="V872" s="22" t="n">
        <f aca="false">N872-U872</f>
        <v>11400</v>
      </c>
      <c r="W872" s="22" t="n">
        <f aca="false">W871+V872</f>
        <v>-2344635.20060236</v>
      </c>
      <c r="X872" s="23" t="str">
        <f aca="false">IF(W872&gt;=0,"YES","No")</f>
        <v>No</v>
      </c>
    </row>
    <row r="873" customFormat="false" ht="15" hidden="false" customHeight="false" outlineLevel="0" collapsed="false">
      <c r="A873" s="16" t="n">
        <v>872</v>
      </c>
      <c r="B873" s="17" t="n">
        <f aca="false">B872+1</f>
        <v>46894</v>
      </c>
      <c r="C873" s="18" t="n">
        <f aca="false">MIN(ROUNDUP(A873/365,0),5)</f>
        <v>3</v>
      </c>
      <c r="D873" s="18" t="n">
        <f aca="false">DATEDIF(Assumptions!B5,B873,"m")+1</f>
        <v>29</v>
      </c>
      <c r="E873" s="18" t="str">
        <f aca="false">TEXT(B873,"ddd")</f>
        <v>Sun</v>
      </c>
      <c r="F873" s="19" t="n">
        <f aca="false">IF(WEEKDAY(B873,2)&gt;=6,Assumptions!B34,Assumptions!B35)</f>
        <v>0.6</v>
      </c>
      <c r="G873" s="20" t="n">
        <f aca="false">IF(D873&gt;=13,(1+Assumptions!B46)^(D873-12),1)</f>
        <v>1.05224255429275</v>
      </c>
      <c r="H873" s="21" t="n">
        <f aca="false">H872*(1+IF(C873=1,Assumptions!B22,Assumptions!B23))</f>
        <v>22.6174214415776</v>
      </c>
      <c r="I873" s="16" t="n">
        <f aca="false">ROUND(H873*F873,0)</f>
        <v>14</v>
      </c>
      <c r="J873" s="22" t="n">
        <f aca="false">I873*Assumptions!B24</f>
        <v>8400</v>
      </c>
      <c r="K873" s="21" t="n">
        <f aca="false">K872*(1+Assumptions!B30)</f>
        <v>17.4689052918721</v>
      </c>
      <c r="L873" s="16" t="n">
        <f aca="false">ROUND(K873*F873,0)</f>
        <v>10</v>
      </c>
      <c r="M873" s="22" t="n">
        <f aca="false">L873*Assumptions!B31</f>
        <v>3000</v>
      </c>
      <c r="N873" s="22" t="n">
        <f aca="false">J873+M873</f>
        <v>11400</v>
      </c>
      <c r="O873" s="22" t="n">
        <f aca="false">IF(DAY(B873)=1,Assumptions!B38*G873,0)</f>
        <v>0</v>
      </c>
      <c r="P873" s="22" t="n">
        <f aca="false">IF(DAY(B873)=1,Assumptions!B39*G873,0)</f>
        <v>0</v>
      </c>
      <c r="Q873" s="22" t="n">
        <f aca="false">IF(DAY(B873)=1,Assumptions!B40*G873,0)</f>
        <v>0</v>
      </c>
      <c r="R873" s="22" t="n">
        <f aca="false">IF(DAY(B873)=1,Assumptions!B41*G873,0)</f>
        <v>0</v>
      </c>
      <c r="S873" s="22" t="n">
        <f aca="false">IF(AND(DAY(B873)=1,D873&gt;=13),Assumptions!B42*G873,0)</f>
        <v>0</v>
      </c>
      <c r="T873" s="22" t="n">
        <f aca="false">IF(DAY(B873)=1,Assumptions!B43*G873,0)</f>
        <v>0</v>
      </c>
      <c r="U873" s="22" t="n">
        <f aca="false">SUM(O873:T873)</f>
        <v>0</v>
      </c>
      <c r="V873" s="22" t="n">
        <f aca="false">N873-U873</f>
        <v>11400</v>
      </c>
      <c r="W873" s="22" t="n">
        <f aca="false">W872+V873</f>
        <v>-2333235.20060236</v>
      </c>
      <c r="X873" s="23" t="str">
        <f aca="false">IF(W873&gt;=0,"YES","No")</f>
        <v>No</v>
      </c>
    </row>
    <row r="874" customFormat="false" ht="15" hidden="false" customHeight="false" outlineLevel="0" collapsed="false">
      <c r="A874" s="16" t="n">
        <v>873</v>
      </c>
      <c r="B874" s="17" t="n">
        <f aca="false">B873+1</f>
        <v>46895</v>
      </c>
      <c r="C874" s="18" t="n">
        <f aca="false">MIN(ROUNDUP(A874/365,0),5)</f>
        <v>3</v>
      </c>
      <c r="D874" s="18" t="n">
        <f aca="false">DATEDIF(Assumptions!B5,B874,"m")+1</f>
        <v>29</v>
      </c>
      <c r="E874" s="18" t="str">
        <f aca="false">TEXT(B874,"ddd")</f>
        <v>Mon</v>
      </c>
      <c r="F874" s="19" t="n">
        <f aca="false">IF(WEEKDAY(B874,2)&gt;=6,Assumptions!B34,Assumptions!B35)</f>
        <v>1</v>
      </c>
      <c r="G874" s="20" t="n">
        <f aca="false">IF(D874&gt;=13,(1+Assumptions!B46)^(D874-12),1)</f>
        <v>1.05224255429275</v>
      </c>
      <c r="H874" s="21" t="n">
        <f aca="false">H873*(1+IF(C874=1,Assumptions!B22,Assumptions!B23))</f>
        <v>22.6211275706938</v>
      </c>
      <c r="I874" s="16" t="n">
        <f aca="false">ROUND(H874*F874,0)</f>
        <v>23</v>
      </c>
      <c r="J874" s="22" t="n">
        <f aca="false">I874*Assumptions!B24</f>
        <v>13800</v>
      </c>
      <c r="K874" s="21" t="n">
        <f aca="false">K873*(1+Assumptions!B30)</f>
        <v>17.4746165205205</v>
      </c>
      <c r="L874" s="16" t="n">
        <f aca="false">ROUND(K874*F874,0)</f>
        <v>17</v>
      </c>
      <c r="M874" s="22" t="n">
        <f aca="false">L874*Assumptions!B31</f>
        <v>5100</v>
      </c>
      <c r="N874" s="22" t="n">
        <f aca="false">J874+M874</f>
        <v>18900</v>
      </c>
      <c r="O874" s="22" t="n">
        <f aca="false">IF(DAY(B874)=1,Assumptions!B38*G874,0)</f>
        <v>0</v>
      </c>
      <c r="P874" s="22" t="n">
        <f aca="false">IF(DAY(B874)=1,Assumptions!B39*G874,0)</f>
        <v>0</v>
      </c>
      <c r="Q874" s="22" t="n">
        <f aca="false">IF(DAY(B874)=1,Assumptions!B40*G874,0)</f>
        <v>0</v>
      </c>
      <c r="R874" s="22" t="n">
        <f aca="false">IF(DAY(B874)=1,Assumptions!B41*G874,0)</f>
        <v>0</v>
      </c>
      <c r="S874" s="22" t="n">
        <f aca="false">IF(AND(DAY(B874)=1,D874&gt;=13),Assumptions!B42*G874,0)</f>
        <v>0</v>
      </c>
      <c r="T874" s="22" t="n">
        <f aca="false">IF(DAY(B874)=1,Assumptions!B43*G874,0)</f>
        <v>0</v>
      </c>
      <c r="U874" s="22" t="n">
        <f aca="false">SUM(O874:T874)</f>
        <v>0</v>
      </c>
      <c r="V874" s="22" t="n">
        <f aca="false">N874-U874</f>
        <v>18900</v>
      </c>
      <c r="W874" s="22" t="n">
        <f aca="false">W873+V874</f>
        <v>-2314335.20060236</v>
      </c>
      <c r="X874" s="23" t="str">
        <f aca="false">IF(W874&gt;=0,"YES","No")</f>
        <v>No</v>
      </c>
    </row>
    <row r="875" customFormat="false" ht="15" hidden="false" customHeight="false" outlineLevel="0" collapsed="false">
      <c r="A875" s="16" t="n">
        <v>874</v>
      </c>
      <c r="B875" s="17" t="n">
        <f aca="false">B874+1</f>
        <v>46896</v>
      </c>
      <c r="C875" s="18" t="n">
        <f aca="false">MIN(ROUNDUP(A875/365,0),5)</f>
        <v>3</v>
      </c>
      <c r="D875" s="18" t="n">
        <f aca="false">DATEDIF(Assumptions!B5,B875,"m")+1</f>
        <v>29</v>
      </c>
      <c r="E875" s="18" t="str">
        <f aca="false">TEXT(B875,"ddd")</f>
        <v>Tue</v>
      </c>
      <c r="F875" s="19" t="n">
        <f aca="false">IF(WEEKDAY(B875,2)&gt;=6,Assumptions!B34,Assumptions!B35)</f>
        <v>1</v>
      </c>
      <c r="G875" s="20" t="n">
        <f aca="false">IF(D875&gt;=13,(1+Assumptions!B46)^(D875-12),1)</f>
        <v>1.05224255429275</v>
      </c>
      <c r="H875" s="21" t="n">
        <f aca="false">H874*(1+IF(C875=1,Assumptions!B22,Assumptions!B23))</f>
        <v>22.6248343071026</v>
      </c>
      <c r="I875" s="16" t="n">
        <f aca="false">ROUND(H875*F875,0)</f>
        <v>23</v>
      </c>
      <c r="J875" s="22" t="n">
        <f aca="false">I875*Assumptions!B24</f>
        <v>13800</v>
      </c>
      <c r="K875" s="21" t="n">
        <f aca="false">K874*(1+Assumptions!B30)</f>
        <v>17.4803296163799</v>
      </c>
      <c r="L875" s="16" t="n">
        <f aca="false">ROUND(K875*F875,0)</f>
        <v>17</v>
      </c>
      <c r="M875" s="22" t="n">
        <f aca="false">L875*Assumptions!B31</f>
        <v>5100</v>
      </c>
      <c r="N875" s="22" t="n">
        <f aca="false">J875+M875</f>
        <v>18900</v>
      </c>
      <c r="O875" s="22" t="n">
        <f aca="false">IF(DAY(B875)=1,Assumptions!B38*G875,0)</f>
        <v>0</v>
      </c>
      <c r="P875" s="22" t="n">
        <f aca="false">IF(DAY(B875)=1,Assumptions!B39*G875,0)</f>
        <v>0</v>
      </c>
      <c r="Q875" s="22" t="n">
        <f aca="false">IF(DAY(B875)=1,Assumptions!B40*G875,0)</f>
        <v>0</v>
      </c>
      <c r="R875" s="22" t="n">
        <f aca="false">IF(DAY(B875)=1,Assumptions!B41*G875,0)</f>
        <v>0</v>
      </c>
      <c r="S875" s="22" t="n">
        <f aca="false">IF(AND(DAY(B875)=1,D875&gt;=13),Assumptions!B42*G875,0)</f>
        <v>0</v>
      </c>
      <c r="T875" s="22" t="n">
        <f aca="false">IF(DAY(B875)=1,Assumptions!B43*G875,0)</f>
        <v>0</v>
      </c>
      <c r="U875" s="22" t="n">
        <f aca="false">SUM(O875:T875)</f>
        <v>0</v>
      </c>
      <c r="V875" s="22" t="n">
        <f aca="false">N875-U875</f>
        <v>18900</v>
      </c>
      <c r="W875" s="22" t="n">
        <f aca="false">W874+V875</f>
        <v>-2295435.20060236</v>
      </c>
      <c r="X875" s="23" t="str">
        <f aca="false">IF(W875&gt;=0,"YES","No")</f>
        <v>No</v>
      </c>
    </row>
    <row r="876" customFormat="false" ht="15" hidden="false" customHeight="false" outlineLevel="0" collapsed="false">
      <c r="A876" s="16" t="n">
        <v>875</v>
      </c>
      <c r="B876" s="17" t="n">
        <f aca="false">B875+1</f>
        <v>46897</v>
      </c>
      <c r="C876" s="18" t="n">
        <f aca="false">MIN(ROUNDUP(A876/365,0),5)</f>
        <v>3</v>
      </c>
      <c r="D876" s="18" t="n">
        <f aca="false">DATEDIF(Assumptions!B5,B876,"m")+1</f>
        <v>29</v>
      </c>
      <c r="E876" s="18" t="str">
        <f aca="false">TEXT(B876,"ddd")</f>
        <v>Wed</v>
      </c>
      <c r="F876" s="19" t="n">
        <f aca="false">IF(WEEKDAY(B876,2)&gt;=6,Assumptions!B34,Assumptions!B35)</f>
        <v>1</v>
      </c>
      <c r="G876" s="20" t="n">
        <f aca="false">IF(D876&gt;=13,(1+Assumptions!B46)^(D876-12),1)</f>
        <v>1.05224255429275</v>
      </c>
      <c r="H876" s="21" t="n">
        <f aca="false">H875*(1+IF(C876=1,Assumptions!B22,Assumptions!B23))</f>
        <v>22.6285416509035</v>
      </c>
      <c r="I876" s="16" t="n">
        <f aca="false">ROUND(H876*F876,0)</f>
        <v>23</v>
      </c>
      <c r="J876" s="22" t="n">
        <f aca="false">I876*Assumptions!B24</f>
        <v>13800</v>
      </c>
      <c r="K876" s="21" t="n">
        <f aca="false">K875*(1+Assumptions!B30)</f>
        <v>17.4860445800608</v>
      </c>
      <c r="L876" s="16" t="n">
        <f aca="false">ROUND(K876*F876,0)</f>
        <v>17</v>
      </c>
      <c r="M876" s="22" t="n">
        <f aca="false">L876*Assumptions!B31</f>
        <v>5100</v>
      </c>
      <c r="N876" s="22" t="n">
        <f aca="false">J876+M876</f>
        <v>18900</v>
      </c>
      <c r="O876" s="22" t="n">
        <f aca="false">IF(DAY(B876)=1,Assumptions!B38*G876,0)</f>
        <v>0</v>
      </c>
      <c r="P876" s="22" t="n">
        <f aca="false">IF(DAY(B876)=1,Assumptions!B39*G876,0)</f>
        <v>0</v>
      </c>
      <c r="Q876" s="22" t="n">
        <f aca="false">IF(DAY(B876)=1,Assumptions!B40*G876,0)</f>
        <v>0</v>
      </c>
      <c r="R876" s="22" t="n">
        <f aca="false">IF(DAY(B876)=1,Assumptions!B41*G876,0)</f>
        <v>0</v>
      </c>
      <c r="S876" s="22" t="n">
        <f aca="false">IF(AND(DAY(B876)=1,D876&gt;=13),Assumptions!B42*G876,0)</f>
        <v>0</v>
      </c>
      <c r="T876" s="22" t="n">
        <f aca="false">IF(DAY(B876)=1,Assumptions!B43*G876,0)</f>
        <v>0</v>
      </c>
      <c r="U876" s="22" t="n">
        <f aca="false">SUM(O876:T876)</f>
        <v>0</v>
      </c>
      <c r="V876" s="22" t="n">
        <f aca="false">N876-U876</f>
        <v>18900</v>
      </c>
      <c r="W876" s="22" t="n">
        <f aca="false">W875+V876</f>
        <v>-2276535.20060236</v>
      </c>
      <c r="X876" s="23" t="str">
        <f aca="false">IF(W876&gt;=0,"YES","No")</f>
        <v>No</v>
      </c>
    </row>
    <row r="877" customFormat="false" ht="15" hidden="false" customHeight="false" outlineLevel="0" collapsed="false">
      <c r="A877" s="16" t="n">
        <v>876</v>
      </c>
      <c r="B877" s="17" t="n">
        <f aca="false">B876+1</f>
        <v>46898</v>
      </c>
      <c r="C877" s="18" t="n">
        <f aca="false">MIN(ROUNDUP(A877/365,0),5)</f>
        <v>3</v>
      </c>
      <c r="D877" s="18" t="n">
        <f aca="false">DATEDIF(Assumptions!B5,B877,"m")+1</f>
        <v>29</v>
      </c>
      <c r="E877" s="18" t="str">
        <f aca="false">TEXT(B877,"ddd")</f>
        <v>Thu</v>
      </c>
      <c r="F877" s="19" t="n">
        <f aca="false">IF(WEEKDAY(B877,2)&gt;=6,Assumptions!B34,Assumptions!B35)</f>
        <v>1</v>
      </c>
      <c r="G877" s="20" t="n">
        <f aca="false">IF(D877&gt;=13,(1+Assumptions!B46)^(D877-12),1)</f>
        <v>1.05224255429275</v>
      </c>
      <c r="H877" s="21" t="n">
        <f aca="false">H876*(1+IF(C877=1,Assumptions!B22,Assumptions!B23))</f>
        <v>22.6322496021961</v>
      </c>
      <c r="I877" s="16" t="n">
        <f aca="false">ROUND(H877*F877,0)</f>
        <v>23</v>
      </c>
      <c r="J877" s="22" t="n">
        <f aca="false">I877*Assumptions!B24</f>
        <v>13800</v>
      </c>
      <c r="K877" s="21" t="n">
        <f aca="false">K876*(1+Assumptions!B30)</f>
        <v>17.4917614121738</v>
      </c>
      <c r="L877" s="16" t="n">
        <f aca="false">ROUND(K877*F877,0)</f>
        <v>17</v>
      </c>
      <c r="M877" s="22" t="n">
        <f aca="false">L877*Assumptions!B31</f>
        <v>5100</v>
      </c>
      <c r="N877" s="22" t="n">
        <f aca="false">J877+M877</f>
        <v>18900</v>
      </c>
      <c r="O877" s="22" t="n">
        <f aca="false">IF(DAY(B877)=1,Assumptions!B38*G877,0)</f>
        <v>0</v>
      </c>
      <c r="P877" s="22" t="n">
        <f aca="false">IF(DAY(B877)=1,Assumptions!B39*G877,0)</f>
        <v>0</v>
      </c>
      <c r="Q877" s="22" t="n">
        <f aca="false">IF(DAY(B877)=1,Assumptions!B40*G877,0)</f>
        <v>0</v>
      </c>
      <c r="R877" s="22" t="n">
        <f aca="false">IF(DAY(B877)=1,Assumptions!B41*G877,0)</f>
        <v>0</v>
      </c>
      <c r="S877" s="22" t="n">
        <f aca="false">IF(AND(DAY(B877)=1,D877&gt;=13),Assumptions!B42*G877,0)</f>
        <v>0</v>
      </c>
      <c r="T877" s="22" t="n">
        <f aca="false">IF(DAY(B877)=1,Assumptions!B43*G877,0)</f>
        <v>0</v>
      </c>
      <c r="U877" s="22" t="n">
        <f aca="false">SUM(O877:T877)</f>
        <v>0</v>
      </c>
      <c r="V877" s="22" t="n">
        <f aca="false">N877-U877</f>
        <v>18900</v>
      </c>
      <c r="W877" s="22" t="n">
        <f aca="false">W876+V877</f>
        <v>-2257635.20060236</v>
      </c>
      <c r="X877" s="23" t="str">
        <f aca="false">IF(W877&gt;=0,"YES","No")</f>
        <v>No</v>
      </c>
    </row>
    <row r="878" customFormat="false" ht="15" hidden="false" customHeight="false" outlineLevel="0" collapsed="false">
      <c r="A878" s="16" t="n">
        <v>877</v>
      </c>
      <c r="B878" s="17" t="n">
        <f aca="false">B877+1</f>
        <v>46899</v>
      </c>
      <c r="C878" s="18" t="n">
        <f aca="false">MIN(ROUNDUP(A878/365,0),5)</f>
        <v>3</v>
      </c>
      <c r="D878" s="18" t="n">
        <f aca="false">DATEDIF(Assumptions!B5,B878,"m")+1</f>
        <v>29</v>
      </c>
      <c r="E878" s="18" t="str">
        <f aca="false">TEXT(B878,"ddd")</f>
        <v>Fri</v>
      </c>
      <c r="F878" s="19" t="n">
        <f aca="false">IF(WEEKDAY(B878,2)&gt;=6,Assumptions!B34,Assumptions!B35)</f>
        <v>1</v>
      </c>
      <c r="G878" s="20" t="n">
        <f aca="false">IF(D878&gt;=13,(1+Assumptions!B46)^(D878-12),1)</f>
        <v>1.05224255429275</v>
      </c>
      <c r="H878" s="21" t="n">
        <f aca="false">H877*(1+IF(C878=1,Assumptions!B22,Assumptions!B23))</f>
        <v>22.6359581610798</v>
      </c>
      <c r="I878" s="16" t="n">
        <f aca="false">ROUND(H878*F878,0)</f>
        <v>23</v>
      </c>
      <c r="J878" s="22" t="n">
        <f aca="false">I878*Assumptions!B24</f>
        <v>13800</v>
      </c>
      <c r="K878" s="21" t="n">
        <f aca="false">K877*(1+Assumptions!B30)</f>
        <v>17.4974801133299</v>
      </c>
      <c r="L878" s="16" t="n">
        <f aca="false">ROUND(K878*F878,0)</f>
        <v>17</v>
      </c>
      <c r="M878" s="22" t="n">
        <f aca="false">L878*Assumptions!B31</f>
        <v>5100</v>
      </c>
      <c r="N878" s="22" t="n">
        <f aca="false">J878+M878</f>
        <v>18900</v>
      </c>
      <c r="O878" s="22" t="n">
        <f aca="false">IF(DAY(B878)=1,Assumptions!B38*G878,0)</f>
        <v>0</v>
      </c>
      <c r="P878" s="22" t="n">
        <f aca="false">IF(DAY(B878)=1,Assumptions!B39*G878,0)</f>
        <v>0</v>
      </c>
      <c r="Q878" s="22" t="n">
        <f aca="false">IF(DAY(B878)=1,Assumptions!B40*G878,0)</f>
        <v>0</v>
      </c>
      <c r="R878" s="22" t="n">
        <f aca="false">IF(DAY(B878)=1,Assumptions!B41*G878,0)</f>
        <v>0</v>
      </c>
      <c r="S878" s="22" t="n">
        <f aca="false">IF(AND(DAY(B878)=1,D878&gt;=13),Assumptions!B42*G878,0)</f>
        <v>0</v>
      </c>
      <c r="T878" s="22" t="n">
        <f aca="false">IF(DAY(B878)=1,Assumptions!B43*G878,0)</f>
        <v>0</v>
      </c>
      <c r="U878" s="22" t="n">
        <f aca="false">SUM(O878:T878)</f>
        <v>0</v>
      </c>
      <c r="V878" s="22" t="n">
        <f aca="false">N878-U878</f>
        <v>18900</v>
      </c>
      <c r="W878" s="22" t="n">
        <f aca="false">W877+V878</f>
        <v>-2238735.20060236</v>
      </c>
      <c r="X878" s="23" t="str">
        <f aca="false">IF(W878&gt;=0,"YES","No")</f>
        <v>No</v>
      </c>
    </row>
    <row r="879" customFormat="false" ht="15" hidden="false" customHeight="false" outlineLevel="0" collapsed="false">
      <c r="A879" s="16" t="n">
        <v>878</v>
      </c>
      <c r="B879" s="17" t="n">
        <f aca="false">B878+1</f>
        <v>46900</v>
      </c>
      <c r="C879" s="18" t="n">
        <f aca="false">MIN(ROUNDUP(A879/365,0),5)</f>
        <v>3</v>
      </c>
      <c r="D879" s="18" t="n">
        <f aca="false">DATEDIF(Assumptions!B5,B879,"m")+1</f>
        <v>29</v>
      </c>
      <c r="E879" s="18" t="str">
        <f aca="false">TEXT(B879,"ddd")</f>
        <v>Sat</v>
      </c>
      <c r="F879" s="19" t="n">
        <f aca="false">IF(WEEKDAY(B879,2)&gt;=6,Assumptions!B34,Assumptions!B35)</f>
        <v>0.6</v>
      </c>
      <c r="G879" s="20" t="n">
        <f aca="false">IF(D879&gt;=13,(1+Assumptions!B46)^(D879-12),1)</f>
        <v>1.05224255429275</v>
      </c>
      <c r="H879" s="21" t="n">
        <f aca="false">H878*(1+IF(C879=1,Assumptions!B22,Assumptions!B23))</f>
        <v>22.6396673276544</v>
      </c>
      <c r="I879" s="16" t="n">
        <f aca="false">ROUND(H879*F879,0)</f>
        <v>14</v>
      </c>
      <c r="J879" s="22" t="n">
        <f aca="false">I879*Assumptions!B24</f>
        <v>8400</v>
      </c>
      <c r="K879" s="21" t="n">
        <f aca="false">K878*(1+Assumptions!B30)</f>
        <v>17.50320068414</v>
      </c>
      <c r="L879" s="16" t="n">
        <f aca="false">ROUND(K879*F879,0)</f>
        <v>11</v>
      </c>
      <c r="M879" s="22" t="n">
        <f aca="false">L879*Assumptions!B31</f>
        <v>3300</v>
      </c>
      <c r="N879" s="22" t="n">
        <f aca="false">J879+M879</f>
        <v>11700</v>
      </c>
      <c r="O879" s="22" t="n">
        <f aca="false">IF(DAY(B879)=1,Assumptions!B38*G879,0)</f>
        <v>0</v>
      </c>
      <c r="P879" s="22" t="n">
        <f aca="false">IF(DAY(B879)=1,Assumptions!B39*G879,0)</f>
        <v>0</v>
      </c>
      <c r="Q879" s="22" t="n">
        <f aca="false">IF(DAY(B879)=1,Assumptions!B40*G879,0)</f>
        <v>0</v>
      </c>
      <c r="R879" s="22" t="n">
        <f aca="false">IF(DAY(B879)=1,Assumptions!B41*G879,0)</f>
        <v>0</v>
      </c>
      <c r="S879" s="22" t="n">
        <f aca="false">IF(AND(DAY(B879)=1,D879&gt;=13),Assumptions!B42*G879,0)</f>
        <v>0</v>
      </c>
      <c r="T879" s="22" t="n">
        <f aca="false">IF(DAY(B879)=1,Assumptions!B43*G879,0)</f>
        <v>0</v>
      </c>
      <c r="U879" s="22" t="n">
        <f aca="false">SUM(O879:T879)</f>
        <v>0</v>
      </c>
      <c r="V879" s="22" t="n">
        <f aca="false">N879-U879</f>
        <v>11700</v>
      </c>
      <c r="W879" s="22" t="n">
        <f aca="false">W878+V879</f>
        <v>-2227035.20060236</v>
      </c>
      <c r="X879" s="23" t="str">
        <f aca="false">IF(W879&gt;=0,"YES","No")</f>
        <v>No</v>
      </c>
    </row>
    <row r="880" customFormat="false" ht="15" hidden="false" customHeight="false" outlineLevel="0" collapsed="false">
      <c r="A880" s="16" t="n">
        <v>879</v>
      </c>
      <c r="B880" s="17" t="n">
        <f aca="false">B879+1</f>
        <v>46901</v>
      </c>
      <c r="C880" s="18" t="n">
        <f aca="false">MIN(ROUNDUP(A880/365,0),5)</f>
        <v>3</v>
      </c>
      <c r="D880" s="18" t="n">
        <f aca="false">DATEDIF(Assumptions!B5,B880,"m")+1</f>
        <v>29</v>
      </c>
      <c r="E880" s="18" t="str">
        <f aca="false">TEXT(B880,"ddd")</f>
        <v>Sun</v>
      </c>
      <c r="F880" s="19" t="n">
        <f aca="false">IF(WEEKDAY(B880,2)&gt;=6,Assumptions!B34,Assumptions!B35)</f>
        <v>0.6</v>
      </c>
      <c r="G880" s="20" t="n">
        <f aca="false">IF(D880&gt;=13,(1+Assumptions!B46)^(D880-12),1)</f>
        <v>1.05224255429275</v>
      </c>
      <c r="H880" s="21" t="n">
        <f aca="false">H879*(1+IF(C880=1,Assumptions!B22,Assumptions!B23))</f>
        <v>22.6433771020193</v>
      </c>
      <c r="I880" s="16" t="n">
        <f aca="false">ROUND(H880*F880,0)</f>
        <v>14</v>
      </c>
      <c r="J880" s="22" t="n">
        <f aca="false">I880*Assumptions!B24</f>
        <v>8400</v>
      </c>
      <c r="K880" s="21" t="n">
        <f aca="false">K879*(1+Assumptions!B30)</f>
        <v>17.5089231252154</v>
      </c>
      <c r="L880" s="16" t="n">
        <f aca="false">ROUND(K880*F880,0)</f>
        <v>11</v>
      </c>
      <c r="M880" s="22" t="n">
        <f aca="false">L880*Assumptions!B31</f>
        <v>3300</v>
      </c>
      <c r="N880" s="22" t="n">
        <f aca="false">J880+M880</f>
        <v>11700</v>
      </c>
      <c r="O880" s="22" t="n">
        <f aca="false">IF(DAY(B880)=1,Assumptions!B38*G880,0)</f>
        <v>0</v>
      </c>
      <c r="P880" s="22" t="n">
        <f aca="false">IF(DAY(B880)=1,Assumptions!B39*G880,0)</f>
        <v>0</v>
      </c>
      <c r="Q880" s="22" t="n">
        <f aca="false">IF(DAY(B880)=1,Assumptions!B40*G880,0)</f>
        <v>0</v>
      </c>
      <c r="R880" s="22" t="n">
        <f aca="false">IF(DAY(B880)=1,Assumptions!B41*G880,0)</f>
        <v>0</v>
      </c>
      <c r="S880" s="22" t="n">
        <f aca="false">IF(AND(DAY(B880)=1,D880&gt;=13),Assumptions!B42*G880,0)</f>
        <v>0</v>
      </c>
      <c r="T880" s="22" t="n">
        <f aca="false">IF(DAY(B880)=1,Assumptions!B43*G880,0)</f>
        <v>0</v>
      </c>
      <c r="U880" s="22" t="n">
        <f aca="false">SUM(O880:T880)</f>
        <v>0</v>
      </c>
      <c r="V880" s="22" t="n">
        <f aca="false">N880-U880</f>
        <v>11700</v>
      </c>
      <c r="W880" s="22" t="n">
        <f aca="false">W879+V880</f>
        <v>-2215335.20060236</v>
      </c>
      <c r="X880" s="23" t="str">
        <f aca="false">IF(W880&gt;=0,"YES","No")</f>
        <v>No</v>
      </c>
    </row>
    <row r="881" customFormat="false" ht="15" hidden="false" customHeight="false" outlineLevel="0" collapsed="false">
      <c r="A881" s="16" t="n">
        <v>880</v>
      </c>
      <c r="B881" s="17" t="n">
        <f aca="false">B880+1</f>
        <v>46902</v>
      </c>
      <c r="C881" s="18" t="n">
        <f aca="false">MIN(ROUNDUP(A881/365,0),5)</f>
        <v>3</v>
      </c>
      <c r="D881" s="18" t="n">
        <f aca="false">DATEDIF(Assumptions!B5,B881,"m")+1</f>
        <v>29</v>
      </c>
      <c r="E881" s="18" t="str">
        <f aca="false">TEXT(B881,"ddd")</f>
        <v>Mon</v>
      </c>
      <c r="F881" s="19" t="n">
        <f aca="false">IF(WEEKDAY(B881,2)&gt;=6,Assumptions!B34,Assumptions!B35)</f>
        <v>1</v>
      </c>
      <c r="G881" s="20" t="n">
        <f aca="false">IF(D881&gt;=13,(1+Assumptions!B46)^(D881-12),1)</f>
        <v>1.05224255429275</v>
      </c>
      <c r="H881" s="21" t="n">
        <f aca="false">H880*(1+IF(C881=1,Assumptions!B22,Assumptions!B23))</f>
        <v>22.6470874842741</v>
      </c>
      <c r="I881" s="16" t="n">
        <f aca="false">ROUND(H881*F881,0)</f>
        <v>23</v>
      </c>
      <c r="J881" s="22" t="n">
        <f aca="false">I881*Assumptions!B24</f>
        <v>13800</v>
      </c>
      <c r="K881" s="21" t="n">
        <f aca="false">K880*(1+Assumptions!B30)</f>
        <v>17.5146474371676</v>
      </c>
      <c r="L881" s="16" t="n">
        <f aca="false">ROUND(K881*F881,0)</f>
        <v>18</v>
      </c>
      <c r="M881" s="22" t="n">
        <f aca="false">L881*Assumptions!B31</f>
        <v>5400</v>
      </c>
      <c r="N881" s="22" t="n">
        <f aca="false">J881+M881</f>
        <v>19200</v>
      </c>
      <c r="O881" s="22" t="n">
        <f aca="false">IF(DAY(B881)=1,Assumptions!B38*G881,0)</f>
        <v>0</v>
      </c>
      <c r="P881" s="22" t="n">
        <f aca="false">IF(DAY(B881)=1,Assumptions!B39*G881,0)</f>
        <v>0</v>
      </c>
      <c r="Q881" s="22" t="n">
        <f aca="false">IF(DAY(B881)=1,Assumptions!B40*G881,0)</f>
        <v>0</v>
      </c>
      <c r="R881" s="22" t="n">
        <f aca="false">IF(DAY(B881)=1,Assumptions!B41*G881,0)</f>
        <v>0</v>
      </c>
      <c r="S881" s="22" t="n">
        <f aca="false">IF(AND(DAY(B881)=1,D881&gt;=13),Assumptions!B42*G881,0)</f>
        <v>0</v>
      </c>
      <c r="T881" s="22" t="n">
        <f aca="false">IF(DAY(B881)=1,Assumptions!B43*G881,0)</f>
        <v>0</v>
      </c>
      <c r="U881" s="22" t="n">
        <f aca="false">SUM(O881:T881)</f>
        <v>0</v>
      </c>
      <c r="V881" s="22" t="n">
        <f aca="false">N881-U881</f>
        <v>19200</v>
      </c>
      <c r="W881" s="22" t="n">
        <f aca="false">W880+V881</f>
        <v>-2196135.20060236</v>
      </c>
      <c r="X881" s="23" t="str">
        <f aca="false">IF(W881&gt;=0,"YES","No")</f>
        <v>No</v>
      </c>
    </row>
    <row r="882" customFormat="false" ht="15" hidden="false" customHeight="false" outlineLevel="0" collapsed="false">
      <c r="A882" s="16" t="n">
        <v>881</v>
      </c>
      <c r="B882" s="17" t="n">
        <f aca="false">B881+1</f>
        <v>46903</v>
      </c>
      <c r="C882" s="18" t="n">
        <f aca="false">MIN(ROUNDUP(A882/365,0),5)</f>
        <v>3</v>
      </c>
      <c r="D882" s="18" t="n">
        <f aca="false">DATEDIF(Assumptions!B5,B882,"m")+1</f>
        <v>29</v>
      </c>
      <c r="E882" s="18" t="str">
        <f aca="false">TEXT(B882,"ddd")</f>
        <v>Tue</v>
      </c>
      <c r="F882" s="19" t="n">
        <f aca="false">IF(WEEKDAY(B882,2)&gt;=6,Assumptions!B34,Assumptions!B35)</f>
        <v>1</v>
      </c>
      <c r="G882" s="20" t="n">
        <f aca="false">IF(D882&gt;=13,(1+Assumptions!B46)^(D882-12),1)</f>
        <v>1.05224255429275</v>
      </c>
      <c r="H882" s="21" t="n">
        <f aca="false">H881*(1+IF(C882=1,Assumptions!B22,Assumptions!B23))</f>
        <v>22.6507984745184</v>
      </c>
      <c r="I882" s="16" t="n">
        <f aca="false">ROUND(H882*F882,0)</f>
        <v>23</v>
      </c>
      <c r="J882" s="22" t="n">
        <f aca="false">I882*Assumptions!B24</f>
        <v>13800</v>
      </c>
      <c r="K882" s="21" t="n">
        <f aca="false">K881*(1+Assumptions!B30)</f>
        <v>17.5203736206083</v>
      </c>
      <c r="L882" s="16" t="n">
        <f aca="false">ROUND(K882*F882,0)</f>
        <v>18</v>
      </c>
      <c r="M882" s="22" t="n">
        <f aca="false">L882*Assumptions!B31</f>
        <v>5400</v>
      </c>
      <c r="N882" s="22" t="n">
        <f aca="false">J882+M882</f>
        <v>19200</v>
      </c>
      <c r="O882" s="22" t="n">
        <f aca="false">IF(DAY(B882)=1,Assumptions!B38*G882,0)</f>
        <v>0</v>
      </c>
      <c r="P882" s="22" t="n">
        <f aca="false">IF(DAY(B882)=1,Assumptions!B39*G882,0)</f>
        <v>0</v>
      </c>
      <c r="Q882" s="22" t="n">
        <f aca="false">IF(DAY(B882)=1,Assumptions!B40*G882,0)</f>
        <v>0</v>
      </c>
      <c r="R882" s="22" t="n">
        <f aca="false">IF(DAY(B882)=1,Assumptions!B41*G882,0)</f>
        <v>0</v>
      </c>
      <c r="S882" s="22" t="n">
        <f aca="false">IF(AND(DAY(B882)=1,D882&gt;=13),Assumptions!B42*G882,0)</f>
        <v>0</v>
      </c>
      <c r="T882" s="22" t="n">
        <f aca="false">IF(DAY(B882)=1,Assumptions!B43*G882,0)</f>
        <v>0</v>
      </c>
      <c r="U882" s="22" t="n">
        <f aca="false">SUM(O882:T882)</f>
        <v>0</v>
      </c>
      <c r="V882" s="22" t="n">
        <f aca="false">N882-U882</f>
        <v>19200</v>
      </c>
      <c r="W882" s="22" t="n">
        <f aca="false">W881+V882</f>
        <v>-2176935.20060236</v>
      </c>
      <c r="X882" s="23" t="str">
        <f aca="false">IF(W882&gt;=0,"YES","No")</f>
        <v>No</v>
      </c>
    </row>
    <row r="883" customFormat="false" ht="15" hidden="false" customHeight="false" outlineLevel="0" collapsed="false">
      <c r="A883" s="16" t="n">
        <v>882</v>
      </c>
      <c r="B883" s="17" t="n">
        <f aca="false">B882+1</f>
        <v>46904</v>
      </c>
      <c r="C883" s="18" t="n">
        <f aca="false">MIN(ROUNDUP(A883/365,0),5)</f>
        <v>3</v>
      </c>
      <c r="D883" s="18" t="n">
        <f aca="false">DATEDIF(Assumptions!B5,B883,"m")+1</f>
        <v>29</v>
      </c>
      <c r="E883" s="18" t="str">
        <f aca="false">TEXT(B883,"ddd")</f>
        <v>Wed</v>
      </c>
      <c r="F883" s="19" t="n">
        <f aca="false">IF(WEEKDAY(B883,2)&gt;=6,Assumptions!B34,Assumptions!B35)</f>
        <v>1</v>
      </c>
      <c r="G883" s="20" t="n">
        <f aca="false">IF(D883&gt;=13,(1+Assumptions!B46)^(D883-12),1)</f>
        <v>1.05224255429275</v>
      </c>
      <c r="H883" s="21" t="n">
        <f aca="false">H882*(1+IF(C883=1,Assumptions!B22,Assumptions!B23))</f>
        <v>22.654510072852</v>
      </c>
      <c r="I883" s="16" t="n">
        <f aca="false">ROUND(H883*F883,0)</f>
        <v>23</v>
      </c>
      <c r="J883" s="22" t="n">
        <f aca="false">I883*Assumptions!B24</f>
        <v>13800</v>
      </c>
      <c r="K883" s="21" t="n">
        <f aca="false">K882*(1+Assumptions!B30)</f>
        <v>17.5261016761493</v>
      </c>
      <c r="L883" s="16" t="n">
        <f aca="false">ROUND(K883*F883,0)</f>
        <v>18</v>
      </c>
      <c r="M883" s="22" t="n">
        <f aca="false">L883*Assumptions!B31</f>
        <v>5400</v>
      </c>
      <c r="N883" s="22" t="n">
        <f aca="false">J883+M883</f>
        <v>19200</v>
      </c>
      <c r="O883" s="22" t="n">
        <f aca="false">IF(DAY(B883)=1,Assumptions!B38*G883,0)</f>
        <v>0</v>
      </c>
      <c r="P883" s="22" t="n">
        <f aca="false">IF(DAY(B883)=1,Assumptions!B39*G883,0)</f>
        <v>0</v>
      </c>
      <c r="Q883" s="22" t="n">
        <f aca="false">IF(DAY(B883)=1,Assumptions!B40*G883,0)</f>
        <v>0</v>
      </c>
      <c r="R883" s="22" t="n">
        <f aca="false">IF(DAY(B883)=1,Assumptions!B41*G883,0)</f>
        <v>0</v>
      </c>
      <c r="S883" s="22" t="n">
        <f aca="false">IF(AND(DAY(B883)=1,D883&gt;=13),Assumptions!B42*G883,0)</f>
        <v>0</v>
      </c>
      <c r="T883" s="22" t="n">
        <f aca="false">IF(DAY(B883)=1,Assumptions!B43*G883,0)</f>
        <v>0</v>
      </c>
      <c r="U883" s="22" t="n">
        <f aca="false">SUM(O883:T883)</f>
        <v>0</v>
      </c>
      <c r="V883" s="22" t="n">
        <f aca="false">N883-U883</f>
        <v>19200</v>
      </c>
      <c r="W883" s="22" t="n">
        <f aca="false">W882+V883</f>
        <v>-2157735.20060236</v>
      </c>
      <c r="X883" s="23" t="str">
        <f aca="false">IF(W883&gt;=0,"YES","No")</f>
        <v>No</v>
      </c>
    </row>
    <row r="884" customFormat="false" ht="15" hidden="false" customHeight="false" outlineLevel="0" collapsed="false">
      <c r="A884" s="16" t="n">
        <v>883</v>
      </c>
      <c r="B884" s="17" t="n">
        <f aca="false">B883+1</f>
        <v>46905</v>
      </c>
      <c r="C884" s="18" t="n">
        <f aca="false">MIN(ROUNDUP(A884/365,0),5)</f>
        <v>3</v>
      </c>
      <c r="D884" s="18" t="n">
        <f aca="false">DATEDIF(Assumptions!B5,B884,"m")+1</f>
        <v>30</v>
      </c>
      <c r="E884" s="18" t="str">
        <f aca="false">TEXT(B884,"ddd")</f>
        <v>Thu</v>
      </c>
      <c r="F884" s="19" t="n">
        <f aca="false">IF(WEEKDAY(B884,2)&gt;=6,Assumptions!B34,Assumptions!B35)</f>
        <v>1</v>
      </c>
      <c r="G884" s="20" t="n">
        <f aca="false">IF(D884&gt;=13,(1+Assumptions!B46)^(D884-12),1)</f>
        <v>1.05539928195563</v>
      </c>
      <c r="H884" s="21" t="n">
        <f aca="false">H883*(1+IF(C884=1,Assumptions!B22,Assumptions!B23))</f>
        <v>22.6582222793743</v>
      </c>
      <c r="I884" s="16" t="n">
        <f aca="false">ROUND(H884*F884,0)</f>
        <v>23</v>
      </c>
      <c r="J884" s="22" t="n">
        <f aca="false">I884*Assumptions!B24</f>
        <v>13800</v>
      </c>
      <c r="K884" s="21" t="n">
        <f aca="false">K883*(1+Assumptions!B30)</f>
        <v>17.5318316044026</v>
      </c>
      <c r="L884" s="16" t="n">
        <f aca="false">ROUND(K884*F884,0)</f>
        <v>18</v>
      </c>
      <c r="M884" s="22" t="n">
        <f aca="false">L884*Assumptions!B31</f>
        <v>5400</v>
      </c>
      <c r="N884" s="22" t="n">
        <f aca="false">J884+M884</f>
        <v>19200</v>
      </c>
      <c r="O884" s="22" t="n">
        <f aca="false">IF(DAY(B884)=1,Assumptions!B38*G884,0)</f>
        <v>158309.892293344</v>
      </c>
      <c r="P884" s="22" t="n">
        <f aca="false">IF(DAY(B884)=1,Assumptions!B39*G884,0)</f>
        <v>42215.971278225</v>
      </c>
      <c r="Q884" s="22" t="n">
        <f aca="false">IF(DAY(B884)=1,Assumptions!B40*G884,0)</f>
        <v>31661.9784586688</v>
      </c>
      <c r="R884" s="22" t="n">
        <f aca="false">IF(DAY(B884)=1,Assumptions!B41*G884,0)</f>
        <v>21107.9856391125</v>
      </c>
      <c r="S884" s="22" t="n">
        <f aca="false">IF(AND(DAY(B884)=1,D884&gt;=13),Assumptions!B42*G884,0)</f>
        <v>158309.892293344</v>
      </c>
      <c r="T884" s="22" t="n">
        <f aca="false">IF(DAY(B884)=1,Assumptions!B43*G884,0)</f>
        <v>21107.9856391125</v>
      </c>
      <c r="U884" s="22" t="n">
        <f aca="false">SUM(O884:T884)</f>
        <v>432713.705601806</v>
      </c>
      <c r="V884" s="22" t="n">
        <f aca="false">N884-U884</f>
        <v>-413513.705601806</v>
      </c>
      <c r="W884" s="22" t="n">
        <f aca="false">W883+V884</f>
        <v>-2571248.90620416</v>
      </c>
      <c r="X884" s="23" t="str">
        <f aca="false">IF(W884&gt;=0,"YES","No")</f>
        <v>No</v>
      </c>
    </row>
    <row r="885" customFormat="false" ht="15" hidden="false" customHeight="false" outlineLevel="0" collapsed="false">
      <c r="A885" s="16" t="n">
        <v>884</v>
      </c>
      <c r="B885" s="17" t="n">
        <f aca="false">B884+1</f>
        <v>46906</v>
      </c>
      <c r="C885" s="18" t="n">
        <f aca="false">MIN(ROUNDUP(A885/365,0),5)</f>
        <v>3</v>
      </c>
      <c r="D885" s="18" t="n">
        <f aca="false">DATEDIF(Assumptions!B5,B885,"m")+1</f>
        <v>30</v>
      </c>
      <c r="E885" s="18" t="str">
        <f aca="false">TEXT(B885,"ddd")</f>
        <v>Fri</v>
      </c>
      <c r="F885" s="19" t="n">
        <f aca="false">IF(WEEKDAY(B885,2)&gt;=6,Assumptions!B34,Assumptions!B35)</f>
        <v>1</v>
      </c>
      <c r="G885" s="20" t="n">
        <f aca="false">IF(D885&gt;=13,(1+Assumptions!B46)^(D885-12),1)</f>
        <v>1.05539928195563</v>
      </c>
      <c r="H885" s="21" t="n">
        <f aca="false">H884*(1+IF(C885=1,Assumptions!B22,Assumptions!B23))</f>
        <v>22.6619350941851</v>
      </c>
      <c r="I885" s="16" t="n">
        <f aca="false">ROUND(H885*F885,0)</f>
        <v>23</v>
      </c>
      <c r="J885" s="22" t="n">
        <f aca="false">I885*Assumptions!B24</f>
        <v>13800</v>
      </c>
      <c r="K885" s="21" t="n">
        <f aca="false">K884*(1+Assumptions!B30)</f>
        <v>17.5375634059806</v>
      </c>
      <c r="L885" s="16" t="n">
        <f aca="false">ROUND(K885*F885,0)</f>
        <v>18</v>
      </c>
      <c r="M885" s="22" t="n">
        <f aca="false">L885*Assumptions!B31</f>
        <v>5400</v>
      </c>
      <c r="N885" s="22" t="n">
        <f aca="false">J885+M885</f>
        <v>19200</v>
      </c>
      <c r="O885" s="22" t="n">
        <f aca="false">IF(DAY(B885)=1,Assumptions!B38*G885,0)</f>
        <v>0</v>
      </c>
      <c r="P885" s="22" t="n">
        <f aca="false">IF(DAY(B885)=1,Assumptions!B39*G885,0)</f>
        <v>0</v>
      </c>
      <c r="Q885" s="22" t="n">
        <f aca="false">IF(DAY(B885)=1,Assumptions!B40*G885,0)</f>
        <v>0</v>
      </c>
      <c r="R885" s="22" t="n">
        <f aca="false">IF(DAY(B885)=1,Assumptions!B41*G885,0)</f>
        <v>0</v>
      </c>
      <c r="S885" s="22" t="n">
        <f aca="false">IF(AND(DAY(B885)=1,D885&gt;=13),Assumptions!B42*G885,0)</f>
        <v>0</v>
      </c>
      <c r="T885" s="22" t="n">
        <f aca="false">IF(DAY(B885)=1,Assumptions!B43*G885,0)</f>
        <v>0</v>
      </c>
      <c r="U885" s="22" t="n">
        <f aca="false">SUM(O885:T885)</f>
        <v>0</v>
      </c>
      <c r="V885" s="22" t="n">
        <f aca="false">N885-U885</f>
        <v>19200</v>
      </c>
      <c r="W885" s="22" t="n">
        <f aca="false">W884+V885</f>
        <v>-2552048.90620416</v>
      </c>
      <c r="X885" s="23" t="str">
        <f aca="false">IF(W885&gt;=0,"YES","No")</f>
        <v>No</v>
      </c>
    </row>
    <row r="886" customFormat="false" ht="15" hidden="false" customHeight="false" outlineLevel="0" collapsed="false">
      <c r="A886" s="16" t="n">
        <v>885</v>
      </c>
      <c r="B886" s="17" t="n">
        <f aca="false">B885+1</f>
        <v>46907</v>
      </c>
      <c r="C886" s="18" t="n">
        <f aca="false">MIN(ROUNDUP(A886/365,0),5)</f>
        <v>3</v>
      </c>
      <c r="D886" s="18" t="n">
        <f aca="false">DATEDIF(Assumptions!B5,B886,"m")+1</f>
        <v>30</v>
      </c>
      <c r="E886" s="18" t="str">
        <f aca="false">TEXT(B886,"ddd")</f>
        <v>Sat</v>
      </c>
      <c r="F886" s="19" t="n">
        <f aca="false">IF(WEEKDAY(B886,2)&gt;=6,Assumptions!B34,Assumptions!B35)</f>
        <v>0.6</v>
      </c>
      <c r="G886" s="20" t="n">
        <f aca="false">IF(D886&gt;=13,(1+Assumptions!B46)^(D886-12),1)</f>
        <v>1.05539928195563</v>
      </c>
      <c r="H886" s="21" t="n">
        <f aca="false">H885*(1+IF(C886=1,Assumptions!B22,Assumptions!B23))</f>
        <v>22.665648517384</v>
      </c>
      <c r="I886" s="16" t="n">
        <f aca="false">ROUND(H886*F886,0)</f>
        <v>14</v>
      </c>
      <c r="J886" s="22" t="n">
        <f aca="false">I886*Assumptions!B24</f>
        <v>8400</v>
      </c>
      <c r="K886" s="21" t="n">
        <f aca="false">K885*(1+Assumptions!B30)</f>
        <v>17.5432970814956</v>
      </c>
      <c r="L886" s="16" t="n">
        <f aca="false">ROUND(K886*F886,0)</f>
        <v>11</v>
      </c>
      <c r="M886" s="22" t="n">
        <f aca="false">L886*Assumptions!B31</f>
        <v>3300</v>
      </c>
      <c r="N886" s="22" t="n">
        <f aca="false">J886+M886</f>
        <v>11700</v>
      </c>
      <c r="O886" s="22" t="n">
        <f aca="false">IF(DAY(B886)=1,Assumptions!B38*G886,0)</f>
        <v>0</v>
      </c>
      <c r="P886" s="22" t="n">
        <f aca="false">IF(DAY(B886)=1,Assumptions!B39*G886,0)</f>
        <v>0</v>
      </c>
      <c r="Q886" s="22" t="n">
        <f aca="false">IF(DAY(B886)=1,Assumptions!B40*G886,0)</f>
        <v>0</v>
      </c>
      <c r="R886" s="22" t="n">
        <f aca="false">IF(DAY(B886)=1,Assumptions!B41*G886,0)</f>
        <v>0</v>
      </c>
      <c r="S886" s="22" t="n">
        <f aca="false">IF(AND(DAY(B886)=1,D886&gt;=13),Assumptions!B42*G886,0)</f>
        <v>0</v>
      </c>
      <c r="T886" s="22" t="n">
        <f aca="false">IF(DAY(B886)=1,Assumptions!B43*G886,0)</f>
        <v>0</v>
      </c>
      <c r="U886" s="22" t="n">
        <f aca="false">SUM(O886:T886)</f>
        <v>0</v>
      </c>
      <c r="V886" s="22" t="n">
        <f aca="false">N886-U886</f>
        <v>11700</v>
      </c>
      <c r="W886" s="22" t="n">
        <f aca="false">W885+V886</f>
        <v>-2540348.90620416</v>
      </c>
      <c r="X886" s="23" t="str">
        <f aca="false">IF(W886&gt;=0,"YES","No")</f>
        <v>No</v>
      </c>
    </row>
    <row r="887" customFormat="false" ht="15" hidden="false" customHeight="false" outlineLevel="0" collapsed="false">
      <c r="A887" s="16" t="n">
        <v>886</v>
      </c>
      <c r="B887" s="17" t="n">
        <f aca="false">B886+1</f>
        <v>46908</v>
      </c>
      <c r="C887" s="18" t="n">
        <f aca="false">MIN(ROUNDUP(A887/365,0),5)</f>
        <v>3</v>
      </c>
      <c r="D887" s="18" t="n">
        <f aca="false">DATEDIF(Assumptions!B5,B887,"m")+1</f>
        <v>30</v>
      </c>
      <c r="E887" s="18" t="str">
        <f aca="false">TEXT(B887,"ddd")</f>
        <v>Sun</v>
      </c>
      <c r="F887" s="19" t="n">
        <f aca="false">IF(WEEKDAY(B887,2)&gt;=6,Assumptions!B34,Assumptions!B35)</f>
        <v>0.6</v>
      </c>
      <c r="G887" s="20" t="n">
        <f aca="false">IF(D887&gt;=13,(1+Assumptions!B46)^(D887-12),1)</f>
        <v>1.05539928195563</v>
      </c>
      <c r="H887" s="21" t="n">
        <f aca="false">H886*(1+IF(C887=1,Assumptions!B22,Assumptions!B23))</f>
        <v>22.6693625490708</v>
      </c>
      <c r="I887" s="16" t="n">
        <f aca="false">ROUND(H887*F887,0)</f>
        <v>14</v>
      </c>
      <c r="J887" s="22" t="n">
        <f aca="false">I887*Assumptions!B24</f>
        <v>8400</v>
      </c>
      <c r="K887" s="21" t="n">
        <f aca="false">K886*(1+Assumptions!B30)</f>
        <v>17.5490326315604</v>
      </c>
      <c r="L887" s="16" t="n">
        <f aca="false">ROUND(K887*F887,0)</f>
        <v>11</v>
      </c>
      <c r="M887" s="22" t="n">
        <f aca="false">L887*Assumptions!B31</f>
        <v>3300</v>
      </c>
      <c r="N887" s="22" t="n">
        <f aca="false">J887+M887</f>
        <v>11700</v>
      </c>
      <c r="O887" s="22" t="n">
        <f aca="false">IF(DAY(B887)=1,Assumptions!B38*G887,0)</f>
        <v>0</v>
      </c>
      <c r="P887" s="22" t="n">
        <f aca="false">IF(DAY(B887)=1,Assumptions!B39*G887,0)</f>
        <v>0</v>
      </c>
      <c r="Q887" s="22" t="n">
        <f aca="false">IF(DAY(B887)=1,Assumptions!B40*G887,0)</f>
        <v>0</v>
      </c>
      <c r="R887" s="22" t="n">
        <f aca="false">IF(DAY(B887)=1,Assumptions!B41*G887,0)</f>
        <v>0</v>
      </c>
      <c r="S887" s="22" t="n">
        <f aca="false">IF(AND(DAY(B887)=1,D887&gt;=13),Assumptions!B42*G887,0)</f>
        <v>0</v>
      </c>
      <c r="T887" s="22" t="n">
        <f aca="false">IF(DAY(B887)=1,Assumptions!B43*G887,0)</f>
        <v>0</v>
      </c>
      <c r="U887" s="22" t="n">
        <f aca="false">SUM(O887:T887)</f>
        <v>0</v>
      </c>
      <c r="V887" s="22" t="n">
        <f aca="false">N887-U887</f>
        <v>11700</v>
      </c>
      <c r="W887" s="22" t="n">
        <f aca="false">W886+V887</f>
        <v>-2528648.90620416</v>
      </c>
      <c r="X887" s="23" t="str">
        <f aca="false">IF(W887&gt;=0,"YES","No")</f>
        <v>No</v>
      </c>
    </row>
    <row r="888" customFormat="false" ht="15" hidden="false" customHeight="false" outlineLevel="0" collapsed="false">
      <c r="A888" s="16" t="n">
        <v>887</v>
      </c>
      <c r="B888" s="17" t="n">
        <f aca="false">B887+1</f>
        <v>46909</v>
      </c>
      <c r="C888" s="18" t="n">
        <f aca="false">MIN(ROUNDUP(A888/365,0),5)</f>
        <v>3</v>
      </c>
      <c r="D888" s="18" t="n">
        <f aca="false">DATEDIF(Assumptions!B5,B888,"m")+1</f>
        <v>30</v>
      </c>
      <c r="E888" s="18" t="str">
        <f aca="false">TEXT(B888,"ddd")</f>
        <v>Mon</v>
      </c>
      <c r="F888" s="19" t="n">
        <f aca="false">IF(WEEKDAY(B888,2)&gt;=6,Assumptions!B34,Assumptions!B35)</f>
        <v>1</v>
      </c>
      <c r="G888" s="20" t="n">
        <f aca="false">IF(D888&gt;=13,(1+Assumptions!B46)^(D888-12),1)</f>
        <v>1.05539928195563</v>
      </c>
      <c r="H888" s="21" t="n">
        <f aca="false">H887*(1+IF(C888=1,Assumptions!B22,Assumptions!B23))</f>
        <v>22.6730771893451</v>
      </c>
      <c r="I888" s="16" t="n">
        <f aca="false">ROUND(H888*F888,0)</f>
        <v>23</v>
      </c>
      <c r="J888" s="22" t="n">
        <f aca="false">I888*Assumptions!B24</f>
        <v>13800</v>
      </c>
      <c r="K888" s="21" t="n">
        <f aca="false">K887*(1+Assumptions!B30)</f>
        <v>17.5547700567878</v>
      </c>
      <c r="L888" s="16" t="n">
        <f aca="false">ROUND(K888*F888,0)</f>
        <v>18</v>
      </c>
      <c r="M888" s="22" t="n">
        <f aca="false">L888*Assumptions!B31</f>
        <v>5400</v>
      </c>
      <c r="N888" s="22" t="n">
        <f aca="false">J888+M888</f>
        <v>19200</v>
      </c>
      <c r="O888" s="22" t="n">
        <f aca="false">IF(DAY(B888)=1,Assumptions!B38*G888,0)</f>
        <v>0</v>
      </c>
      <c r="P888" s="22" t="n">
        <f aca="false">IF(DAY(B888)=1,Assumptions!B39*G888,0)</f>
        <v>0</v>
      </c>
      <c r="Q888" s="22" t="n">
        <f aca="false">IF(DAY(B888)=1,Assumptions!B40*G888,0)</f>
        <v>0</v>
      </c>
      <c r="R888" s="22" t="n">
        <f aca="false">IF(DAY(B888)=1,Assumptions!B41*G888,0)</f>
        <v>0</v>
      </c>
      <c r="S888" s="22" t="n">
        <f aca="false">IF(AND(DAY(B888)=1,D888&gt;=13),Assumptions!B42*G888,0)</f>
        <v>0</v>
      </c>
      <c r="T888" s="22" t="n">
        <f aca="false">IF(DAY(B888)=1,Assumptions!B43*G888,0)</f>
        <v>0</v>
      </c>
      <c r="U888" s="22" t="n">
        <f aca="false">SUM(O888:T888)</f>
        <v>0</v>
      </c>
      <c r="V888" s="22" t="n">
        <f aca="false">N888-U888</f>
        <v>19200</v>
      </c>
      <c r="W888" s="22" t="n">
        <f aca="false">W887+V888</f>
        <v>-2509448.90620416</v>
      </c>
      <c r="X888" s="23" t="str">
        <f aca="false">IF(W888&gt;=0,"YES","No")</f>
        <v>No</v>
      </c>
    </row>
    <row r="889" customFormat="false" ht="15" hidden="false" customHeight="false" outlineLevel="0" collapsed="false">
      <c r="A889" s="16" t="n">
        <v>888</v>
      </c>
      <c r="B889" s="17" t="n">
        <f aca="false">B888+1</f>
        <v>46910</v>
      </c>
      <c r="C889" s="18" t="n">
        <f aca="false">MIN(ROUNDUP(A889/365,0),5)</f>
        <v>3</v>
      </c>
      <c r="D889" s="18" t="n">
        <f aca="false">DATEDIF(Assumptions!B5,B889,"m")+1</f>
        <v>30</v>
      </c>
      <c r="E889" s="18" t="str">
        <f aca="false">TEXT(B889,"ddd")</f>
        <v>Tue</v>
      </c>
      <c r="F889" s="19" t="n">
        <f aca="false">IF(WEEKDAY(B889,2)&gt;=6,Assumptions!B34,Assumptions!B35)</f>
        <v>1</v>
      </c>
      <c r="G889" s="20" t="n">
        <f aca="false">IF(D889&gt;=13,(1+Assumptions!B46)^(D889-12),1)</f>
        <v>1.05539928195563</v>
      </c>
      <c r="H889" s="21" t="n">
        <f aca="false">H888*(1+IF(C889=1,Assumptions!B22,Assumptions!B23))</f>
        <v>22.6767924383067</v>
      </c>
      <c r="I889" s="16" t="n">
        <f aca="false">ROUND(H889*F889,0)</f>
        <v>23</v>
      </c>
      <c r="J889" s="22" t="n">
        <f aca="false">I889*Assumptions!B24</f>
        <v>13800</v>
      </c>
      <c r="K889" s="21" t="n">
        <f aca="false">K888*(1+Assumptions!B30)</f>
        <v>17.5605093577909</v>
      </c>
      <c r="L889" s="16" t="n">
        <f aca="false">ROUND(K889*F889,0)</f>
        <v>18</v>
      </c>
      <c r="M889" s="22" t="n">
        <f aca="false">L889*Assumptions!B31</f>
        <v>5400</v>
      </c>
      <c r="N889" s="22" t="n">
        <f aca="false">J889+M889</f>
        <v>19200</v>
      </c>
      <c r="O889" s="22" t="n">
        <f aca="false">IF(DAY(B889)=1,Assumptions!B38*G889,0)</f>
        <v>0</v>
      </c>
      <c r="P889" s="22" t="n">
        <f aca="false">IF(DAY(B889)=1,Assumptions!B39*G889,0)</f>
        <v>0</v>
      </c>
      <c r="Q889" s="22" t="n">
        <f aca="false">IF(DAY(B889)=1,Assumptions!B40*G889,0)</f>
        <v>0</v>
      </c>
      <c r="R889" s="22" t="n">
        <f aca="false">IF(DAY(B889)=1,Assumptions!B41*G889,0)</f>
        <v>0</v>
      </c>
      <c r="S889" s="22" t="n">
        <f aca="false">IF(AND(DAY(B889)=1,D889&gt;=13),Assumptions!B42*G889,0)</f>
        <v>0</v>
      </c>
      <c r="T889" s="22" t="n">
        <f aca="false">IF(DAY(B889)=1,Assumptions!B43*G889,0)</f>
        <v>0</v>
      </c>
      <c r="U889" s="22" t="n">
        <f aca="false">SUM(O889:T889)</f>
        <v>0</v>
      </c>
      <c r="V889" s="22" t="n">
        <f aca="false">N889-U889</f>
        <v>19200</v>
      </c>
      <c r="W889" s="22" t="n">
        <f aca="false">W888+V889</f>
        <v>-2490248.90620416</v>
      </c>
      <c r="X889" s="23" t="str">
        <f aca="false">IF(W889&gt;=0,"YES","No")</f>
        <v>No</v>
      </c>
    </row>
    <row r="890" customFormat="false" ht="15" hidden="false" customHeight="false" outlineLevel="0" collapsed="false">
      <c r="A890" s="16" t="n">
        <v>889</v>
      </c>
      <c r="B890" s="17" t="n">
        <f aca="false">B889+1</f>
        <v>46911</v>
      </c>
      <c r="C890" s="18" t="n">
        <f aca="false">MIN(ROUNDUP(A890/365,0),5)</f>
        <v>3</v>
      </c>
      <c r="D890" s="18" t="n">
        <f aca="false">DATEDIF(Assumptions!B5,B890,"m")+1</f>
        <v>30</v>
      </c>
      <c r="E890" s="18" t="str">
        <f aca="false">TEXT(B890,"ddd")</f>
        <v>Wed</v>
      </c>
      <c r="F890" s="19" t="n">
        <f aca="false">IF(WEEKDAY(B890,2)&gt;=6,Assumptions!B34,Assumptions!B35)</f>
        <v>1</v>
      </c>
      <c r="G890" s="20" t="n">
        <f aca="false">IF(D890&gt;=13,(1+Assumptions!B46)^(D890-12),1)</f>
        <v>1.05539928195563</v>
      </c>
      <c r="H890" s="21" t="n">
        <f aca="false">H889*(1+IF(C890=1,Assumptions!B22,Assumptions!B23))</f>
        <v>22.6805082960553</v>
      </c>
      <c r="I890" s="16" t="n">
        <f aca="false">ROUND(H890*F890,0)</f>
        <v>23</v>
      </c>
      <c r="J890" s="22" t="n">
        <f aca="false">I890*Assumptions!B24</f>
        <v>13800</v>
      </c>
      <c r="K890" s="21" t="n">
        <f aca="false">K889*(1+Assumptions!B30)</f>
        <v>17.5662505351828</v>
      </c>
      <c r="L890" s="16" t="n">
        <f aca="false">ROUND(K890*F890,0)</f>
        <v>18</v>
      </c>
      <c r="M890" s="22" t="n">
        <f aca="false">L890*Assumptions!B31</f>
        <v>5400</v>
      </c>
      <c r="N890" s="22" t="n">
        <f aca="false">J890+M890</f>
        <v>19200</v>
      </c>
      <c r="O890" s="22" t="n">
        <f aca="false">IF(DAY(B890)=1,Assumptions!B38*G890,0)</f>
        <v>0</v>
      </c>
      <c r="P890" s="22" t="n">
        <f aca="false">IF(DAY(B890)=1,Assumptions!B39*G890,0)</f>
        <v>0</v>
      </c>
      <c r="Q890" s="22" t="n">
        <f aca="false">IF(DAY(B890)=1,Assumptions!B40*G890,0)</f>
        <v>0</v>
      </c>
      <c r="R890" s="22" t="n">
        <f aca="false">IF(DAY(B890)=1,Assumptions!B41*G890,0)</f>
        <v>0</v>
      </c>
      <c r="S890" s="22" t="n">
        <f aca="false">IF(AND(DAY(B890)=1,D890&gt;=13),Assumptions!B42*G890,0)</f>
        <v>0</v>
      </c>
      <c r="T890" s="22" t="n">
        <f aca="false">IF(DAY(B890)=1,Assumptions!B43*G890,0)</f>
        <v>0</v>
      </c>
      <c r="U890" s="22" t="n">
        <f aca="false">SUM(O890:T890)</f>
        <v>0</v>
      </c>
      <c r="V890" s="22" t="n">
        <f aca="false">N890-U890</f>
        <v>19200</v>
      </c>
      <c r="W890" s="22" t="n">
        <f aca="false">W889+V890</f>
        <v>-2471048.90620416</v>
      </c>
      <c r="X890" s="23" t="str">
        <f aca="false">IF(W890&gt;=0,"YES","No")</f>
        <v>No</v>
      </c>
    </row>
    <row r="891" customFormat="false" ht="15" hidden="false" customHeight="false" outlineLevel="0" collapsed="false">
      <c r="A891" s="16" t="n">
        <v>890</v>
      </c>
      <c r="B891" s="17" t="n">
        <f aca="false">B890+1</f>
        <v>46912</v>
      </c>
      <c r="C891" s="18" t="n">
        <f aca="false">MIN(ROUNDUP(A891/365,0),5)</f>
        <v>3</v>
      </c>
      <c r="D891" s="18" t="n">
        <f aca="false">DATEDIF(Assumptions!B5,B891,"m")+1</f>
        <v>30</v>
      </c>
      <c r="E891" s="18" t="str">
        <f aca="false">TEXT(B891,"ddd")</f>
        <v>Thu</v>
      </c>
      <c r="F891" s="19" t="n">
        <f aca="false">IF(WEEKDAY(B891,2)&gt;=6,Assumptions!B34,Assumptions!B35)</f>
        <v>1</v>
      </c>
      <c r="G891" s="20" t="n">
        <f aca="false">IF(D891&gt;=13,(1+Assumptions!B46)^(D891-12),1)</f>
        <v>1.05539928195563</v>
      </c>
      <c r="H891" s="21" t="n">
        <f aca="false">H890*(1+IF(C891=1,Assumptions!B22,Assumptions!B23))</f>
        <v>22.6842247626907</v>
      </c>
      <c r="I891" s="16" t="n">
        <f aca="false">ROUND(H891*F891,0)</f>
        <v>23</v>
      </c>
      <c r="J891" s="22" t="n">
        <f aca="false">I891*Assumptions!B24</f>
        <v>13800</v>
      </c>
      <c r="K891" s="21" t="n">
        <f aca="false">K890*(1+Assumptions!B30)</f>
        <v>17.5719935895772</v>
      </c>
      <c r="L891" s="16" t="n">
        <f aca="false">ROUND(K891*F891,0)</f>
        <v>18</v>
      </c>
      <c r="M891" s="22" t="n">
        <f aca="false">L891*Assumptions!B31</f>
        <v>5400</v>
      </c>
      <c r="N891" s="22" t="n">
        <f aca="false">J891+M891</f>
        <v>19200</v>
      </c>
      <c r="O891" s="22" t="n">
        <f aca="false">IF(DAY(B891)=1,Assumptions!B38*G891,0)</f>
        <v>0</v>
      </c>
      <c r="P891" s="22" t="n">
        <f aca="false">IF(DAY(B891)=1,Assumptions!B39*G891,0)</f>
        <v>0</v>
      </c>
      <c r="Q891" s="22" t="n">
        <f aca="false">IF(DAY(B891)=1,Assumptions!B40*G891,0)</f>
        <v>0</v>
      </c>
      <c r="R891" s="22" t="n">
        <f aca="false">IF(DAY(B891)=1,Assumptions!B41*G891,0)</f>
        <v>0</v>
      </c>
      <c r="S891" s="22" t="n">
        <f aca="false">IF(AND(DAY(B891)=1,D891&gt;=13),Assumptions!B42*G891,0)</f>
        <v>0</v>
      </c>
      <c r="T891" s="22" t="n">
        <f aca="false">IF(DAY(B891)=1,Assumptions!B43*G891,0)</f>
        <v>0</v>
      </c>
      <c r="U891" s="22" t="n">
        <f aca="false">SUM(O891:T891)</f>
        <v>0</v>
      </c>
      <c r="V891" s="22" t="n">
        <f aca="false">N891-U891</f>
        <v>19200</v>
      </c>
      <c r="W891" s="22" t="n">
        <f aca="false">W890+V891</f>
        <v>-2451848.90620416</v>
      </c>
      <c r="X891" s="23" t="str">
        <f aca="false">IF(W891&gt;=0,"YES","No")</f>
        <v>No</v>
      </c>
    </row>
    <row r="892" customFormat="false" ht="15" hidden="false" customHeight="false" outlineLevel="0" collapsed="false">
      <c r="A892" s="16" t="n">
        <v>891</v>
      </c>
      <c r="B892" s="17" t="n">
        <f aca="false">B891+1</f>
        <v>46913</v>
      </c>
      <c r="C892" s="18" t="n">
        <f aca="false">MIN(ROUNDUP(A892/365,0),5)</f>
        <v>3</v>
      </c>
      <c r="D892" s="18" t="n">
        <f aca="false">DATEDIF(Assumptions!B5,B892,"m")+1</f>
        <v>30</v>
      </c>
      <c r="E892" s="18" t="str">
        <f aca="false">TEXT(B892,"ddd")</f>
        <v>Fri</v>
      </c>
      <c r="F892" s="19" t="n">
        <f aca="false">IF(WEEKDAY(B892,2)&gt;=6,Assumptions!B34,Assumptions!B35)</f>
        <v>1</v>
      </c>
      <c r="G892" s="20" t="n">
        <f aca="false">IF(D892&gt;=13,(1+Assumptions!B46)^(D892-12),1)</f>
        <v>1.05539928195563</v>
      </c>
      <c r="H892" s="21" t="n">
        <f aca="false">H891*(1+IF(C892=1,Assumptions!B22,Assumptions!B23))</f>
        <v>22.6879418383126</v>
      </c>
      <c r="I892" s="16" t="n">
        <f aca="false">ROUND(H892*F892,0)</f>
        <v>23</v>
      </c>
      <c r="J892" s="22" t="n">
        <f aca="false">I892*Assumptions!B24</f>
        <v>13800</v>
      </c>
      <c r="K892" s="21" t="n">
        <f aca="false">K891*(1+Assumptions!B30)</f>
        <v>17.5777385215875</v>
      </c>
      <c r="L892" s="16" t="n">
        <f aca="false">ROUND(K892*F892,0)</f>
        <v>18</v>
      </c>
      <c r="M892" s="22" t="n">
        <f aca="false">L892*Assumptions!B31</f>
        <v>5400</v>
      </c>
      <c r="N892" s="22" t="n">
        <f aca="false">J892+M892</f>
        <v>19200</v>
      </c>
      <c r="O892" s="22" t="n">
        <f aca="false">IF(DAY(B892)=1,Assumptions!B38*G892,0)</f>
        <v>0</v>
      </c>
      <c r="P892" s="22" t="n">
        <f aca="false">IF(DAY(B892)=1,Assumptions!B39*G892,0)</f>
        <v>0</v>
      </c>
      <c r="Q892" s="22" t="n">
        <f aca="false">IF(DAY(B892)=1,Assumptions!B40*G892,0)</f>
        <v>0</v>
      </c>
      <c r="R892" s="22" t="n">
        <f aca="false">IF(DAY(B892)=1,Assumptions!B41*G892,0)</f>
        <v>0</v>
      </c>
      <c r="S892" s="22" t="n">
        <f aca="false">IF(AND(DAY(B892)=1,D892&gt;=13),Assumptions!B42*G892,0)</f>
        <v>0</v>
      </c>
      <c r="T892" s="22" t="n">
        <f aca="false">IF(DAY(B892)=1,Assumptions!B43*G892,0)</f>
        <v>0</v>
      </c>
      <c r="U892" s="22" t="n">
        <f aca="false">SUM(O892:T892)</f>
        <v>0</v>
      </c>
      <c r="V892" s="22" t="n">
        <f aca="false">N892-U892</f>
        <v>19200</v>
      </c>
      <c r="W892" s="22" t="n">
        <f aca="false">W891+V892</f>
        <v>-2432648.90620416</v>
      </c>
      <c r="X892" s="23" t="str">
        <f aca="false">IF(W892&gt;=0,"YES","No")</f>
        <v>No</v>
      </c>
    </row>
    <row r="893" customFormat="false" ht="15" hidden="false" customHeight="false" outlineLevel="0" collapsed="false">
      <c r="A893" s="16" t="n">
        <v>892</v>
      </c>
      <c r="B893" s="17" t="n">
        <f aca="false">B892+1</f>
        <v>46914</v>
      </c>
      <c r="C893" s="18" t="n">
        <f aca="false">MIN(ROUNDUP(A893/365,0),5)</f>
        <v>3</v>
      </c>
      <c r="D893" s="18" t="n">
        <f aca="false">DATEDIF(Assumptions!B5,B893,"m")+1</f>
        <v>30</v>
      </c>
      <c r="E893" s="18" t="str">
        <f aca="false">TEXT(B893,"ddd")</f>
        <v>Sat</v>
      </c>
      <c r="F893" s="19" t="n">
        <f aca="false">IF(WEEKDAY(B893,2)&gt;=6,Assumptions!B34,Assumptions!B35)</f>
        <v>0.6</v>
      </c>
      <c r="G893" s="20" t="n">
        <f aca="false">IF(D893&gt;=13,(1+Assumptions!B46)^(D893-12),1)</f>
        <v>1.05539928195563</v>
      </c>
      <c r="H893" s="21" t="n">
        <f aca="false">H892*(1+IF(C893=1,Assumptions!B22,Assumptions!B23))</f>
        <v>22.6916595230209</v>
      </c>
      <c r="I893" s="16" t="n">
        <f aca="false">ROUND(H893*F893,0)</f>
        <v>14</v>
      </c>
      <c r="J893" s="22" t="n">
        <f aca="false">I893*Assumptions!B24</f>
        <v>8400</v>
      </c>
      <c r="K893" s="21" t="n">
        <f aca="false">K892*(1+Assumptions!B30)</f>
        <v>17.5834853318278</v>
      </c>
      <c r="L893" s="16" t="n">
        <f aca="false">ROUND(K893*F893,0)</f>
        <v>11</v>
      </c>
      <c r="M893" s="22" t="n">
        <f aca="false">L893*Assumptions!B31</f>
        <v>3300</v>
      </c>
      <c r="N893" s="22" t="n">
        <f aca="false">J893+M893</f>
        <v>11700</v>
      </c>
      <c r="O893" s="22" t="n">
        <f aca="false">IF(DAY(B893)=1,Assumptions!B38*G893,0)</f>
        <v>0</v>
      </c>
      <c r="P893" s="22" t="n">
        <f aca="false">IF(DAY(B893)=1,Assumptions!B39*G893,0)</f>
        <v>0</v>
      </c>
      <c r="Q893" s="22" t="n">
        <f aca="false">IF(DAY(B893)=1,Assumptions!B40*G893,0)</f>
        <v>0</v>
      </c>
      <c r="R893" s="22" t="n">
        <f aca="false">IF(DAY(B893)=1,Assumptions!B41*G893,0)</f>
        <v>0</v>
      </c>
      <c r="S893" s="22" t="n">
        <f aca="false">IF(AND(DAY(B893)=1,D893&gt;=13),Assumptions!B42*G893,0)</f>
        <v>0</v>
      </c>
      <c r="T893" s="22" t="n">
        <f aca="false">IF(DAY(B893)=1,Assumptions!B43*G893,0)</f>
        <v>0</v>
      </c>
      <c r="U893" s="22" t="n">
        <f aca="false">SUM(O893:T893)</f>
        <v>0</v>
      </c>
      <c r="V893" s="22" t="n">
        <f aca="false">N893-U893</f>
        <v>11700</v>
      </c>
      <c r="W893" s="22" t="n">
        <f aca="false">W892+V893</f>
        <v>-2420948.90620416</v>
      </c>
      <c r="X893" s="23" t="str">
        <f aca="false">IF(W893&gt;=0,"YES","No")</f>
        <v>No</v>
      </c>
    </row>
    <row r="894" customFormat="false" ht="15" hidden="false" customHeight="false" outlineLevel="0" collapsed="false">
      <c r="A894" s="16" t="n">
        <v>893</v>
      </c>
      <c r="B894" s="17" t="n">
        <f aca="false">B893+1</f>
        <v>46915</v>
      </c>
      <c r="C894" s="18" t="n">
        <f aca="false">MIN(ROUNDUP(A894/365,0),5)</f>
        <v>3</v>
      </c>
      <c r="D894" s="18" t="n">
        <f aca="false">DATEDIF(Assumptions!B5,B894,"m")+1</f>
        <v>30</v>
      </c>
      <c r="E894" s="18" t="str">
        <f aca="false">TEXT(B894,"ddd")</f>
        <v>Sun</v>
      </c>
      <c r="F894" s="19" t="n">
        <f aca="false">IF(WEEKDAY(B894,2)&gt;=6,Assumptions!B34,Assumptions!B35)</f>
        <v>0.6</v>
      </c>
      <c r="G894" s="20" t="n">
        <f aca="false">IF(D894&gt;=13,(1+Assumptions!B46)^(D894-12),1)</f>
        <v>1.05539928195563</v>
      </c>
      <c r="H894" s="21" t="n">
        <f aca="false">H893*(1+IF(C894=1,Assumptions!B22,Assumptions!B23))</f>
        <v>22.6953778169152</v>
      </c>
      <c r="I894" s="16" t="n">
        <f aca="false">ROUND(H894*F894,0)</f>
        <v>14</v>
      </c>
      <c r="J894" s="22" t="n">
        <f aca="false">I894*Assumptions!B24</f>
        <v>8400</v>
      </c>
      <c r="K894" s="21" t="n">
        <f aca="false">K893*(1+Assumptions!B30)</f>
        <v>17.5892340209121</v>
      </c>
      <c r="L894" s="16" t="n">
        <f aca="false">ROUND(K894*F894,0)</f>
        <v>11</v>
      </c>
      <c r="M894" s="22" t="n">
        <f aca="false">L894*Assumptions!B31</f>
        <v>3300</v>
      </c>
      <c r="N894" s="22" t="n">
        <f aca="false">J894+M894</f>
        <v>11700</v>
      </c>
      <c r="O894" s="22" t="n">
        <f aca="false">IF(DAY(B894)=1,Assumptions!B38*G894,0)</f>
        <v>0</v>
      </c>
      <c r="P894" s="22" t="n">
        <f aca="false">IF(DAY(B894)=1,Assumptions!B39*G894,0)</f>
        <v>0</v>
      </c>
      <c r="Q894" s="22" t="n">
        <f aca="false">IF(DAY(B894)=1,Assumptions!B40*G894,0)</f>
        <v>0</v>
      </c>
      <c r="R894" s="22" t="n">
        <f aca="false">IF(DAY(B894)=1,Assumptions!B41*G894,0)</f>
        <v>0</v>
      </c>
      <c r="S894" s="22" t="n">
        <f aca="false">IF(AND(DAY(B894)=1,D894&gt;=13),Assumptions!B42*G894,0)</f>
        <v>0</v>
      </c>
      <c r="T894" s="22" t="n">
        <f aca="false">IF(DAY(B894)=1,Assumptions!B43*G894,0)</f>
        <v>0</v>
      </c>
      <c r="U894" s="22" t="n">
        <f aca="false">SUM(O894:T894)</f>
        <v>0</v>
      </c>
      <c r="V894" s="22" t="n">
        <f aca="false">N894-U894</f>
        <v>11700</v>
      </c>
      <c r="W894" s="22" t="n">
        <f aca="false">W893+V894</f>
        <v>-2409248.90620416</v>
      </c>
      <c r="X894" s="23" t="str">
        <f aca="false">IF(W894&gt;=0,"YES","No")</f>
        <v>No</v>
      </c>
    </row>
    <row r="895" customFormat="false" ht="15" hidden="false" customHeight="false" outlineLevel="0" collapsed="false">
      <c r="A895" s="16" t="n">
        <v>894</v>
      </c>
      <c r="B895" s="17" t="n">
        <f aca="false">B894+1</f>
        <v>46916</v>
      </c>
      <c r="C895" s="18" t="n">
        <f aca="false">MIN(ROUNDUP(A895/365,0),5)</f>
        <v>3</v>
      </c>
      <c r="D895" s="18" t="n">
        <f aca="false">DATEDIF(Assumptions!B5,B895,"m")+1</f>
        <v>30</v>
      </c>
      <c r="E895" s="18" t="str">
        <f aca="false">TEXT(B895,"ddd")</f>
        <v>Mon</v>
      </c>
      <c r="F895" s="19" t="n">
        <f aca="false">IF(WEEKDAY(B895,2)&gt;=6,Assumptions!B34,Assumptions!B35)</f>
        <v>1</v>
      </c>
      <c r="G895" s="20" t="n">
        <f aca="false">IF(D895&gt;=13,(1+Assumptions!B46)^(D895-12),1)</f>
        <v>1.05539928195563</v>
      </c>
      <c r="H895" s="21" t="n">
        <f aca="false">H894*(1+IF(C895=1,Assumptions!B22,Assumptions!B23))</f>
        <v>22.6990967200956</v>
      </c>
      <c r="I895" s="16" t="n">
        <f aca="false">ROUND(H895*F895,0)</f>
        <v>23</v>
      </c>
      <c r="J895" s="22" t="n">
        <f aca="false">I895*Assumptions!B24</f>
        <v>13800</v>
      </c>
      <c r="K895" s="21" t="n">
        <f aca="false">K894*(1+Assumptions!B30)</f>
        <v>17.5949845894545</v>
      </c>
      <c r="L895" s="16" t="n">
        <f aca="false">ROUND(K895*F895,0)</f>
        <v>18</v>
      </c>
      <c r="M895" s="22" t="n">
        <f aca="false">L895*Assumptions!B31</f>
        <v>5400</v>
      </c>
      <c r="N895" s="22" t="n">
        <f aca="false">J895+M895</f>
        <v>19200</v>
      </c>
      <c r="O895" s="22" t="n">
        <f aca="false">IF(DAY(B895)=1,Assumptions!B38*G895,0)</f>
        <v>0</v>
      </c>
      <c r="P895" s="22" t="n">
        <f aca="false">IF(DAY(B895)=1,Assumptions!B39*G895,0)</f>
        <v>0</v>
      </c>
      <c r="Q895" s="22" t="n">
        <f aca="false">IF(DAY(B895)=1,Assumptions!B40*G895,0)</f>
        <v>0</v>
      </c>
      <c r="R895" s="22" t="n">
        <f aca="false">IF(DAY(B895)=1,Assumptions!B41*G895,0)</f>
        <v>0</v>
      </c>
      <c r="S895" s="22" t="n">
        <f aca="false">IF(AND(DAY(B895)=1,D895&gt;=13),Assumptions!B42*G895,0)</f>
        <v>0</v>
      </c>
      <c r="T895" s="22" t="n">
        <f aca="false">IF(DAY(B895)=1,Assumptions!B43*G895,0)</f>
        <v>0</v>
      </c>
      <c r="U895" s="22" t="n">
        <f aca="false">SUM(O895:T895)</f>
        <v>0</v>
      </c>
      <c r="V895" s="22" t="n">
        <f aca="false">N895-U895</f>
        <v>19200</v>
      </c>
      <c r="W895" s="22" t="n">
        <f aca="false">W894+V895</f>
        <v>-2390048.90620416</v>
      </c>
      <c r="X895" s="23" t="str">
        <f aca="false">IF(W895&gt;=0,"YES","No")</f>
        <v>No</v>
      </c>
    </row>
    <row r="896" customFormat="false" ht="15" hidden="false" customHeight="false" outlineLevel="0" collapsed="false">
      <c r="A896" s="16" t="n">
        <v>895</v>
      </c>
      <c r="B896" s="17" t="n">
        <f aca="false">B895+1</f>
        <v>46917</v>
      </c>
      <c r="C896" s="18" t="n">
        <f aca="false">MIN(ROUNDUP(A896/365,0),5)</f>
        <v>3</v>
      </c>
      <c r="D896" s="18" t="n">
        <f aca="false">DATEDIF(Assumptions!B5,B896,"m")+1</f>
        <v>30</v>
      </c>
      <c r="E896" s="18" t="str">
        <f aca="false">TEXT(B896,"ddd")</f>
        <v>Tue</v>
      </c>
      <c r="F896" s="19" t="n">
        <f aca="false">IF(WEEKDAY(B896,2)&gt;=6,Assumptions!B34,Assumptions!B35)</f>
        <v>1</v>
      </c>
      <c r="G896" s="20" t="n">
        <f aca="false">IF(D896&gt;=13,(1+Assumptions!B46)^(D896-12),1)</f>
        <v>1.05539928195563</v>
      </c>
      <c r="H896" s="21" t="n">
        <f aca="false">H895*(1+IF(C896=1,Assumptions!B22,Assumptions!B23))</f>
        <v>22.7028162326617</v>
      </c>
      <c r="I896" s="16" t="n">
        <f aca="false">ROUND(H896*F896,0)</f>
        <v>23</v>
      </c>
      <c r="J896" s="22" t="n">
        <f aca="false">I896*Assumptions!B24</f>
        <v>13800</v>
      </c>
      <c r="K896" s="21" t="n">
        <f aca="false">K895*(1+Assumptions!B30)</f>
        <v>17.6007370380697</v>
      </c>
      <c r="L896" s="16" t="n">
        <f aca="false">ROUND(K896*F896,0)</f>
        <v>18</v>
      </c>
      <c r="M896" s="22" t="n">
        <f aca="false">L896*Assumptions!B31</f>
        <v>5400</v>
      </c>
      <c r="N896" s="22" t="n">
        <f aca="false">J896+M896</f>
        <v>19200</v>
      </c>
      <c r="O896" s="22" t="n">
        <f aca="false">IF(DAY(B896)=1,Assumptions!B38*G896,0)</f>
        <v>0</v>
      </c>
      <c r="P896" s="22" t="n">
        <f aca="false">IF(DAY(B896)=1,Assumptions!B39*G896,0)</f>
        <v>0</v>
      </c>
      <c r="Q896" s="22" t="n">
        <f aca="false">IF(DAY(B896)=1,Assumptions!B40*G896,0)</f>
        <v>0</v>
      </c>
      <c r="R896" s="22" t="n">
        <f aca="false">IF(DAY(B896)=1,Assumptions!B41*G896,0)</f>
        <v>0</v>
      </c>
      <c r="S896" s="22" t="n">
        <f aca="false">IF(AND(DAY(B896)=1,D896&gt;=13),Assumptions!B42*G896,0)</f>
        <v>0</v>
      </c>
      <c r="T896" s="22" t="n">
        <f aca="false">IF(DAY(B896)=1,Assumptions!B43*G896,0)</f>
        <v>0</v>
      </c>
      <c r="U896" s="22" t="n">
        <f aca="false">SUM(O896:T896)</f>
        <v>0</v>
      </c>
      <c r="V896" s="22" t="n">
        <f aca="false">N896-U896</f>
        <v>19200</v>
      </c>
      <c r="W896" s="22" t="n">
        <f aca="false">W895+V896</f>
        <v>-2370848.90620416</v>
      </c>
      <c r="X896" s="23" t="str">
        <f aca="false">IF(W896&gt;=0,"YES","No")</f>
        <v>No</v>
      </c>
    </row>
    <row r="897" customFormat="false" ht="15" hidden="false" customHeight="false" outlineLevel="0" collapsed="false">
      <c r="A897" s="16" t="n">
        <v>896</v>
      </c>
      <c r="B897" s="17" t="n">
        <f aca="false">B896+1</f>
        <v>46918</v>
      </c>
      <c r="C897" s="18" t="n">
        <f aca="false">MIN(ROUNDUP(A897/365,0),5)</f>
        <v>3</v>
      </c>
      <c r="D897" s="18" t="n">
        <f aca="false">DATEDIF(Assumptions!B5,B897,"m")+1</f>
        <v>30</v>
      </c>
      <c r="E897" s="18" t="str">
        <f aca="false">TEXT(B897,"ddd")</f>
        <v>Wed</v>
      </c>
      <c r="F897" s="19" t="n">
        <f aca="false">IF(WEEKDAY(B897,2)&gt;=6,Assumptions!B34,Assumptions!B35)</f>
        <v>1</v>
      </c>
      <c r="G897" s="20" t="n">
        <f aca="false">IF(D897&gt;=13,(1+Assumptions!B46)^(D897-12),1)</f>
        <v>1.05539928195563</v>
      </c>
      <c r="H897" s="21" t="n">
        <f aca="false">H896*(1+IF(C897=1,Assumptions!B22,Assumptions!B23))</f>
        <v>22.7065363547135</v>
      </c>
      <c r="I897" s="16" t="n">
        <f aca="false">ROUND(H897*F897,0)</f>
        <v>23</v>
      </c>
      <c r="J897" s="22" t="n">
        <f aca="false">I897*Assumptions!B24</f>
        <v>13800</v>
      </c>
      <c r="K897" s="21" t="n">
        <f aca="false">K896*(1+Assumptions!B30)</f>
        <v>17.6064913673722</v>
      </c>
      <c r="L897" s="16" t="n">
        <f aca="false">ROUND(K897*F897,0)</f>
        <v>18</v>
      </c>
      <c r="M897" s="22" t="n">
        <f aca="false">L897*Assumptions!B31</f>
        <v>5400</v>
      </c>
      <c r="N897" s="22" t="n">
        <f aca="false">J897+M897</f>
        <v>19200</v>
      </c>
      <c r="O897" s="22" t="n">
        <f aca="false">IF(DAY(B897)=1,Assumptions!B38*G897,0)</f>
        <v>0</v>
      </c>
      <c r="P897" s="22" t="n">
        <f aca="false">IF(DAY(B897)=1,Assumptions!B39*G897,0)</f>
        <v>0</v>
      </c>
      <c r="Q897" s="22" t="n">
        <f aca="false">IF(DAY(B897)=1,Assumptions!B40*G897,0)</f>
        <v>0</v>
      </c>
      <c r="R897" s="22" t="n">
        <f aca="false">IF(DAY(B897)=1,Assumptions!B41*G897,0)</f>
        <v>0</v>
      </c>
      <c r="S897" s="22" t="n">
        <f aca="false">IF(AND(DAY(B897)=1,D897&gt;=13),Assumptions!B42*G897,0)</f>
        <v>0</v>
      </c>
      <c r="T897" s="22" t="n">
        <f aca="false">IF(DAY(B897)=1,Assumptions!B43*G897,0)</f>
        <v>0</v>
      </c>
      <c r="U897" s="22" t="n">
        <f aca="false">SUM(O897:T897)</f>
        <v>0</v>
      </c>
      <c r="V897" s="22" t="n">
        <f aca="false">N897-U897</f>
        <v>19200</v>
      </c>
      <c r="W897" s="22" t="n">
        <f aca="false">W896+V897</f>
        <v>-2351648.90620416</v>
      </c>
      <c r="X897" s="23" t="str">
        <f aca="false">IF(W897&gt;=0,"YES","No")</f>
        <v>No</v>
      </c>
    </row>
    <row r="898" customFormat="false" ht="15" hidden="false" customHeight="false" outlineLevel="0" collapsed="false">
      <c r="A898" s="16" t="n">
        <v>897</v>
      </c>
      <c r="B898" s="17" t="n">
        <f aca="false">B897+1</f>
        <v>46919</v>
      </c>
      <c r="C898" s="18" t="n">
        <f aca="false">MIN(ROUNDUP(A898/365,0),5)</f>
        <v>3</v>
      </c>
      <c r="D898" s="18" t="n">
        <f aca="false">DATEDIF(Assumptions!B5,B898,"m")+1</f>
        <v>30</v>
      </c>
      <c r="E898" s="18" t="str">
        <f aca="false">TEXT(B898,"ddd")</f>
        <v>Thu</v>
      </c>
      <c r="F898" s="19" t="n">
        <f aca="false">IF(WEEKDAY(B898,2)&gt;=6,Assumptions!B34,Assumptions!B35)</f>
        <v>1</v>
      </c>
      <c r="G898" s="20" t="n">
        <f aca="false">IF(D898&gt;=13,(1+Assumptions!B46)^(D898-12),1)</f>
        <v>1.05539928195563</v>
      </c>
      <c r="H898" s="21" t="n">
        <f aca="false">H897*(1+IF(C898=1,Assumptions!B22,Assumptions!B23))</f>
        <v>22.7102570863508</v>
      </c>
      <c r="I898" s="16" t="n">
        <f aca="false">ROUND(H898*F898,0)</f>
        <v>23</v>
      </c>
      <c r="J898" s="22" t="n">
        <f aca="false">I898*Assumptions!B24</f>
        <v>13800</v>
      </c>
      <c r="K898" s="21" t="n">
        <f aca="false">K897*(1+Assumptions!B30)</f>
        <v>17.612247577977</v>
      </c>
      <c r="L898" s="16" t="n">
        <f aca="false">ROUND(K898*F898,0)</f>
        <v>18</v>
      </c>
      <c r="M898" s="22" t="n">
        <f aca="false">L898*Assumptions!B31</f>
        <v>5400</v>
      </c>
      <c r="N898" s="22" t="n">
        <f aca="false">J898+M898</f>
        <v>19200</v>
      </c>
      <c r="O898" s="22" t="n">
        <f aca="false">IF(DAY(B898)=1,Assumptions!B38*G898,0)</f>
        <v>0</v>
      </c>
      <c r="P898" s="22" t="n">
        <f aca="false">IF(DAY(B898)=1,Assumptions!B39*G898,0)</f>
        <v>0</v>
      </c>
      <c r="Q898" s="22" t="n">
        <f aca="false">IF(DAY(B898)=1,Assumptions!B40*G898,0)</f>
        <v>0</v>
      </c>
      <c r="R898" s="22" t="n">
        <f aca="false">IF(DAY(B898)=1,Assumptions!B41*G898,0)</f>
        <v>0</v>
      </c>
      <c r="S898" s="22" t="n">
        <f aca="false">IF(AND(DAY(B898)=1,D898&gt;=13),Assumptions!B42*G898,0)</f>
        <v>0</v>
      </c>
      <c r="T898" s="22" t="n">
        <f aca="false">IF(DAY(B898)=1,Assumptions!B43*G898,0)</f>
        <v>0</v>
      </c>
      <c r="U898" s="22" t="n">
        <f aca="false">SUM(O898:T898)</f>
        <v>0</v>
      </c>
      <c r="V898" s="22" t="n">
        <f aca="false">N898-U898</f>
        <v>19200</v>
      </c>
      <c r="W898" s="22" t="n">
        <f aca="false">W897+V898</f>
        <v>-2332448.90620416</v>
      </c>
      <c r="X898" s="23" t="str">
        <f aca="false">IF(W898&gt;=0,"YES","No")</f>
        <v>No</v>
      </c>
    </row>
    <row r="899" customFormat="false" ht="15" hidden="false" customHeight="false" outlineLevel="0" collapsed="false">
      <c r="A899" s="16" t="n">
        <v>898</v>
      </c>
      <c r="B899" s="17" t="n">
        <f aca="false">B898+1</f>
        <v>46920</v>
      </c>
      <c r="C899" s="18" t="n">
        <f aca="false">MIN(ROUNDUP(A899/365,0),5)</f>
        <v>3</v>
      </c>
      <c r="D899" s="18" t="n">
        <f aca="false">DATEDIF(Assumptions!B5,B899,"m")+1</f>
        <v>30</v>
      </c>
      <c r="E899" s="18" t="str">
        <f aca="false">TEXT(B899,"ddd")</f>
        <v>Fri</v>
      </c>
      <c r="F899" s="19" t="n">
        <f aca="false">IF(WEEKDAY(B899,2)&gt;=6,Assumptions!B34,Assumptions!B35)</f>
        <v>1</v>
      </c>
      <c r="G899" s="20" t="n">
        <f aca="false">IF(D899&gt;=13,(1+Assumptions!B46)^(D899-12),1)</f>
        <v>1.05539928195563</v>
      </c>
      <c r="H899" s="21" t="n">
        <f aca="false">H898*(1+IF(C899=1,Assumptions!B22,Assumptions!B23))</f>
        <v>22.7139784276735</v>
      </c>
      <c r="I899" s="16" t="n">
        <f aca="false">ROUND(H899*F899,0)</f>
        <v>23</v>
      </c>
      <c r="J899" s="22" t="n">
        <f aca="false">I899*Assumptions!B24</f>
        <v>13800</v>
      </c>
      <c r="K899" s="21" t="n">
        <f aca="false">K898*(1+Assumptions!B30)</f>
        <v>17.618005670499</v>
      </c>
      <c r="L899" s="16" t="n">
        <f aca="false">ROUND(K899*F899,0)</f>
        <v>18</v>
      </c>
      <c r="M899" s="22" t="n">
        <f aca="false">L899*Assumptions!B31</f>
        <v>5400</v>
      </c>
      <c r="N899" s="22" t="n">
        <f aca="false">J899+M899</f>
        <v>19200</v>
      </c>
      <c r="O899" s="22" t="n">
        <f aca="false">IF(DAY(B899)=1,Assumptions!B38*G899,0)</f>
        <v>0</v>
      </c>
      <c r="P899" s="22" t="n">
        <f aca="false">IF(DAY(B899)=1,Assumptions!B39*G899,0)</f>
        <v>0</v>
      </c>
      <c r="Q899" s="22" t="n">
        <f aca="false">IF(DAY(B899)=1,Assumptions!B40*G899,0)</f>
        <v>0</v>
      </c>
      <c r="R899" s="22" t="n">
        <f aca="false">IF(DAY(B899)=1,Assumptions!B41*G899,0)</f>
        <v>0</v>
      </c>
      <c r="S899" s="22" t="n">
        <f aca="false">IF(AND(DAY(B899)=1,D899&gt;=13),Assumptions!B42*G899,0)</f>
        <v>0</v>
      </c>
      <c r="T899" s="22" t="n">
        <f aca="false">IF(DAY(B899)=1,Assumptions!B43*G899,0)</f>
        <v>0</v>
      </c>
      <c r="U899" s="22" t="n">
        <f aca="false">SUM(O899:T899)</f>
        <v>0</v>
      </c>
      <c r="V899" s="22" t="n">
        <f aca="false">N899-U899</f>
        <v>19200</v>
      </c>
      <c r="W899" s="22" t="n">
        <f aca="false">W898+V899</f>
        <v>-2313248.90620416</v>
      </c>
      <c r="X899" s="23" t="str">
        <f aca="false">IF(W899&gt;=0,"YES","No")</f>
        <v>No</v>
      </c>
    </row>
    <row r="900" customFormat="false" ht="15" hidden="false" customHeight="false" outlineLevel="0" collapsed="false">
      <c r="A900" s="16" t="n">
        <v>899</v>
      </c>
      <c r="B900" s="17" t="n">
        <f aca="false">B899+1</f>
        <v>46921</v>
      </c>
      <c r="C900" s="18" t="n">
        <f aca="false">MIN(ROUNDUP(A900/365,0),5)</f>
        <v>3</v>
      </c>
      <c r="D900" s="18" t="n">
        <f aca="false">DATEDIF(Assumptions!B5,B900,"m")+1</f>
        <v>30</v>
      </c>
      <c r="E900" s="18" t="str">
        <f aca="false">TEXT(B900,"ddd")</f>
        <v>Sat</v>
      </c>
      <c r="F900" s="19" t="n">
        <f aca="false">IF(WEEKDAY(B900,2)&gt;=6,Assumptions!B34,Assumptions!B35)</f>
        <v>0.6</v>
      </c>
      <c r="G900" s="20" t="n">
        <f aca="false">IF(D900&gt;=13,(1+Assumptions!B46)^(D900-12),1)</f>
        <v>1.05539928195563</v>
      </c>
      <c r="H900" s="21" t="n">
        <f aca="false">H899*(1+IF(C900=1,Assumptions!B22,Assumptions!B23))</f>
        <v>22.7177003787815</v>
      </c>
      <c r="I900" s="16" t="n">
        <f aca="false">ROUND(H900*F900,0)</f>
        <v>14</v>
      </c>
      <c r="J900" s="22" t="n">
        <f aca="false">I900*Assumptions!B24</f>
        <v>8400</v>
      </c>
      <c r="K900" s="21" t="n">
        <f aca="false">K899*(1+Assumptions!B30)</f>
        <v>17.6237656455536</v>
      </c>
      <c r="L900" s="16" t="n">
        <f aca="false">ROUND(K900*F900,0)</f>
        <v>11</v>
      </c>
      <c r="M900" s="22" t="n">
        <f aca="false">L900*Assumptions!B31</f>
        <v>3300</v>
      </c>
      <c r="N900" s="22" t="n">
        <f aca="false">J900+M900</f>
        <v>11700</v>
      </c>
      <c r="O900" s="22" t="n">
        <f aca="false">IF(DAY(B900)=1,Assumptions!B38*G900,0)</f>
        <v>0</v>
      </c>
      <c r="P900" s="22" t="n">
        <f aca="false">IF(DAY(B900)=1,Assumptions!B39*G900,0)</f>
        <v>0</v>
      </c>
      <c r="Q900" s="22" t="n">
        <f aca="false">IF(DAY(B900)=1,Assumptions!B40*G900,0)</f>
        <v>0</v>
      </c>
      <c r="R900" s="22" t="n">
        <f aca="false">IF(DAY(B900)=1,Assumptions!B41*G900,0)</f>
        <v>0</v>
      </c>
      <c r="S900" s="22" t="n">
        <f aca="false">IF(AND(DAY(B900)=1,D900&gt;=13),Assumptions!B42*G900,0)</f>
        <v>0</v>
      </c>
      <c r="T900" s="22" t="n">
        <f aca="false">IF(DAY(B900)=1,Assumptions!B43*G900,0)</f>
        <v>0</v>
      </c>
      <c r="U900" s="22" t="n">
        <f aca="false">SUM(O900:T900)</f>
        <v>0</v>
      </c>
      <c r="V900" s="22" t="n">
        <f aca="false">N900-U900</f>
        <v>11700</v>
      </c>
      <c r="W900" s="22" t="n">
        <f aca="false">W899+V900</f>
        <v>-2301548.90620416</v>
      </c>
      <c r="X900" s="23" t="str">
        <f aca="false">IF(W900&gt;=0,"YES","No")</f>
        <v>No</v>
      </c>
    </row>
    <row r="901" customFormat="false" ht="15" hidden="false" customHeight="false" outlineLevel="0" collapsed="false">
      <c r="A901" s="16" t="n">
        <v>900</v>
      </c>
      <c r="B901" s="17" t="n">
        <f aca="false">B900+1</f>
        <v>46922</v>
      </c>
      <c r="C901" s="18" t="n">
        <f aca="false">MIN(ROUNDUP(A901/365,0),5)</f>
        <v>3</v>
      </c>
      <c r="D901" s="18" t="n">
        <f aca="false">DATEDIF(Assumptions!B5,B901,"m")+1</f>
        <v>30</v>
      </c>
      <c r="E901" s="18" t="str">
        <f aca="false">TEXT(B901,"ddd")</f>
        <v>Sun</v>
      </c>
      <c r="F901" s="19" t="n">
        <f aca="false">IF(WEEKDAY(B901,2)&gt;=6,Assumptions!B34,Assumptions!B35)</f>
        <v>0.6</v>
      </c>
      <c r="G901" s="20" t="n">
        <f aca="false">IF(D901&gt;=13,(1+Assumptions!B46)^(D901-12),1)</f>
        <v>1.05539928195563</v>
      </c>
      <c r="H901" s="21" t="n">
        <f aca="false">H900*(1+IF(C901=1,Assumptions!B22,Assumptions!B23))</f>
        <v>22.7214229397748</v>
      </c>
      <c r="I901" s="16" t="n">
        <f aca="false">ROUND(H901*F901,0)</f>
        <v>14</v>
      </c>
      <c r="J901" s="22" t="n">
        <f aca="false">I901*Assumptions!B24</f>
        <v>8400</v>
      </c>
      <c r="K901" s="21" t="n">
        <f aca="false">K900*(1+Assumptions!B30)</f>
        <v>17.6295275037562</v>
      </c>
      <c r="L901" s="16" t="n">
        <f aca="false">ROUND(K901*F901,0)</f>
        <v>11</v>
      </c>
      <c r="M901" s="22" t="n">
        <f aca="false">L901*Assumptions!B31</f>
        <v>3300</v>
      </c>
      <c r="N901" s="22" t="n">
        <f aca="false">J901+M901</f>
        <v>11700</v>
      </c>
      <c r="O901" s="22" t="n">
        <f aca="false">IF(DAY(B901)=1,Assumptions!B38*G901,0)</f>
        <v>0</v>
      </c>
      <c r="P901" s="22" t="n">
        <f aca="false">IF(DAY(B901)=1,Assumptions!B39*G901,0)</f>
        <v>0</v>
      </c>
      <c r="Q901" s="22" t="n">
        <f aca="false">IF(DAY(B901)=1,Assumptions!B40*G901,0)</f>
        <v>0</v>
      </c>
      <c r="R901" s="22" t="n">
        <f aca="false">IF(DAY(B901)=1,Assumptions!B41*G901,0)</f>
        <v>0</v>
      </c>
      <c r="S901" s="22" t="n">
        <f aca="false">IF(AND(DAY(B901)=1,D901&gt;=13),Assumptions!B42*G901,0)</f>
        <v>0</v>
      </c>
      <c r="T901" s="22" t="n">
        <f aca="false">IF(DAY(B901)=1,Assumptions!B43*G901,0)</f>
        <v>0</v>
      </c>
      <c r="U901" s="22" t="n">
        <f aca="false">SUM(O901:T901)</f>
        <v>0</v>
      </c>
      <c r="V901" s="22" t="n">
        <f aca="false">N901-U901</f>
        <v>11700</v>
      </c>
      <c r="W901" s="22" t="n">
        <f aca="false">W900+V901</f>
        <v>-2289848.90620416</v>
      </c>
      <c r="X901" s="23" t="str">
        <f aca="false">IF(W901&gt;=0,"YES","No")</f>
        <v>No</v>
      </c>
    </row>
    <row r="902" customFormat="false" ht="15" hidden="false" customHeight="false" outlineLevel="0" collapsed="false">
      <c r="A902" s="16" t="n">
        <v>901</v>
      </c>
      <c r="B902" s="17" t="n">
        <f aca="false">B901+1</f>
        <v>46923</v>
      </c>
      <c r="C902" s="18" t="n">
        <f aca="false">MIN(ROUNDUP(A902/365,0),5)</f>
        <v>3</v>
      </c>
      <c r="D902" s="18" t="n">
        <f aca="false">DATEDIF(Assumptions!B5,B902,"m")+1</f>
        <v>30</v>
      </c>
      <c r="E902" s="18" t="str">
        <f aca="false">TEXT(B902,"ddd")</f>
        <v>Mon</v>
      </c>
      <c r="F902" s="19" t="n">
        <f aca="false">IF(WEEKDAY(B902,2)&gt;=6,Assumptions!B34,Assumptions!B35)</f>
        <v>1</v>
      </c>
      <c r="G902" s="20" t="n">
        <f aca="false">IF(D902&gt;=13,(1+Assumptions!B46)^(D902-12),1)</f>
        <v>1.05539928195563</v>
      </c>
      <c r="H902" s="21" t="n">
        <f aca="false">H901*(1+IF(C902=1,Assumptions!B22,Assumptions!B23))</f>
        <v>22.7251461107532</v>
      </c>
      <c r="I902" s="16" t="n">
        <f aca="false">ROUND(H902*F902,0)</f>
        <v>23</v>
      </c>
      <c r="J902" s="22" t="n">
        <f aca="false">I902*Assumptions!B24</f>
        <v>13800</v>
      </c>
      <c r="K902" s="21" t="n">
        <f aca="false">K901*(1+Assumptions!B30)</f>
        <v>17.6352912457226</v>
      </c>
      <c r="L902" s="16" t="n">
        <f aca="false">ROUND(K902*F902,0)</f>
        <v>18</v>
      </c>
      <c r="M902" s="22" t="n">
        <f aca="false">L902*Assumptions!B31</f>
        <v>5400</v>
      </c>
      <c r="N902" s="22" t="n">
        <f aca="false">J902+M902</f>
        <v>19200</v>
      </c>
      <c r="O902" s="22" t="n">
        <f aca="false">IF(DAY(B902)=1,Assumptions!B38*G902,0)</f>
        <v>0</v>
      </c>
      <c r="P902" s="22" t="n">
        <f aca="false">IF(DAY(B902)=1,Assumptions!B39*G902,0)</f>
        <v>0</v>
      </c>
      <c r="Q902" s="22" t="n">
        <f aca="false">IF(DAY(B902)=1,Assumptions!B40*G902,0)</f>
        <v>0</v>
      </c>
      <c r="R902" s="22" t="n">
        <f aca="false">IF(DAY(B902)=1,Assumptions!B41*G902,0)</f>
        <v>0</v>
      </c>
      <c r="S902" s="22" t="n">
        <f aca="false">IF(AND(DAY(B902)=1,D902&gt;=13),Assumptions!B42*G902,0)</f>
        <v>0</v>
      </c>
      <c r="T902" s="22" t="n">
        <f aca="false">IF(DAY(B902)=1,Assumptions!B43*G902,0)</f>
        <v>0</v>
      </c>
      <c r="U902" s="22" t="n">
        <f aca="false">SUM(O902:T902)</f>
        <v>0</v>
      </c>
      <c r="V902" s="22" t="n">
        <f aca="false">N902-U902</f>
        <v>19200</v>
      </c>
      <c r="W902" s="22" t="n">
        <f aca="false">W901+V902</f>
        <v>-2270648.90620416</v>
      </c>
      <c r="X902" s="23" t="str">
        <f aca="false">IF(W902&gt;=0,"YES","No")</f>
        <v>No</v>
      </c>
    </row>
    <row r="903" customFormat="false" ht="15" hidden="false" customHeight="false" outlineLevel="0" collapsed="false">
      <c r="A903" s="16" t="n">
        <v>902</v>
      </c>
      <c r="B903" s="17" t="n">
        <f aca="false">B902+1</f>
        <v>46924</v>
      </c>
      <c r="C903" s="18" t="n">
        <f aca="false">MIN(ROUNDUP(A903/365,0),5)</f>
        <v>3</v>
      </c>
      <c r="D903" s="18" t="n">
        <f aca="false">DATEDIF(Assumptions!B5,B903,"m")+1</f>
        <v>30</v>
      </c>
      <c r="E903" s="18" t="str">
        <f aca="false">TEXT(B903,"ddd")</f>
        <v>Tue</v>
      </c>
      <c r="F903" s="19" t="n">
        <f aca="false">IF(WEEKDAY(B903,2)&gt;=6,Assumptions!B34,Assumptions!B35)</f>
        <v>1</v>
      </c>
      <c r="G903" s="20" t="n">
        <f aca="false">IF(D903&gt;=13,(1+Assumptions!B46)^(D903-12),1)</f>
        <v>1.05539928195563</v>
      </c>
      <c r="H903" s="21" t="n">
        <f aca="false">H902*(1+IF(C903=1,Assumptions!B22,Assumptions!B23))</f>
        <v>22.7288698918167</v>
      </c>
      <c r="I903" s="16" t="n">
        <f aca="false">ROUND(H903*F903,0)</f>
        <v>23</v>
      </c>
      <c r="J903" s="22" t="n">
        <f aca="false">I903*Assumptions!B24</f>
        <v>13800</v>
      </c>
      <c r="K903" s="21" t="n">
        <f aca="false">K902*(1+Assumptions!B30)</f>
        <v>17.6410568720685</v>
      </c>
      <c r="L903" s="16" t="n">
        <f aca="false">ROUND(K903*F903,0)</f>
        <v>18</v>
      </c>
      <c r="M903" s="22" t="n">
        <f aca="false">L903*Assumptions!B31</f>
        <v>5400</v>
      </c>
      <c r="N903" s="22" t="n">
        <f aca="false">J903+M903</f>
        <v>19200</v>
      </c>
      <c r="O903" s="22" t="n">
        <f aca="false">IF(DAY(B903)=1,Assumptions!B38*G903,0)</f>
        <v>0</v>
      </c>
      <c r="P903" s="22" t="n">
        <f aca="false">IF(DAY(B903)=1,Assumptions!B39*G903,0)</f>
        <v>0</v>
      </c>
      <c r="Q903" s="22" t="n">
        <f aca="false">IF(DAY(B903)=1,Assumptions!B40*G903,0)</f>
        <v>0</v>
      </c>
      <c r="R903" s="22" t="n">
        <f aca="false">IF(DAY(B903)=1,Assumptions!B41*G903,0)</f>
        <v>0</v>
      </c>
      <c r="S903" s="22" t="n">
        <f aca="false">IF(AND(DAY(B903)=1,D903&gt;=13),Assumptions!B42*G903,0)</f>
        <v>0</v>
      </c>
      <c r="T903" s="22" t="n">
        <f aca="false">IF(DAY(B903)=1,Assumptions!B43*G903,0)</f>
        <v>0</v>
      </c>
      <c r="U903" s="22" t="n">
        <f aca="false">SUM(O903:T903)</f>
        <v>0</v>
      </c>
      <c r="V903" s="22" t="n">
        <f aca="false">N903-U903</f>
        <v>19200</v>
      </c>
      <c r="W903" s="22" t="n">
        <f aca="false">W902+V903</f>
        <v>-2251448.90620416</v>
      </c>
      <c r="X903" s="23" t="str">
        <f aca="false">IF(W903&gt;=0,"YES","No")</f>
        <v>No</v>
      </c>
    </row>
    <row r="904" customFormat="false" ht="15" hidden="false" customHeight="false" outlineLevel="0" collapsed="false">
      <c r="A904" s="16" t="n">
        <v>903</v>
      </c>
      <c r="B904" s="17" t="n">
        <f aca="false">B903+1</f>
        <v>46925</v>
      </c>
      <c r="C904" s="18" t="n">
        <f aca="false">MIN(ROUNDUP(A904/365,0),5)</f>
        <v>3</v>
      </c>
      <c r="D904" s="18" t="n">
        <f aca="false">DATEDIF(Assumptions!B5,B904,"m")+1</f>
        <v>30</v>
      </c>
      <c r="E904" s="18" t="str">
        <f aca="false">TEXT(B904,"ddd")</f>
        <v>Wed</v>
      </c>
      <c r="F904" s="19" t="n">
        <f aca="false">IF(WEEKDAY(B904,2)&gt;=6,Assumptions!B34,Assumptions!B35)</f>
        <v>1</v>
      </c>
      <c r="G904" s="20" t="n">
        <f aca="false">IF(D904&gt;=13,(1+Assumptions!B46)^(D904-12),1)</f>
        <v>1.05539928195563</v>
      </c>
      <c r="H904" s="21" t="n">
        <f aca="false">H903*(1+IF(C904=1,Assumptions!B22,Assumptions!B23))</f>
        <v>22.7325942830654</v>
      </c>
      <c r="I904" s="16" t="n">
        <f aca="false">ROUND(H904*F904,0)</f>
        <v>23</v>
      </c>
      <c r="J904" s="22" t="n">
        <f aca="false">I904*Assumptions!B24</f>
        <v>13800</v>
      </c>
      <c r="K904" s="21" t="n">
        <f aca="false">K903*(1+Assumptions!B30)</f>
        <v>17.64682438341</v>
      </c>
      <c r="L904" s="16" t="n">
        <f aca="false">ROUND(K904*F904,0)</f>
        <v>18</v>
      </c>
      <c r="M904" s="22" t="n">
        <f aca="false">L904*Assumptions!B31</f>
        <v>5400</v>
      </c>
      <c r="N904" s="22" t="n">
        <f aca="false">J904+M904</f>
        <v>19200</v>
      </c>
      <c r="O904" s="22" t="n">
        <f aca="false">IF(DAY(B904)=1,Assumptions!B38*G904,0)</f>
        <v>0</v>
      </c>
      <c r="P904" s="22" t="n">
        <f aca="false">IF(DAY(B904)=1,Assumptions!B39*G904,0)</f>
        <v>0</v>
      </c>
      <c r="Q904" s="22" t="n">
        <f aca="false">IF(DAY(B904)=1,Assumptions!B40*G904,0)</f>
        <v>0</v>
      </c>
      <c r="R904" s="22" t="n">
        <f aca="false">IF(DAY(B904)=1,Assumptions!B41*G904,0)</f>
        <v>0</v>
      </c>
      <c r="S904" s="22" t="n">
        <f aca="false">IF(AND(DAY(B904)=1,D904&gt;=13),Assumptions!B42*G904,0)</f>
        <v>0</v>
      </c>
      <c r="T904" s="22" t="n">
        <f aca="false">IF(DAY(B904)=1,Assumptions!B43*G904,0)</f>
        <v>0</v>
      </c>
      <c r="U904" s="22" t="n">
        <f aca="false">SUM(O904:T904)</f>
        <v>0</v>
      </c>
      <c r="V904" s="22" t="n">
        <f aca="false">N904-U904</f>
        <v>19200</v>
      </c>
      <c r="W904" s="22" t="n">
        <f aca="false">W903+V904</f>
        <v>-2232248.90620416</v>
      </c>
      <c r="X904" s="23" t="str">
        <f aca="false">IF(W904&gt;=0,"YES","No")</f>
        <v>No</v>
      </c>
    </row>
    <row r="905" customFormat="false" ht="15" hidden="false" customHeight="false" outlineLevel="0" collapsed="false">
      <c r="A905" s="16" t="n">
        <v>904</v>
      </c>
      <c r="B905" s="17" t="n">
        <f aca="false">B904+1</f>
        <v>46926</v>
      </c>
      <c r="C905" s="18" t="n">
        <f aca="false">MIN(ROUNDUP(A905/365,0),5)</f>
        <v>3</v>
      </c>
      <c r="D905" s="18" t="n">
        <f aca="false">DATEDIF(Assumptions!B5,B905,"m")+1</f>
        <v>30</v>
      </c>
      <c r="E905" s="18" t="str">
        <f aca="false">TEXT(B905,"ddd")</f>
        <v>Thu</v>
      </c>
      <c r="F905" s="19" t="n">
        <f aca="false">IF(WEEKDAY(B905,2)&gt;=6,Assumptions!B34,Assumptions!B35)</f>
        <v>1</v>
      </c>
      <c r="G905" s="20" t="n">
        <f aca="false">IF(D905&gt;=13,(1+Assumptions!B46)^(D905-12),1)</f>
        <v>1.05539928195563</v>
      </c>
      <c r="H905" s="21" t="n">
        <f aca="false">H904*(1+IF(C905=1,Assumptions!B22,Assumptions!B23))</f>
        <v>22.7363192845991</v>
      </c>
      <c r="I905" s="16" t="n">
        <f aca="false">ROUND(H905*F905,0)</f>
        <v>23</v>
      </c>
      <c r="J905" s="22" t="n">
        <f aca="false">I905*Assumptions!B24</f>
        <v>13800</v>
      </c>
      <c r="K905" s="21" t="n">
        <f aca="false">K904*(1+Assumptions!B30)</f>
        <v>17.6525937803634</v>
      </c>
      <c r="L905" s="16" t="n">
        <f aca="false">ROUND(K905*F905,0)</f>
        <v>18</v>
      </c>
      <c r="M905" s="22" t="n">
        <f aca="false">L905*Assumptions!B31</f>
        <v>5400</v>
      </c>
      <c r="N905" s="22" t="n">
        <f aca="false">J905+M905</f>
        <v>19200</v>
      </c>
      <c r="O905" s="22" t="n">
        <f aca="false">IF(DAY(B905)=1,Assumptions!B38*G905,0)</f>
        <v>0</v>
      </c>
      <c r="P905" s="22" t="n">
        <f aca="false">IF(DAY(B905)=1,Assumptions!B39*G905,0)</f>
        <v>0</v>
      </c>
      <c r="Q905" s="22" t="n">
        <f aca="false">IF(DAY(B905)=1,Assumptions!B40*G905,0)</f>
        <v>0</v>
      </c>
      <c r="R905" s="22" t="n">
        <f aca="false">IF(DAY(B905)=1,Assumptions!B41*G905,0)</f>
        <v>0</v>
      </c>
      <c r="S905" s="22" t="n">
        <f aca="false">IF(AND(DAY(B905)=1,D905&gt;=13),Assumptions!B42*G905,0)</f>
        <v>0</v>
      </c>
      <c r="T905" s="22" t="n">
        <f aca="false">IF(DAY(B905)=1,Assumptions!B43*G905,0)</f>
        <v>0</v>
      </c>
      <c r="U905" s="22" t="n">
        <f aca="false">SUM(O905:T905)</f>
        <v>0</v>
      </c>
      <c r="V905" s="22" t="n">
        <f aca="false">N905-U905</f>
        <v>19200</v>
      </c>
      <c r="W905" s="22" t="n">
        <f aca="false">W904+V905</f>
        <v>-2213048.90620416</v>
      </c>
      <c r="X905" s="23" t="str">
        <f aca="false">IF(W905&gt;=0,"YES","No")</f>
        <v>No</v>
      </c>
    </row>
    <row r="906" customFormat="false" ht="15" hidden="false" customHeight="false" outlineLevel="0" collapsed="false">
      <c r="A906" s="16" t="n">
        <v>905</v>
      </c>
      <c r="B906" s="17" t="n">
        <f aca="false">B905+1</f>
        <v>46927</v>
      </c>
      <c r="C906" s="18" t="n">
        <f aca="false">MIN(ROUNDUP(A906/365,0),5)</f>
        <v>3</v>
      </c>
      <c r="D906" s="18" t="n">
        <f aca="false">DATEDIF(Assumptions!B5,B906,"m")+1</f>
        <v>30</v>
      </c>
      <c r="E906" s="18" t="str">
        <f aca="false">TEXT(B906,"ddd")</f>
        <v>Fri</v>
      </c>
      <c r="F906" s="19" t="n">
        <f aca="false">IF(WEEKDAY(B906,2)&gt;=6,Assumptions!B34,Assumptions!B35)</f>
        <v>1</v>
      </c>
      <c r="G906" s="20" t="n">
        <f aca="false">IF(D906&gt;=13,(1+Assumptions!B46)^(D906-12),1)</f>
        <v>1.05539928195563</v>
      </c>
      <c r="H906" s="21" t="n">
        <f aca="false">H905*(1+IF(C906=1,Assumptions!B22,Assumptions!B23))</f>
        <v>22.7400448965179</v>
      </c>
      <c r="I906" s="16" t="n">
        <f aca="false">ROUND(H906*F906,0)</f>
        <v>23</v>
      </c>
      <c r="J906" s="22" t="n">
        <f aca="false">I906*Assumptions!B24</f>
        <v>13800</v>
      </c>
      <c r="K906" s="21" t="n">
        <f aca="false">K905*(1+Assumptions!B30)</f>
        <v>17.6583650635453</v>
      </c>
      <c r="L906" s="16" t="n">
        <f aca="false">ROUND(K906*F906,0)</f>
        <v>18</v>
      </c>
      <c r="M906" s="22" t="n">
        <f aca="false">L906*Assumptions!B31</f>
        <v>5400</v>
      </c>
      <c r="N906" s="22" t="n">
        <f aca="false">J906+M906</f>
        <v>19200</v>
      </c>
      <c r="O906" s="22" t="n">
        <f aca="false">IF(DAY(B906)=1,Assumptions!B38*G906,0)</f>
        <v>0</v>
      </c>
      <c r="P906" s="22" t="n">
        <f aca="false">IF(DAY(B906)=1,Assumptions!B39*G906,0)</f>
        <v>0</v>
      </c>
      <c r="Q906" s="22" t="n">
        <f aca="false">IF(DAY(B906)=1,Assumptions!B40*G906,0)</f>
        <v>0</v>
      </c>
      <c r="R906" s="22" t="n">
        <f aca="false">IF(DAY(B906)=1,Assumptions!B41*G906,0)</f>
        <v>0</v>
      </c>
      <c r="S906" s="22" t="n">
        <f aca="false">IF(AND(DAY(B906)=1,D906&gt;=13),Assumptions!B42*G906,0)</f>
        <v>0</v>
      </c>
      <c r="T906" s="22" t="n">
        <f aca="false">IF(DAY(B906)=1,Assumptions!B43*G906,0)</f>
        <v>0</v>
      </c>
      <c r="U906" s="22" t="n">
        <f aca="false">SUM(O906:T906)</f>
        <v>0</v>
      </c>
      <c r="V906" s="22" t="n">
        <f aca="false">N906-U906</f>
        <v>19200</v>
      </c>
      <c r="W906" s="22" t="n">
        <f aca="false">W905+V906</f>
        <v>-2193848.90620416</v>
      </c>
      <c r="X906" s="23" t="str">
        <f aca="false">IF(W906&gt;=0,"YES","No")</f>
        <v>No</v>
      </c>
    </row>
    <row r="907" customFormat="false" ht="15" hidden="false" customHeight="false" outlineLevel="0" collapsed="false">
      <c r="A907" s="16" t="n">
        <v>906</v>
      </c>
      <c r="B907" s="17" t="n">
        <f aca="false">B906+1</f>
        <v>46928</v>
      </c>
      <c r="C907" s="18" t="n">
        <f aca="false">MIN(ROUNDUP(A907/365,0),5)</f>
        <v>3</v>
      </c>
      <c r="D907" s="18" t="n">
        <f aca="false">DATEDIF(Assumptions!B5,B907,"m")+1</f>
        <v>30</v>
      </c>
      <c r="E907" s="18" t="str">
        <f aca="false">TEXT(B907,"ddd")</f>
        <v>Sat</v>
      </c>
      <c r="F907" s="19" t="n">
        <f aca="false">IF(WEEKDAY(B907,2)&gt;=6,Assumptions!B34,Assumptions!B35)</f>
        <v>0.6</v>
      </c>
      <c r="G907" s="20" t="n">
        <f aca="false">IF(D907&gt;=13,(1+Assumptions!B46)^(D907-12),1)</f>
        <v>1.05539928195563</v>
      </c>
      <c r="H907" s="21" t="n">
        <f aca="false">H906*(1+IF(C907=1,Assumptions!B22,Assumptions!B23))</f>
        <v>22.7437711189218</v>
      </c>
      <c r="I907" s="16" t="n">
        <f aca="false">ROUND(H907*F907,0)</f>
        <v>14</v>
      </c>
      <c r="J907" s="22" t="n">
        <f aca="false">I907*Assumptions!B24</f>
        <v>8400</v>
      </c>
      <c r="K907" s="21" t="n">
        <f aca="false">K906*(1+Assumptions!B30)</f>
        <v>17.6641382335722</v>
      </c>
      <c r="L907" s="16" t="n">
        <f aca="false">ROUND(K907*F907,0)</f>
        <v>11</v>
      </c>
      <c r="M907" s="22" t="n">
        <f aca="false">L907*Assumptions!B31</f>
        <v>3300</v>
      </c>
      <c r="N907" s="22" t="n">
        <f aca="false">J907+M907</f>
        <v>11700</v>
      </c>
      <c r="O907" s="22" t="n">
        <f aca="false">IF(DAY(B907)=1,Assumptions!B38*G907,0)</f>
        <v>0</v>
      </c>
      <c r="P907" s="22" t="n">
        <f aca="false">IF(DAY(B907)=1,Assumptions!B39*G907,0)</f>
        <v>0</v>
      </c>
      <c r="Q907" s="22" t="n">
        <f aca="false">IF(DAY(B907)=1,Assumptions!B40*G907,0)</f>
        <v>0</v>
      </c>
      <c r="R907" s="22" t="n">
        <f aca="false">IF(DAY(B907)=1,Assumptions!B41*G907,0)</f>
        <v>0</v>
      </c>
      <c r="S907" s="22" t="n">
        <f aca="false">IF(AND(DAY(B907)=1,D907&gt;=13),Assumptions!B42*G907,0)</f>
        <v>0</v>
      </c>
      <c r="T907" s="22" t="n">
        <f aca="false">IF(DAY(B907)=1,Assumptions!B43*G907,0)</f>
        <v>0</v>
      </c>
      <c r="U907" s="22" t="n">
        <f aca="false">SUM(O907:T907)</f>
        <v>0</v>
      </c>
      <c r="V907" s="22" t="n">
        <f aca="false">N907-U907</f>
        <v>11700</v>
      </c>
      <c r="W907" s="22" t="n">
        <f aca="false">W906+V907</f>
        <v>-2182148.90620416</v>
      </c>
      <c r="X907" s="23" t="str">
        <f aca="false">IF(W907&gt;=0,"YES","No")</f>
        <v>No</v>
      </c>
    </row>
    <row r="908" customFormat="false" ht="15" hidden="false" customHeight="false" outlineLevel="0" collapsed="false">
      <c r="A908" s="16" t="n">
        <v>907</v>
      </c>
      <c r="B908" s="17" t="n">
        <f aca="false">B907+1</f>
        <v>46929</v>
      </c>
      <c r="C908" s="18" t="n">
        <f aca="false">MIN(ROUNDUP(A908/365,0),5)</f>
        <v>3</v>
      </c>
      <c r="D908" s="18" t="n">
        <f aca="false">DATEDIF(Assumptions!B5,B908,"m")+1</f>
        <v>30</v>
      </c>
      <c r="E908" s="18" t="str">
        <f aca="false">TEXT(B908,"ddd")</f>
        <v>Sun</v>
      </c>
      <c r="F908" s="19" t="n">
        <f aca="false">IF(WEEKDAY(B908,2)&gt;=6,Assumptions!B34,Assumptions!B35)</f>
        <v>0.6</v>
      </c>
      <c r="G908" s="20" t="n">
        <f aca="false">IF(D908&gt;=13,(1+Assumptions!B46)^(D908-12),1)</f>
        <v>1.05539928195563</v>
      </c>
      <c r="H908" s="21" t="n">
        <f aca="false">H907*(1+IF(C908=1,Assumptions!B22,Assumptions!B23))</f>
        <v>22.7474979519109</v>
      </c>
      <c r="I908" s="16" t="n">
        <f aca="false">ROUND(H908*F908,0)</f>
        <v>14</v>
      </c>
      <c r="J908" s="22" t="n">
        <f aca="false">I908*Assumptions!B24</f>
        <v>8400</v>
      </c>
      <c r="K908" s="21" t="n">
        <f aca="false">K907*(1+Assumptions!B30)</f>
        <v>17.6699132910611</v>
      </c>
      <c r="L908" s="16" t="n">
        <f aca="false">ROUND(K908*F908,0)</f>
        <v>11</v>
      </c>
      <c r="M908" s="22" t="n">
        <f aca="false">L908*Assumptions!B31</f>
        <v>3300</v>
      </c>
      <c r="N908" s="22" t="n">
        <f aca="false">J908+M908</f>
        <v>11700</v>
      </c>
      <c r="O908" s="22" t="n">
        <f aca="false">IF(DAY(B908)=1,Assumptions!B38*G908,0)</f>
        <v>0</v>
      </c>
      <c r="P908" s="22" t="n">
        <f aca="false">IF(DAY(B908)=1,Assumptions!B39*G908,0)</f>
        <v>0</v>
      </c>
      <c r="Q908" s="22" t="n">
        <f aca="false">IF(DAY(B908)=1,Assumptions!B40*G908,0)</f>
        <v>0</v>
      </c>
      <c r="R908" s="22" t="n">
        <f aca="false">IF(DAY(B908)=1,Assumptions!B41*G908,0)</f>
        <v>0</v>
      </c>
      <c r="S908" s="22" t="n">
        <f aca="false">IF(AND(DAY(B908)=1,D908&gt;=13),Assumptions!B42*G908,0)</f>
        <v>0</v>
      </c>
      <c r="T908" s="22" t="n">
        <f aca="false">IF(DAY(B908)=1,Assumptions!B43*G908,0)</f>
        <v>0</v>
      </c>
      <c r="U908" s="22" t="n">
        <f aca="false">SUM(O908:T908)</f>
        <v>0</v>
      </c>
      <c r="V908" s="22" t="n">
        <f aca="false">N908-U908</f>
        <v>11700</v>
      </c>
      <c r="W908" s="22" t="n">
        <f aca="false">W907+V908</f>
        <v>-2170448.90620416</v>
      </c>
      <c r="X908" s="23" t="str">
        <f aca="false">IF(W908&gt;=0,"YES","No")</f>
        <v>No</v>
      </c>
    </row>
    <row r="909" customFormat="false" ht="15" hidden="false" customHeight="false" outlineLevel="0" collapsed="false">
      <c r="A909" s="16" t="n">
        <v>908</v>
      </c>
      <c r="B909" s="17" t="n">
        <f aca="false">B908+1</f>
        <v>46930</v>
      </c>
      <c r="C909" s="18" t="n">
        <f aca="false">MIN(ROUNDUP(A909/365,0),5)</f>
        <v>3</v>
      </c>
      <c r="D909" s="18" t="n">
        <f aca="false">DATEDIF(Assumptions!B5,B909,"m")+1</f>
        <v>30</v>
      </c>
      <c r="E909" s="18" t="str">
        <f aca="false">TEXT(B909,"ddd")</f>
        <v>Mon</v>
      </c>
      <c r="F909" s="19" t="n">
        <f aca="false">IF(WEEKDAY(B909,2)&gt;=6,Assumptions!B34,Assumptions!B35)</f>
        <v>1</v>
      </c>
      <c r="G909" s="20" t="n">
        <f aca="false">IF(D909&gt;=13,(1+Assumptions!B46)^(D909-12),1)</f>
        <v>1.05539928195563</v>
      </c>
      <c r="H909" s="21" t="n">
        <f aca="false">H908*(1+IF(C909=1,Assumptions!B22,Assumptions!B23))</f>
        <v>22.7512253955851</v>
      </c>
      <c r="I909" s="16" t="n">
        <f aca="false">ROUND(H909*F909,0)</f>
        <v>23</v>
      </c>
      <c r="J909" s="22" t="n">
        <f aca="false">I909*Assumptions!B24</f>
        <v>13800</v>
      </c>
      <c r="K909" s="21" t="n">
        <f aca="false">K908*(1+Assumptions!B30)</f>
        <v>17.675690236629</v>
      </c>
      <c r="L909" s="16" t="n">
        <f aca="false">ROUND(K909*F909,0)</f>
        <v>18</v>
      </c>
      <c r="M909" s="22" t="n">
        <f aca="false">L909*Assumptions!B31</f>
        <v>5400</v>
      </c>
      <c r="N909" s="22" t="n">
        <f aca="false">J909+M909</f>
        <v>19200</v>
      </c>
      <c r="O909" s="22" t="n">
        <f aca="false">IF(DAY(B909)=1,Assumptions!B38*G909,0)</f>
        <v>0</v>
      </c>
      <c r="P909" s="22" t="n">
        <f aca="false">IF(DAY(B909)=1,Assumptions!B39*G909,0)</f>
        <v>0</v>
      </c>
      <c r="Q909" s="22" t="n">
        <f aca="false">IF(DAY(B909)=1,Assumptions!B40*G909,0)</f>
        <v>0</v>
      </c>
      <c r="R909" s="22" t="n">
        <f aca="false">IF(DAY(B909)=1,Assumptions!B41*G909,0)</f>
        <v>0</v>
      </c>
      <c r="S909" s="22" t="n">
        <f aca="false">IF(AND(DAY(B909)=1,D909&gt;=13),Assumptions!B42*G909,0)</f>
        <v>0</v>
      </c>
      <c r="T909" s="22" t="n">
        <f aca="false">IF(DAY(B909)=1,Assumptions!B43*G909,0)</f>
        <v>0</v>
      </c>
      <c r="U909" s="22" t="n">
        <f aca="false">SUM(O909:T909)</f>
        <v>0</v>
      </c>
      <c r="V909" s="22" t="n">
        <f aca="false">N909-U909</f>
        <v>19200</v>
      </c>
      <c r="W909" s="22" t="n">
        <f aca="false">W908+V909</f>
        <v>-2151248.90620416</v>
      </c>
      <c r="X909" s="23" t="str">
        <f aca="false">IF(W909&gt;=0,"YES","No")</f>
        <v>No</v>
      </c>
    </row>
    <row r="910" customFormat="false" ht="15" hidden="false" customHeight="false" outlineLevel="0" collapsed="false">
      <c r="A910" s="16" t="n">
        <v>909</v>
      </c>
      <c r="B910" s="17" t="n">
        <f aca="false">B909+1</f>
        <v>46931</v>
      </c>
      <c r="C910" s="18" t="n">
        <f aca="false">MIN(ROUNDUP(A910/365,0),5)</f>
        <v>3</v>
      </c>
      <c r="D910" s="18" t="n">
        <f aca="false">DATEDIF(Assumptions!B5,B910,"m")+1</f>
        <v>30</v>
      </c>
      <c r="E910" s="18" t="str">
        <f aca="false">TEXT(B910,"ddd")</f>
        <v>Tue</v>
      </c>
      <c r="F910" s="19" t="n">
        <f aca="false">IF(WEEKDAY(B910,2)&gt;=6,Assumptions!B34,Assumptions!B35)</f>
        <v>1</v>
      </c>
      <c r="G910" s="20" t="n">
        <f aca="false">IF(D910&gt;=13,(1+Assumptions!B46)^(D910-12),1)</f>
        <v>1.05539928195563</v>
      </c>
      <c r="H910" s="21" t="n">
        <f aca="false">H909*(1+IF(C910=1,Assumptions!B22,Assumptions!B23))</f>
        <v>22.7549534500446</v>
      </c>
      <c r="I910" s="16" t="n">
        <f aca="false">ROUND(H910*F910,0)</f>
        <v>23</v>
      </c>
      <c r="J910" s="22" t="n">
        <f aca="false">I910*Assumptions!B24</f>
        <v>13800</v>
      </c>
      <c r="K910" s="21" t="n">
        <f aca="false">K909*(1+Assumptions!B30)</f>
        <v>17.6814690708932</v>
      </c>
      <c r="L910" s="16" t="n">
        <f aca="false">ROUND(K910*F910,0)</f>
        <v>18</v>
      </c>
      <c r="M910" s="22" t="n">
        <f aca="false">L910*Assumptions!B31</f>
        <v>5400</v>
      </c>
      <c r="N910" s="22" t="n">
        <f aca="false">J910+M910</f>
        <v>19200</v>
      </c>
      <c r="O910" s="22" t="n">
        <f aca="false">IF(DAY(B910)=1,Assumptions!B38*G910,0)</f>
        <v>0</v>
      </c>
      <c r="P910" s="22" t="n">
        <f aca="false">IF(DAY(B910)=1,Assumptions!B39*G910,0)</f>
        <v>0</v>
      </c>
      <c r="Q910" s="22" t="n">
        <f aca="false">IF(DAY(B910)=1,Assumptions!B40*G910,0)</f>
        <v>0</v>
      </c>
      <c r="R910" s="22" t="n">
        <f aca="false">IF(DAY(B910)=1,Assumptions!B41*G910,0)</f>
        <v>0</v>
      </c>
      <c r="S910" s="22" t="n">
        <f aca="false">IF(AND(DAY(B910)=1,D910&gt;=13),Assumptions!B42*G910,0)</f>
        <v>0</v>
      </c>
      <c r="T910" s="22" t="n">
        <f aca="false">IF(DAY(B910)=1,Assumptions!B43*G910,0)</f>
        <v>0</v>
      </c>
      <c r="U910" s="22" t="n">
        <f aca="false">SUM(O910:T910)</f>
        <v>0</v>
      </c>
      <c r="V910" s="22" t="n">
        <f aca="false">N910-U910</f>
        <v>19200</v>
      </c>
      <c r="W910" s="22" t="n">
        <f aca="false">W909+V910</f>
        <v>-2132048.90620416</v>
      </c>
      <c r="X910" s="23" t="str">
        <f aca="false">IF(W910&gt;=0,"YES","No")</f>
        <v>No</v>
      </c>
    </row>
    <row r="911" customFormat="false" ht="15" hidden="false" customHeight="false" outlineLevel="0" collapsed="false">
      <c r="A911" s="16" t="n">
        <v>910</v>
      </c>
      <c r="B911" s="17" t="n">
        <f aca="false">B910+1</f>
        <v>46932</v>
      </c>
      <c r="C911" s="18" t="n">
        <f aca="false">MIN(ROUNDUP(A911/365,0),5)</f>
        <v>3</v>
      </c>
      <c r="D911" s="18" t="n">
        <f aca="false">DATEDIF(Assumptions!B5,B911,"m")+1</f>
        <v>30</v>
      </c>
      <c r="E911" s="18" t="str">
        <f aca="false">TEXT(B911,"ddd")</f>
        <v>Wed</v>
      </c>
      <c r="F911" s="19" t="n">
        <f aca="false">IF(WEEKDAY(B911,2)&gt;=6,Assumptions!B34,Assumptions!B35)</f>
        <v>1</v>
      </c>
      <c r="G911" s="20" t="n">
        <f aca="false">IF(D911&gt;=13,(1+Assumptions!B46)^(D911-12),1)</f>
        <v>1.05539928195563</v>
      </c>
      <c r="H911" s="21" t="n">
        <f aca="false">H910*(1+IF(C911=1,Assumptions!B22,Assumptions!B23))</f>
        <v>22.7586821153894</v>
      </c>
      <c r="I911" s="16" t="n">
        <f aca="false">ROUND(H911*F911,0)</f>
        <v>23</v>
      </c>
      <c r="J911" s="22" t="n">
        <f aca="false">I911*Assumptions!B24</f>
        <v>13800</v>
      </c>
      <c r="K911" s="21" t="n">
        <f aca="false">K910*(1+Assumptions!B30)</f>
        <v>17.6872497944712</v>
      </c>
      <c r="L911" s="16" t="n">
        <f aca="false">ROUND(K911*F911,0)</f>
        <v>18</v>
      </c>
      <c r="M911" s="22" t="n">
        <f aca="false">L911*Assumptions!B31</f>
        <v>5400</v>
      </c>
      <c r="N911" s="22" t="n">
        <f aca="false">J911+M911</f>
        <v>19200</v>
      </c>
      <c r="O911" s="22" t="n">
        <f aca="false">IF(DAY(B911)=1,Assumptions!B38*G911,0)</f>
        <v>0</v>
      </c>
      <c r="P911" s="22" t="n">
        <f aca="false">IF(DAY(B911)=1,Assumptions!B39*G911,0)</f>
        <v>0</v>
      </c>
      <c r="Q911" s="22" t="n">
        <f aca="false">IF(DAY(B911)=1,Assumptions!B40*G911,0)</f>
        <v>0</v>
      </c>
      <c r="R911" s="22" t="n">
        <f aca="false">IF(DAY(B911)=1,Assumptions!B41*G911,0)</f>
        <v>0</v>
      </c>
      <c r="S911" s="22" t="n">
        <f aca="false">IF(AND(DAY(B911)=1,D911&gt;=13),Assumptions!B42*G911,0)</f>
        <v>0</v>
      </c>
      <c r="T911" s="22" t="n">
        <f aca="false">IF(DAY(B911)=1,Assumptions!B43*G911,0)</f>
        <v>0</v>
      </c>
      <c r="U911" s="22" t="n">
        <f aca="false">SUM(O911:T911)</f>
        <v>0</v>
      </c>
      <c r="V911" s="22" t="n">
        <f aca="false">N911-U911</f>
        <v>19200</v>
      </c>
      <c r="W911" s="22" t="n">
        <f aca="false">W910+V911</f>
        <v>-2112848.90620416</v>
      </c>
      <c r="X911" s="23" t="str">
        <f aca="false">IF(W911&gt;=0,"YES","No")</f>
        <v>No</v>
      </c>
    </row>
    <row r="912" customFormat="false" ht="15" hidden="false" customHeight="false" outlineLevel="0" collapsed="false">
      <c r="A912" s="16" t="n">
        <v>911</v>
      </c>
      <c r="B912" s="17" t="n">
        <f aca="false">B911+1</f>
        <v>46933</v>
      </c>
      <c r="C912" s="18" t="n">
        <f aca="false">MIN(ROUNDUP(A912/365,0),5)</f>
        <v>3</v>
      </c>
      <c r="D912" s="18" t="n">
        <f aca="false">DATEDIF(Assumptions!B5,B912,"m")+1</f>
        <v>30</v>
      </c>
      <c r="E912" s="18" t="str">
        <f aca="false">TEXT(B912,"ddd")</f>
        <v>Thu</v>
      </c>
      <c r="F912" s="19" t="n">
        <f aca="false">IF(WEEKDAY(B912,2)&gt;=6,Assumptions!B34,Assumptions!B35)</f>
        <v>1</v>
      </c>
      <c r="G912" s="20" t="n">
        <f aca="false">IF(D912&gt;=13,(1+Assumptions!B46)^(D912-12),1)</f>
        <v>1.05539928195563</v>
      </c>
      <c r="H912" s="21" t="n">
        <f aca="false">H911*(1+IF(C912=1,Assumptions!B22,Assumptions!B23))</f>
        <v>22.7624113917197</v>
      </c>
      <c r="I912" s="16" t="n">
        <f aca="false">ROUND(H912*F912,0)</f>
        <v>23</v>
      </c>
      <c r="J912" s="22" t="n">
        <f aca="false">I912*Assumptions!B24</f>
        <v>13800</v>
      </c>
      <c r="K912" s="21" t="n">
        <f aca="false">K911*(1+Assumptions!B30)</f>
        <v>17.6930324079807</v>
      </c>
      <c r="L912" s="16" t="n">
        <f aca="false">ROUND(K912*F912,0)</f>
        <v>18</v>
      </c>
      <c r="M912" s="22" t="n">
        <f aca="false">L912*Assumptions!B31</f>
        <v>5400</v>
      </c>
      <c r="N912" s="22" t="n">
        <f aca="false">J912+M912</f>
        <v>19200</v>
      </c>
      <c r="O912" s="22" t="n">
        <f aca="false">IF(DAY(B912)=1,Assumptions!B38*G912,0)</f>
        <v>0</v>
      </c>
      <c r="P912" s="22" t="n">
        <f aca="false">IF(DAY(B912)=1,Assumptions!B39*G912,0)</f>
        <v>0</v>
      </c>
      <c r="Q912" s="22" t="n">
        <f aca="false">IF(DAY(B912)=1,Assumptions!B40*G912,0)</f>
        <v>0</v>
      </c>
      <c r="R912" s="22" t="n">
        <f aca="false">IF(DAY(B912)=1,Assumptions!B41*G912,0)</f>
        <v>0</v>
      </c>
      <c r="S912" s="22" t="n">
        <f aca="false">IF(AND(DAY(B912)=1,D912&gt;=13),Assumptions!B42*G912,0)</f>
        <v>0</v>
      </c>
      <c r="T912" s="22" t="n">
        <f aca="false">IF(DAY(B912)=1,Assumptions!B43*G912,0)</f>
        <v>0</v>
      </c>
      <c r="U912" s="22" t="n">
        <f aca="false">SUM(O912:T912)</f>
        <v>0</v>
      </c>
      <c r="V912" s="22" t="n">
        <f aca="false">N912-U912</f>
        <v>19200</v>
      </c>
      <c r="W912" s="22" t="n">
        <f aca="false">W911+V912</f>
        <v>-2093648.90620416</v>
      </c>
      <c r="X912" s="23" t="str">
        <f aca="false">IF(W912&gt;=0,"YES","No")</f>
        <v>No</v>
      </c>
    </row>
    <row r="913" customFormat="false" ht="15" hidden="false" customHeight="false" outlineLevel="0" collapsed="false">
      <c r="A913" s="16" t="n">
        <v>912</v>
      </c>
      <c r="B913" s="17" t="n">
        <f aca="false">B912+1</f>
        <v>46934</v>
      </c>
      <c r="C913" s="18" t="n">
        <f aca="false">MIN(ROUNDUP(A913/365,0),5)</f>
        <v>3</v>
      </c>
      <c r="D913" s="18" t="n">
        <f aca="false">DATEDIF(Assumptions!B5,B913,"m")+1</f>
        <v>30</v>
      </c>
      <c r="E913" s="18" t="str">
        <f aca="false">TEXT(B913,"ddd")</f>
        <v>Fri</v>
      </c>
      <c r="F913" s="19" t="n">
        <f aca="false">IF(WEEKDAY(B913,2)&gt;=6,Assumptions!B34,Assumptions!B35)</f>
        <v>1</v>
      </c>
      <c r="G913" s="20" t="n">
        <f aca="false">IF(D913&gt;=13,(1+Assumptions!B46)^(D913-12),1)</f>
        <v>1.05539928195563</v>
      </c>
      <c r="H913" s="21" t="n">
        <f aca="false">H912*(1+IF(C913=1,Assumptions!B22,Assumptions!B23))</f>
        <v>22.7661412791355</v>
      </c>
      <c r="I913" s="16" t="n">
        <f aca="false">ROUND(H913*F913,0)</f>
        <v>23</v>
      </c>
      <c r="J913" s="22" t="n">
        <f aca="false">I913*Assumptions!B24</f>
        <v>13800</v>
      </c>
      <c r="K913" s="21" t="n">
        <f aca="false">K912*(1+Assumptions!B30)</f>
        <v>17.6988169120396</v>
      </c>
      <c r="L913" s="16" t="n">
        <f aca="false">ROUND(K913*F913,0)</f>
        <v>18</v>
      </c>
      <c r="M913" s="22" t="n">
        <f aca="false">L913*Assumptions!B31</f>
        <v>5400</v>
      </c>
      <c r="N913" s="22" t="n">
        <f aca="false">J913+M913</f>
        <v>19200</v>
      </c>
      <c r="O913" s="22" t="n">
        <f aca="false">IF(DAY(B913)=1,Assumptions!B38*G913,0)</f>
        <v>0</v>
      </c>
      <c r="P913" s="22" t="n">
        <f aca="false">IF(DAY(B913)=1,Assumptions!B39*G913,0)</f>
        <v>0</v>
      </c>
      <c r="Q913" s="22" t="n">
        <f aca="false">IF(DAY(B913)=1,Assumptions!B40*G913,0)</f>
        <v>0</v>
      </c>
      <c r="R913" s="22" t="n">
        <f aca="false">IF(DAY(B913)=1,Assumptions!B41*G913,0)</f>
        <v>0</v>
      </c>
      <c r="S913" s="22" t="n">
        <f aca="false">IF(AND(DAY(B913)=1,D913&gt;=13),Assumptions!B42*G913,0)</f>
        <v>0</v>
      </c>
      <c r="T913" s="22" t="n">
        <f aca="false">IF(DAY(B913)=1,Assumptions!B43*G913,0)</f>
        <v>0</v>
      </c>
      <c r="U913" s="22" t="n">
        <f aca="false">SUM(O913:T913)</f>
        <v>0</v>
      </c>
      <c r="V913" s="22" t="n">
        <f aca="false">N913-U913</f>
        <v>19200</v>
      </c>
      <c r="W913" s="22" t="n">
        <f aca="false">W912+V913</f>
        <v>-2074448.90620416</v>
      </c>
      <c r="X913" s="23" t="str">
        <f aca="false">IF(W913&gt;=0,"YES","No")</f>
        <v>No</v>
      </c>
    </row>
    <row r="914" customFormat="false" ht="15" hidden="false" customHeight="false" outlineLevel="0" collapsed="false">
      <c r="A914" s="16" t="n">
        <v>913</v>
      </c>
      <c r="B914" s="17" t="n">
        <f aca="false">B913+1</f>
        <v>46935</v>
      </c>
      <c r="C914" s="18" t="n">
        <f aca="false">MIN(ROUNDUP(A914/365,0),5)</f>
        <v>3</v>
      </c>
      <c r="D914" s="18" t="n">
        <f aca="false">DATEDIF(Assumptions!B5,B914,"m")+1</f>
        <v>31</v>
      </c>
      <c r="E914" s="18" t="str">
        <f aca="false">TEXT(B914,"ddd")</f>
        <v>Sat</v>
      </c>
      <c r="F914" s="19" t="n">
        <f aca="false">IF(WEEKDAY(B914,2)&gt;=6,Assumptions!B34,Assumptions!B35)</f>
        <v>0.6</v>
      </c>
      <c r="G914" s="20" t="n">
        <f aca="false">IF(D914&gt;=13,(1+Assumptions!B46)^(D914-12),1)</f>
        <v>1.05856547980149</v>
      </c>
      <c r="H914" s="21" t="n">
        <f aca="false">H913*(1+IF(C914=1,Assumptions!B22,Assumptions!B23))</f>
        <v>22.769871777737</v>
      </c>
      <c r="I914" s="16" t="n">
        <f aca="false">ROUND(H914*F914,0)</f>
        <v>14</v>
      </c>
      <c r="J914" s="22" t="n">
        <f aca="false">I914*Assumptions!B24</f>
        <v>8400</v>
      </c>
      <c r="K914" s="21" t="n">
        <f aca="false">K913*(1+Assumptions!B30)</f>
        <v>17.7046033072659</v>
      </c>
      <c r="L914" s="16" t="n">
        <f aca="false">ROUND(K914*F914,0)</f>
        <v>11</v>
      </c>
      <c r="M914" s="22" t="n">
        <f aca="false">L914*Assumptions!B31</f>
        <v>3300</v>
      </c>
      <c r="N914" s="22" t="n">
        <f aca="false">J914+M914</f>
        <v>11700</v>
      </c>
      <c r="O914" s="22" t="n">
        <f aca="false">IF(DAY(B914)=1,Assumptions!B38*G914,0)</f>
        <v>158784.821970224</v>
      </c>
      <c r="P914" s="22" t="n">
        <f aca="false">IF(DAY(B914)=1,Assumptions!B39*G914,0)</f>
        <v>42342.6191920597</v>
      </c>
      <c r="Q914" s="22" t="n">
        <f aca="false">IF(DAY(B914)=1,Assumptions!B40*G914,0)</f>
        <v>31756.9643940448</v>
      </c>
      <c r="R914" s="22" t="n">
        <f aca="false">IF(DAY(B914)=1,Assumptions!B41*G914,0)</f>
        <v>21171.3095960298</v>
      </c>
      <c r="S914" s="22" t="n">
        <f aca="false">IF(AND(DAY(B914)=1,D914&gt;=13),Assumptions!B42*G914,0)</f>
        <v>158784.821970224</v>
      </c>
      <c r="T914" s="22" t="n">
        <f aca="false">IF(DAY(B914)=1,Assumptions!B43*G914,0)</f>
        <v>21171.3095960298</v>
      </c>
      <c r="U914" s="22" t="n">
        <f aca="false">SUM(O914:T914)</f>
        <v>434011.846718612</v>
      </c>
      <c r="V914" s="22" t="n">
        <f aca="false">N914-U914</f>
        <v>-422311.846718612</v>
      </c>
      <c r="W914" s="22" t="n">
        <f aca="false">W913+V914</f>
        <v>-2496760.75292277</v>
      </c>
      <c r="X914" s="23" t="str">
        <f aca="false">IF(W914&gt;=0,"YES","No")</f>
        <v>No</v>
      </c>
    </row>
    <row r="915" customFormat="false" ht="15" hidden="false" customHeight="false" outlineLevel="0" collapsed="false">
      <c r="A915" s="16" t="n">
        <v>914</v>
      </c>
      <c r="B915" s="17" t="n">
        <f aca="false">B914+1</f>
        <v>46936</v>
      </c>
      <c r="C915" s="18" t="n">
        <f aca="false">MIN(ROUNDUP(A915/365,0),5)</f>
        <v>3</v>
      </c>
      <c r="D915" s="18" t="n">
        <f aca="false">DATEDIF(Assumptions!B5,B915,"m")+1</f>
        <v>31</v>
      </c>
      <c r="E915" s="18" t="str">
        <f aca="false">TEXT(B915,"ddd")</f>
        <v>Sun</v>
      </c>
      <c r="F915" s="19" t="n">
        <f aca="false">IF(WEEKDAY(B915,2)&gt;=6,Assumptions!B34,Assumptions!B35)</f>
        <v>0.6</v>
      </c>
      <c r="G915" s="20" t="n">
        <f aca="false">IF(D915&gt;=13,(1+Assumptions!B46)^(D915-12),1)</f>
        <v>1.05856547980149</v>
      </c>
      <c r="H915" s="21" t="n">
        <f aca="false">H914*(1+IF(C915=1,Assumptions!B22,Assumptions!B23))</f>
        <v>22.7736028876244</v>
      </c>
      <c r="I915" s="16" t="n">
        <f aca="false">ROUND(H915*F915,0)</f>
        <v>14</v>
      </c>
      <c r="J915" s="22" t="n">
        <f aca="false">I915*Assumptions!B24</f>
        <v>8400</v>
      </c>
      <c r="K915" s="21" t="n">
        <f aca="false">K914*(1+Assumptions!B30)</f>
        <v>17.710391594278</v>
      </c>
      <c r="L915" s="16" t="n">
        <f aca="false">ROUND(K915*F915,0)</f>
        <v>11</v>
      </c>
      <c r="M915" s="22" t="n">
        <f aca="false">L915*Assumptions!B31</f>
        <v>3300</v>
      </c>
      <c r="N915" s="22" t="n">
        <f aca="false">J915+M915</f>
        <v>11700</v>
      </c>
      <c r="O915" s="22" t="n">
        <f aca="false">IF(DAY(B915)=1,Assumptions!B38*G915,0)</f>
        <v>0</v>
      </c>
      <c r="P915" s="22" t="n">
        <f aca="false">IF(DAY(B915)=1,Assumptions!B39*G915,0)</f>
        <v>0</v>
      </c>
      <c r="Q915" s="22" t="n">
        <f aca="false">IF(DAY(B915)=1,Assumptions!B40*G915,0)</f>
        <v>0</v>
      </c>
      <c r="R915" s="22" t="n">
        <f aca="false">IF(DAY(B915)=1,Assumptions!B41*G915,0)</f>
        <v>0</v>
      </c>
      <c r="S915" s="22" t="n">
        <f aca="false">IF(AND(DAY(B915)=1,D915&gt;=13),Assumptions!B42*G915,0)</f>
        <v>0</v>
      </c>
      <c r="T915" s="22" t="n">
        <f aca="false">IF(DAY(B915)=1,Assumptions!B43*G915,0)</f>
        <v>0</v>
      </c>
      <c r="U915" s="22" t="n">
        <f aca="false">SUM(O915:T915)</f>
        <v>0</v>
      </c>
      <c r="V915" s="22" t="n">
        <f aca="false">N915-U915</f>
        <v>11700</v>
      </c>
      <c r="W915" s="22" t="n">
        <f aca="false">W914+V915</f>
        <v>-2485060.75292277</v>
      </c>
      <c r="X915" s="23" t="str">
        <f aca="false">IF(W915&gt;=0,"YES","No")</f>
        <v>No</v>
      </c>
    </row>
    <row r="916" customFormat="false" ht="15" hidden="false" customHeight="false" outlineLevel="0" collapsed="false">
      <c r="A916" s="16" t="n">
        <v>915</v>
      </c>
      <c r="B916" s="17" t="n">
        <f aca="false">B915+1</f>
        <v>46937</v>
      </c>
      <c r="C916" s="18" t="n">
        <f aca="false">MIN(ROUNDUP(A916/365,0),5)</f>
        <v>3</v>
      </c>
      <c r="D916" s="18" t="n">
        <f aca="false">DATEDIF(Assumptions!B5,B916,"m")+1</f>
        <v>31</v>
      </c>
      <c r="E916" s="18" t="str">
        <f aca="false">TEXT(B916,"ddd")</f>
        <v>Mon</v>
      </c>
      <c r="F916" s="19" t="n">
        <f aca="false">IF(WEEKDAY(B916,2)&gt;=6,Assumptions!B34,Assumptions!B35)</f>
        <v>1</v>
      </c>
      <c r="G916" s="20" t="n">
        <f aca="false">IF(D916&gt;=13,(1+Assumptions!B46)^(D916-12),1)</f>
        <v>1.05856547980149</v>
      </c>
      <c r="H916" s="21" t="n">
        <f aca="false">H915*(1+IF(C916=1,Assumptions!B22,Assumptions!B23))</f>
        <v>22.7773346088977</v>
      </c>
      <c r="I916" s="16" t="n">
        <f aca="false">ROUND(H916*F916,0)</f>
        <v>23</v>
      </c>
      <c r="J916" s="22" t="n">
        <f aca="false">I916*Assumptions!B24</f>
        <v>13800</v>
      </c>
      <c r="K916" s="21" t="n">
        <f aca="false">K915*(1+Assumptions!B30)</f>
        <v>17.7161817736943</v>
      </c>
      <c r="L916" s="16" t="n">
        <f aca="false">ROUND(K916*F916,0)</f>
        <v>18</v>
      </c>
      <c r="M916" s="22" t="n">
        <f aca="false">L916*Assumptions!B31</f>
        <v>5400</v>
      </c>
      <c r="N916" s="22" t="n">
        <f aca="false">J916+M916</f>
        <v>19200</v>
      </c>
      <c r="O916" s="22" t="n">
        <f aca="false">IF(DAY(B916)=1,Assumptions!B38*G916,0)</f>
        <v>0</v>
      </c>
      <c r="P916" s="22" t="n">
        <f aca="false">IF(DAY(B916)=1,Assumptions!B39*G916,0)</f>
        <v>0</v>
      </c>
      <c r="Q916" s="22" t="n">
        <f aca="false">IF(DAY(B916)=1,Assumptions!B40*G916,0)</f>
        <v>0</v>
      </c>
      <c r="R916" s="22" t="n">
        <f aca="false">IF(DAY(B916)=1,Assumptions!B41*G916,0)</f>
        <v>0</v>
      </c>
      <c r="S916" s="22" t="n">
        <f aca="false">IF(AND(DAY(B916)=1,D916&gt;=13),Assumptions!B42*G916,0)</f>
        <v>0</v>
      </c>
      <c r="T916" s="22" t="n">
        <f aca="false">IF(DAY(B916)=1,Assumptions!B43*G916,0)</f>
        <v>0</v>
      </c>
      <c r="U916" s="22" t="n">
        <f aca="false">SUM(O916:T916)</f>
        <v>0</v>
      </c>
      <c r="V916" s="22" t="n">
        <f aca="false">N916-U916</f>
        <v>19200</v>
      </c>
      <c r="W916" s="22" t="n">
        <f aca="false">W915+V916</f>
        <v>-2465860.75292277</v>
      </c>
      <c r="X916" s="23" t="str">
        <f aca="false">IF(W916&gt;=0,"YES","No")</f>
        <v>No</v>
      </c>
    </row>
    <row r="917" customFormat="false" ht="15" hidden="false" customHeight="false" outlineLevel="0" collapsed="false">
      <c r="A917" s="16" t="n">
        <v>916</v>
      </c>
      <c r="B917" s="17" t="n">
        <f aca="false">B916+1</f>
        <v>46938</v>
      </c>
      <c r="C917" s="18" t="n">
        <f aca="false">MIN(ROUNDUP(A917/365,0),5)</f>
        <v>3</v>
      </c>
      <c r="D917" s="18" t="n">
        <f aca="false">DATEDIF(Assumptions!B5,B917,"m")+1</f>
        <v>31</v>
      </c>
      <c r="E917" s="18" t="str">
        <f aca="false">TEXT(B917,"ddd")</f>
        <v>Tue</v>
      </c>
      <c r="F917" s="19" t="n">
        <f aca="false">IF(WEEKDAY(B917,2)&gt;=6,Assumptions!B34,Assumptions!B35)</f>
        <v>1</v>
      </c>
      <c r="G917" s="20" t="n">
        <f aca="false">IF(D917&gt;=13,(1+Assumptions!B46)^(D917-12),1)</f>
        <v>1.05856547980149</v>
      </c>
      <c r="H917" s="21" t="n">
        <f aca="false">H916*(1+IF(C917=1,Assumptions!B22,Assumptions!B23))</f>
        <v>22.7810669416573</v>
      </c>
      <c r="I917" s="16" t="n">
        <f aca="false">ROUND(H917*F917,0)</f>
        <v>23</v>
      </c>
      <c r="J917" s="22" t="n">
        <f aca="false">I917*Assumptions!B24</f>
        <v>13800</v>
      </c>
      <c r="K917" s="21" t="n">
        <f aca="false">K916*(1+Assumptions!B30)</f>
        <v>17.7219738461336</v>
      </c>
      <c r="L917" s="16" t="n">
        <f aca="false">ROUND(K917*F917,0)</f>
        <v>18</v>
      </c>
      <c r="M917" s="22" t="n">
        <f aca="false">L917*Assumptions!B31</f>
        <v>5400</v>
      </c>
      <c r="N917" s="22" t="n">
        <f aca="false">J917+M917</f>
        <v>19200</v>
      </c>
      <c r="O917" s="22" t="n">
        <f aca="false">IF(DAY(B917)=1,Assumptions!B38*G917,0)</f>
        <v>0</v>
      </c>
      <c r="P917" s="22" t="n">
        <f aca="false">IF(DAY(B917)=1,Assumptions!B39*G917,0)</f>
        <v>0</v>
      </c>
      <c r="Q917" s="22" t="n">
        <f aca="false">IF(DAY(B917)=1,Assumptions!B40*G917,0)</f>
        <v>0</v>
      </c>
      <c r="R917" s="22" t="n">
        <f aca="false">IF(DAY(B917)=1,Assumptions!B41*G917,0)</f>
        <v>0</v>
      </c>
      <c r="S917" s="22" t="n">
        <f aca="false">IF(AND(DAY(B917)=1,D917&gt;=13),Assumptions!B42*G917,0)</f>
        <v>0</v>
      </c>
      <c r="T917" s="22" t="n">
        <f aca="false">IF(DAY(B917)=1,Assumptions!B43*G917,0)</f>
        <v>0</v>
      </c>
      <c r="U917" s="22" t="n">
        <f aca="false">SUM(O917:T917)</f>
        <v>0</v>
      </c>
      <c r="V917" s="22" t="n">
        <f aca="false">N917-U917</f>
        <v>19200</v>
      </c>
      <c r="W917" s="22" t="n">
        <f aca="false">W916+V917</f>
        <v>-2446660.75292277</v>
      </c>
      <c r="X917" s="23" t="str">
        <f aca="false">IF(W917&gt;=0,"YES","No")</f>
        <v>No</v>
      </c>
    </row>
    <row r="918" customFormat="false" ht="15" hidden="false" customHeight="false" outlineLevel="0" collapsed="false">
      <c r="A918" s="16" t="n">
        <v>917</v>
      </c>
      <c r="B918" s="17" t="n">
        <f aca="false">B917+1</f>
        <v>46939</v>
      </c>
      <c r="C918" s="18" t="n">
        <f aca="false">MIN(ROUNDUP(A918/365,0),5)</f>
        <v>3</v>
      </c>
      <c r="D918" s="18" t="n">
        <f aca="false">DATEDIF(Assumptions!B5,B918,"m")+1</f>
        <v>31</v>
      </c>
      <c r="E918" s="18" t="str">
        <f aca="false">TEXT(B918,"ddd")</f>
        <v>Wed</v>
      </c>
      <c r="F918" s="19" t="n">
        <f aca="false">IF(WEEKDAY(B918,2)&gt;=6,Assumptions!B34,Assumptions!B35)</f>
        <v>1</v>
      </c>
      <c r="G918" s="20" t="n">
        <f aca="false">IF(D918&gt;=13,(1+Assumptions!B46)^(D918-12),1)</f>
        <v>1.05856547980149</v>
      </c>
      <c r="H918" s="21" t="n">
        <f aca="false">H917*(1+IF(C918=1,Assumptions!B22,Assumptions!B23))</f>
        <v>22.7847998860032</v>
      </c>
      <c r="I918" s="16" t="n">
        <f aca="false">ROUND(H918*F918,0)</f>
        <v>23</v>
      </c>
      <c r="J918" s="22" t="n">
        <f aca="false">I918*Assumptions!B24</f>
        <v>13800</v>
      </c>
      <c r="K918" s="21" t="n">
        <f aca="false">K917*(1+Assumptions!B30)</f>
        <v>17.7277678122147</v>
      </c>
      <c r="L918" s="16" t="n">
        <f aca="false">ROUND(K918*F918,0)</f>
        <v>18</v>
      </c>
      <c r="M918" s="22" t="n">
        <f aca="false">L918*Assumptions!B31</f>
        <v>5400</v>
      </c>
      <c r="N918" s="22" t="n">
        <f aca="false">J918+M918</f>
        <v>19200</v>
      </c>
      <c r="O918" s="22" t="n">
        <f aca="false">IF(DAY(B918)=1,Assumptions!B38*G918,0)</f>
        <v>0</v>
      </c>
      <c r="P918" s="22" t="n">
        <f aca="false">IF(DAY(B918)=1,Assumptions!B39*G918,0)</f>
        <v>0</v>
      </c>
      <c r="Q918" s="22" t="n">
        <f aca="false">IF(DAY(B918)=1,Assumptions!B40*G918,0)</f>
        <v>0</v>
      </c>
      <c r="R918" s="22" t="n">
        <f aca="false">IF(DAY(B918)=1,Assumptions!B41*G918,0)</f>
        <v>0</v>
      </c>
      <c r="S918" s="22" t="n">
        <f aca="false">IF(AND(DAY(B918)=1,D918&gt;=13),Assumptions!B42*G918,0)</f>
        <v>0</v>
      </c>
      <c r="T918" s="22" t="n">
        <f aca="false">IF(DAY(B918)=1,Assumptions!B43*G918,0)</f>
        <v>0</v>
      </c>
      <c r="U918" s="22" t="n">
        <f aca="false">SUM(O918:T918)</f>
        <v>0</v>
      </c>
      <c r="V918" s="22" t="n">
        <f aca="false">N918-U918</f>
        <v>19200</v>
      </c>
      <c r="W918" s="22" t="n">
        <f aca="false">W917+V918</f>
        <v>-2427460.75292277</v>
      </c>
      <c r="X918" s="23" t="str">
        <f aca="false">IF(W918&gt;=0,"YES","No")</f>
        <v>No</v>
      </c>
    </row>
    <row r="919" customFormat="false" ht="15" hidden="false" customHeight="false" outlineLevel="0" collapsed="false">
      <c r="A919" s="16" t="n">
        <v>918</v>
      </c>
      <c r="B919" s="17" t="n">
        <f aca="false">B918+1</f>
        <v>46940</v>
      </c>
      <c r="C919" s="18" t="n">
        <f aca="false">MIN(ROUNDUP(A919/365,0),5)</f>
        <v>3</v>
      </c>
      <c r="D919" s="18" t="n">
        <f aca="false">DATEDIF(Assumptions!B5,B919,"m")+1</f>
        <v>31</v>
      </c>
      <c r="E919" s="18" t="str">
        <f aca="false">TEXT(B919,"ddd")</f>
        <v>Thu</v>
      </c>
      <c r="F919" s="19" t="n">
        <f aca="false">IF(WEEKDAY(B919,2)&gt;=6,Assumptions!B34,Assumptions!B35)</f>
        <v>1</v>
      </c>
      <c r="G919" s="20" t="n">
        <f aca="false">IF(D919&gt;=13,(1+Assumptions!B46)^(D919-12),1)</f>
        <v>1.05856547980149</v>
      </c>
      <c r="H919" s="21" t="n">
        <f aca="false">H918*(1+IF(C919=1,Assumptions!B22,Assumptions!B23))</f>
        <v>22.7885334420358</v>
      </c>
      <c r="I919" s="16" t="n">
        <f aca="false">ROUND(H919*F919,0)</f>
        <v>23</v>
      </c>
      <c r="J919" s="22" t="n">
        <f aca="false">I919*Assumptions!B24</f>
        <v>13800</v>
      </c>
      <c r="K919" s="21" t="n">
        <f aca="false">K918*(1+Assumptions!B30)</f>
        <v>17.7335636725568</v>
      </c>
      <c r="L919" s="16" t="n">
        <f aca="false">ROUND(K919*F919,0)</f>
        <v>18</v>
      </c>
      <c r="M919" s="22" t="n">
        <f aca="false">L919*Assumptions!B31</f>
        <v>5400</v>
      </c>
      <c r="N919" s="22" t="n">
        <f aca="false">J919+M919</f>
        <v>19200</v>
      </c>
      <c r="O919" s="22" t="n">
        <f aca="false">IF(DAY(B919)=1,Assumptions!B38*G919,0)</f>
        <v>0</v>
      </c>
      <c r="P919" s="22" t="n">
        <f aca="false">IF(DAY(B919)=1,Assumptions!B39*G919,0)</f>
        <v>0</v>
      </c>
      <c r="Q919" s="22" t="n">
        <f aca="false">IF(DAY(B919)=1,Assumptions!B40*G919,0)</f>
        <v>0</v>
      </c>
      <c r="R919" s="22" t="n">
        <f aca="false">IF(DAY(B919)=1,Assumptions!B41*G919,0)</f>
        <v>0</v>
      </c>
      <c r="S919" s="22" t="n">
        <f aca="false">IF(AND(DAY(B919)=1,D919&gt;=13),Assumptions!B42*G919,0)</f>
        <v>0</v>
      </c>
      <c r="T919" s="22" t="n">
        <f aca="false">IF(DAY(B919)=1,Assumptions!B43*G919,0)</f>
        <v>0</v>
      </c>
      <c r="U919" s="22" t="n">
        <f aca="false">SUM(O919:T919)</f>
        <v>0</v>
      </c>
      <c r="V919" s="22" t="n">
        <f aca="false">N919-U919</f>
        <v>19200</v>
      </c>
      <c r="W919" s="22" t="n">
        <f aca="false">W918+V919</f>
        <v>-2408260.75292277</v>
      </c>
      <c r="X919" s="23" t="str">
        <f aca="false">IF(W919&gt;=0,"YES","No")</f>
        <v>No</v>
      </c>
    </row>
    <row r="920" customFormat="false" ht="15" hidden="false" customHeight="false" outlineLevel="0" collapsed="false">
      <c r="A920" s="16" t="n">
        <v>919</v>
      </c>
      <c r="B920" s="17" t="n">
        <f aca="false">B919+1</f>
        <v>46941</v>
      </c>
      <c r="C920" s="18" t="n">
        <f aca="false">MIN(ROUNDUP(A920/365,0),5)</f>
        <v>3</v>
      </c>
      <c r="D920" s="18" t="n">
        <f aca="false">DATEDIF(Assumptions!B5,B920,"m")+1</f>
        <v>31</v>
      </c>
      <c r="E920" s="18" t="str">
        <f aca="false">TEXT(B920,"ddd")</f>
        <v>Fri</v>
      </c>
      <c r="F920" s="19" t="n">
        <f aca="false">IF(WEEKDAY(B920,2)&gt;=6,Assumptions!B34,Assumptions!B35)</f>
        <v>1</v>
      </c>
      <c r="G920" s="20" t="n">
        <f aca="false">IF(D920&gt;=13,(1+Assumptions!B46)^(D920-12),1)</f>
        <v>1.05856547980149</v>
      </c>
      <c r="H920" s="21" t="n">
        <f aca="false">H919*(1+IF(C920=1,Assumptions!B22,Assumptions!B23))</f>
        <v>22.7922676098551</v>
      </c>
      <c r="I920" s="16" t="n">
        <f aca="false">ROUND(H920*F920,0)</f>
        <v>23</v>
      </c>
      <c r="J920" s="22" t="n">
        <f aca="false">I920*Assumptions!B24</f>
        <v>13800</v>
      </c>
      <c r="K920" s="21" t="n">
        <f aca="false">K919*(1+Assumptions!B30)</f>
        <v>17.7393614277791</v>
      </c>
      <c r="L920" s="16" t="n">
        <f aca="false">ROUND(K920*F920,0)</f>
        <v>18</v>
      </c>
      <c r="M920" s="22" t="n">
        <f aca="false">L920*Assumptions!B31</f>
        <v>5400</v>
      </c>
      <c r="N920" s="22" t="n">
        <f aca="false">J920+M920</f>
        <v>19200</v>
      </c>
      <c r="O920" s="22" t="n">
        <f aca="false">IF(DAY(B920)=1,Assumptions!B38*G920,0)</f>
        <v>0</v>
      </c>
      <c r="P920" s="22" t="n">
        <f aca="false">IF(DAY(B920)=1,Assumptions!B39*G920,0)</f>
        <v>0</v>
      </c>
      <c r="Q920" s="22" t="n">
        <f aca="false">IF(DAY(B920)=1,Assumptions!B40*G920,0)</f>
        <v>0</v>
      </c>
      <c r="R920" s="22" t="n">
        <f aca="false">IF(DAY(B920)=1,Assumptions!B41*G920,0)</f>
        <v>0</v>
      </c>
      <c r="S920" s="22" t="n">
        <f aca="false">IF(AND(DAY(B920)=1,D920&gt;=13),Assumptions!B42*G920,0)</f>
        <v>0</v>
      </c>
      <c r="T920" s="22" t="n">
        <f aca="false">IF(DAY(B920)=1,Assumptions!B43*G920,0)</f>
        <v>0</v>
      </c>
      <c r="U920" s="22" t="n">
        <f aca="false">SUM(O920:T920)</f>
        <v>0</v>
      </c>
      <c r="V920" s="22" t="n">
        <f aca="false">N920-U920</f>
        <v>19200</v>
      </c>
      <c r="W920" s="22" t="n">
        <f aca="false">W919+V920</f>
        <v>-2389060.75292277</v>
      </c>
      <c r="X920" s="23" t="str">
        <f aca="false">IF(W920&gt;=0,"YES","No")</f>
        <v>No</v>
      </c>
    </row>
    <row r="921" customFormat="false" ht="15" hidden="false" customHeight="false" outlineLevel="0" collapsed="false">
      <c r="A921" s="16" t="n">
        <v>920</v>
      </c>
      <c r="B921" s="17" t="n">
        <f aca="false">B920+1</f>
        <v>46942</v>
      </c>
      <c r="C921" s="18" t="n">
        <f aca="false">MIN(ROUNDUP(A921/365,0),5)</f>
        <v>3</v>
      </c>
      <c r="D921" s="18" t="n">
        <f aca="false">DATEDIF(Assumptions!B5,B921,"m")+1</f>
        <v>31</v>
      </c>
      <c r="E921" s="18" t="str">
        <f aca="false">TEXT(B921,"ddd")</f>
        <v>Sat</v>
      </c>
      <c r="F921" s="19" t="n">
        <f aca="false">IF(WEEKDAY(B921,2)&gt;=6,Assumptions!B34,Assumptions!B35)</f>
        <v>0.6</v>
      </c>
      <c r="G921" s="20" t="n">
        <f aca="false">IF(D921&gt;=13,(1+Assumptions!B46)^(D921-12),1)</f>
        <v>1.05856547980149</v>
      </c>
      <c r="H921" s="21" t="n">
        <f aca="false">H920*(1+IF(C921=1,Assumptions!B22,Assumptions!B23))</f>
        <v>22.7960023895616</v>
      </c>
      <c r="I921" s="16" t="n">
        <f aca="false">ROUND(H921*F921,0)</f>
        <v>14</v>
      </c>
      <c r="J921" s="22" t="n">
        <f aca="false">I921*Assumptions!B24</f>
        <v>8400</v>
      </c>
      <c r="K921" s="21" t="n">
        <f aca="false">K920*(1+Assumptions!B30)</f>
        <v>17.7451610785012</v>
      </c>
      <c r="L921" s="16" t="n">
        <f aca="false">ROUND(K921*F921,0)</f>
        <v>11</v>
      </c>
      <c r="M921" s="22" t="n">
        <f aca="false">L921*Assumptions!B31</f>
        <v>3300</v>
      </c>
      <c r="N921" s="22" t="n">
        <f aca="false">J921+M921</f>
        <v>11700</v>
      </c>
      <c r="O921" s="22" t="n">
        <f aca="false">IF(DAY(B921)=1,Assumptions!B38*G921,0)</f>
        <v>0</v>
      </c>
      <c r="P921" s="22" t="n">
        <f aca="false">IF(DAY(B921)=1,Assumptions!B39*G921,0)</f>
        <v>0</v>
      </c>
      <c r="Q921" s="22" t="n">
        <f aca="false">IF(DAY(B921)=1,Assumptions!B40*G921,0)</f>
        <v>0</v>
      </c>
      <c r="R921" s="22" t="n">
        <f aca="false">IF(DAY(B921)=1,Assumptions!B41*G921,0)</f>
        <v>0</v>
      </c>
      <c r="S921" s="22" t="n">
        <f aca="false">IF(AND(DAY(B921)=1,D921&gt;=13),Assumptions!B42*G921,0)</f>
        <v>0</v>
      </c>
      <c r="T921" s="22" t="n">
        <f aca="false">IF(DAY(B921)=1,Assumptions!B43*G921,0)</f>
        <v>0</v>
      </c>
      <c r="U921" s="22" t="n">
        <f aca="false">SUM(O921:T921)</f>
        <v>0</v>
      </c>
      <c r="V921" s="22" t="n">
        <f aca="false">N921-U921</f>
        <v>11700</v>
      </c>
      <c r="W921" s="22" t="n">
        <f aca="false">W920+V921</f>
        <v>-2377360.75292277</v>
      </c>
      <c r="X921" s="23" t="str">
        <f aca="false">IF(W921&gt;=0,"YES","No")</f>
        <v>No</v>
      </c>
    </row>
    <row r="922" customFormat="false" ht="15" hidden="false" customHeight="false" outlineLevel="0" collapsed="false">
      <c r="A922" s="16" t="n">
        <v>921</v>
      </c>
      <c r="B922" s="17" t="n">
        <f aca="false">B921+1</f>
        <v>46943</v>
      </c>
      <c r="C922" s="18" t="n">
        <f aca="false">MIN(ROUNDUP(A922/365,0),5)</f>
        <v>3</v>
      </c>
      <c r="D922" s="18" t="n">
        <f aca="false">DATEDIF(Assumptions!B5,B922,"m")+1</f>
        <v>31</v>
      </c>
      <c r="E922" s="18" t="str">
        <f aca="false">TEXT(B922,"ddd")</f>
        <v>Sun</v>
      </c>
      <c r="F922" s="19" t="n">
        <f aca="false">IF(WEEKDAY(B922,2)&gt;=6,Assumptions!B34,Assumptions!B35)</f>
        <v>0.6</v>
      </c>
      <c r="G922" s="20" t="n">
        <f aca="false">IF(D922&gt;=13,(1+Assumptions!B46)^(D922-12),1)</f>
        <v>1.05856547980149</v>
      </c>
      <c r="H922" s="21" t="n">
        <f aca="false">H921*(1+IF(C922=1,Assumptions!B22,Assumptions!B23))</f>
        <v>22.7997377812554</v>
      </c>
      <c r="I922" s="16" t="n">
        <f aca="false">ROUND(H922*F922,0)</f>
        <v>14</v>
      </c>
      <c r="J922" s="22" t="n">
        <f aca="false">I922*Assumptions!B24</f>
        <v>8400</v>
      </c>
      <c r="K922" s="21" t="n">
        <f aca="false">K921*(1+Assumptions!B30)</f>
        <v>17.7509626253427</v>
      </c>
      <c r="L922" s="16" t="n">
        <f aca="false">ROUND(K922*F922,0)</f>
        <v>11</v>
      </c>
      <c r="M922" s="22" t="n">
        <f aca="false">L922*Assumptions!B31</f>
        <v>3300</v>
      </c>
      <c r="N922" s="22" t="n">
        <f aca="false">J922+M922</f>
        <v>11700</v>
      </c>
      <c r="O922" s="22" t="n">
        <f aca="false">IF(DAY(B922)=1,Assumptions!B38*G922,0)</f>
        <v>0</v>
      </c>
      <c r="P922" s="22" t="n">
        <f aca="false">IF(DAY(B922)=1,Assumptions!B39*G922,0)</f>
        <v>0</v>
      </c>
      <c r="Q922" s="22" t="n">
        <f aca="false">IF(DAY(B922)=1,Assumptions!B40*G922,0)</f>
        <v>0</v>
      </c>
      <c r="R922" s="22" t="n">
        <f aca="false">IF(DAY(B922)=1,Assumptions!B41*G922,0)</f>
        <v>0</v>
      </c>
      <c r="S922" s="22" t="n">
        <f aca="false">IF(AND(DAY(B922)=1,D922&gt;=13),Assumptions!B42*G922,0)</f>
        <v>0</v>
      </c>
      <c r="T922" s="22" t="n">
        <f aca="false">IF(DAY(B922)=1,Assumptions!B43*G922,0)</f>
        <v>0</v>
      </c>
      <c r="U922" s="22" t="n">
        <f aca="false">SUM(O922:T922)</f>
        <v>0</v>
      </c>
      <c r="V922" s="22" t="n">
        <f aca="false">N922-U922</f>
        <v>11700</v>
      </c>
      <c r="W922" s="22" t="n">
        <f aca="false">W921+V922</f>
        <v>-2365660.75292277</v>
      </c>
      <c r="X922" s="23" t="str">
        <f aca="false">IF(W922&gt;=0,"YES","No")</f>
        <v>No</v>
      </c>
    </row>
    <row r="923" customFormat="false" ht="15" hidden="false" customHeight="false" outlineLevel="0" collapsed="false">
      <c r="A923" s="16" t="n">
        <v>922</v>
      </c>
      <c r="B923" s="17" t="n">
        <f aca="false">B922+1</f>
        <v>46944</v>
      </c>
      <c r="C923" s="18" t="n">
        <f aca="false">MIN(ROUNDUP(A923/365,0),5)</f>
        <v>3</v>
      </c>
      <c r="D923" s="18" t="n">
        <f aca="false">DATEDIF(Assumptions!B5,B923,"m")+1</f>
        <v>31</v>
      </c>
      <c r="E923" s="18" t="str">
        <f aca="false">TEXT(B923,"ddd")</f>
        <v>Mon</v>
      </c>
      <c r="F923" s="19" t="n">
        <f aca="false">IF(WEEKDAY(B923,2)&gt;=6,Assumptions!B34,Assumptions!B35)</f>
        <v>1</v>
      </c>
      <c r="G923" s="20" t="n">
        <f aca="false">IF(D923&gt;=13,(1+Assumptions!B46)^(D923-12),1)</f>
        <v>1.05856547980149</v>
      </c>
      <c r="H923" s="21" t="n">
        <f aca="false">H922*(1+IF(C923=1,Assumptions!B22,Assumptions!B23))</f>
        <v>22.8034737850369</v>
      </c>
      <c r="I923" s="16" t="n">
        <f aca="false">ROUND(H923*F923,0)</f>
        <v>23</v>
      </c>
      <c r="J923" s="22" t="n">
        <f aca="false">I923*Assumptions!B24</f>
        <v>13800</v>
      </c>
      <c r="K923" s="21" t="n">
        <f aca="false">K922*(1+Assumptions!B30)</f>
        <v>17.7567660689236</v>
      </c>
      <c r="L923" s="16" t="n">
        <f aca="false">ROUND(K923*F923,0)</f>
        <v>18</v>
      </c>
      <c r="M923" s="22" t="n">
        <f aca="false">L923*Assumptions!B31</f>
        <v>5400</v>
      </c>
      <c r="N923" s="22" t="n">
        <f aca="false">J923+M923</f>
        <v>19200</v>
      </c>
      <c r="O923" s="22" t="n">
        <f aca="false">IF(DAY(B923)=1,Assumptions!B38*G923,0)</f>
        <v>0</v>
      </c>
      <c r="P923" s="22" t="n">
        <f aca="false">IF(DAY(B923)=1,Assumptions!B39*G923,0)</f>
        <v>0</v>
      </c>
      <c r="Q923" s="22" t="n">
        <f aca="false">IF(DAY(B923)=1,Assumptions!B40*G923,0)</f>
        <v>0</v>
      </c>
      <c r="R923" s="22" t="n">
        <f aca="false">IF(DAY(B923)=1,Assumptions!B41*G923,0)</f>
        <v>0</v>
      </c>
      <c r="S923" s="22" t="n">
        <f aca="false">IF(AND(DAY(B923)=1,D923&gt;=13),Assumptions!B42*G923,0)</f>
        <v>0</v>
      </c>
      <c r="T923" s="22" t="n">
        <f aca="false">IF(DAY(B923)=1,Assumptions!B43*G923,0)</f>
        <v>0</v>
      </c>
      <c r="U923" s="22" t="n">
        <f aca="false">SUM(O923:T923)</f>
        <v>0</v>
      </c>
      <c r="V923" s="22" t="n">
        <f aca="false">N923-U923</f>
        <v>19200</v>
      </c>
      <c r="W923" s="22" t="n">
        <f aca="false">W922+V923</f>
        <v>-2346460.75292277</v>
      </c>
      <c r="X923" s="23" t="str">
        <f aca="false">IF(W923&gt;=0,"YES","No")</f>
        <v>No</v>
      </c>
    </row>
    <row r="924" customFormat="false" ht="15" hidden="false" customHeight="false" outlineLevel="0" collapsed="false">
      <c r="A924" s="16" t="n">
        <v>923</v>
      </c>
      <c r="B924" s="17" t="n">
        <f aca="false">B923+1</f>
        <v>46945</v>
      </c>
      <c r="C924" s="18" t="n">
        <f aca="false">MIN(ROUNDUP(A924/365,0),5)</f>
        <v>3</v>
      </c>
      <c r="D924" s="18" t="n">
        <f aca="false">DATEDIF(Assumptions!B5,B924,"m")+1</f>
        <v>31</v>
      </c>
      <c r="E924" s="18" t="str">
        <f aca="false">TEXT(B924,"ddd")</f>
        <v>Tue</v>
      </c>
      <c r="F924" s="19" t="n">
        <f aca="false">IF(WEEKDAY(B924,2)&gt;=6,Assumptions!B34,Assumptions!B35)</f>
        <v>1</v>
      </c>
      <c r="G924" s="20" t="n">
        <f aca="false">IF(D924&gt;=13,(1+Assumptions!B46)^(D924-12),1)</f>
        <v>1.05856547980149</v>
      </c>
      <c r="H924" s="21" t="n">
        <f aca="false">H923*(1+IF(C924=1,Assumptions!B22,Assumptions!B23))</f>
        <v>22.8072104010062</v>
      </c>
      <c r="I924" s="16" t="n">
        <f aca="false">ROUND(H924*F924,0)</f>
        <v>23</v>
      </c>
      <c r="J924" s="22" t="n">
        <f aca="false">I924*Assumptions!B24</f>
        <v>13800</v>
      </c>
      <c r="K924" s="21" t="n">
        <f aca="false">K923*(1+Assumptions!B30)</f>
        <v>17.7625714098641</v>
      </c>
      <c r="L924" s="16" t="n">
        <f aca="false">ROUND(K924*F924,0)</f>
        <v>18</v>
      </c>
      <c r="M924" s="22" t="n">
        <f aca="false">L924*Assumptions!B31</f>
        <v>5400</v>
      </c>
      <c r="N924" s="22" t="n">
        <f aca="false">J924+M924</f>
        <v>19200</v>
      </c>
      <c r="O924" s="22" t="n">
        <f aca="false">IF(DAY(B924)=1,Assumptions!B38*G924,0)</f>
        <v>0</v>
      </c>
      <c r="P924" s="22" t="n">
        <f aca="false">IF(DAY(B924)=1,Assumptions!B39*G924,0)</f>
        <v>0</v>
      </c>
      <c r="Q924" s="22" t="n">
        <f aca="false">IF(DAY(B924)=1,Assumptions!B40*G924,0)</f>
        <v>0</v>
      </c>
      <c r="R924" s="22" t="n">
        <f aca="false">IF(DAY(B924)=1,Assumptions!B41*G924,0)</f>
        <v>0</v>
      </c>
      <c r="S924" s="22" t="n">
        <f aca="false">IF(AND(DAY(B924)=1,D924&gt;=13),Assumptions!B42*G924,0)</f>
        <v>0</v>
      </c>
      <c r="T924" s="22" t="n">
        <f aca="false">IF(DAY(B924)=1,Assumptions!B43*G924,0)</f>
        <v>0</v>
      </c>
      <c r="U924" s="22" t="n">
        <f aca="false">SUM(O924:T924)</f>
        <v>0</v>
      </c>
      <c r="V924" s="22" t="n">
        <f aca="false">N924-U924</f>
        <v>19200</v>
      </c>
      <c r="W924" s="22" t="n">
        <f aca="false">W923+V924</f>
        <v>-2327260.75292277</v>
      </c>
      <c r="X924" s="23" t="str">
        <f aca="false">IF(W924&gt;=0,"YES","No")</f>
        <v>No</v>
      </c>
    </row>
    <row r="925" customFormat="false" ht="15" hidden="false" customHeight="false" outlineLevel="0" collapsed="false">
      <c r="A925" s="16" t="n">
        <v>924</v>
      </c>
      <c r="B925" s="17" t="n">
        <f aca="false">B924+1</f>
        <v>46946</v>
      </c>
      <c r="C925" s="18" t="n">
        <f aca="false">MIN(ROUNDUP(A925/365,0),5)</f>
        <v>3</v>
      </c>
      <c r="D925" s="18" t="n">
        <f aca="false">DATEDIF(Assumptions!B5,B925,"m")+1</f>
        <v>31</v>
      </c>
      <c r="E925" s="18" t="str">
        <f aca="false">TEXT(B925,"ddd")</f>
        <v>Wed</v>
      </c>
      <c r="F925" s="19" t="n">
        <f aca="false">IF(WEEKDAY(B925,2)&gt;=6,Assumptions!B34,Assumptions!B35)</f>
        <v>1</v>
      </c>
      <c r="G925" s="20" t="n">
        <f aca="false">IF(D925&gt;=13,(1+Assumptions!B46)^(D925-12),1)</f>
        <v>1.05856547980149</v>
      </c>
      <c r="H925" s="21" t="n">
        <f aca="false">H924*(1+IF(C925=1,Assumptions!B22,Assumptions!B23))</f>
        <v>22.8109476292639</v>
      </c>
      <c r="I925" s="16" t="n">
        <f aca="false">ROUND(H925*F925,0)</f>
        <v>23</v>
      </c>
      <c r="J925" s="22" t="n">
        <f aca="false">I925*Assumptions!B24</f>
        <v>13800</v>
      </c>
      <c r="K925" s="21" t="n">
        <f aca="false">K924*(1+Assumptions!B30)</f>
        <v>17.7683786487843</v>
      </c>
      <c r="L925" s="16" t="n">
        <f aca="false">ROUND(K925*F925,0)</f>
        <v>18</v>
      </c>
      <c r="M925" s="22" t="n">
        <f aca="false">L925*Assumptions!B31</f>
        <v>5400</v>
      </c>
      <c r="N925" s="22" t="n">
        <f aca="false">J925+M925</f>
        <v>19200</v>
      </c>
      <c r="O925" s="22" t="n">
        <f aca="false">IF(DAY(B925)=1,Assumptions!B38*G925,0)</f>
        <v>0</v>
      </c>
      <c r="P925" s="22" t="n">
        <f aca="false">IF(DAY(B925)=1,Assumptions!B39*G925,0)</f>
        <v>0</v>
      </c>
      <c r="Q925" s="22" t="n">
        <f aca="false">IF(DAY(B925)=1,Assumptions!B40*G925,0)</f>
        <v>0</v>
      </c>
      <c r="R925" s="22" t="n">
        <f aca="false">IF(DAY(B925)=1,Assumptions!B41*G925,0)</f>
        <v>0</v>
      </c>
      <c r="S925" s="22" t="n">
        <f aca="false">IF(AND(DAY(B925)=1,D925&gt;=13),Assumptions!B42*G925,0)</f>
        <v>0</v>
      </c>
      <c r="T925" s="22" t="n">
        <f aca="false">IF(DAY(B925)=1,Assumptions!B43*G925,0)</f>
        <v>0</v>
      </c>
      <c r="U925" s="22" t="n">
        <f aca="false">SUM(O925:T925)</f>
        <v>0</v>
      </c>
      <c r="V925" s="22" t="n">
        <f aca="false">N925-U925</f>
        <v>19200</v>
      </c>
      <c r="W925" s="22" t="n">
        <f aca="false">W924+V925</f>
        <v>-2308060.75292277</v>
      </c>
      <c r="X925" s="23" t="str">
        <f aca="false">IF(W925&gt;=0,"YES","No")</f>
        <v>No</v>
      </c>
    </row>
    <row r="926" customFormat="false" ht="15" hidden="false" customHeight="false" outlineLevel="0" collapsed="false">
      <c r="A926" s="16" t="n">
        <v>925</v>
      </c>
      <c r="B926" s="17" t="n">
        <f aca="false">B925+1</f>
        <v>46947</v>
      </c>
      <c r="C926" s="18" t="n">
        <f aca="false">MIN(ROUNDUP(A926/365,0),5)</f>
        <v>3</v>
      </c>
      <c r="D926" s="18" t="n">
        <f aca="false">DATEDIF(Assumptions!B5,B926,"m")+1</f>
        <v>31</v>
      </c>
      <c r="E926" s="18" t="str">
        <f aca="false">TEXT(B926,"ddd")</f>
        <v>Thu</v>
      </c>
      <c r="F926" s="19" t="n">
        <f aca="false">IF(WEEKDAY(B926,2)&gt;=6,Assumptions!B34,Assumptions!B35)</f>
        <v>1</v>
      </c>
      <c r="G926" s="20" t="n">
        <f aca="false">IF(D926&gt;=13,(1+Assumptions!B46)^(D926-12),1)</f>
        <v>1.05856547980149</v>
      </c>
      <c r="H926" s="21" t="n">
        <f aca="false">H925*(1+IF(C926=1,Assumptions!B22,Assumptions!B23))</f>
        <v>22.8146854699101</v>
      </c>
      <c r="I926" s="16" t="n">
        <f aca="false">ROUND(H926*F926,0)</f>
        <v>23</v>
      </c>
      <c r="J926" s="22" t="n">
        <f aca="false">I926*Assumptions!B24</f>
        <v>13800</v>
      </c>
      <c r="K926" s="21" t="n">
        <f aca="false">K925*(1+Assumptions!B30)</f>
        <v>17.7741877863048</v>
      </c>
      <c r="L926" s="16" t="n">
        <f aca="false">ROUND(K926*F926,0)</f>
        <v>18</v>
      </c>
      <c r="M926" s="22" t="n">
        <f aca="false">L926*Assumptions!B31</f>
        <v>5400</v>
      </c>
      <c r="N926" s="22" t="n">
        <f aca="false">J926+M926</f>
        <v>19200</v>
      </c>
      <c r="O926" s="22" t="n">
        <f aca="false">IF(DAY(B926)=1,Assumptions!B38*G926,0)</f>
        <v>0</v>
      </c>
      <c r="P926" s="22" t="n">
        <f aca="false">IF(DAY(B926)=1,Assumptions!B39*G926,0)</f>
        <v>0</v>
      </c>
      <c r="Q926" s="22" t="n">
        <f aca="false">IF(DAY(B926)=1,Assumptions!B40*G926,0)</f>
        <v>0</v>
      </c>
      <c r="R926" s="22" t="n">
        <f aca="false">IF(DAY(B926)=1,Assumptions!B41*G926,0)</f>
        <v>0</v>
      </c>
      <c r="S926" s="22" t="n">
        <f aca="false">IF(AND(DAY(B926)=1,D926&gt;=13),Assumptions!B42*G926,0)</f>
        <v>0</v>
      </c>
      <c r="T926" s="22" t="n">
        <f aca="false">IF(DAY(B926)=1,Assumptions!B43*G926,0)</f>
        <v>0</v>
      </c>
      <c r="U926" s="22" t="n">
        <f aca="false">SUM(O926:T926)</f>
        <v>0</v>
      </c>
      <c r="V926" s="22" t="n">
        <f aca="false">N926-U926</f>
        <v>19200</v>
      </c>
      <c r="W926" s="22" t="n">
        <f aca="false">W925+V926</f>
        <v>-2288860.75292277</v>
      </c>
      <c r="X926" s="23" t="str">
        <f aca="false">IF(W926&gt;=0,"YES","No")</f>
        <v>No</v>
      </c>
    </row>
    <row r="927" customFormat="false" ht="15" hidden="false" customHeight="false" outlineLevel="0" collapsed="false">
      <c r="A927" s="16" t="n">
        <v>926</v>
      </c>
      <c r="B927" s="17" t="n">
        <f aca="false">B926+1</f>
        <v>46948</v>
      </c>
      <c r="C927" s="18" t="n">
        <f aca="false">MIN(ROUNDUP(A927/365,0),5)</f>
        <v>3</v>
      </c>
      <c r="D927" s="18" t="n">
        <f aca="false">DATEDIF(Assumptions!B5,B927,"m")+1</f>
        <v>31</v>
      </c>
      <c r="E927" s="18" t="str">
        <f aca="false">TEXT(B927,"ddd")</f>
        <v>Fri</v>
      </c>
      <c r="F927" s="19" t="n">
        <f aca="false">IF(WEEKDAY(B927,2)&gt;=6,Assumptions!B34,Assumptions!B35)</f>
        <v>1</v>
      </c>
      <c r="G927" s="20" t="n">
        <f aca="false">IF(D927&gt;=13,(1+Assumptions!B46)^(D927-12),1)</f>
        <v>1.05856547980149</v>
      </c>
      <c r="H927" s="21" t="n">
        <f aca="false">H926*(1+IF(C927=1,Assumptions!B22,Assumptions!B23))</f>
        <v>22.8184239230452</v>
      </c>
      <c r="I927" s="16" t="n">
        <f aca="false">ROUND(H927*F927,0)</f>
        <v>23</v>
      </c>
      <c r="J927" s="22" t="n">
        <f aca="false">I927*Assumptions!B24</f>
        <v>13800</v>
      </c>
      <c r="K927" s="21" t="n">
        <f aca="false">K926*(1+Assumptions!B30)</f>
        <v>17.7799988230464</v>
      </c>
      <c r="L927" s="16" t="n">
        <f aca="false">ROUND(K927*F927,0)</f>
        <v>18</v>
      </c>
      <c r="M927" s="22" t="n">
        <f aca="false">L927*Assumptions!B31</f>
        <v>5400</v>
      </c>
      <c r="N927" s="22" t="n">
        <f aca="false">J927+M927</f>
        <v>19200</v>
      </c>
      <c r="O927" s="22" t="n">
        <f aca="false">IF(DAY(B927)=1,Assumptions!B38*G927,0)</f>
        <v>0</v>
      </c>
      <c r="P927" s="22" t="n">
        <f aca="false">IF(DAY(B927)=1,Assumptions!B39*G927,0)</f>
        <v>0</v>
      </c>
      <c r="Q927" s="22" t="n">
        <f aca="false">IF(DAY(B927)=1,Assumptions!B40*G927,0)</f>
        <v>0</v>
      </c>
      <c r="R927" s="22" t="n">
        <f aca="false">IF(DAY(B927)=1,Assumptions!B41*G927,0)</f>
        <v>0</v>
      </c>
      <c r="S927" s="22" t="n">
        <f aca="false">IF(AND(DAY(B927)=1,D927&gt;=13),Assumptions!B42*G927,0)</f>
        <v>0</v>
      </c>
      <c r="T927" s="22" t="n">
        <f aca="false">IF(DAY(B927)=1,Assumptions!B43*G927,0)</f>
        <v>0</v>
      </c>
      <c r="U927" s="22" t="n">
        <f aca="false">SUM(O927:T927)</f>
        <v>0</v>
      </c>
      <c r="V927" s="22" t="n">
        <f aca="false">N927-U927</f>
        <v>19200</v>
      </c>
      <c r="W927" s="22" t="n">
        <f aca="false">W926+V927</f>
        <v>-2269660.75292277</v>
      </c>
      <c r="X927" s="23" t="str">
        <f aca="false">IF(W927&gt;=0,"YES","No")</f>
        <v>No</v>
      </c>
    </row>
    <row r="928" customFormat="false" ht="15" hidden="false" customHeight="false" outlineLevel="0" collapsed="false">
      <c r="A928" s="16" t="n">
        <v>927</v>
      </c>
      <c r="B928" s="17" t="n">
        <f aca="false">B927+1</f>
        <v>46949</v>
      </c>
      <c r="C928" s="18" t="n">
        <f aca="false">MIN(ROUNDUP(A928/365,0),5)</f>
        <v>3</v>
      </c>
      <c r="D928" s="18" t="n">
        <f aca="false">DATEDIF(Assumptions!B5,B928,"m")+1</f>
        <v>31</v>
      </c>
      <c r="E928" s="18" t="str">
        <f aca="false">TEXT(B928,"ddd")</f>
        <v>Sat</v>
      </c>
      <c r="F928" s="19" t="n">
        <f aca="false">IF(WEEKDAY(B928,2)&gt;=6,Assumptions!B34,Assumptions!B35)</f>
        <v>0.6</v>
      </c>
      <c r="G928" s="20" t="n">
        <f aca="false">IF(D928&gt;=13,(1+Assumptions!B46)^(D928-12),1)</f>
        <v>1.05856547980149</v>
      </c>
      <c r="H928" s="21" t="n">
        <f aca="false">H927*(1+IF(C928=1,Assumptions!B22,Assumptions!B23))</f>
        <v>22.8221629887696</v>
      </c>
      <c r="I928" s="16" t="n">
        <f aca="false">ROUND(H928*F928,0)</f>
        <v>14</v>
      </c>
      <c r="J928" s="22" t="n">
        <f aca="false">I928*Assumptions!B24</f>
        <v>8400</v>
      </c>
      <c r="K928" s="21" t="n">
        <f aca="false">K927*(1+Assumptions!B30)</f>
        <v>17.78581175963</v>
      </c>
      <c r="L928" s="16" t="n">
        <f aca="false">ROUND(K928*F928,0)</f>
        <v>11</v>
      </c>
      <c r="M928" s="22" t="n">
        <f aca="false">L928*Assumptions!B31</f>
        <v>3300</v>
      </c>
      <c r="N928" s="22" t="n">
        <f aca="false">J928+M928</f>
        <v>11700</v>
      </c>
      <c r="O928" s="22" t="n">
        <f aca="false">IF(DAY(B928)=1,Assumptions!B38*G928,0)</f>
        <v>0</v>
      </c>
      <c r="P928" s="22" t="n">
        <f aca="false">IF(DAY(B928)=1,Assumptions!B39*G928,0)</f>
        <v>0</v>
      </c>
      <c r="Q928" s="22" t="n">
        <f aca="false">IF(DAY(B928)=1,Assumptions!B40*G928,0)</f>
        <v>0</v>
      </c>
      <c r="R928" s="22" t="n">
        <f aca="false">IF(DAY(B928)=1,Assumptions!B41*G928,0)</f>
        <v>0</v>
      </c>
      <c r="S928" s="22" t="n">
        <f aca="false">IF(AND(DAY(B928)=1,D928&gt;=13),Assumptions!B42*G928,0)</f>
        <v>0</v>
      </c>
      <c r="T928" s="22" t="n">
        <f aca="false">IF(DAY(B928)=1,Assumptions!B43*G928,0)</f>
        <v>0</v>
      </c>
      <c r="U928" s="22" t="n">
        <f aca="false">SUM(O928:T928)</f>
        <v>0</v>
      </c>
      <c r="V928" s="22" t="n">
        <f aca="false">N928-U928</f>
        <v>11700</v>
      </c>
      <c r="W928" s="22" t="n">
        <f aca="false">W927+V928</f>
        <v>-2257960.75292277</v>
      </c>
      <c r="X928" s="23" t="str">
        <f aca="false">IF(W928&gt;=0,"YES","No")</f>
        <v>No</v>
      </c>
    </row>
    <row r="929" customFormat="false" ht="15" hidden="false" customHeight="false" outlineLevel="0" collapsed="false">
      <c r="A929" s="16" t="n">
        <v>928</v>
      </c>
      <c r="B929" s="17" t="n">
        <f aca="false">B928+1</f>
        <v>46950</v>
      </c>
      <c r="C929" s="18" t="n">
        <f aca="false">MIN(ROUNDUP(A929/365,0),5)</f>
        <v>3</v>
      </c>
      <c r="D929" s="18" t="n">
        <f aca="false">DATEDIF(Assumptions!B5,B929,"m")+1</f>
        <v>31</v>
      </c>
      <c r="E929" s="18" t="str">
        <f aca="false">TEXT(B929,"ddd")</f>
        <v>Sun</v>
      </c>
      <c r="F929" s="19" t="n">
        <f aca="false">IF(WEEKDAY(B929,2)&gt;=6,Assumptions!B34,Assumptions!B35)</f>
        <v>0.6</v>
      </c>
      <c r="G929" s="20" t="n">
        <f aca="false">IF(D929&gt;=13,(1+Assumptions!B46)^(D929-12),1)</f>
        <v>1.05856547980149</v>
      </c>
      <c r="H929" s="21" t="n">
        <f aca="false">H928*(1+IF(C929=1,Assumptions!B22,Assumptions!B23))</f>
        <v>22.8259026671836</v>
      </c>
      <c r="I929" s="16" t="n">
        <f aca="false">ROUND(H929*F929,0)</f>
        <v>14</v>
      </c>
      <c r="J929" s="22" t="n">
        <f aca="false">I929*Assumptions!B24</f>
        <v>8400</v>
      </c>
      <c r="K929" s="21" t="n">
        <f aca="false">K928*(1+Assumptions!B30)</f>
        <v>17.7916265966766</v>
      </c>
      <c r="L929" s="16" t="n">
        <f aca="false">ROUND(K929*F929,0)</f>
        <v>11</v>
      </c>
      <c r="M929" s="22" t="n">
        <f aca="false">L929*Assumptions!B31</f>
        <v>3300</v>
      </c>
      <c r="N929" s="22" t="n">
        <f aca="false">J929+M929</f>
        <v>11700</v>
      </c>
      <c r="O929" s="22" t="n">
        <f aca="false">IF(DAY(B929)=1,Assumptions!B38*G929,0)</f>
        <v>0</v>
      </c>
      <c r="P929" s="22" t="n">
        <f aca="false">IF(DAY(B929)=1,Assumptions!B39*G929,0)</f>
        <v>0</v>
      </c>
      <c r="Q929" s="22" t="n">
        <f aca="false">IF(DAY(B929)=1,Assumptions!B40*G929,0)</f>
        <v>0</v>
      </c>
      <c r="R929" s="22" t="n">
        <f aca="false">IF(DAY(B929)=1,Assumptions!B41*G929,0)</f>
        <v>0</v>
      </c>
      <c r="S929" s="22" t="n">
        <f aca="false">IF(AND(DAY(B929)=1,D929&gt;=13),Assumptions!B42*G929,0)</f>
        <v>0</v>
      </c>
      <c r="T929" s="22" t="n">
        <f aca="false">IF(DAY(B929)=1,Assumptions!B43*G929,0)</f>
        <v>0</v>
      </c>
      <c r="U929" s="22" t="n">
        <f aca="false">SUM(O929:T929)</f>
        <v>0</v>
      </c>
      <c r="V929" s="22" t="n">
        <f aca="false">N929-U929</f>
        <v>11700</v>
      </c>
      <c r="W929" s="22" t="n">
        <f aca="false">W928+V929</f>
        <v>-2246260.75292277</v>
      </c>
      <c r="X929" s="23" t="str">
        <f aca="false">IF(W929&gt;=0,"YES","No")</f>
        <v>No</v>
      </c>
    </row>
    <row r="930" customFormat="false" ht="15" hidden="false" customHeight="false" outlineLevel="0" collapsed="false">
      <c r="A930" s="16" t="n">
        <v>929</v>
      </c>
      <c r="B930" s="17" t="n">
        <f aca="false">B929+1</f>
        <v>46951</v>
      </c>
      <c r="C930" s="18" t="n">
        <f aca="false">MIN(ROUNDUP(A930/365,0),5)</f>
        <v>3</v>
      </c>
      <c r="D930" s="18" t="n">
        <f aca="false">DATEDIF(Assumptions!B5,B930,"m")+1</f>
        <v>31</v>
      </c>
      <c r="E930" s="18" t="str">
        <f aca="false">TEXT(B930,"ddd")</f>
        <v>Mon</v>
      </c>
      <c r="F930" s="19" t="n">
        <f aca="false">IF(WEEKDAY(B930,2)&gt;=6,Assumptions!B34,Assumptions!B35)</f>
        <v>1</v>
      </c>
      <c r="G930" s="20" t="n">
        <f aca="false">IF(D930&gt;=13,(1+Assumptions!B46)^(D930-12),1)</f>
        <v>1.05856547980149</v>
      </c>
      <c r="H930" s="21" t="n">
        <f aca="false">H929*(1+IF(C930=1,Assumptions!B22,Assumptions!B23))</f>
        <v>22.8296429583878</v>
      </c>
      <c r="I930" s="16" t="n">
        <f aca="false">ROUND(H930*F930,0)</f>
        <v>23</v>
      </c>
      <c r="J930" s="22" t="n">
        <f aca="false">I930*Assumptions!B24</f>
        <v>13800</v>
      </c>
      <c r="K930" s="21" t="n">
        <f aca="false">K929*(1+Assumptions!B30)</f>
        <v>17.7974433348077</v>
      </c>
      <c r="L930" s="16" t="n">
        <f aca="false">ROUND(K930*F930,0)</f>
        <v>18</v>
      </c>
      <c r="M930" s="22" t="n">
        <f aca="false">L930*Assumptions!B31</f>
        <v>5400</v>
      </c>
      <c r="N930" s="22" t="n">
        <f aca="false">J930+M930</f>
        <v>19200</v>
      </c>
      <c r="O930" s="22" t="n">
        <f aca="false">IF(DAY(B930)=1,Assumptions!B38*G930,0)</f>
        <v>0</v>
      </c>
      <c r="P930" s="22" t="n">
        <f aca="false">IF(DAY(B930)=1,Assumptions!B39*G930,0)</f>
        <v>0</v>
      </c>
      <c r="Q930" s="22" t="n">
        <f aca="false">IF(DAY(B930)=1,Assumptions!B40*G930,0)</f>
        <v>0</v>
      </c>
      <c r="R930" s="22" t="n">
        <f aca="false">IF(DAY(B930)=1,Assumptions!B41*G930,0)</f>
        <v>0</v>
      </c>
      <c r="S930" s="22" t="n">
        <f aca="false">IF(AND(DAY(B930)=1,D930&gt;=13),Assumptions!B42*G930,0)</f>
        <v>0</v>
      </c>
      <c r="T930" s="22" t="n">
        <f aca="false">IF(DAY(B930)=1,Assumptions!B43*G930,0)</f>
        <v>0</v>
      </c>
      <c r="U930" s="22" t="n">
        <f aca="false">SUM(O930:T930)</f>
        <v>0</v>
      </c>
      <c r="V930" s="22" t="n">
        <f aca="false">N930-U930</f>
        <v>19200</v>
      </c>
      <c r="W930" s="22" t="n">
        <f aca="false">W929+V930</f>
        <v>-2227060.75292277</v>
      </c>
      <c r="X930" s="23" t="str">
        <f aca="false">IF(W930&gt;=0,"YES","No")</f>
        <v>No</v>
      </c>
    </row>
    <row r="931" customFormat="false" ht="15" hidden="false" customHeight="false" outlineLevel="0" collapsed="false">
      <c r="A931" s="16" t="n">
        <v>930</v>
      </c>
      <c r="B931" s="17" t="n">
        <f aca="false">B930+1</f>
        <v>46952</v>
      </c>
      <c r="C931" s="18" t="n">
        <f aca="false">MIN(ROUNDUP(A931/365,0),5)</f>
        <v>3</v>
      </c>
      <c r="D931" s="18" t="n">
        <f aca="false">DATEDIF(Assumptions!B5,B931,"m")+1</f>
        <v>31</v>
      </c>
      <c r="E931" s="18" t="str">
        <f aca="false">TEXT(B931,"ddd")</f>
        <v>Tue</v>
      </c>
      <c r="F931" s="19" t="n">
        <f aca="false">IF(WEEKDAY(B931,2)&gt;=6,Assumptions!B34,Assumptions!B35)</f>
        <v>1</v>
      </c>
      <c r="G931" s="20" t="n">
        <f aca="false">IF(D931&gt;=13,(1+Assumptions!B46)^(D931-12),1)</f>
        <v>1.05856547980149</v>
      </c>
      <c r="H931" s="21" t="n">
        <f aca="false">H930*(1+IF(C931=1,Assumptions!B22,Assumptions!B23))</f>
        <v>22.8333838624824</v>
      </c>
      <c r="I931" s="16" t="n">
        <f aca="false">ROUND(H931*F931,0)</f>
        <v>23</v>
      </c>
      <c r="J931" s="22" t="n">
        <f aca="false">I931*Assumptions!B24</f>
        <v>13800</v>
      </c>
      <c r="K931" s="21" t="n">
        <f aca="false">K930*(1+Assumptions!B30)</f>
        <v>17.8032619746448</v>
      </c>
      <c r="L931" s="16" t="n">
        <f aca="false">ROUND(K931*F931,0)</f>
        <v>18</v>
      </c>
      <c r="M931" s="22" t="n">
        <f aca="false">L931*Assumptions!B31</f>
        <v>5400</v>
      </c>
      <c r="N931" s="22" t="n">
        <f aca="false">J931+M931</f>
        <v>19200</v>
      </c>
      <c r="O931" s="22" t="n">
        <f aca="false">IF(DAY(B931)=1,Assumptions!B38*G931,0)</f>
        <v>0</v>
      </c>
      <c r="P931" s="22" t="n">
        <f aca="false">IF(DAY(B931)=1,Assumptions!B39*G931,0)</f>
        <v>0</v>
      </c>
      <c r="Q931" s="22" t="n">
        <f aca="false">IF(DAY(B931)=1,Assumptions!B40*G931,0)</f>
        <v>0</v>
      </c>
      <c r="R931" s="22" t="n">
        <f aca="false">IF(DAY(B931)=1,Assumptions!B41*G931,0)</f>
        <v>0</v>
      </c>
      <c r="S931" s="22" t="n">
        <f aca="false">IF(AND(DAY(B931)=1,D931&gt;=13),Assumptions!B42*G931,0)</f>
        <v>0</v>
      </c>
      <c r="T931" s="22" t="n">
        <f aca="false">IF(DAY(B931)=1,Assumptions!B43*G931,0)</f>
        <v>0</v>
      </c>
      <c r="U931" s="22" t="n">
        <f aca="false">SUM(O931:T931)</f>
        <v>0</v>
      </c>
      <c r="V931" s="22" t="n">
        <f aca="false">N931-U931</f>
        <v>19200</v>
      </c>
      <c r="W931" s="22" t="n">
        <f aca="false">W930+V931</f>
        <v>-2207860.75292277</v>
      </c>
      <c r="X931" s="23" t="str">
        <f aca="false">IF(W931&gt;=0,"YES","No")</f>
        <v>No</v>
      </c>
    </row>
    <row r="932" customFormat="false" ht="15" hidden="false" customHeight="false" outlineLevel="0" collapsed="false">
      <c r="A932" s="16" t="n">
        <v>931</v>
      </c>
      <c r="B932" s="17" t="n">
        <f aca="false">B931+1</f>
        <v>46953</v>
      </c>
      <c r="C932" s="18" t="n">
        <f aca="false">MIN(ROUNDUP(A932/365,0),5)</f>
        <v>3</v>
      </c>
      <c r="D932" s="18" t="n">
        <f aca="false">DATEDIF(Assumptions!B5,B932,"m")+1</f>
        <v>31</v>
      </c>
      <c r="E932" s="18" t="str">
        <f aca="false">TEXT(B932,"ddd")</f>
        <v>Wed</v>
      </c>
      <c r="F932" s="19" t="n">
        <f aca="false">IF(WEEKDAY(B932,2)&gt;=6,Assumptions!B34,Assumptions!B35)</f>
        <v>1</v>
      </c>
      <c r="G932" s="20" t="n">
        <f aca="false">IF(D932&gt;=13,(1+Assumptions!B46)^(D932-12),1)</f>
        <v>1.05856547980149</v>
      </c>
      <c r="H932" s="21" t="n">
        <f aca="false">H931*(1+IF(C932=1,Assumptions!B22,Assumptions!B23))</f>
        <v>22.8371253795679</v>
      </c>
      <c r="I932" s="16" t="n">
        <f aca="false">ROUND(H932*F932,0)</f>
        <v>23</v>
      </c>
      <c r="J932" s="22" t="n">
        <f aca="false">I932*Assumptions!B24</f>
        <v>13800</v>
      </c>
      <c r="K932" s="21" t="n">
        <f aca="false">K931*(1+Assumptions!B30)</f>
        <v>17.8090825168096</v>
      </c>
      <c r="L932" s="16" t="n">
        <f aca="false">ROUND(K932*F932,0)</f>
        <v>18</v>
      </c>
      <c r="M932" s="22" t="n">
        <f aca="false">L932*Assumptions!B31</f>
        <v>5400</v>
      </c>
      <c r="N932" s="22" t="n">
        <f aca="false">J932+M932</f>
        <v>19200</v>
      </c>
      <c r="O932" s="22" t="n">
        <f aca="false">IF(DAY(B932)=1,Assumptions!B38*G932,0)</f>
        <v>0</v>
      </c>
      <c r="P932" s="22" t="n">
        <f aca="false">IF(DAY(B932)=1,Assumptions!B39*G932,0)</f>
        <v>0</v>
      </c>
      <c r="Q932" s="22" t="n">
        <f aca="false">IF(DAY(B932)=1,Assumptions!B40*G932,0)</f>
        <v>0</v>
      </c>
      <c r="R932" s="22" t="n">
        <f aca="false">IF(DAY(B932)=1,Assumptions!B41*G932,0)</f>
        <v>0</v>
      </c>
      <c r="S932" s="22" t="n">
        <f aca="false">IF(AND(DAY(B932)=1,D932&gt;=13),Assumptions!B42*G932,0)</f>
        <v>0</v>
      </c>
      <c r="T932" s="22" t="n">
        <f aca="false">IF(DAY(B932)=1,Assumptions!B43*G932,0)</f>
        <v>0</v>
      </c>
      <c r="U932" s="22" t="n">
        <f aca="false">SUM(O932:T932)</f>
        <v>0</v>
      </c>
      <c r="V932" s="22" t="n">
        <f aca="false">N932-U932</f>
        <v>19200</v>
      </c>
      <c r="W932" s="22" t="n">
        <f aca="false">W931+V932</f>
        <v>-2188660.75292277</v>
      </c>
      <c r="X932" s="23" t="str">
        <f aca="false">IF(W932&gt;=0,"YES","No")</f>
        <v>No</v>
      </c>
    </row>
    <row r="933" customFormat="false" ht="15" hidden="false" customHeight="false" outlineLevel="0" collapsed="false">
      <c r="A933" s="16" t="n">
        <v>932</v>
      </c>
      <c r="B933" s="17" t="n">
        <f aca="false">B932+1</f>
        <v>46954</v>
      </c>
      <c r="C933" s="18" t="n">
        <f aca="false">MIN(ROUNDUP(A933/365,0),5)</f>
        <v>3</v>
      </c>
      <c r="D933" s="18" t="n">
        <f aca="false">DATEDIF(Assumptions!B5,B933,"m")+1</f>
        <v>31</v>
      </c>
      <c r="E933" s="18" t="str">
        <f aca="false">TEXT(B933,"ddd")</f>
        <v>Thu</v>
      </c>
      <c r="F933" s="19" t="n">
        <f aca="false">IF(WEEKDAY(B933,2)&gt;=6,Assumptions!B34,Assumptions!B35)</f>
        <v>1</v>
      </c>
      <c r="G933" s="20" t="n">
        <f aca="false">IF(D933&gt;=13,(1+Assumptions!B46)^(D933-12),1)</f>
        <v>1.05856547980149</v>
      </c>
      <c r="H933" s="21" t="n">
        <f aca="false">H932*(1+IF(C933=1,Assumptions!B22,Assumptions!B23))</f>
        <v>22.8408675097447</v>
      </c>
      <c r="I933" s="16" t="n">
        <f aca="false">ROUND(H933*F933,0)</f>
        <v>23</v>
      </c>
      <c r="J933" s="22" t="n">
        <f aca="false">I933*Assumptions!B24</f>
        <v>13800</v>
      </c>
      <c r="K933" s="21" t="n">
        <f aca="false">K932*(1+Assumptions!B30)</f>
        <v>17.814904961924</v>
      </c>
      <c r="L933" s="16" t="n">
        <f aca="false">ROUND(K933*F933,0)</f>
        <v>18</v>
      </c>
      <c r="M933" s="22" t="n">
        <f aca="false">L933*Assumptions!B31</f>
        <v>5400</v>
      </c>
      <c r="N933" s="22" t="n">
        <f aca="false">J933+M933</f>
        <v>19200</v>
      </c>
      <c r="O933" s="22" t="n">
        <f aca="false">IF(DAY(B933)=1,Assumptions!B38*G933,0)</f>
        <v>0</v>
      </c>
      <c r="P933" s="22" t="n">
        <f aca="false">IF(DAY(B933)=1,Assumptions!B39*G933,0)</f>
        <v>0</v>
      </c>
      <c r="Q933" s="22" t="n">
        <f aca="false">IF(DAY(B933)=1,Assumptions!B40*G933,0)</f>
        <v>0</v>
      </c>
      <c r="R933" s="22" t="n">
        <f aca="false">IF(DAY(B933)=1,Assumptions!B41*G933,0)</f>
        <v>0</v>
      </c>
      <c r="S933" s="22" t="n">
        <f aca="false">IF(AND(DAY(B933)=1,D933&gt;=13),Assumptions!B42*G933,0)</f>
        <v>0</v>
      </c>
      <c r="T933" s="22" t="n">
        <f aca="false">IF(DAY(B933)=1,Assumptions!B43*G933,0)</f>
        <v>0</v>
      </c>
      <c r="U933" s="22" t="n">
        <f aca="false">SUM(O933:T933)</f>
        <v>0</v>
      </c>
      <c r="V933" s="22" t="n">
        <f aca="false">N933-U933</f>
        <v>19200</v>
      </c>
      <c r="W933" s="22" t="n">
        <f aca="false">W932+V933</f>
        <v>-2169460.75292277</v>
      </c>
      <c r="X933" s="23" t="str">
        <f aca="false">IF(W933&gt;=0,"YES","No")</f>
        <v>No</v>
      </c>
    </row>
    <row r="934" customFormat="false" ht="15" hidden="false" customHeight="false" outlineLevel="0" collapsed="false">
      <c r="A934" s="16" t="n">
        <v>933</v>
      </c>
      <c r="B934" s="17" t="n">
        <f aca="false">B933+1</f>
        <v>46955</v>
      </c>
      <c r="C934" s="18" t="n">
        <f aca="false">MIN(ROUNDUP(A934/365,0),5)</f>
        <v>3</v>
      </c>
      <c r="D934" s="18" t="n">
        <f aca="false">DATEDIF(Assumptions!B5,B934,"m")+1</f>
        <v>31</v>
      </c>
      <c r="E934" s="18" t="str">
        <f aca="false">TEXT(B934,"ddd")</f>
        <v>Fri</v>
      </c>
      <c r="F934" s="19" t="n">
        <f aca="false">IF(WEEKDAY(B934,2)&gt;=6,Assumptions!B34,Assumptions!B35)</f>
        <v>1</v>
      </c>
      <c r="G934" s="20" t="n">
        <f aca="false">IF(D934&gt;=13,(1+Assumptions!B46)^(D934-12),1)</f>
        <v>1.05856547980149</v>
      </c>
      <c r="H934" s="21" t="n">
        <f aca="false">H933*(1+IF(C934=1,Assumptions!B22,Assumptions!B23))</f>
        <v>22.8446102531134</v>
      </c>
      <c r="I934" s="16" t="n">
        <f aca="false">ROUND(H934*F934,0)</f>
        <v>23</v>
      </c>
      <c r="J934" s="22" t="n">
        <f aca="false">I934*Assumptions!B24</f>
        <v>13800</v>
      </c>
      <c r="K934" s="21" t="n">
        <f aca="false">K933*(1+Assumptions!B30)</f>
        <v>17.8207293106102</v>
      </c>
      <c r="L934" s="16" t="n">
        <f aca="false">ROUND(K934*F934,0)</f>
        <v>18</v>
      </c>
      <c r="M934" s="22" t="n">
        <f aca="false">L934*Assumptions!B31</f>
        <v>5400</v>
      </c>
      <c r="N934" s="22" t="n">
        <f aca="false">J934+M934</f>
        <v>19200</v>
      </c>
      <c r="O934" s="22" t="n">
        <f aca="false">IF(DAY(B934)=1,Assumptions!B38*G934,0)</f>
        <v>0</v>
      </c>
      <c r="P934" s="22" t="n">
        <f aca="false">IF(DAY(B934)=1,Assumptions!B39*G934,0)</f>
        <v>0</v>
      </c>
      <c r="Q934" s="22" t="n">
        <f aca="false">IF(DAY(B934)=1,Assumptions!B40*G934,0)</f>
        <v>0</v>
      </c>
      <c r="R934" s="22" t="n">
        <f aca="false">IF(DAY(B934)=1,Assumptions!B41*G934,0)</f>
        <v>0</v>
      </c>
      <c r="S934" s="22" t="n">
        <f aca="false">IF(AND(DAY(B934)=1,D934&gt;=13),Assumptions!B42*G934,0)</f>
        <v>0</v>
      </c>
      <c r="T934" s="22" t="n">
        <f aca="false">IF(DAY(B934)=1,Assumptions!B43*G934,0)</f>
        <v>0</v>
      </c>
      <c r="U934" s="22" t="n">
        <f aca="false">SUM(O934:T934)</f>
        <v>0</v>
      </c>
      <c r="V934" s="22" t="n">
        <f aca="false">N934-U934</f>
        <v>19200</v>
      </c>
      <c r="W934" s="22" t="n">
        <f aca="false">W933+V934</f>
        <v>-2150260.75292277</v>
      </c>
      <c r="X934" s="23" t="str">
        <f aca="false">IF(W934&gt;=0,"YES","No")</f>
        <v>No</v>
      </c>
    </row>
    <row r="935" customFormat="false" ht="15" hidden="false" customHeight="false" outlineLevel="0" collapsed="false">
      <c r="A935" s="16" t="n">
        <v>934</v>
      </c>
      <c r="B935" s="17" t="n">
        <f aca="false">B934+1</f>
        <v>46956</v>
      </c>
      <c r="C935" s="18" t="n">
        <f aca="false">MIN(ROUNDUP(A935/365,0),5)</f>
        <v>3</v>
      </c>
      <c r="D935" s="18" t="n">
        <f aca="false">DATEDIF(Assumptions!B5,B935,"m")+1</f>
        <v>31</v>
      </c>
      <c r="E935" s="18" t="str">
        <f aca="false">TEXT(B935,"ddd")</f>
        <v>Sat</v>
      </c>
      <c r="F935" s="19" t="n">
        <f aca="false">IF(WEEKDAY(B935,2)&gt;=6,Assumptions!B34,Assumptions!B35)</f>
        <v>0.6</v>
      </c>
      <c r="G935" s="20" t="n">
        <f aca="false">IF(D935&gt;=13,(1+Assumptions!B46)^(D935-12),1)</f>
        <v>1.05856547980149</v>
      </c>
      <c r="H935" s="21" t="n">
        <f aca="false">H934*(1+IF(C935=1,Assumptions!B22,Assumptions!B23))</f>
        <v>22.8483536097743</v>
      </c>
      <c r="I935" s="16" t="n">
        <f aca="false">ROUND(H935*F935,0)</f>
        <v>14</v>
      </c>
      <c r="J935" s="22" t="n">
        <f aca="false">I935*Assumptions!B24</f>
        <v>8400</v>
      </c>
      <c r="K935" s="21" t="n">
        <f aca="false">K934*(1+Assumptions!B30)</f>
        <v>17.8265555634906</v>
      </c>
      <c r="L935" s="16" t="n">
        <f aca="false">ROUND(K935*F935,0)</f>
        <v>11</v>
      </c>
      <c r="M935" s="22" t="n">
        <f aca="false">L935*Assumptions!B31</f>
        <v>3300</v>
      </c>
      <c r="N935" s="22" t="n">
        <f aca="false">J935+M935</f>
        <v>11700</v>
      </c>
      <c r="O935" s="22" t="n">
        <f aca="false">IF(DAY(B935)=1,Assumptions!B38*G935,0)</f>
        <v>0</v>
      </c>
      <c r="P935" s="22" t="n">
        <f aca="false">IF(DAY(B935)=1,Assumptions!B39*G935,0)</f>
        <v>0</v>
      </c>
      <c r="Q935" s="22" t="n">
        <f aca="false">IF(DAY(B935)=1,Assumptions!B40*G935,0)</f>
        <v>0</v>
      </c>
      <c r="R935" s="22" t="n">
        <f aca="false">IF(DAY(B935)=1,Assumptions!B41*G935,0)</f>
        <v>0</v>
      </c>
      <c r="S935" s="22" t="n">
        <f aca="false">IF(AND(DAY(B935)=1,D935&gt;=13),Assumptions!B42*G935,0)</f>
        <v>0</v>
      </c>
      <c r="T935" s="22" t="n">
        <f aca="false">IF(DAY(B935)=1,Assumptions!B43*G935,0)</f>
        <v>0</v>
      </c>
      <c r="U935" s="22" t="n">
        <f aca="false">SUM(O935:T935)</f>
        <v>0</v>
      </c>
      <c r="V935" s="22" t="n">
        <f aca="false">N935-U935</f>
        <v>11700</v>
      </c>
      <c r="W935" s="22" t="n">
        <f aca="false">W934+V935</f>
        <v>-2138560.75292277</v>
      </c>
      <c r="X935" s="23" t="str">
        <f aca="false">IF(W935&gt;=0,"YES","No")</f>
        <v>No</v>
      </c>
    </row>
    <row r="936" customFormat="false" ht="15" hidden="false" customHeight="false" outlineLevel="0" collapsed="false">
      <c r="A936" s="16" t="n">
        <v>935</v>
      </c>
      <c r="B936" s="17" t="n">
        <f aca="false">B935+1</f>
        <v>46957</v>
      </c>
      <c r="C936" s="18" t="n">
        <f aca="false">MIN(ROUNDUP(A936/365,0),5)</f>
        <v>3</v>
      </c>
      <c r="D936" s="18" t="n">
        <f aca="false">DATEDIF(Assumptions!B5,B936,"m")+1</f>
        <v>31</v>
      </c>
      <c r="E936" s="18" t="str">
        <f aca="false">TEXT(B936,"ddd")</f>
        <v>Sun</v>
      </c>
      <c r="F936" s="19" t="n">
        <f aca="false">IF(WEEKDAY(B936,2)&gt;=6,Assumptions!B34,Assumptions!B35)</f>
        <v>0.6</v>
      </c>
      <c r="G936" s="20" t="n">
        <f aca="false">IF(D936&gt;=13,(1+Assumptions!B46)^(D936-12),1)</f>
        <v>1.05856547980149</v>
      </c>
      <c r="H936" s="21" t="n">
        <f aca="false">H935*(1+IF(C936=1,Assumptions!B22,Assumptions!B23))</f>
        <v>22.8520975798281</v>
      </c>
      <c r="I936" s="16" t="n">
        <f aca="false">ROUND(H936*F936,0)</f>
        <v>14</v>
      </c>
      <c r="J936" s="22" t="n">
        <f aca="false">I936*Assumptions!B24</f>
        <v>8400</v>
      </c>
      <c r="K936" s="21" t="n">
        <f aca="false">K935*(1+Assumptions!B30)</f>
        <v>17.8323837211876</v>
      </c>
      <c r="L936" s="16" t="n">
        <f aca="false">ROUND(K936*F936,0)</f>
        <v>11</v>
      </c>
      <c r="M936" s="22" t="n">
        <f aca="false">L936*Assumptions!B31</f>
        <v>3300</v>
      </c>
      <c r="N936" s="22" t="n">
        <f aca="false">J936+M936</f>
        <v>11700</v>
      </c>
      <c r="O936" s="22" t="n">
        <f aca="false">IF(DAY(B936)=1,Assumptions!B38*G936,0)</f>
        <v>0</v>
      </c>
      <c r="P936" s="22" t="n">
        <f aca="false">IF(DAY(B936)=1,Assumptions!B39*G936,0)</f>
        <v>0</v>
      </c>
      <c r="Q936" s="22" t="n">
        <f aca="false">IF(DAY(B936)=1,Assumptions!B40*G936,0)</f>
        <v>0</v>
      </c>
      <c r="R936" s="22" t="n">
        <f aca="false">IF(DAY(B936)=1,Assumptions!B41*G936,0)</f>
        <v>0</v>
      </c>
      <c r="S936" s="22" t="n">
        <f aca="false">IF(AND(DAY(B936)=1,D936&gt;=13),Assumptions!B42*G936,0)</f>
        <v>0</v>
      </c>
      <c r="T936" s="22" t="n">
        <f aca="false">IF(DAY(B936)=1,Assumptions!B43*G936,0)</f>
        <v>0</v>
      </c>
      <c r="U936" s="22" t="n">
        <f aca="false">SUM(O936:T936)</f>
        <v>0</v>
      </c>
      <c r="V936" s="22" t="n">
        <f aca="false">N936-U936</f>
        <v>11700</v>
      </c>
      <c r="W936" s="22" t="n">
        <f aca="false">W935+V936</f>
        <v>-2126860.75292277</v>
      </c>
      <c r="X936" s="23" t="str">
        <f aca="false">IF(W936&gt;=0,"YES","No")</f>
        <v>No</v>
      </c>
    </row>
    <row r="937" customFormat="false" ht="15" hidden="false" customHeight="false" outlineLevel="0" collapsed="false">
      <c r="A937" s="16" t="n">
        <v>936</v>
      </c>
      <c r="B937" s="17" t="n">
        <f aca="false">B936+1</f>
        <v>46958</v>
      </c>
      <c r="C937" s="18" t="n">
        <f aca="false">MIN(ROUNDUP(A937/365,0),5)</f>
        <v>3</v>
      </c>
      <c r="D937" s="18" t="n">
        <f aca="false">DATEDIF(Assumptions!B5,B937,"m")+1</f>
        <v>31</v>
      </c>
      <c r="E937" s="18" t="str">
        <f aca="false">TEXT(B937,"ddd")</f>
        <v>Mon</v>
      </c>
      <c r="F937" s="19" t="n">
        <f aca="false">IF(WEEKDAY(B937,2)&gt;=6,Assumptions!B34,Assumptions!B35)</f>
        <v>1</v>
      </c>
      <c r="G937" s="20" t="n">
        <f aca="false">IF(D937&gt;=13,(1+Assumptions!B46)^(D937-12),1)</f>
        <v>1.05856547980149</v>
      </c>
      <c r="H937" s="21" t="n">
        <f aca="false">H936*(1+IF(C937=1,Assumptions!B22,Assumptions!B23))</f>
        <v>22.8558421633751</v>
      </c>
      <c r="I937" s="16" t="n">
        <f aca="false">ROUND(H937*F937,0)</f>
        <v>23</v>
      </c>
      <c r="J937" s="22" t="n">
        <f aca="false">I937*Assumptions!B24</f>
        <v>13800</v>
      </c>
      <c r="K937" s="21" t="n">
        <f aca="false">K936*(1+Assumptions!B30)</f>
        <v>17.8382137843241</v>
      </c>
      <c r="L937" s="16" t="n">
        <f aca="false">ROUND(K937*F937,0)</f>
        <v>18</v>
      </c>
      <c r="M937" s="22" t="n">
        <f aca="false">L937*Assumptions!B31</f>
        <v>5400</v>
      </c>
      <c r="N937" s="22" t="n">
        <f aca="false">J937+M937</f>
        <v>19200</v>
      </c>
      <c r="O937" s="22" t="n">
        <f aca="false">IF(DAY(B937)=1,Assumptions!B38*G937,0)</f>
        <v>0</v>
      </c>
      <c r="P937" s="22" t="n">
        <f aca="false">IF(DAY(B937)=1,Assumptions!B39*G937,0)</f>
        <v>0</v>
      </c>
      <c r="Q937" s="22" t="n">
        <f aca="false">IF(DAY(B937)=1,Assumptions!B40*G937,0)</f>
        <v>0</v>
      </c>
      <c r="R937" s="22" t="n">
        <f aca="false">IF(DAY(B937)=1,Assumptions!B41*G937,0)</f>
        <v>0</v>
      </c>
      <c r="S937" s="22" t="n">
        <f aca="false">IF(AND(DAY(B937)=1,D937&gt;=13),Assumptions!B42*G937,0)</f>
        <v>0</v>
      </c>
      <c r="T937" s="22" t="n">
        <f aca="false">IF(DAY(B937)=1,Assumptions!B43*G937,0)</f>
        <v>0</v>
      </c>
      <c r="U937" s="22" t="n">
        <f aca="false">SUM(O937:T937)</f>
        <v>0</v>
      </c>
      <c r="V937" s="22" t="n">
        <f aca="false">N937-U937</f>
        <v>19200</v>
      </c>
      <c r="W937" s="22" t="n">
        <f aca="false">W936+V937</f>
        <v>-2107660.75292277</v>
      </c>
      <c r="X937" s="23" t="str">
        <f aca="false">IF(W937&gt;=0,"YES","No")</f>
        <v>No</v>
      </c>
    </row>
    <row r="938" customFormat="false" ht="15" hidden="false" customHeight="false" outlineLevel="0" collapsed="false">
      <c r="A938" s="16" t="n">
        <v>937</v>
      </c>
      <c r="B938" s="17" t="n">
        <f aca="false">B937+1</f>
        <v>46959</v>
      </c>
      <c r="C938" s="18" t="n">
        <f aca="false">MIN(ROUNDUP(A938/365,0),5)</f>
        <v>3</v>
      </c>
      <c r="D938" s="18" t="n">
        <f aca="false">DATEDIF(Assumptions!B5,B938,"m")+1</f>
        <v>31</v>
      </c>
      <c r="E938" s="18" t="str">
        <f aca="false">TEXT(B938,"ddd")</f>
        <v>Tue</v>
      </c>
      <c r="F938" s="19" t="n">
        <f aca="false">IF(WEEKDAY(B938,2)&gt;=6,Assumptions!B34,Assumptions!B35)</f>
        <v>1</v>
      </c>
      <c r="G938" s="20" t="n">
        <f aca="false">IF(D938&gt;=13,(1+Assumptions!B46)^(D938-12),1)</f>
        <v>1.05856547980149</v>
      </c>
      <c r="H938" s="21" t="n">
        <f aca="false">H937*(1+IF(C938=1,Assumptions!B22,Assumptions!B23))</f>
        <v>22.8595873605159</v>
      </c>
      <c r="I938" s="16" t="n">
        <f aca="false">ROUND(H938*F938,0)</f>
        <v>23</v>
      </c>
      <c r="J938" s="22" t="n">
        <f aca="false">I938*Assumptions!B24</f>
        <v>13800</v>
      </c>
      <c r="K938" s="21" t="n">
        <f aca="false">K937*(1+Assumptions!B30)</f>
        <v>17.844045753523</v>
      </c>
      <c r="L938" s="16" t="n">
        <f aca="false">ROUND(K938*F938,0)</f>
        <v>18</v>
      </c>
      <c r="M938" s="22" t="n">
        <f aca="false">L938*Assumptions!B31</f>
        <v>5400</v>
      </c>
      <c r="N938" s="22" t="n">
        <f aca="false">J938+M938</f>
        <v>19200</v>
      </c>
      <c r="O938" s="22" t="n">
        <f aca="false">IF(DAY(B938)=1,Assumptions!B38*G938,0)</f>
        <v>0</v>
      </c>
      <c r="P938" s="22" t="n">
        <f aca="false">IF(DAY(B938)=1,Assumptions!B39*G938,0)</f>
        <v>0</v>
      </c>
      <c r="Q938" s="22" t="n">
        <f aca="false">IF(DAY(B938)=1,Assumptions!B40*G938,0)</f>
        <v>0</v>
      </c>
      <c r="R938" s="22" t="n">
        <f aca="false">IF(DAY(B938)=1,Assumptions!B41*G938,0)</f>
        <v>0</v>
      </c>
      <c r="S938" s="22" t="n">
        <f aca="false">IF(AND(DAY(B938)=1,D938&gt;=13),Assumptions!B42*G938,0)</f>
        <v>0</v>
      </c>
      <c r="T938" s="22" t="n">
        <f aca="false">IF(DAY(B938)=1,Assumptions!B43*G938,0)</f>
        <v>0</v>
      </c>
      <c r="U938" s="22" t="n">
        <f aca="false">SUM(O938:T938)</f>
        <v>0</v>
      </c>
      <c r="V938" s="22" t="n">
        <f aca="false">N938-U938</f>
        <v>19200</v>
      </c>
      <c r="W938" s="22" t="n">
        <f aca="false">W937+V938</f>
        <v>-2088460.75292277</v>
      </c>
      <c r="X938" s="23" t="str">
        <f aca="false">IF(W938&gt;=0,"YES","No")</f>
        <v>No</v>
      </c>
    </row>
    <row r="939" customFormat="false" ht="15" hidden="false" customHeight="false" outlineLevel="0" collapsed="false">
      <c r="A939" s="16" t="n">
        <v>938</v>
      </c>
      <c r="B939" s="17" t="n">
        <f aca="false">B938+1</f>
        <v>46960</v>
      </c>
      <c r="C939" s="18" t="n">
        <f aca="false">MIN(ROUNDUP(A939/365,0),5)</f>
        <v>3</v>
      </c>
      <c r="D939" s="18" t="n">
        <f aca="false">DATEDIF(Assumptions!B5,B939,"m")+1</f>
        <v>31</v>
      </c>
      <c r="E939" s="18" t="str">
        <f aca="false">TEXT(B939,"ddd")</f>
        <v>Wed</v>
      </c>
      <c r="F939" s="19" t="n">
        <f aca="false">IF(WEEKDAY(B939,2)&gt;=6,Assumptions!B34,Assumptions!B35)</f>
        <v>1</v>
      </c>
      <c r="G939" s="20" t="n">
        <f aca="false">IF(D939&gt;=13,(1+Assumptions!B46)^(D939-12),1)</f>
        <v>1.05856547980149</v>
      </c>
      <c r="H939" s="21" t="n">
        <f aca="false">H938*(1+IF(C939=1,Assumptions!B22,Assumptions!B23))</f>
        <v>22.8633331713512</v>
      </c>
      <c r="I939" s="16" t="n">
        <f aca="false">ROUND(H939*F939,0)</f>
        <v>23</v>
      </c>
      <c r="J939" s="22" t="n">
        <f aca="false">I939*Assumptions!B24</f>
        <v>13800</v>
      </c>
      <c r="K939" s="21" t="n">
        <f aca="false">K938*(1+Assumptions!B30)</f>
        <v>17.8498796294075</v>
      </c>
      <c r="L939" s="16" t="n">
        <f aca="false">ROUND(K939*F939,0)</f>
        <v>18</v>
      </c>
      <c r="M939" s="22" t="n">
        <f aca="false">L939*Assumptions!B31</f>
        <v>5400</v>
      </c>
      <c r="N939" s="22" t="n">
        <f aca="false">J939+M939</f>
        <v>19200</v>
      </c>
      <c r="O939" s="22" t="n">
        <f aca="false">IF(DAY(B939)=1,Assumptions!B38*G939,0)</f>
        <v>0</v>
      </c>
      <c r="P939" s="22" t="n">
        <f aca="false">IF(DAY(B939)=1,Assumptions!B39*G939,0)</f>
        <v>0</v>
      </c>
      <c r="Q939" s="22" t="n">
        <f aca="false">IF(DAY(B939)=1,Assumptions!B40*G939,0)</f>
        <v>0</v>
      </c>
      <c r="R939" s="22" t="n">
        <f aca="false">IF(DAY(B939)=1,Assumptions!B41*G939,0)</f>
        <v>0</v>
      </c>
      <c r="S939" s="22" t="n">
        <f aca="false">IF(AND(DAY(B939)=1,D939&gt;=13),Assumptions!B42*G939,0)</f>
        <v>0</v>
      </c>
      <c r="T939" s="22" t="n">
        <f aca="false">IF(DAY(B939)=1,Assumptions!B43*G939,0)</f>
        <v>0</v>
      </c>
      <c r="U939" s="22" t="n">
        <f aca="false">SUM(O939:T939)</f>
        <v>0</v>
      </c>
      <c r="V939" s="22" t="n">
        <f aca="false">N939-U939</f>
        <v>19200</v>
      </c>
      <c r="W939" s="22" t="n">
        <f aca="false">W938+V939</f>
        <v>-2069260.75292277</v>
      </c>
      <c r="X939" s="23" t="str">
        <f aca="false">IF(W939&gt;=0,"YES","No")</f>
        <v>No</v>
      </c>
    </row>
    <row r="940" customFormat="false" ht="15" hidden="false" customHeight="false" outlineLevel="0" collapsed="false">
      <c r="A940" s="16" t="n">
        <v>939</v>
      </c>
      <c r="B940" s="17" t="n">
        <f aca="false">B939+1</f>
        <v>46961</v>
      </c>
      <c r="C940" s="18" t="n">
        <f aca="false">MIN(ROUNDUP(A940/365,0),5)</f>
        <v>3</v>
      </c>
      <c r="D940" s="18" t="n">
        <f aca="false">DATEDIF(Assumptions!B5,B940,"m")+1</f>
        <v>31</v>
      </c>
      <c r="E940" s="18" t="str">
        <f aca="false">TEXT(B940,"ddd")</f>
        <v>Thu</v>
      </c>
      <c r="F940" s="19" t="n">
        <f aca="false">IF(WEEKDAY(B940,2)&gt;=6,Assumptions!B34,Assumptions!B35)</f>
        <v>1</v>
      </c>
      <c r="G940" s="20" t="n">
        <f aca="false">IF(D940&gt;=13,(1+Assumptions!B46)^(D940-12),1)</f>
        <v>1.05856547980149</v>
      </c>
      <c r="H940" s="21" t="n">
        <f aca="false">H939*(1+IF(C940=1,Assumptions!B22,Assumptions!B23))</f>
        <v>22.8670795959813</v>
      </c>
      <c r="I940" s="16" t="n">
        <f aca="false">ROUND(H940*F940,0)</f>
        <v>23</v>
      </c>
      <c r="J940" s="22" t="n">
        <f aca="false">I940*Assumptions!B24</f>
        <v>13800</v>
      </c>
      <c r="K940" s="21" t="n">
        <f aca="false">K939*(1+Assumptions!B30)</f>
        <v>17.8557154126009</v>
      </c>
      <c r="L940" s="16" t="n">
        <f aca="false">ROUND(K940*F940,0)</f>
        <v>18</v>
      </c>
      <c r="M940" s="22" t="n">
        <f aca="false">L940*Assumptions!B31</f>
        <v>5400</v>
      </c>
      <c r="N940" s="22" t="n">
        <f aca="false">J940+M940</f>
        <v>19200</v>
      </c>
      <c r="O940" s="22" t="n">
        <f aca="false">IF(DAY(B940)=1,Assumptions!B38*G940,0)</f>
        <v>0</v>
      </c>
      <c r="P940" s="22" t="n">
        <f aca="false">IF(DAY(B940)=1,Assumptions!B39*G940,0)</f>
        <v>0</v>
      </c>
      <c r="Q940" s="22" t="n">
        <f aca="false">IF(DAY(B940)=1,Assumptions!B40*G940,0)</f>
        <v>0</v>
      </c>
      <c r="R940" s="22" t="n">
        <f aca="false">IF(DAY(B940)=1,Assumptions!B41*G940,0)</f>
        <v>0</v>
      </c>
      <c r="S940" s="22" t="n">
        <f aca="false">IF(AND(DAY(B940)=1,D940&gt;=13),Assumptions!B42*G940,0)</f>
        <v>0</v>
      </c>
      <c r="T940" s="22" t="n">
        <f aca="false">IF(DAY(B940)=1,Assumptions!B43*G940,0)</f>
        <v>0</v>
      </c>
      <c r="U940" s="22" t="n">
        <f aca="false">SUM(O940:T940)</f>
        <v>0</v>
      </c>
      <c r="V940" s="22" t="n">
        <f aca="false">N940-U940</f>
        <v>19200</v>
      </c>
      <c r="W940" s="22" t="n">
        <f aca="false">W939+V940</f>
        <v>-2050060.75292277</v>
      </c>
      <c r="X940" s="23" t="str">
        <f aca="false">IF(W940&gt;=0,"YES","No")</f>
        <v>No</v>
      </c>
    </row>
    <row r="941" customFormat="false" ht="15" hidden="false" customHeight="false" outlineLevel="0" collapsed="false">
      <c r="A941" s="16" t="n">
        <v>940</v>
      </c>
      <c r="B941" s="17" t="n">
        <f aca="false">B940+1</f>
        <v>46962</v>
      </c>
      <c r="C941" s="18" t="n">
        <f aca="false">MIN(ROUNDUP(A941/365,0),5)</f>
        <v>3</v>
      </c>
      <c r="D941" s="18" t="n">
        <f aca="false">DATEDIF(Assumptions!B5,B941,"m")+1</f>
        <v>31</v>
      </c>
      <c r="E941" s="18" t="str">
        <f aca="false">TEXT(B941,"ddd")</f>
        <v>Fri</v>
      </c>
      <c r="F941" s="19" t="n">
        <f aca="false">IF(WEEKDAY(B941,2)&gt;=6,Assumptions!B34,Assumptions!B35)</f>
        <v>1</v>
      </c>
      <c r="G941" s="20" t="n">
        <f aca="false">IF(D941&gt;=13,(1+Assumptions!B46)^(D941-12),1)</f>
        <v>1.05856547980149</v>
      </c>
      <c r="H941" s="21" t="n">
        <f aca="false">H940*(1+IF(C941=1,Assumptions!B22,Assumptions!B23))</f>
        <v>22.870826634507</v>
      </c>
      <c r="I941" s="16" t="n">
        <f aca="false">ROUND(H941*F941,0)</f>
        <v>23</v>
      </c>
      <c r="J941" s="22" t="n">
        <f aca="false">I941*Assumptions!B24</f>
        <v>13800</v>
      </c>
      <c r="K941" s="21" t="n">
        <f aca="false">K940*(1+Assumptions!B30)</f>
        <v>17.8615531037268</v>
      </c>
      <c r="L941" s="16" t="n">
        <f aca="false">ROUND(K941*F941,0)</f>
        <v>18</v>
      </c>
      <c r="M941" s="22" t="n">
        <f aca="false">L941*Assumptions!B31</f>
        <v>5400</v>
      </c>
      <c r="N941" s="22" t="n">
        <f aca="false">J941+M941</f>
        <v>19200</v>
      </c>
      <c r="O941" s="22" t="n">
        <f aca="false">IF(DAY(B941)=1,Assumptions!B38*G941,0)</f>
        <v>0</v>
      </c>
      <c r="P941" s="22" t="n">
        <f aca="false">IF(DAY(B941)=1,Assumptions!B39*G941,0)</f>
        <v>0</v>
      </c>
      <c r="Q941" s="22" t="n">
        <f aca="false">IF(DAY(B941)=1,Assumptions!B40*G941,0)</f>
        <v>0</v>
      </c>
      <c r="R941" s="22" t="n">
        <f aca="false">IF(DAY(B941)=1,Assumptions!B41*G941,0)</f>
        <v>0</v>
      </c>
      <c r="S941" s="22" t="n">
        <f aca="false">IF(AND(DAY(B941)=1,D941&gt;=13),Assumptions!B42*G941,0)</f>
        <v>0</v>
      </c>
      <c r="T941" s="22" t="n">
        <f aca="false">IF(DAY(B941)=1,Assumptions!B43*G941,0)</f>
        <v>0</v>
      </c>
      <c r="U941" s="22" t="n">
        <f aca="false">SUM(O941:T941)</f>
        <v>0</v>
      </c>
      <c r="V941" s="22" t="n">
        <f aca="false">N941-U941</f>
        <v>19200</v>
      </c>
      <c r="W941" s="22" t="n">
        <f aca="false">W940+V941</f>
        <v>-2030860.75292277</v>
      </c>
      <c r="X941" s="23" t="str">
        <f aca="false">IF(W941&gt;=0,"YES","No")</f>
        <v>No</v>
      </c>
    </row>
    <row r="942" customFormat="false" ht="15" hidden="false" customHeight="false" outlineLevel="0" collapsed="false">
      <c r="A942" s="16" t="n">
        <v>941</v>
      </c>
      <c r="B942" s="17" t="n">
        <f aca="false">B941+1</f>
        <v>46963</v>
      </c>
      <c r="C942" s="18" t="n">
        <f aca="false">MIN(ROUNDUP(A942/365,0),5)</f>
        <v>3</v>
      </c>
      <c r="D942" s="18" t="n">
        <f aca="false">DATEDIF(Assumptions!B5,B942,"m")+1</f>
        <v>31</v>
      </c>
      <c r="E942" s="18" t="str">
        <f aca="false">TEXT(B942,"ddd")</f>
        <v>Sat</v>
      </c>
      <c r="F942" s="19" t="n">
        <f aca="false">IF(WEEKDAY(B942,2)&gt;=6,Assumptions!B34,Assumptions!B35)</f>
        <v>0.6</v>
      </c>
      <c r="G942" s="20" t="n">
        <f aca="false">IF(D942&gt;=13,(1+Assumptions!B46)^(D942-12),1)</f>
        <v>1.05856547980149</v>
      </c>
      <c r="H942" s="21" t="n">
        <f aca="false">H941*(1+IF(C942=1,Assumptions!B22,Assumptions!B23))</f>
        <v>22.8745742870287</v>
      </c>
      <c r="I942" s="16" t="n">
        <f aca="false">ROUND(H942*F942,0)</f>
        <v>14</v>
      </c>
      <c r="J942" s="22" t="n">
        <f aca="false">I942*Assumptions!B24</f>
        <v>8400</v>
      </c>
      <c r="K942" s="21" t="n">
        <f aca="false">K941*(1+Assumptions!B30)</f>
        <v>17.8673927034089</v>
      </c>
      <c r="L942" s="16" t="n">
        <f aca="false">ROUND(K942*F942,0)</f>
        <v>11</v>
      </c>
      <c r="M942" s="22" t="n">
        <f aca="false">L942*Assumptions!B31</f>
        <v>3300</v>
      </c>
      <c r="N942" s="22" t="n">
        <f aca="false">J942+M942</f>
        <v>11700</v>
      </c>
      <c r="O942" s="22" t="n">
        <f aca="false">IF(DAY(B942)=1,Assumptions!B38*G942,0)</f>
        <v>0</v>
      </c>
      <c r="P942" s="22" t="n">
        <f aca="false">IF(DAY(B942)=1,Assumptions!B39*G942,0)</f>
        <v>0</v>
      </c>
      <c r="Q942" s="22" t="n">
        <f aca="false">IF(DAY(B942)=1,Assumptions!B40*G942,0)</f>
        <v>0</v>
      </c>
      <c r="R942" s="22" t="n">
        <f aca="false">IF(DAY(B942)=1,Assumptions!B41*G942,0)</f>
        <v>0</v>
      </c>
      <c r="S942" s="22" t="n">
        <f aca="false">IF(AND(DAY(B942)=1,D942&gt;=13),Assumptions!B42*G942,0)</f>
        <v>0</v>
      </c>
      <c r="T942" s="22" t="n">
        <f aca="false">IF(DAY(B942)=1,Assumptions!B43*G942,0)</f>
        <v>0</v>
      </c>
      <c r="U942" s="22" t="n">
        <f aca="false">SUM(O942:T942)</f>
        <v>0</v>
      </c>
      <c r="V942" s="22" t="n">
        <f aca="false">N942-U942</f>
        <v>11700</v>
      </c>
      <c r="W942" s="22" t="n">
        <f aca="false">W941+V942</f>
        <v>-2019160.75292277</v>
      </c>
      <c r="X942" s="23" t="str">
        <f aca="false">IF(W942&gt;=0,"YES","No")</f>
        <v>No</v>
      </c>
    </row>
    <row r="943" customFormat="false" ht="15" hidden="false" customHeight="false" outlineLevel="0" collapsed="false">
      <c r="A943" s="16" t="n">
        <v>942</v>
      </c>
      <c r="B943" s="17" t="n">
        <f aca="false">B942+1</f>
        <v>46964</v>
      </c>
      <c r="C943" s="18" t="n">
        <f aca="false">MIN(ROUNDUP(A943/365,0),5)</f>
        <v>3</v>
      </c>
      <c r="D943" s="18" t="n">
        <f aca="false">DATEDIF(Assumptions!B5,B943,"m")+1</f>
        <v>31</v>
      </c>
      <c r="E943" s="18" t="str">
        <f aca="false">TEXT(B943,"ddd")</f>
        <v>Sun</v>
      </c>
      <c r="F943" s="19" t="n">
        <f aca="false">IF(WEEKDAY(B943,2)&gt;=6,Assumptions!B34,Assumptions!B35)</f>
        <v>0.6</v>
      </c>
      <c r="G943" s="20" t="n">
        <f aca="false">IF(D943&gt;=13,(1+Assumptions!B46)^(D943-12),1)</f>
        <v>1.05856547980149</v>
      </c>
      <c r="H943" s="21" t="n">
        <f aca="false">H942*(1+IF(C943=1,Assumptions!B22,Assumptions!B23))</f>
        <v>22.8783225536472</v>
      </c>
      <c r="I943" s="16" t="n">
        <f aca="false">ROUND(H943*F943,0)</f>
        <v>14</v>
      </c>
      <c r="J943" s="22" t="n">
        <f aca="false">I943*Assumptions!B24</f>
        <v>8400</v>
      </c>
      <c r="K943" s="21" t="n">
        <f aca="false">K942*(1+Assumptions!B30)</f>
        <v>17.8732342122713</v>
      </c>
      <c r="L943" s="16" t="n">
        <f aca="false">ROUND(K943*F943,0)</f>
        <v>11</v>
      </c>
      <c r="M943" s="22" t="n">
        <f aca="false">L943*Assumptions!B31</f>
        <v>3300</v>
      </c>
      <c r="N943" s="22" t="n">
        <f aca="false">J943+M943</f>
        <v>11700</v>
      </c>
      <c r="O943" s="22" t="n">
        <f aca="false">IF(DAY(B943)=1,Assumptions!B38*G943,0)</f>
        <v>0</v>
      </c>
      <c r="P943" s="22" t="n">
        <f aca="false">IF(DAY(B943)=1,Assumptions!B39*G943,0)</f>
        <v>0</v>
      </c>
      <c r="Q943" s="22" t="n">
        <f aca="false">IF(DAY(B943)=1,Assumptions!B40*G943,0)</f>
        <v>0</v>
      </c>
      <c r="R943" s="22" t="n">
        <f aca="false">IF(DAY(B943)=1,Assumptions!B41*G943,0)</f>
        <v>0</v>
      </c>
      <c r="S943" s="22" t="n">
        <f aca="false">IF(AND(DAY(B943)=1,D943&gt;=13),Assumptions!B42*G943,0)</f>
        <v>0</v>
      </c>
      <c r="T943" s="22" t="n">
        <f aca="false">IF(DAY(B943)=1,Assumptions!B43*G943,0)</f>
        <v>0</v>
      </c>
      <c r="U943" s="22" t="n">
        <f aca="false">SUM(O943:T943)</f>
        <v>0</v>
      </c>
      <c r="V943" s="22" t="n">
        <f aca="false">N943-U943</f>
        <v>11700</v>
      </c>
      <c r="W943" s="22" t="n">
        <f aca="false">W942+V943</f>
        <v>-2007460.75292277</v>
      </c>
      <c r="X943" s="23" t="str">
        <f aca="false">IF(W943&gt;=0,"YES","No")</f>
        <v>No</v>
      </c>
    </row>
    <row r="944" customFormat="false" ht="15" hidden="false" customHeight="false" outlineLevel="0" collapsed="false">
      <c r="A944" s="16" t="n">
        <v>943</v>
      </c>
      <c r="B944" s="17" t="n">
        <f aca="false">B943+1</f>
        <v>46965</v>
      </c>
      <c r="C944" s="18" t="n">
        <f aca="false">MIN(ROUNDUP(A944/365,0),5)</f>
        <v>3</v>
      </c>
      <c r="D944" s="18" t="n">
        <f aca="false">DATEDIF(Assumptions!B5,B944,"m")+1</f>
        <v>31</v>
      </c>
      <c r="E944" s="18" t="str">
        <f aca="false">TEXT(B944,"ddd")</f>
        <v>Mon</v>
      </c>
      <c r="F944" s="19" t="n">
        <f aca="false">IF(WEEKDAY(B944,2)&gt;=6,Assumptions!B34,Assumptions!B35)</f>
        <v>1</v>
      </c>
      <c r="G944" s="20" t="n">
        <f aca="false">IF(D944&gt;=13,(1+Assumptions!B46)^(D944-12),1)</f>
        <v>1.05856547980149</v>
      </c>
      <c r="H944" s="21" t="n">
        <f aca="false">H943*(1+IF(C944=1,Assumptions!B22,Assumptions!B23))</f>
        <v>22.882071434463</v>
      </c>
      <c r="I944" s="16" t="n">
        <f aca="false">ROUND(H944*F944,0)</f>
        <v>23</v>
      </c>
      <c r="J944" s="22" t="n">
        <f aca="false">I944*Assumptions!B24</f>
        <v>13800</v>
      </c>
      <c r="K944" s="21" t="n">
        <f aca="false">K943*(1+Assumptions!B30)</f>
        <v>17.8790776309382</v>
      </c>
      <c r="L944" s="16" t="n">
        <f aca="false">ROUND(K944*F944,0)</f>
        <v>18</v>
      </c>
      <c r="M944" s="22" t="n">
        <f aca="false">L944*Assumptions!B31</f>
        <v>5400</v>
      </c>
      <c r="N944" s="22" t="n">
        <f aca="false">J944+M944</f>
        <v>19200</v>
      </c>
      <c r="O944" s="22" t="n">
        <f aca="false">IF(DAY(B944)=1,Assumptions!B38*G944,0)</f>
        <v>0</v>
      </c>
      <c r="P944" s="22" t="n">
        <f aca="false">IF(DAY(B944)=1,Assumptions!B39*G944,0)</f>
        <v>0</v>
      </c>
      <c r="Q944" s="22" t="n">
        <f aca="false">IF(DAY(B944)=1,Assumptions!B40*G944,0)</f>
        <v>0</v>
      </c>
      <c r="R944" s="22" t="n">
        <f aca="false">IF(DAY(B944)=1,Assumptions!B41*G944,0)</f>
        <v>0</v>
      </c>
      <c r="S944" s="22" t="n">
        <f aca="false">IF(AND(DAY(B944)=1,D944&gt;=13),Assumptions!B42*G944,0)</f>
        <v>0</v>
      </c>
      <c r="T944" s="22" t="n">
        <f aca="false">IF(DAY(B944)=1,Assumptions!B43*G944,0)</f>
        <v>0</v>
      </c>
      <c r="U944" s="22" t="n">
        <f aca="false">SUM(O944:T944)</f>
        <v>0</v>
      </c>
      <c r="V944" s="22" t="n">
        <f aca="false">N944-U944</f>
        <v>19200</v>
      </c>
      <c r="W944" s="22" t="n">
        <f aca="false">W943+V944</f>
        <v>-1988260.75292277</v>
      </c>
      <c r="X944" s="23" t="str">
        <f aca="false">IF(W944&gt;=0,"YES","No")</f>
        <v>No</v>
      </c>
    </row>
    <row r="945" customFormat="false" ht="15" hidden="false" customHeight="false" outlineLevel="0" collapsed="false">
      <c r="A945" s="16" t="n">
        <v>944</v>
      </c>
      <c r="B945" s="17" t="n">
        <f aca="false">B944+1</f>
        <v>46966</v>
      </c>
      <c r="C945" s="18" t="n">
        <f aca="false">MIN(ROUNDUP(A945/365,0),5)</f>
        <v>3</v>
      </c>
      <c r="D945" s="18" t="n">
        <f aca="false">DATEDIF(Assumptions!B5,B945,"m")+1</f>
        <v>32</v>
      </c>
      <c r="E945" s="18" t="str">
        <f aca="false">TEXT(B945,"ddd")</f>
        <v>Tue</v>
      </c>
      <c r="F945" s="19" t="n">
        <f aca="false">IF(WEEKDAY(B945,2)&gt;=6,Assumptions!B34,Assumptions!B35)</f>
        <v>1</v>
      </c>
      <c r="G945" s="20" t="n">
        <f aca="false">IF(D945&gt;=13,(1+Assumptions!B46)^(D945-12),1)</f>
        <v>1.0617411762409</v>
      </c>
      <c r="H945" s="21" t="n">
        <f aca="false">H944*(1+IF(C945=1,Assumptions!B22,Assumptions!B23))</f>
        <v>22.8858209295768</v>
      </c>
      <c r="I945" s="16" t="n">
        <f aca="false">ROUND(H945*F945,0)</f>
        <v>23</v>
      </c>
      <c r="J945" s="22" t="n">
        <f aca="false">I945*Assumptions!B24</f>
        <v>13800</v>
      </c>
      <c r="K945" s="21" t="n">
        <f aca="false">K944*(1+Assumptions!B30)</f>
        <v>17.8849229600338</v>
      </c>
      <c r="L945" s="16" t="n">
        <f aca="false">ROUND(K945*F945,0)</f>
        <v>18</v>
      </c>
      <c r="M945" s="22" t="n">
        <f aca="false">L945*Assumptions!B31</f>
        <v>5400</v>
      </c>
      <c r="N945" s="22" t="n">
        <f aca="false">J945+M945</f>
        <v>19200</v>
      </c>
      <c r="O945" s="22" t="n">
        <f aca="false">IF(DAY(B945)=1,Assumptions!B38*G945,0)</f>
        <v>159261.176436134</v>
      </c>
      <c r="P945" s="22" t="n">
        <f aca="false">IF(DAY(B945)=1,Assumptions!B39*G945,0)</f>
        <v>42469.6470496358</v>
      </c>
      <c r="Q945" s="22" t="n">
        <f aca="false">IF(DAY(B945)=1,Assumptions!B40*G945,0)</f>
        <v>31852.2352872269</v>
      </c>
      <c r="R945" s="22" t="n">
        <f aca="false">IF(DAY(B945)=1,Assumptions!B41*G945,0)</f>
        <v>21234.8235248179</v>
      </c>
      <c r="S945" s="22" t="n">
        <f aca="false">IF(AND(DAY(B945)=1,D945&gt;=13),Assumptions!B42*G945,0)</f>
        <v>159261.176436134</v>
      </c>
      <c r="T945" s="22" t="n">
        <f aca="false">IF(DAY(B945)=1,Assumptions!B43*G945,0)</f>
        <v>21234.8235248179</v>
      </c>
      <c r="U945" s="22" t="n">
        <f aca="false">SUM(O945:T945)</f>
        <v>435313.882258767</v>
      </c>
      <c r="V945" s="22" t="n">
        <f aca="false">N945-U945</f>
        <v>-416113.882258767</v>
      </c>
      <c r="W945" s="22" t="n">
        <f aca="false">W944+V945</f>
        <v>-2404374.63518154</v>
      </c>
      <c r="X945" s="23" t="str">
        <f aca="false">IF(W945&gt;=0,"YES","No")</f>
        <v>No</v>
      </c>
    </row>
    <row r="946" customFormat="false" ht="15" hidden="false" customHeight="false" outlineLevel="0" collapsed="false">
      <c r="A946" s="16" t="n">
        <v>945</v>
      </c>
      <c r="B946" s="17" t="n">
        <f aca="false">B945+1</f>
        <v>46967</v>
      </c>
      <c r="C946" s="18" t="n">
        <f aca="false">MIN(ROUNDUP(A946/365,0),5)</f>
        <v>3</v>
      </c>
      <c r="D946" s="18" t="n">
        <f aca="false">DATEDIF(Assumptions!B5,B946,"m")+1</f>
        <v>32</v>
      </c>
      <c r="E946" s="18" t="str">
        <f aca="false">TEXT(B946,"ddd")</f>
        <v>Wed</v>
      </c>
      <c r="F946" s="19" t="n">
        <f aca="false">IF(WEEKDAY(B946,2)&gt;=6,Assumptions!B34,Assumptions!B35)</f>
        <v>1</v>
      </c>
      <c r="G946" s="20" t="n">
        <f aca="false">IF(D946&gt;=13,(1+Assumptions!B46)^(D946-12),1)</f>
        <v>1.0617411762409</v>
      </c>
      <c r="H946" s="21" t="n">
        <f aca="false">H945*(1+IF(C946=1,Assumptions!B22,Assumptions!B23))</f>
        <v>22.8895710390892</v>
      </c>
      <c r="I946" s="16" t="n">
        <f aca="false">ROUND(H946*F946,0)</f>
        <v>23</v>
      </c>
      <c r="J946" s="22" t="n">
        <f aca="false">I946*Assumptions!B24</f>
        <v>13800</v>
      </c>
      <c r="K946" s="21" t="n">
        <f aca="false">K945*(1+Assumptions!B30)</f>
        <v>17.8907702001829</v>
      </c>
      <c r="L946" s="16" t="n">
        <f aca="false">ROUND(K946*F946,0)</f>
        <v>18</v>
      </c>
      <c r="M946" s="22" t="n">
        <f aca="false">L946*Assumptions!B31</f>
        <v>5400</v>
      </c>
      <c r="N946" s="22" t="n">
        <f aca="false">J946+M946</f>
        <v>19200</v>
      </c>
      <c r="O946" s="22" t="n">
        <f aca="false">IF(DAY(B946)=1,Assumptions!B38*G946,0)</f>
        <v>0</v>
      </c>
      <c r="P946" s="22" t="n">
        <f aca="false">IF(DAY(B946)=1,Assumptions!B39*G946,0)</f>
        <v>0</v>
      </c>
      <c r="Q946" s="22" t="n">
        <f aca="false">IF(DAY(B946)=1,Assumptions!B40*G946,0)</f>
        <v>0</v>
      </c>
      <c r="R946" s="22" t="n">
        <f aca="false">IF(DAY(B946)=1,Assumptions!B41*G946,0)</f>
        <v>0</v>
      </c>
      <c r="S946" s="22" t="n">
        <f aca="false">IF(AND(DAY(B946)=1,D946&gt;=13),Assumptions!B42*G946,0)</f>
        <v>0</v>
      </c>
      <c r="T946" s="22" t="n">
        <f aca="false">IF(DAY(B946)=1,Assumptions!B43*G946,0)</f>
        <v>0</v>
      </c>
      <c r="U946" s="22" t="n">
        <f aca="false">SUM(O946:T946)</f>
        <v>0</v>
      </c>
      <c r="V946" s="22" t="n">
        <f aca="false">N946-U946</f>
        <v>19200</v>
      </c>
      <c r="W946" s="22" t="n">
        <f aca="false">W945+V946</f>
        <v>-2385174.63518154</v>
      </c>
      <c r="X946" s="23" t="str">
        <f aca="false">IF(W946&gt;=0,"YES","No")</f>
        <v>No</v>
      </c>
    </row>
    <row r="947" customFormat="false" ht="15" hidden="false" customHeight="false" outlineLevel="0" collapsed="false">
      <c r="A947" s="16" t="n">
        <v>946</v>
      </c>
      <c r="B947" s="17" t="n">
        <f aca="false">B946+1</f>
        <v>46968</v>
      </c>
      <c r="C947" s="18" t="n">
        <f aca="false">MIN(ROUNDUP(A947/365,0),5)</f>
        <v>3</v>
      </c>
      <c r="D947" s="18" t="n">
        <f aca="false">DATEDIF(Assumptions!B5,B947,"m")+1</f>
        <v>32</v>
      </c>
      <c r="E947" s="18" t="str">
        <f aca="false">TEXT(B947,"ddd")</f>
        <v>Thu</v>
      </c>
      <c r="F947" s="19" t="n">
        <f aca="false">IF(WEEKDAY(B947,2)&gt;=6,Assumptions!B34,Assumptions!B35)</f>
        <v>1</v>
      </c>
      <c r="G947" s="20" t="n">
        <f aca="false">IF(D947&gt;=13,(1+Assumptions!B46)^(D947-12),1)</f>
        <v>1.0617411762409</v>
      </c>
      <c r="H947" s="21" t="n">
        <f aca="false">H946*(1+IF(C947=1,Assumptions!B22,Assumptions!B23))</f>
        <v>22.893321763101</v>
      </c>
      <c r="I947" s="16" t="n">
        <f aca="false">ROUND(H947*F947,0)</f>
        <v>23</v>
      </c>
      <c r="J947" s="22" t="n">
        <f aca="false">I947*Assumptions!B24</f>
        <v>13800</v>
      </c>
      <c r="K947" s="21" t="n">
        <f aca="false">K946*(1+Assumptions!B30)</f>
        <v>17.8966193520102</v>
      </c>
      <c r="L947" s="16" t="n">
        <f aca="false">ROUND(K947*F947,0)</f>
        <v>18</v>
      </c>
      <c r="M947" s="22" t="n">
        <f aca="false">L947*Assumptions!B31</f>
        <v>5400</v>
      </c>
      <c r="N947" s="22" t="n">
        <f aca="false">J947+M947</f>
        <v>19200</v>
      </c>
      <c r="O947" s="22" t="n">
        <f aca="false">IF(DAY(B947)=1,Assumptions!B38*G947,0)</f>
        <v>0</v>
      </c>
      <c r="P947" s="22" t="n">
        <f aca="false">IF(DAY(B947)=1,Assumptions!B39*G947,0)</f>
        <v>0</v>
      </c>
      <c r="Q947" s="22" t="n">
        <f aca="false">IF(DAY(B947)=1,Assumptions!B40*G947,0)</f>
        <v>0</v>
      </c>
      <c r="R947" s="22" t="n">
        <f aca="false">IF(DAY(B947)=1,Assumptions!B41*G947,0)</f>
        <v>0</v>
      </c>
      <c r="S947" s="22" t="n">
        <f aca="false">IF(AND(DAY(B947)=1,D947&gt;=13),Assumptions!B42*G947,0)</f>
        <v>0</v>
      </c>
      <c r="T947" s="22" t="n">
        <f aca="false">IF(DAY(B947)=1,Assumptions!B43*G947,0)</f>
        <v>0</v>
      </c>
      <c r="U947" s="22" t="n">
        <f aca="false">SUM(O947:T947)</f>
        <v>0</v>
      </c>
      <c r="V947" s="22" t="n">
        <f aca="false">N947-U947</f>
        <v>19200</v>
      </c>
      <c r="W947" s="22" t="n">
        <f aca="false">W946+V947</f>
        <v>-2365974.63518154</v>
      </c>
      <c r="X947" s="23" t="str">
        <f aca="false">IF(W947&gt;=0,"YES","No")</f>
        <v>No</v>
      </c>
    </row>
    <row r="948" customFormat="false" ht="15" hidden="false" customHeight="false" outlineLevel="0" collapsed="false">
      <c r="A948" s="16" t="n">
        <v>947</v>
      </c>
      <c r="B948" s="17" t="n">
        <f aca="false">B947+1</f>
        <v>46969</v>
      </c>
      <c r="C948" s="18" t="n">
        <f aca="false">MIN(ROUNDUP(A948/365,0),5)</f>
        <v>3</v>
      </c>
      <c r="D948" s="18" t="n">
        <f aca="false">DATEDIF(Assumptions!B5,B948,"m")+1</f>
        <v>32</v>
      </c>
      <c r="E948" s="18" t="str">
        <f aca="false">TEXT(B948,"ddd")</f>
        <v>Fri</v>
      </c>
      <c r="F948" s="19" t="n">
        <f aca="false">IF(WEEKDAY(B948,2)&gt;=6,Assumptions!B34,Assumptions!B35)</f>
        <v>1</v>
      </c>
      <c r="G948" s="20" t="n">
        <f aca="false">IF(D948&gt;=13,(1+Assumptions!B46)^(D948-12),1)</f>
        <v>1.0617411762409</v>
      </c>
      <c r="H948" s="21" t="n">
        <f aca="false">H947*(1+IF(C948=1,Assumptions!B22,Assumptions!B23))</f>
        <v>22.8970731017128</v>
      </c>
      <c r="I948" s="16" t="n">
        <f aca="false">ROUND(H948*F948,0)</f>
        <v>23</v>
      </c>
      <c r="J948" s="22" t="n">
        <f aca="false">I948*Assumptions!B24</f>
        <v>13800</v>
      </c>
      <c r="K948" s="21" t="n">
        <f aca="false">K947*(1+Assumptions!B30)</f>
        <v>17.9024704161407</v>
      </c>
      <c r="L948" s="16" t="n">
        <f aca="false">ROUND(K948*F948,0)</f>
        <v>18</v>
      </c>
      <c r="M948" s="22" t="n">
        <f aca="false">L948*Assumptions!B31</f>
        <v>5400</v>
      </c>
      <c r="N948" s="22" t="n">
        <f aca="false">J948+M948</f>
        <v>19200</v>
      </c>
      <c r="O948" s="22" t="n">
        <f aca="false">IF(DAY(B948)=1,Assumptions!B38*G948,0)</f>
        <v>0</v>
      </c>
      <c r="P948" s="22" t="n">
        <f aca="false">IF(DAY(B948)=1,Assumptions!B39*G948,0)</f>
        <v>0</v>
      </c>
      <c r="Q948" s="22" t="n">
        <f aca="false">IF(DAY(B948)=1,Assumptions!B40*G948,0)</f>
        <v>0</v>
      </c>
      <c r="R948" s="22" t="n">
        <f aca="false">IF(DAY(B948)=1,Assumptions!B41*G948,0)</f>
        <v>0</v>
      </c>
      <c r="S948" s="22" t="n">
        <f aca="false">IF(AND(DAY(B948)=1,D948&gt;=13),Assumptions!B42*G948,0)</f>
        <v>0</v>
      </c>
      <c r="T948" s="22" t="n">
        <f aca="false">IF(DAY(B948)=1,Assumptions!B43*G948,0)</f>
        <v>0</v>
      </c>
      <c r="U948" s="22" t="n">
        <f aca="false">SUM(O948:T948)</f>
        <v>0</v>
      </c>
      <c r="V948" s="22" t="n">
        <f aca="false">N948-U948</f>
        <v>19200</v>
      </c>
      <c r="W948" s="22" t="n">
        <f aca="false">W947+V948</f>
        <v>-2346774.63518154</v>
      </c>
      <c r="X948" s="23" t="str">
        <f aca="false">IF(W948&gt;=0,"YES","No")</f>
        <v>No</v>
      </c>
    </row>
    <row r="949" customFormat="false" ht="15" hidden="false" customHeight="false" outlineLevel="0" collapsed="false">
      <c r="A949" s="16" t="n">
        <v>948</v>
      </c>
      <c r="B949" s="17" t="n">
        <f aca="false">B948+1</f>
        <v>46970</v>
      </c>
      <c r="C949" s="18" t="n">
        <f aca="false">MIN(ROUNDUP(A949/365,0),5)</f>
        <v>3</v>
      </c>
      <c r="D949" s="18" t="n">
        <f aca="false">DATEDIF(Assumptions!B5,B949,"m")+1</f>
        <v>32</v>
      </c>
      <c r="E949" s="18" t="str">
        <f aca="false">TEXT(B949,"ddd")</f>
        <v>Sat</v>
      </c>
      <c r="F949" s="19" t="n">
        <f aca="false">IF(WEEKDAY(B949,2)&gt;=6,Assumptions!B34,Assumptions!B35)</f>
        <v>0.6</v>
      </c>
      <c r="G949" s="20" t="n">
        <f aca="false">IF(D949&gt;=13,(1+Assumptions!B46)^(D949-12),1)</f>
        <v>1.0617411762409</v>
      </c>
      <c r="H949" s="21" t="n">
        <f aca="false">H948*(1+IF(C949=1,Assumptions!B22,Assumptions!B23))</f>
        <v>22.9008250550252</v>
      </c>
      <c r="I949" s="16" t="n">
        <f aca="false">ROUND(H949*F949,0)</f>
        <v>14</v>
      </c>
      <c r="J949" s="22" t="n">
        <f aca="false">I949*Assumptions!B24</f>
        <v>8400</v>
      </c>
      <c r="K949" s="21" t="n">
        <f aca="false">K948*(1+Assumptions!B30)</f>
        <v>17.9083233931996</v>
      </c>
      <c r="L949" s="16" t="n">
        <f aca="false">ROUND(K949*F949,0)</f>
        <v>11</v>
      </c>
      <c r="M949" s="22" t="n">
        <f aca="false">L949*Assumptions!B31</f>
        <v>3300</v>
      </c>
      <c r="N949" s="22" t="n">
        <f aca="false">J949+M949</f>
        <v>11700</v>
      </c>
      <c r="O949" s="22" t="n">
        <f aca="false">IF(DAY(B949)=1,Assumptions!B38*G949,0)</f>
        <v>0</v>
      </c>
      <c r="P949" s="22" t="n">
        <f aca="false">IF(DAY(B949)=1,Assumptions!B39*G949,0)</f>
        <v>0</v>
      </c>
      <c r="Q949" s="22" t="n">
        <f aca="false">IF(DAY(B949)=1,Assumptions!B40*G949,0)</f>
        <v>0</v>
      </c>
      <c r="R949" s="22" t="n">
        <f aca="false">IF(DAY(B949)=1,Assumptions!B41*G949,0)</f>
        <v>0</v>
      </c>
      <c r="S949" s="22" t="n">
        <f aca="false">IF(AND(DAY(B949)=1,D949&gt;=13),Assumptions!B42*G949,0)</f>
        <v>0</v>
      </c>
      <c r="T949" s="22" t="n">
        <f aca="false">IF(DAY(B949)=1,Assumptions!B43*G949,0)</f>
        <v>0</v>
      </c>
      <c r="U949" s="22" t="n">
        <f aca="false">SUM(O949:T949)</f>
        <v>0</v>
      </c>
      <c r="V949" s="22" t="n">
        <f aca="false">N949-U949</f>
        <v>11700</v>
      </c>
      <c r="W949" s="22" t="n">
        <f aca="false">W948+V949</f>
        <v>-2335074.63518154</v>
      </c>
      <c r="X949" s="23" t="str">
        <f aca="false">IF(W949&gt;=0,"YES","No")</f>
        <v>No</v>
      </c>
    </row>
    <row r="950" customFormat="false" ht="15" hidden="false" customHeight="false" outlineLevel="0" collapsed="false">
      <c r="A950" s="16" t="n">
        <v>949</v>
      </c>
      <c r="B950" s="17" t="n">
        <f aca="false">B949+1</f>
        <v>46971</v>
      </c>
      <c r="C950" s="18" t="n">
        <f aca="false">MIN(ROUNDUP(A950/365,0),5)</f>
        <v>3</v>
      </c>
      <c r="D950" s="18" t="n">
        <f aca="false">DATEDIF(Assumptions!B5,B950,"m")+1</f>
        <v>32</v>
      </c>
      <c r="E950" s="18" t="str">
        <f aca="false">TEXT(B950,"ddd")</f>
        <v>Sun</v>
      </c>
      <c r="F950" s="19" t="n">
        <f aca="false">IF(WEEKDAY(B950,2)&gt;=6,Assumptions!B34,Assumptions!B35)</f>
        <v>0.6</v>
      </c>
      <c r="G950" s="20" t="n">
        <f aca="false">IF(D950&gt;=13,(1+Assumptions!B46)^(D950-12),1)</f>
        <v>1.0617411762409</v>
      </c>
      <c r="H950" s="21" t="n">
        <f aca="false">H949*(1+IF(C950=1,Assumptions!B22,Assumptions!B23))</f>
        <v>22.9045776231392</v>
      </c>
      <c r="I950" s="16" t="n">
        <f aca="false">ROUND(H950*F950,0)</f>
        <v>14</v>
      </c>
      <c r="J950" s="22" t="n">
        <f aca="false">I950*Assumptions!B24</f>
        <v>8400</v>
      </c>
      <c r="K950" s="21" t="n">
        <f aca="false">K949*(1+Assumptions!B30)</f>
        <v>17.9141782838122</v>
      </c>
      <c r="L950" s="16" t="n">
        <f aca="false">ROUND(K950*F950,0)</f>
        <v>11</v>
      </c>
      <c r="M950" s="22" t="n">
        <f aca="false">L950*Assumptions!B31</f>
        <v>3300</v>
      </c>
      <c r="N950" s="22" t="n">
        <f aca="false">J950+M950</f>
        <v>11700</v>
      </c>
      <c r="O950" s="22" t="n">
        <f aca="false">IF(DAY(B950)=1,Assumptions!B38*G950,0)</f>
        <v>0</v>
      </c>
      <c r="P950" s="22" t="n">
        <f aca="false">IF(DAY(B950)=1,Assumptions!B39*G950,0)</f>
        <v>0</v>
      </c>
      <c r="Q950" s="22" t="n">
        <f aca="false">IF(DAY(B950)=1,Assumptions!B40*G950,0)</f>
        <v>0</v>
      </c>
      <c r="R950" s="22" t="n">
        <f aca="false">IF(DAY(B950)=1,Assumptions!B41*G950,0)</f>
        <v>0</v>
      </c>
      <c r="S950" s="22" t="n">
        <f aca="false">IF(AND(DAY(B950)=1,D950&gt;=13),Assumptions!B42*G950,0)</f>
        <v>0</v>
      </c>
      <c r="T950" s="22" t="n">
        <f aca="false">IF(DAY(B950)=1,Assumptions!B43*G950,0)</f>
        <v>0</v>
      </c>
      <c r="U950" s="22" t="n">
        <f aca="false">SUM(O950:T950)</f>
        <v>0</v>
      </c>
      <c r="V950" s="22" t="n">
        <f aca="false">N950-U950</f>
        <v>11700</v>
      </c>
      <c r="W950" s="22" t="n">
        <f aca="false">W949+V950</f>
        <v>-2323374.63518154</v>
      </c>
      <c r="X950" s="23" t="str">
        <f aca="false">IF(W950&gt;=0,"YES","No")</f>
        <v>No</v>
      </c>
    </row>
    <row r="951" customFormat="false" ht="15" hidden="false" customHeight="false" outlineLevel="0" collapsed="false">
      <c r="A951" s="16" t="n">
        <v>950</v>
      </c>
      <c r="B951" s="17" t="n">
        <f aca="false">B950+1</f>
        <v>46972</v>
      </c>
      <c r="C951" s="18" t="n">
        <f aca="false">MIN(ROUNDUP(A951/365,0),5)</f>
        <v>3</v>
      </c>
      <c r="D951" s="18" t="n">
        <f aca="false">DATEDIF(Assumptions!B5,B951,"m")+1</f>
        <v>32</v>
      </c>
      <c r="E951" s="18" t="str">
        <f aca="false">TEXT(B951,"ddd")</f>
        <v>Mon</v>
      </c>
      <c r="F951" s="19" t="n">
        <f aca="false">IF(WEEKDAY(B951,2)&gt;=6,Assumptions!B34,Assumptions!B35)</f>
        <v>1</v>
      </c>
      <c r="G951" s="20" t="n">
        <f aca="false">IF(D951&gt;=13,(1+Assumptions!B46)^(D951-12),1)</f>
        <v>1.0617411762409</v>
      </c>
      <c r="H951" s="21" t="n">
        <f aca="false">H950*(1+IF(C951=1,Assumptions!B22,Assumptions!B23))</f>
        <v>22.9083308061553</v>
      </c>
      <c r="I951" s="16" t="n">
        <f aca="false">ROUND(H951*F951,0)</f>
        <v>23</v>
      </c>
      <c r="J951" s="22" t="n">
        <f aca="false">I951*Assumptions!B24</f>
        <v>13800</v>
      </c>
      <c r="K951" s="21" t="n">
        <f aca="false">K950*(1+Assumptions!B30)</f>
        <v>17.9200350886044</v>
      </c>
      <c r="L951" s="16" t="n">
        <f aca="false">ROUND(K951*F951,0)</f>
        <v>18</v>
      </c>
      <c r="M951" s="22" t="n">
        <f aca="false">L951*Assumptions!B31</f>
        <v>5400</v>
      </c>
      <c r="N951" s="22" t="n">
        <f aca="false">J951+M951</f>
        <v>19200</v>
      </c>
      <c r="O951" s="22" t="n">
        <f aca="false">IF(DAY(B951)=1,Assumptions!B38*G951,0)</f>
        <v>0</v>
      </c>
      <c r="P951" s="22" t="n">
        <f aca="false">IF(DAY(B951)=1,Assumptions!B39*G951,0)</f>
        <v>0</v>
      </c>
      <c r="Q951" s="22" t="n">
        <f aca="false">IF(DAY(B951)=1,Assumptions!B40*G951,0)</f>
        <v>0</v>
      </c>
      <c r="R951" s="22" t="n">
        <f aca="false">IF(DAY(B951)=1,Assumptions!B41*G951,0)</f>
        <v>0</v>
      </c>
      <c r="S951" s="22" t="n">
        <f aca="false">IF(AND(DAY(B951)=1,D951&gt;=13),Assumptions!B42*G951,0)</f>
        <v>0</v>
      </c>
      <c r="T951" s="22" t="n">
        <f aca="false">IF(DAY(B951)=1,Assumptions!B43*G951,0)</f>
        <v>0</v>
      </c>
      <c r="U951" s="22" t="n">
        <f aca="false">SUM(O951:T951)</f>
        <v>0</v>
      </c>
      <c r="V951" s="22" t="n">
        <f aca="false">N951-U951</f>
        <v>19200</v>
      </c>
      <c r="W951" s="22" t="n">
        <f aca="false">W950+V951</f>
        <v>-2304174.63518154</v>
      </c>
      <c r="X951" s="23" t="str">
        <f aca="false">IF(W951&gt;=0,"YES","No")</f>
        <v>No</v>
      </c>
    </row>
    <row r="952" customFormat="false" ht="15" hidden="false" customHeight="false" outlineLevel="0" collapsed="false">
      <c r="A952" s="16" t="n">
        <v>951</v>
      </c>
      <c r="B952" s="17" t="n">
        <f aca="false">B951+1</f>
        <v>46973</v>
      </c>
      <c r="C952" s="18" t="n">
        <f aca="false">MIN(ROUNDUP(A952/365,0),5)</f>
        <v>3</v>
      </c>
      <c r="D952" s="18" t="n">
        <f aca="false">DATEDIF(Assumptions!B5,B952,"m")+1</f>
        <v>32</v>
      </c>
      <c r="E952" s="18" t="str">
        <f aca="false">TEXT(B952,"ddd")</f>
        <v>Tue</v>
      </c>
      <c r="F952" s="19" t="n">
        <f aca="false">IF(WEEKDAY(B952,2)&gt;=6,Assumptions!B34,Assumptions!B35)</f>
        <v>1</v>
      </c>
      <c r="G952" s="20" t="n">
        <f aca="false">IF(D952&gt;=13,(1+Assumptions!B46)^(D952-12),1)</f>
        <v>1.0617411762409</v>
      </c>
      <c r="H952" s="21" t="n">
        <f aca="false">H951*(1+IF(C952=1,Assumptions!B22,Assumptions!B23))</f>
        <v>22.9120846041744</v>
      </c>
      <c r="I952" s="16" t="n">
        <f aca="false">ROUND(H952*F952,0)</f>
        <v>23</v>
      </c>
      <c r="J952" s="22" t="n">
        <f aca="false">I952*Assumptions!B24</f>
        <v>13800</v>
      </c>
      <c r="K952" s="21" t="n">
        <f aca="false">K951*(1+Assumptions!B30)</f>
        <v>17.9258938082017</v>
      </c>
      <c r="L952" s="16" t="n">
        <f aca="false">ROUND(K952*F952,0)</f>
        <v>18</v>
      </c>
      <c r="M952" s="22" t="n">
        <f aca="false">L952*Assumptions!B31</f>
        <v>5400</v>
      </c>
      <c r="N952" s="22" t="n">
        <f aca="false">J952+M952</f>
        <v>19200</v>
      </c>
      <c r="O952" s="22" t="n">
        <f aca="false">IF(DAY(B952)=1,Assumptions!B38*G952,0)</f>
        <v>0</v>
      </c>
      <c r="P952" s="22" t="n">
        <f aca="false">IF(DAY(B952)=1,Assumptions!B39*G952,0)</f>
        <v>0</v>
      </c>
      <c r="Q952" s="22" t="n">
        <f aca="false">IF(DAY(B952)=1,Assumptions!B40*G952,0)</f>
        <v>0</v>
      </c>
      <c r="R952" s="22" t="n">
        <f aca="false">IF(DAY(B952)=1,Assumptions!B41*G952,0)</f>
        <v>0</v>
      </c>
      <c r="S952" s="22" t="n">
        <f aca="false">IF(AND(DAY(B952)=1,D952&gt;=13),Assumptions!B42*G952,0)</f>
        <v>0</v>
      </c>
      <c r="T952" s="22" t="n">
        <f aca="false">IF(DAY(B952)=1,Assumptions!B43*G952,0)</f>
        <v>0</v>
      </c>
      <c r="U952" s="22" t="n">
        <f aca="false">SUM(O952:T952)</f>
        <v>0</v>
      </c>
      <c r="V952" s="22" t="n">
        <f aca="false">N952-U952</f>
        <v>19200</v>
      </c>
      <c r="W952" s="22" t="n">
        <f aca="false">W951+V952</f>
        <v>-2284974.63518154</v>
      </c>
      <c r="X952" s="23" t="str">
        <f aca="false">IF(W952&gt;=0,"YES","No")</f>
        <v>No</v>
      </c>
    </row>
    <row r="953" customFormat="false" ht="15" hidden="false" customHeight="false" outlineLevel="0" collapsed="false">
      <c r="A953" s="16" t="n">
        <v>952</v>
      </c>
      <c r="B953" s="17" t="n">
        <f aca="false">B952+1</f>
        <v>46974</v>
      </c>
      <c r="C953" s="18" t="n">
        <f aca="false">MIN(ROUNDUP(A953/365,0),5)</f>
        <v>3</v>
      </c>
      <c r="D953" s="18" t="n">
        <f aca="false">DATEDIF(Assumptions!B5,B953,"m")+1</f>
        <v>32</v>
      </c>
      <c r="E953" s="18" t="str">
        <f aca="false">TEXT(B953,"ddd")</f>
        <v>Wed</v>
      </c>
      <c r="F953" s="19" t="n">
        <f aca="false">IF(WEEKDAY(B953,2)&gt;=6,Assumptions!B34,Assumptions!B35)</f>
        <v>1</v>
      </c>
      <c r="G953" s="20" t="n">
        <f aca="false">IF(D953&gt;=13,(1+Assumptions!B46)^(D953-12),1)</f>
        <v>1.0617411762409</v>
      </c>
      <c r="H953" s="21" t="n">
        <f aca="false">H952*(1+IF(C953=1,Assumptions!B22,Assumptions!B23))</f>
        <v>22.9158390172971</v>
      </c>
      <c r="I953" s="16" t="n">
        <f aca="false">ROUND(H953*F953,0)</f>
        <v>23</v>
      </c>
      <c r="J953" s="22" t="n">
        <f aca="false">I953*Assumptions!B24</f>
        <v>13800</v>
      </c>
      <c r="K953" s="21" t="n">
        <f aca="false">K952*(1+Assumptions!B30)</f>
        <v>17.9317544432303</v>
      </c>
      <c r="L953" s="16" t="n">
        <f aca="false">ROUND(K953*F953,0)</f>
        <v>18</v>
      </c>
      <c r="M953" s="22" t="n">
        <f aca="false">L953*Assumptions!B31</f>
        <v>5400</v>
      </c>
      <c r="N953" s="22" t="n">
        <f aca="false">J953+M953</f>
        <v>19200</v>
      </c>
      <c r="O953" s="22" t="n">
        <f aca="false">IF(DAY(B953)=1,Assumptions!B38*G953,0)</f>
        <v>0</v>
      </c>
      <c r="P953" s="22" t="n">
        <f aca="false">IF(DAY(B953)=1,Assumptions!B39*G953,0)</f>
        <v>0</v>
      </c>
      <c r="Q953" s="22" t="n">
        <f aca="false">IF(DAY(B953)=1,Assumptions!B40*G953,0)</f>
        <v>0</v>
      </c>
      <c r="R953" s="22" t="n">
        <f aca="false">IF(DAY(B953)=1,Assumptions!B41*G953,0)</f>
        <v>0</v>
      </c>
      <c r="S953" s="22" t="n">
        <f aca="false">IF(AND(DAY(B953)=1,D953&gt;=13),Assumptions!B42*G953,0)</f>
        <v>0</v>
      </c>
      <c r="T953" s="22" t="n">
        <f aca="false">IF(DAY(B953)=1,Assumptions!B43*G953,0)</f>
        <v>0</v>
      </c>
      <c r="U953" s="22" t="n">
        <f aca="false">SUM(O953:T953)</f>
        <v>0</v>
      </c>
      <c r="V953" s="22" t="n">
        <f aca="false">N953-U953</f>
        <v>19200</v>
      </c>
      <c r="W953" s="22" t="n">
        <f aca="false">W952+V953</f>
        <v>-2265774.63518154</v>
      </c>
      <c r="X953" s="23" t="str">
        <f aca="false">IF(W953&gt;=0,"YES","No")</f>
        <v>No</v>
      </c>
    </row>
    <row r="954" customFormat="false" ht="15" hidden="false" customHeight="false" outlineLevel="0" collapsed="false">
      <c r="A954" s="16" t="n">
        <v>953</v>
      </c>
      <c r="B954" s="17" t="n">
        <f aca="false">B953+1</f>
        <v>46975</v>
      </c>
      <c r="C954" s="18" t="n">
        <f aca="false">MIN(ROUNDUP(A954/365,0),5)</f>
        <v>3</v>
      </c>
      <c r="D954" s="18" t="n">
        <f aca="false">DATEDIF(Assumptions!B5,B954,"m")+1</f>
        <v>32</v>
      </c>
      <c r="E954" s="18" t="str">
        <f aca="false">TEXT(B954,"ddd")</f>
        <v>Thu</v>
      </c>
      <c r="F954" s="19" t="n">
        <f aca="false">IF(WEEKDAY(B954,2)&gt;=6,Assumptions!B34,Assumptions!B35)</f>
        <v>1</v>
      </c>
      <c r="G954" s="20" t="n">
        <f aca="false">IF(D954&gt;=13,(1+Assumptions!B46)^(D954-12),1)</f>
        <v>1.0617411762409</v>
      </c>
      <c r="H954" s="21" t="n">
        <f aca="false">H953*(1+IF(C954=1,Assumptions!B22,Assumptions!B23))</f>
        <v>22.9195940456244</v>
      </c>
      <c r="I954" s="16" t="n">
        <f aca="false">ROUND(H954*F954,0)</f>
        <v>23</v>
      </c>
      <c r="J954" s="22" t="n">
        <f aca="false">I954*Assumptions!B24</f>
        <v>13800</v>
      </c>
      <c r="K954" s="21" t="n">
        <f aca="false">K953*(1+Assumptions!B30)</f>
        <v>17.9376169943164</v>
      </c>
      <c r="L954" s="16" t="n">
        <f aca="false">ROUND(K954*F954,0)</f>
        <v>18</v>
      </c>
      <c r="M954" s="22" t="n">
        <f aca="false">L954*Assumptions!B31</f>
        <v>5400</v>
      </c>
      <c r="N954" s="22" t="n">
        <f aca="false">J954+M954</f>
        <v>19200</v>
      </c>
      <c r="O954" s="22" t="n">
        <f aca="false">IF(DAY(B954)=1,Assumptions!B38*G954,0)</f>
        <v>0</v>
      </c>
      <c r="P954" s="22" t="n">
        <f aca="false">IF(DAY(B954)=1,Assumptions!B39*G954,0)</f>
        <v>0</v>
      </c>
      <c r="Q954" s="22" t="n">
        <f aca="false">IF(DAY(B954)=1,Assumptions!B40*G954,0)</f>
        <v>0</v>
      </c>
      <c r="R954" s="22" t="n">
        <f aca="false">IF(DAY(B954)=1,Assumptions!B41*G954,0)</f>
        <v>0</v>
      </c>
      <c r="S954" s="22" t="n">
        <f aca="false">IF(AND(DAY(B954)=1,D954&gt;=13),Assumptions!B42*G954,0)</f>
        <v>0</v>
      </c>
      <c r="T954" s="22" t="n">
        <f aca="false">IF(DAY(B954)=1,Assumptions!B43*G954,0)</f>
        <v>0</v>
      </c>
      <c r="U954" s="22" t="n">
        <f aca="false">SUM(O954:T954)</f>
        <v>0</v>
      </c>
      <c r="V954" s="22" t="n">
        <f aca="false">N954-U954</f>
        <v>19200</v>
      </c>
      <c r="W954" s="22" t="n">
        <f aca="false">W953+V954</f>
        <v>-2246574.63518154</v>
      </c>
      <c r="X954" s="23" t="str">
        <f aca="false">IF(W954&gt;=0,"YES","No")</f>
        <v>No</v>
      </c>
    </row>
    <row r="955" customFormat="false" ht="15" hidden="false" customHeight="false" outlineLevel="0" collapsed="false">
      <c r="A955" s="16" t="n">
        <v>954</v>
      </c>
      <c r="B955" s="17" t="n">
        <f aca="false">B954+1</f>
        <v>46976</v>
      </c>
      <c r="C955" s="18" t="n">
        <f aca="false">MIN(ROUNDUP(A955/365,0),5)</f>
        <v>3</v>
      </c>
      <c r="D955" s="18" t="n">
        <f aca="false">DATEDIF(Assumptions!B5,B955,"m")+1</f>
        <v>32</v>
      </c>
      <c r="E955" s="18" t="str">
        <f aca="false">TEXT(B955,"ddd")</f>
        <v>Fri</v>
      </c>
      <c r="F955" s="19" t="n">
        <f aca="false">IF(WEEKDAY(B955,2)&gt;=6,Assumptions!B34,Assumptions!B35)</f>
        <v>1</v>
      </c>
      <c r="G955" s="20" t="n">
        <f aca="false">IF(D955&gt;=13,(1+Assumptions!B46)^(D955-12),1)</f>
        <v>1.0617411762409</v>
      </c>
      <c r="H955" s="21" t="n">
        <f aca="false">H954*(1+IF(C955=1,Assumptions!B22,Assumptions!B23))</f>
        <v>22.9233496892571</v>
      </c>
      <c r="I955" s="16" t="n">
        <f aca="false">ROUND(H955*F955,0)</f>
        <v>23</v>
      </c>
      <c r="J955" s="22" t="n">
        <f aca="false">I955*Assumptions!B24</f>
        <v>13800</v>
      </c>
      <c r="K955" s="21" t="n">
        <f aca="false">K954*(1+Assumptions!B30)</f>
        <v>17.9434814620864</v>
      </c>
      <c r="L955" s="16" t="n">
        <f aca="false">ROUND(K955*F955,0)</f>
        <v>18</v>
      </c>
      <c r="M955" s="22" t="n">
        <f aca="false">L955*Assumptions!B31</f>
        <v>5400</v>
      </c>
      <c r="N955" s="22" t="n">
        <f aca="false">J955+M955</f>
        <v>19200</v>
      </c>
      <c r="O955" s="22" t="n">
        <f aca="false">IF(DAY(B955)=1,Assumptions!B38*G955,0)</f>
        <v>0</v>
      </c>
      <c r="P955" s="22" t="n">
        <f aca="false">IF(DAY(B955)=1,Assumptions!B39*G955,0)</f>
        <v>0</v>
      </c>
      <c r="Q955" s="22" t="n">
        <f aca="false">IF(DAY(B955)=1,Assumptions!B40*G955,0)</f>
        <v>0</v>
      </c>
      <c r="R955" s="22" t="n">
        <f aca="false">IF(DAY(B955)=1,Assumptions!B41*G955,0)</f>
        <v>0</v>
      </c>
      <c r="S955" s="22" t="n">
        <f aca="false">IF(AND(DAY(B955)=1,D955&gt;=13),Assumptions!B42*G955,0)</f>
        <v>0</v>
      </c>
      <c r="T955" s="22" t="n">
        <f aca="false">IF(DAY(B955)=1,Assumptions!B43*G955,0)</f>
        <v>0</v>
      </c>
      <c r="U955" s="22" t="n">
        <f aca="false">SUM(O955:T955)</f>
        <v>0</v>
      </c>
      <c r="V955" s="22" t="n">
        <f aca="false">N955-U955</f>
        <v>19200</v>
      </c>
      <c r="W955" s="22" t="n">
        <f aca="false">W954+V955</f>
        <v>-2227374.63518154</v>
      </c>
      <c r="X955" s="23" t="str">
        <f aca="false">IF(W955&gt;=0,"YES","No")</f>
        <v>No</v>
      </c>
    </row>
    <row r="956" customFormat="false" ht="15" hidden="false" customHeight="false" outlineLevel="0" collapsed="false">
      <c r="A956" s="16" t="n">
        <v>955</v>
      </c>
      <c r="B956" s="17" t="n">
        <f aca="false">B955+1</f>
        <v>46977</v>
      </c>
      <c r="C956" s="18" t="n">
        <f aca="false">MIN(ROUNDUP(A956/365,0),5)</f>
        <v>3</v>
      </c>
      <c r="D956" s="18" t="n">
        <f aca="false">DATEDIF(Assumptions!B5,B956,"m")+1</f>
        <v>32</v>
      </c>
      <c r="E956" s="18" t="str">
        <f aca="false">TEXT(B956,"ddd")</f>
        <v>Sat</v>
      </c>
      <c r="F956" s="19" t="n">
        <f aca="false">IF(WEEKDAY(B956,2)&gt;=6,Assumptions!B34,Assumptions!B35)</f>
        <v>0.6</v>
      </c>
      <c r="G956" s="20" t="n">
        <f aca="false">IF(D956&gt;=13,(1+Assumptions!B46)^(D956-12),1)</f>
        <v>1.0617411762409</v>
      </c>
      <c r="H956" s="21" t="n">
        <f aca="false">H955*(1+IF(C956=1,Assumptions!B22,Assumptions!B23))</f>
        <v>22.9271059482958</v>
      </c>
      <c r="I956" s="16" t="n">
        <f aca="false">ROUND(H956*F956,0)</f>
        <v>14</v>
      </c>
      <c r="J956" s="22" t="n">
        <f aca="false">I956*Assumptions!B24</f>
        <v>8400</v>
      </c>
      <c r="K956" s="21" t="n">
        <f aca="false">K955*(1+Assumptions!B30)</f>
        <v>17.9493478471669</v>
      </c>
      <c r="L956" s="16" t="n">
        <f aca="false">ROUND(K956*F956,0)</f>
        <v>11</v>
      </c>
      <c r="M956" s="22" t="n">
        <f aca="false">L956*Assumptions!B31</f>
        <v>3300</v>
      </c>
      <c r="N956" s="22" t="n">
        <f aca="false">J956+M956</f>
        <v>11700</v>
      </c>
      <c r="O956" s="22" t="n">
        <f aca="false">IF(DAY(B956)=1,Assumptions!B38*G956,0)</f>
        <v>0</v>
      </c>
      <c r="P956" s="22" t="n">
        <f aca="false">IF(DAY(B956)=1,Assumptions!B39*G956,0)</f>
        <v>0</v>
      </c>
      <c r="Q956" s="22" t="n">
        <f aca="false">IF(DAY(B956)=1,Assumptions!B40*G956,0)</f>
        <v>0</v>
      </c>
      <c r="R956" s="22" t="n">
        <f aca="false">IF(DAY(B956)=1,Assumptions!B41*G956,0)</f>
        <v>0</v>
      </c>
      <c r="S956" s="22" t="n">
        <f aca="false">IF(AND(DAY(B956)=1,D956&gt;=13),Assumptions!B42*G956,0)</f>
        <v>0</v>
      </c>
      <c r="T956" s="22" t="n">
        <f aca="false">IF(DAY(B956)=1,Assumptions!B43*G956,0)</f>
        <v>0</v>
      </c>
      <c r="U956" s="22" t="n">
        <f aca="false">SUM(O956:T956)</f>
        <v>0</v>
      </c>
      <c r="V956" s="22" t="n">
        <f aca="false">N956-U956</f>
        <v>11700</v>
      </c>
      <c r="W956" s="22" t="n">
        <f aca="false">W955+V956</f>
        <v>-2215674.63518154</v>
      </c>
      <c r="X956" s="23" t="str">
        <f aca="false">IF(W956&gt;=0,"YES","No")</f>
        <v>No</v>
      </c>
    </row>
    <row r="957" customFormat="false" ht="15" hidden="false" customHeight="false" outlineLevel="0" collapsed="false">
      <c r="A957" s="16" t="n">
        <v>956</v>
      </c>
      <c r="B957" s="17" t="n">
        <f aca="false">B956+1</f>
        <v>46978</v>
      </c>
      <c r="C957" s="18" t="n">
        <f aca="false">MIN(ROUNDUP(A957/365,0),5)</f>
        <v>3</v>
      </c>
      <c r="D957" s="18" t="n">
        <f aca="false">DATEDIF(Assumptions!B5,B957,"m")+1</f>
        <v>32</v>
      </c>
      <c r="E957" s="18" t="str">
        <f aca="false">TEXT(B957,"ddd")</f>
        <v>Sun</v>
      </c>
      <c r="F957" s="19" t="n">
        <f aca="false">IF(WEEKDAY(B957,2)&gt;=6,Assumptions!B34,Assumptions!B35)</f>
        <v>0.6</v>
      </c>
      <c r="G957" s="20" t="n">
        <f aca="false">IF(D957&gt;=13,(1+Assumptions!B46)^(D957-12),1)</f>
        <v>1.0617411762409</v>
      </c>
      <c r="H957" s="21" t="n">
        <f aca="false">H956*(1+IF(C957=1,Assumptions!B22,Assumptions!B23))</f>
        <v>22.9308628228416</v>
      </c>
      <c r="I957" s="16" t="n">
        <f aca="false">ROUND(H957*F957,0)</f>
        <v>14</v>
      </c>
      <c r="J957" s="22" t="n">
        <f aca="false">I957*Assumptions!B24</f>
        <v>8400</v>
      </c>
      <c r="K957" s="21" t="n">
        <f aca="false">K956*(1+Assumptions!B30)</f>
        <v>17.9552161501848</v>
      </c>
      <c r="L957" s="16" t="n">
        <f aca="false">ROUND(K957*F957,0)</f>
        <v>11</v>
      </c>
      <c r="M957" s="22" t="n">
        <f aca="false">L957*Assumptions!B31</f>
        <v>3300</v>
      </c>
      <c r="N957" s="22" t="n">
        <f aca="false">J957+M957</f>
        <v>11700</v>
      </c>
      <c r="O957" s="22" t="n">
        <f aca="false">IF(DAY(B957)=1,Assumptions!B38*G957,0)</f>
        <v>0</v>
      </c>
      <c r="P957" s="22" t="n">
        <f aca="false">IF(DAY(B957)=1,Assumptions!B39*G957,0)</f>
        <v>0</v>
      </c>
      <c r="Q957" s="22" t="n">
        <f aca="false">IF(DAY(B957)=1,Assumptions!B40*G957,0)</f>
        <v>0</v>
      </c>
      <c r="R957" s="22" t="n">
        <f aca="false">IF(DAY(B957)=1,Assumptions!B41*G957,0)</f>
        <v>0</v>
      </c>
      <c r="S957" s="22" t="n">
        <f aca="false">IF(AND(DAY(B957)=1,D957&gt;=13),Assumptions!B42*G957,0)</f>
        <v>0</v>
      </c>
      <c r="T957" s="22" t="n">
        <f aca="false">IF(DAY(B957)=1,Assumptions!B43*G957,0)</f>
        <v>0</v>
      </c>
      <c r="U957" s="22" t="n">
        <f aca="false">SUM(O957:T957)</f>
        <v>0</v>
      </c>
      <c r="V957" s="22" t="n">
        <f aca="false">N957-U957</f>
        <v>11700</v>
      </c>
      <c r="W957" s="22" t="n">
        <f aca="false">W956+V957</f>
        <v>-2203974.63518154</v>
      </c>
      <c r="X957" s="23" t="str">
        <f aca="false">IF(W957&gt;=0,"YES","No")</f>
        <v>No</v>
      </c>
    </row>
    <row r="958" customFormat="false" ht="15" hidden="false" customHeight="false" outlineLevel="0" collapsed="false">
      <c r="A958" s="16" t="n">
        <v>957</v>
      </c>
      <c r="B958" s="17" t="n">
        <f aca="false">B957+1</f>
        <v>46979</v>
      </c>
      <c r="C958" s="18" t="n">
        <f aca="false">MIN(ROUNDUP(A958/365,0),5)</f>
        <v>3</v>
      </c>
      <c r="D958" s="18" t="n">
        <f aca="false">DATEDIF(Assumptions!B5,B958,"m")+1</f>
        <v>32</v>
      </c>
      <c r="E958" s="18" t="str">
        <f aca="false">TEXT(B958,"ddd")</f>
        <v>Mon</v>
      </c>
      <c r="F958" s="19" t="n">
        <f aca="false">IF(WEEKDAY(B958,2)&gt;=6,Assumptions!B34,Assumptions!B35)</f>
        <v>1</v>
      </c>
      <c r="G958" s="20" t="n">
        <f aca="false">IF(D958&gt;=13,(1+Assumptions!B46)^(D958-12),1)</f>
        <v>1.0617411762409</v>
      </c>
      <c r="H958" s="21" t="n">
        <f aca="false">H957*(1+IF(C958=1,Assumptions!B22,Assumptions!B23))</f>
        <v>22.9346203129952</v>
      </c>
      <c r="I958" s="16" t="n">
        <f aca="false">ROUND(H958*F958,0)</f>
        <v>23</v>
      </c>
      <c r="J958" s="22" t="n">
        <f aca="false">I958*Assumptions!B24</f>
        <v>13800</v>
      </c>
      <c r="K958" s="21" t="n">
        <f aca="false">K957*(1+Assumptions!B30)</f>
        <v>17.9610863717672</v>
      </c>
      <c r="L958" s="16" t="n">
        <f aca="false">ROUND(K958*F958,0)</f>
        <v>18</v>
      </c>
      <c r="M958" s="22" t="n">
        <f aca="false">L958*Assumptions!B31</f>
        <v>5400</v>
      </c>
      <c r="N958" s="22" t="n">
        <f aca="false">J958+M958</f>
        <v>19200</v>
      </c>
      <c r="O958" s="22" t="n">
        <f aca="false">IF(DAY(B958)=1,Assumptions!B38*G958,0)</f>
        <v>0</v>
      </c>
      <c r="P958" s="22" t="n">
        <f aca="false">IF(DAY(B958)=1,Assumptions!B39*G958,0)</f>
        <v>0</v>
      </c>
      <c r="Q958" s="22" t="n">
        <f aca="false">IF(DAY(B958)=1,Assumptions!B40*G958,0)</f>
        <v>0</v>
      </c>
      <c r="R958" s="22" t="n">
        <f aca="false">IF(DAY(B958)=1,Assumptions!B41*G958,0)</f>
        <v>0</v>
      </c>
      <c r="S958" s="22" t="n">
        <f aca="false">IF(AND(DAY(B958)=1,D958&gt;=13),Assumptions!B42*G958,0)</f>
        <v>0</v>
      </c>
      <c r="T958" s="22" t="n">
        <f aca="false">IF(DAY(B958)=1,Assumptions!B43*G958,0)</f>
        <v>0</v>
      </c>
      <c r="U958" s="22" t="n">
        <f aca="false">SUM(O958:T958)</f>
        <v>0</v>
      </c>
      <c r="V958" s="22" t="n">
        <f aca="false">N958-U958</f>
        <v>19200</v>
      </c>
      <c r="W958" s="22" t="n">
        <f aca="false">W957+V958</f>
        <v>-2184774.63518154</v>
      </c>
      <c r="X958" s="23" t="str">
        <f aca="false">IF(W958&gt;=0,"YES","No")</f>
        <v>No</v>
      </c>
    </row>
    <row r="959" customFormat="false" ht="15" hidden="false" customHeight="false" outlineLevel="0" collapsed="false">
      <c r="A959" s="16" t="n">
        <v>958</v>
      </c>
      <c r="B959" s="17" t="n">
        <f aca="false">B958+1</f>
        <v>46980</v>
      </c>
      <c r="C959" s="18" t="n">
        <f aca="false">MIN(ROUNDUP(A959/365,0),5)</f>
        <v>3</v>
      </c>
      <c r="D959" s="18" t="n">
        <f aca="false">DATEDIF(Assumptions!B5,B959,"m")+1</f>
        <v>32</v>
      </c>
      <c r="E959" s="18" t="str">
        <f aca="false">TEXT(B959,"ddd")</f>
        <v>Tue</v>
      </c>
      <c r="F959" s="19" t="n">
        <f aca="false">IF(WEEKDAY(B959,2)&gt;=6,Assumptions!B34,Assumptions!B35)</f>
        <v>1</v>
      </c>
      <c r="G959" s="20" t="n">
        <f aca="false">IF(D959&gt;=13,(1+Assumptions!B46)^(D959-12),1)</f>
        <v>1.0617411762409</v>
      </c>
      <c r="H959" s="21" t="n">
        <f aca="false">H958*(1+IF(C959=1,Assumptions!B22,Assumptions!B23))</f>
        <v>22.9383784188576</v>
      </c>
      <c r="I959" s="16" t="n">
        <f aca="false">ROUND(H959*F959,0)</f>
        <v>23</v>
      </c>
      <c r="J959" s="22" t="n">
        <f aca="false">I959*Assumptions!B24</f>
        <v>13800</v>
      </c>
      <c r="K959" s="21" t="n">
        <f aca="false">K958*(1+Assumptions!B30)</f>
        <v>17.9669585125412</v>
      </c>
      <c r="L959" s="16" t="n">
        <f aca="false">ROUND(K959*F959,0)</f>
        <v>18</v>
      </c>
      <c r="M959" s="22" t="n">
        <f aca="false">L959*Assumptions!B31</f>
        <v>5400</v>
      </c>
      <c r="N959" s="22" t="n">
        <f aca="false">J959+M959</f>
        <v>19200</v>
      </c>
      <c r="O959" s="22" t="n">
        <f aca="false">IF(DAY(B959)=1,Assumptions!B38*G959,0)</f>
        <v>0</v>
      </c>
      <c r="P959" s="22" t="n">
        <f aca="false">IF(DAY(B959)=1,Assumptions!B39*G959,0)</f>
        <v>0</v>
      </c>
      <c r="Q959" s="22" t="n">
        <f aca="false">IF(DAY(B959)=1,Assumptions!B40*G959,0)</f>
        <v>0</v>
      </c>
      <c r="R959" s="22" t="n">
        <f aca="false">IF(DAY(B959)=1,Assumptions!B41*G959,0)</f>
        <v>0</v>
      </c>
      <c r="S959" s="22" t="n">
        <f aca="false">IF(AND(DAY(B959)=1,D959&gt;=13),Assumptions!B42*G959,0)</f>
        <v>0</v>
      </c>
      <c r="T959" s="22" t="n">
        <f aca="false">IF(DAY(B959)=1,Assumptions!B43*G959,0)</f>
        <v>0</v>
      </c>
      <c r="U959" s="22" t="n">
        <f aca="false">SUM(O959:T959)</f>
        <v>0</v>
      </c>
      <c r="V959" s="22" t="n">
        <f aca="false">N959-U959</f>
        <v>19200</v>
      </c>
      <c r="W959" s="22" t="n">
        <f aca="false">W958+V959</f>
        <v>-2165574.63518154</v>
      </c>
      <c r="X959" s="23" t="str">
        <f aca="false">IF(W959&gt;=0,"YES","No")</f>
        <v>No</v>
      </c>
    </row>
    <row r="960" customFormat="false" ht="15" hidden="false" customHeight="false" outlineLevel="0" collapsed="false">
      <c r="A960" s="16" t="n">
        <v>959</v>
      </c>
      <c r="B960" s="17" t="n">
        <f aca="false">B959+1</f>
        <v>46981</v>
      </c>
      <c r="C960" s="18" t="n">
        <f aca="false">MIN(ROUNDUP(A960/365,0),5)</f>
        <v>3</v>
      </c>
      <c r="D960" s="18" t="n">
        <f aca="false">DATEDIF(Assumptions!B5,B960,"m")+1</f>
        <v>32</v>
      </c>
      <c r="E960" s="18" t="str">
        <f aca="false">TEXT(B960,"ddd")</f>
        <v>Wed</v>
      </c>
      <c r="F960" s="19" t="n">
        <f aca="false">IF(WEEKDAY(B960,2)&gt;=6,Assumptions!B34,Assumptions!B35)</f>
        <v>1</v>
      </c>
      <c r="G960" s="20" t="n">
        <f aca="false">IF(D960&gt;=13,(1+Assumptions!B46)^(D960-12),1)</f>
        <v>1.0617411762409</v>
      </c>
      <c r="H960" s="21" t="n">
        <f aca="false">H959*(1+IF(C960=1,Assumptions!B22,Assumptions!B23))</f>
        <v>22.9421371405295</v>
      </c>
      <c r="I960" s="16" t="n">
        <f aca="false">ROUND(H960*F960,0)</f>
        <v>23</v>
      </c>
      <c r="J960" s="22" t="n">
        <f aca="false">I960*Assumptions!B24</f>
        <v>13800</v>
      </c>
      <c r="K960" s="21" t="n">
        <f aca="false">K959*(1+Assumptions!B30)</f>
        <v>17.9728325731344</v>
      </c>
      <c r="L960" s="16" t="n">
        <f aca="false">ROUND(K960*F960,0)</f>
        <v>18</v>
      </c>
      <c r="M960" s="22" t="n">
        <f aca="false">L960*Assumptions!B31</f>
        <v>5400</v>
      </c>
      <c r="N960" s="22" t="n">
        <f aca="false">J960+M960</f>
        <v>19200</v>
      </c>
      <c r="O960" s="22" t="n">
        <f aca="false">IF(DAY(B960)=1,Assumptions!B38*G960,0)</f>
        <v>0</v>
      </c>
      <c r="P960" s="22" t="n">
        <f aca="false">IF(DAY(B960)=1,Assumptions!B39*G960,0)</f>
        <v>0</v>
      </c>
      <c r="Q960" s="22" t="n">
        <f aca="false">IF(DAY(B960)=1,Assumptions!B40*G960,0)</f>
        <v>0</v>
      </c>
      <c r="R960" s="22" t="n">
        <f aca="false">IF(DAY(B960)=1,Assumptions!B41*G960,0)</f>
        <v>0</v>
      </c>
      <c r="S960" s="22" t="n">
        <f aca="false">IF(AND(DAY(B960)=1,D960&gt;=13),Assumptions!B42*G960,0)</f>
        <v>0</v>
      </c>
      <c r="T960" s="22" t="n">
        <f aca="false">IF(DAY(B960)=1,Assumptions!B43*G960,0)</f>
        <v>0</v>
      </c>
      <c r="U960" s="22" t="n">
        <f aca="false">SUM(O960:T960)</f>
        <v>0</v>
      </c>
      <c r="V960" s="22" t="n">
        <f aca="false">N960-U960</f>
        <v>19200</v>
      </c>
      <c r="W960" s="22" t="n">
        <f aca="false">W959+V960</f>
        <v>-2146374.63518154</v>
      </c>
      <c r="X960" s="23" t="str">
        <f aca="false">IF(W960&gt;=0,"YES","No")</f>
        <v>No</v>
      </c>
    </row>
    <row r="961" customFormat="false" ht="15" hidden="false" customHeight="false" outlineLevel="0" collapsed="false">
      <c r="A961" s="16" t="n">
        <v>960</v>
      </c>
      <c r="B961" s="17" t="n">
        <f aca="false">B960+1</f>
        <v>46982</v>
      </c>
      <c r="C961" s="18" t="n">
        <f aca="false">MIN(ROUNDUP(A961/365,0),5)</f>
        <v>3</v>
      </c>
      <c r="D961" s="18" t="n">
        <f aca="false">DATEDIF(Assumptions!B5,B961,"m")+1</f>
        <v>32</v>
      </c>
      <c r="E961" s="18" t="str">
        <f aca="false">TEXT(B961,"ddd")</f>
        <v>Thu</v>
      </c>
      <c r="F961" s="19" t="n">
        <f aca="false">IF(WEEKDAY(B961,2)&gt;=6,Assumptions!B34,Assumptions!B35)</f>
        <v>1</v>
      </c>
      <c r="G961" s="20" t="n">
        <f aca="false">IF(D961&gt;=13,(1+Assumptions!B46)^(D961-12),1)</f>
        <v>1.0617411762409</v>
      </c>
      <c r="H961" s="21" t="n">
        <f aca="false">H960*(1+IF(C961=1,Assumptions!B22,Assumptions!B23))</f>
        <v>22.945896478112</v>
      </c>
      <c r="I961" s="16" t="n">
        <f aca="false">ROUND(H961*F961,0)</f>
        <v>23</v>
      </c>
      <c r="J961" s="22" t="n">
        <f aca="false">I961*Assumptions!B24</f>
        <v>13800</v>
      </c>
      <c r="K961" s="21" t="n">
        <f aca="false">K960*(1+Assumptions!B30)</f>
        <v>17.9787085541743</v>
      </c>
      <c r="L961" s="16" t="n">
        <f aca="false">ROUND(K961*F961,0)</f>
        <v>18</v>
      </c>
      <c r="M961" s="22" t="n">
        <f aca="false">L961*Assumptions!B31</f>
        <v>5400</v>
      </c>
      <c r="N961" s="22" t="n">
        <f aca="false">J961+M961</f>
        <v>19200</v>
      </c>
      <c r="O961" s="22" t="n">
        <f aca="false">IF(DAY(B961)=1,Assumptions!B38*G961,0)</f>
        <v>0</v>
      </c>
      <c r="P961" s="22" t="n">
        <f aca="false">IF(DAY(B961)=1,Assumptions!B39*G961,0)</f>
        <v>0</v>
      </c>
      <c r="Q961" s="22" t="n">
        <f aca="false">IF(DAY(B961)=1,Assumptions!B40*G961,0)</f>
        <v>0</v>
      </c>
      <c r="R961" s="22" t="n">
        <f aca="false">IF(DAY(B961)=1,Assumptions!B41*G961,0)</f>
        <v>0</v>
      </c>
      <c r="S961" s="22" t="n">
        <f aca="false">IF(AND(DAY(B961)=1,D961&gt;=13),Assumptions!B42*G961,0)</f>
        <v>0</v>
      </c>
      <c r="T961" s="22" t="n">
        <f aca="false">IF(DAY(B961)=1,Assumptions!B43*G961,0)</f>
        <v>0</v>
      </c>
      <c r="U961" s="22" t="n">
        <f aca="false">SUM(O961:T961)</f>
        <v>0</v>
      </c>
      <c r="V961" s="22" t="n">
        <f aca="false">N961-U961</f>
        <v>19200</v>
      </c>
      <c r="W961" s="22" t="n">
        <f aca="false">W960+V961</f>
        <v>-2127174.63518154</v>
      </c>
      <c r="X961" s="23" t="str">
        <f aca="false">IF(W961&gt;=0,"YES","No")</f>
        <v>No</v>
      </c>
    </row>
    <row r="962" customFormat="false" ht="15" hidden="false" customHeight="false" outlineLevel="0" collapsed="false">
      <c r="A962" s="16" t="n">
        <v>961</v>
      </c>
      <c r="B962" s="17" t="n">
        <f aca="false">B961+1</f>
        <v>46983</v>
      </c>
      <c r="C962" s="18" t="n">
        <f aca="false">MIN(ROUNDUP(A962/365,0),5)</f>
        <v>3</v>
      </c>
      <c r="D962" s="18" t="n">
        <f aca="false">DATEDIF(Assumptions!B5,B962,"m")+1</f>
        <v>32</v>
      </c>
      <c r="E962" s="18" t="str">
        <f aca="false">TEXT(B962,"ddd")</f>
        <v>Fri</v>
      </c>
      <c r="F962" s="19" t="n">
        <f aca="false">IF(WEEKDAY(B962,2)&gt;=6,Assumptions!B34,Assumptions!B35)</f>
        <v>1</v>
      </c>
      <c r="G962" s="20" t="n">
        <f aca="false">IF(D962&gt;=13,(1+Assumptions!B46)^(D962-12),1)</f>
        <v>1.0617411762409</v>
      </c>
      <c r="H962" s="21" t="n">
        <f aca="false">H961*(1+IF(C962=1,Assumptions!B22,Assumptions!B23))</f>
        <v>22.9496564317059</v>
      </c>
      <c r="I962" s="16" t="n">
        <f aca="false">ROUND(H962*F962,0)</f>
        <v>23</v>
      </c>
      <c r="J962" s="22" t="n">
        <f aca="false">I962*Assumptions!B24</f>
        <v>13800</v>
      </c>
      <c r="K962" s="21" t="n">
        <f aca="false">K961*(1+Assumptions!B30)</f>
        <v>17.9845864562889</v>
      </c>
      <c r="L962" s="16" t="n">
        <f aca="false">ROUND(K962*F962,0)</f>
        <v>18</v>
      </c>
      <c r="M962" s="22" t="n">
        <f aca="false">L962*Assumptions!B31</f>
        <v>5400</v>
      </c>
      <c r="N962" s="22" t="n">
        <f aca="false">J962+M962</f>
        <v>19200</v>
      </c>
      <c r="O962" s="22" t="n">
        <f aca="false">IF(DAY(B962)=1,Assumptions!B38*G962,0)</f>
        <v>0</v>
      </c>
      <c r="P962" s="22" t="n">
        <f aca="false">IF(DAY(B962)=1,Assumptions!B39*G962,0)</f>
        <v>0</v>
      </c>
      <c r="Q962" s="22" t="n">
        <f aca="false">IF(DAY(B962)=1,Assumptions!B40*G962,0)</f>
        <v>0</v>
      </c>
      <c r="R962" s="22" t="n">
        <f aca="false">IF(DAY(B962)=1,Assumptions!B41*G962,0)</f>
        <v>0</v>
      </c>
      <c r="S962" s="22" t="n">
        <f aca="false">IF(AND(DAY(B962)=1,D962&gt;=13),Assumptions!B42*G962,0)</f>
        <v>0</v>
      </c>
      <c r="T962" s="22" t="n">
        <f aca="false">IF(DAY(B962)=1,Assumptions!B43*G962,0)</f>
        <v>0</v>
      </c>
      <c r="U962" s="22" t="n">
        <f aca="false">SUM(O962:T962)</f>
        <v>0</v>
      </c>
      <c r="V962" s="22" t="n">
        <f aca="false">N962-U962</f>
        <v>19200</v>
      </c>
      <c r="W962" s="22" t="n">
        <f aca="false">W961+V962</f>
        <v>-2107974.63518154</v>
      </c>
      <c r="X962" s="23" t="str">
        <f aca="false">IF(W962&gt;=0,"YES","No")</f>
        <v>No</v>
      </c>
    </row>
    <row r="963" customFormat="false" ht="15" hidden="false" customHeight="false" outlineLevel="0" collapsed="false">
      <c r="A963" s="16" t="n">
        <v>962</v>
      </c>
      <c r="B963" s="17" t="n">
        <f aca="false">B962+1</f>
        <v>46984</v>
      </c>
      <c r="C963" s="18" t="n">
        <f aca="false">MIN(ROUNDUP(A963/365,0),5)</f>
        <v>3</v>
      </c>
      <c r="D963" s="18" t="n">
        <f aca="false">DATEDIF(Assumptions!B5,B963,"m")+1</f>
        <v>32</v>
      </c>
      <c r="E963" s="18" t="str">
        <f aca="false">TEXT(B963,"ddd")</f>
        <v>Sat</v>
      </c>
      <c r="F963" s="19" t="n">
        <f aca="false">IF(WEEKDAY(B963,2)&gt;=6,Assumptions!B34,Assumptions!B35)</f>
        <v>0.6</v>
      </c>
      <c r="G963" s="20" t="n">
        <f aca="false">IF(D963&gt;=13,(1+Assumptions!B46)^(D963-12),1)</f>
        <v>1.0617411762409</v>
      </c>
      <c r="H963" s="21" t="n">
        <f aca="false">H962*(1+IF(C963=1,Assumptions!B22,Assumptions!B23))</f>
        <v>22.9534170014122</v>
      </c>
      <c r="I963" s="16" t="n">
        <f aca="false">ROUND(H963*F963,0)</f>
        <v>14</v>
      </c>
      <c r="J963" s="22" t="n">
        <f aca="false">I963*Assumptions!B24</f>
        <v>8400</v>
      </c>
      <c r="K963" s="21" t="n">
        <f aca="false">K962*(1+Assumptions!B30)</f>
        <v>17.9904662801063</v>
      </c>
      <c r="L963" s="16" t="n">
        <f aca="false">ROUND(K963*F963,0)</f>
        <v>11</v>
      </c>
      <c r="M963" s="22" t="n">
        <f aca="false">L963*Assumptions!B31</f>
        <v>3300</v>
      </c>
      <c r="N963" s="22" t="n">
        <f aca="false">J963+M963</f>
        <v>11700</v>
      </c>
      <c r="O963" s="22" t="n">
        <f aca="false">IF(DAY(B963)=1,Assumptions!B38*G963,0)</f>
        <v>0</v>
      </c>
      <c r="P963" s="22" t="n">
        <f aca="false">IF(DAY(B963)=1,Assumptions!B39*G963,0)</f>
        <v>0</v>
      </c>
      <c r="Q963" s="22" t="n">
        <f aca="false">IF(DAY(B963)=1,Assumptions!B40*G963,0)</f>
        <v>0</v>
      </c>
      <c r="R963" s="22" t="n">
        <f aca="false">IF(DAY(B963)=1,Assumptions!B41*G963,0)</f>
        <v>0</v>
      </c>
      <c r="S963" s="22" t="n">
        <f aca="false">IF(AND(DAY(B963)=1,D963&gt;=13),Assumptions!B42*G963,0)</f>
        <v>0</v>
      </c>
      <c r="T963" s="22" t="n">
        <f aca="false">IF(DAY(B963)=1,Assumptions!B43*G963,0)</f>
        <v>0</v>
      </c>
      <c r="U963" s="22" t="n">
        <f aca="false">SUM(O963:T963)</f>
        <v>0</v>
      </c>
      <c r="V963" s="22" t="n">
        <f aca="false">N963-U963</f>
        <v>11700</v>
      </c>
      <c r="W963" s="22" t="n">
        <f aca="false">W962+V963</f>
        <v>-2096274.63518154</v>
      </c>
      <c r="X963" s="23" t="str">
        <f aca="false">IF(W963&gt;=0,"YES","No")</f>
        <v>No</v>
      </c>
    </row>
    <row r="964" customFormat="false" ht="15" hidden="false" customHeight="false" outlineLevel="0" collapsed="false">
      <c r="A964" s="16" t="n">
        <v>963</v>
      </c>
      <c r="B964" s="17" t="n">
        <f aca="false">B963+1</f>
        <v>46985</v>
      </c>
      <c r="C964" s="18" t="n">
        <f aca="false">MIN(ROUNDUP(A964/365,0),5)</f>
        <v>3</v>
      </c>
      <c r="D964" s="18" t="n">
        <f aca="false">DATEDIF(Assumptions!B5,B964,"m")+1</f>
        <v>32</v>
      </c>
      <c r="E964" s="18" t="str">
        <f aca="false">TEXT(B964,"ddd")</f>
        <v>Sun</v>
      </c>
      <c r="F964" s="19" t="n">
        <f aca="false">IF(WEEKDAY(B964,2)&gt;=6,Assumptions!B34,Assumptions!B35)</f>
        <v>0.6</v>
      </c>
      <c r="G964" s="20" t="n">
        <f aca="false">IF(D964&gt;=13,(1+Assumptions!B46)^(D964-12),1)</f>
        <v>1.0617411762409</v>
      </c>
      <c r="H964" s="21" t="n">
        <f aca="false">H963*(1+IF(C964=1,Assumptions!B22,Assumptions!B23))</f>
        <v>22.9571781873318</v>
      </c>
      <c r="I964" s="16" t="n">
        <f aca="false">ROUND(H964*F964,0)</f>
        <v>14</v>
      </c>
      <c r="J964" s="22" t="n">
        <f aca="false">I964*Assumptions!B24</f>
        <v>8400</v>
      </c>
      <c r="K964" s="21" t="n">
        <f aca="false">K963*(1+Assumptions!B30)</f>
        <v>17.9963480262546</v>
      </c>
      <c r="L964" s="16" t="n">
        <f aca="false">ROUND(K964*F964,0)</f>
        <v>11</v>
      </c>
      <c r="M964" s="22" t="n">
        <f aca="false">L964*Assumptions!B31</f>
        <v>3300</v>
      </c>
      <c r="N964" s="22" t="n">
        <f aca="false">J964+M964</f>
        <v>11700</v>
      </c>
      <c r="O964" s="22" t="n">
        <f aca="false">IF(DAY(B964)=1,Assumptions!B38*G964,0)</f>
        <v>0</v>
      </c>
      <c r="P964" s="22" t="n">
        <f aca="false">IF(DAY(B964)=1,Assumptions!B39*G964,0)</f>
        <v>0</v>
      </c>
      <c r="Q964" s="22" t="n">
        <f aca="false">IF(DAY(B964)=1,Assumptions!B40*G964,0)</f>
        <v>0</v>
      </c>
      <c r="R964" s="22" t="n">
        <f aca="false">IF(DAY(B964)=1,Assumptions!B41*G964,0)</f>
        <v>0</v>
      </c>
      <c r="S964" s="22" t="n">
        <f aca="false">IF(AND(DAY(B964)=1,D964&gt;=13),Assumptions!B42*G964,0)</f>
        <v>0</v>
      </c>
      <c r="T964" s="22" t="n">
        <f aca="false">IF(DAY(B964)=1,Assumptions!B43*G964,0)</f>
        <v>0</v>
      </c>
      <c r="U964" s="22" t="n">
        <f aca="false">SUM(O964:T964)</f>
        <v>0</v>
      </c>
      <c r="V964" s="22" t="n">
        <f aca="false">N964-U964</f>
        <v>11700</v>
      </c>
      <c r="W964" s="22" t="n">
        <f aca="false">W963+V964</f>
        <v>-2084574.63518154</v>
      </c>
      <c r="X964" s="23" t="str">
        <f aca="false">IF(W964&gt;=0,"YES","No")</f>
        <v>No</v>
      </c>
    </row>
    <row r="965" customFormat="false" ht="15" hidden="false" customHeight="false" outlineLevel="0" collapsed="false">
      <c r="A965" s="16" t="n">
        <v>964</v>
      </c>
      <c r="B965" s="17" t="n">
        <f aca="false">B964+1</f>
        <v>46986</v>
      </c>
      <c r="C965" s="18" t="n">
        <f aca="false">MIN(ROUNDUP(A965/365,0),5)</f>
        <v>3</v>
      </c>
      <c r="D965" s="18" t="n">
        <f aca="false">DATEDIF(Assumptions!B5,B965,"m")+1</f>
        <v>32</v>
      </c>
      <c r="E965" s="18" t="str">
        <f aca="false">TEXT(B965,"ddd")</f>
        <v>Mon</v>
      </c>
      <c r="F965" s="19" t="n">
        <f aca="false">IF(WEEKDAY(B965,2)&gt;=6,Assumptions!B34,Assumptions!B35)</f>
        <v>1</v>
      </c>
      <c r="G965" s="20" t="n">
        <f aca="false">IF(D965&gt;=13,(1+Assumptions!B46)^(D965-12),1)</f>
        <v>1.0617411762409</v>
      </c>
      <c r="H965" s="21" t="n">
        <f aca="false">H964*(1+IF(C965=1,Assumptions!B22,Assumptions!B23))</f>
        <v>22.9609399895658</v>
      </c>
      <c r="I965" s="16" t="n">
        <f aca="false">ROUND(H965*F965,0)</f>
        <v>23</v>
      </c>
      <c r="J965" s="22" t="n">
        <f aca="false">I965*Assumptions!B24</f>
        <v>13800</v>
      </c>
      <c r="K965" s="21" t="n">
        <f aca="false">K964*(1+Assumptions!B30)</f>
        <v>18.0022316953625</v>
      </c>
      <c r="L965" s="16" t="n">
        <f aca="false">ROUND(K965*F965,0)</f>
        <v>18</v>
      </c>
      <c r="M965" s="22" t="n">
        <f aca="false">L965*Assumptions!B31</f>
        <v>5400</v>
      </c>
      <c r="N965" s="22" t="n">
        <f aca="false">J965+M965</f>
        <v>19200</v>
      </c>
      <c r="O965" s="22" t="n">
        <f aca="false">IF(DAY(B965)=1,Assumptions!B38*G965,0)</f>
        <v>0</v>
      </c>
      <c r="P965" s="22" t="n">
        <f aca="false">IF(DAY(B965)=1,Assumptions!B39*G965,0)</f>
        <v>0</v>
      </c>
      <c r="Q965" s="22" t="n">
        <f aca="false">IF(DAY(B965)=1,Assumptions!B40*G965,0)</f>
        <v>0</v>
      </c>
      <c r="R965" s="22" t="n">
        <f aca="false">IF(DAY(B965)=1,Assumptions!B41*G965,0)</f>
        <v>0</v>
      </c>
      <c r="S965" s="22" t="n">
        <f aca="false">IF(AND(DAY(B965)=1,D965&gt;=13),Assumptions!B42*G965,0)</f>
        <v>0</v>
      </c>
      <c r="T965" s="22" t="n">
        <f aca="false">IF(DAY(B965)=1,Assumptions!B43*G965,0)</f>
        <v>0</v>
      </c>
      <c r="U965" s="22" t="n">
        <f aca="false">SUM(O965:T965)</f>
        <v>0</v>
      </c>
      <c r="V965" s="22" t="n">
        <f aca="false">N965-U965</f>
        <v>19200</v>
      </c>
      <c r="W965" s="22" t="n">
        <f aca="false">W964+V965</f>
        <v>-2065374.63518154</v>
      </c>
      <c r="X965" s="23" t="str">
        <f aca="false">IF(W965&gt;=0,"YES","No")</f>
        <v>No</v>
      </c>
    </row>
    <row r="966" customFormat="false" ht="15" hidden="false" customHeight="false" outlineLevel="0" collapsed="false">
      <c r="A966" s="16" t="n">
        <v>965</v>
      </c>
      <c r="B966" s="17" t="n">
        <f aca="false">B965+1</f>
        <v>46987</v>
      </c>
      <c r="C966" s="18" t="n">
        <f aca="false">MIN(ROUNDUP(A966/365,0),5)</f>
        <v>3</v>
      </c>
      <c r="D966" s="18" t="n">
        <f aca="false">DATEDIF(Assumptions!B5,B966,"m")+1</f>
        <v>32</v>
      </c>
      <c r="E966" s="18" t="str">
        <f aca="false">TEXT(B966,"ddd")</f>
        <v>Tue</v>
      </c>
      <c r="F966" s="19" t="n">
        <f aca="false">IF(WEEKDAY(B966,2)&gt;=6,Assumptions!B34,Assumptions!B35)</f>
        <v>1</v>
      </c>
      <c r="G966" s="20" t="n">
        <f aca="false">IF(D966&gt;=13,(1+Assumptions!B46)^(D966-12),1)</f>
        <v>1.0617411762409</v>
      </c>
      <c r="H966" s="21" t="n">
        <f aca="false">H965*(1+IF(C966=1,Assumptions!B22,Assumptions!B23))</f>
        <v>22.9647024082151</v>
      </c>
      <c r="I966" s="16" t="n">
        <f aca="false">ROUND(H966*F966,0)</f>
        <v>23</v>
      </c>
      <c r="J966" s="22" t="n">
        <f aca="false">I966*Assumptions!B24</f>
        <v>13800</v>
      </c>
      <c r="K966" s="21" t="n">
        <f aca="false">K965*(1+Assumptions!B30)</f>
        <v>18.0081172880585</v>
      </c>
      <c r="L966" s="16" t="n">
        <f aca="false">ROUND(K966*F966,0)</f>
        <v>18</v>
      </c>
      <c r="M966" s="22" t="n">
        <f aca="false">L966*Assumptions!B31</f>
        <v>5400</v>
      </c>
      <c r="N966" s="22" t="n">
        <f aca="false">J966+M966</f>
        <v>19200</v>
      </c>
      <c r="O966" s="22" t="n">
        <f aca="false">IF(DAY(B966)=1,Assumptions!B38*G966,0)</f>
        <v>0</v>
      </c>
      <c r="P966" s="22" t="n">
        <f aca="false">IF(DAY(B966)=1,Assumptions!B39*G966,0)</f>
        <v>0</v>
      </c>
      <c r="Q966" s="22" t="n">
        <f aca="false">IF(DAY(B966)=1,Assumptions!B40*G966,0)</f>
        <v>0</v>
      </c>
      <c r="R966" s="22" t="n">
        <f aca="false">IF(DAY(B966)=1,Assumptions!B41*G966,0)</f>
        <v>0</v>
      </c>
      <c r="S966" s="22" t="n">
        <f aca="false">IF(AND(DAY(B966)=1,D966&gt;=13),Assumptions!B42*G966,0)</f>
        <v>0</v>
      </c>
      <c r="T966" s="22" t="n">
        <f aca="false">IF(DAY(B966)=1,Assumptions!B43*G966,0)</f>
        <v>0</v>
      </c>
      <c r="U966" s="22" t="n">
        <f aca="false">SUM(O966:T966)</f>
        <v>0</v>
      </c>
      <c r="V966" s="22" t="n">
        <f aca="false">N966-U966</f>
        <v>19200</v>
      </c>
      <c r="W966" s="22" t="n">
        <f aca="false">W965+V966</f>
        <v>-2046174.63518154</v>
      </c>
      <c r="X966" s="23" t="str">
        <f aca="false">IF(W966&gt;=0,"YES","No")</f>
        <v>No</v>
      </c>
    </row>
    <row r="967" customFormat="false" ht="15" hidden="false" customHeight="false" outlineLevel="0" collapsed="false">
      <c r="A967" s="16" t="n">
        <v>966</v>
      </c>
      <c r="B967" s="17" t="n">
        <f aca="false">B966+1</f>
        <v>46988</v>
      </c>
      <c r="C967" s="18" t="n">
        <f aca="false">MIN(ROUNDUP(A967/365,0),5)</f>
        <v>3</v>
      </c>
      <c r="D967" s="18" t="n">
        <f aca="false">DATEDIF(Assumptions!B5,B967,"m")+1</f>
        <v>32</v>
      </c>
      <c r="E967" s="18" t="str">
        <f aca="false">TEXT(B967,"ddd")</f>
        <v>Wed</v>
      </c>
      <c r="F967" s="19" t="n">
        <f aca="false">IF(WEEKDAY(B967,2)&gt;=6,Assumptions!B34,Assumptions!B35)</f>
        <v>1</v>
      </c>
      <c r="G967" s="20" t="n">
        <f aca="false">IF(D967&gt;=13,(1+Assumptions!B46)^(D967-12),1)</f>
        <v>1.0617411762409</v>
      </c>
      <c r="H967" s="21" t="n">
        <f aca="false">H966*(1+IF(C967=1,Assumptions!B22,Assumptions!B23))</f>
        <v>22.9684654433807</v>
      </c>
      <c r="I967" s="16" t="n">
        <f aca="false">ROUND(H967*F967,0)</f>
        <v>23</v>
      </c>
      <c r="J967" s="22" t="n">
        <f aca="false">I967*Assumptions!B24</f>
        <v>13800</v>
      </c>
      <c r="K967" s="21" t="n">
        <f aca="false">K966*(1+Assumptions!B30)</f>
        <v>18.0140048049715</v>
      </c>
      <c r="L967" s="16" t="n">
        <f aca="false">ROUND(K967*F967,0)</f>
        <v>18</v>
      </c>
      <c r="M967" s="22" t="n">
        <f aca="false">L967*Assumptions!B31</f>
        <v>5400</v>
      </c>
      <c r="N967" s="22" t="n">
        <f aca="false">J967+M967</f>
        <v>19200</v>
      </c>
      <c r="O967" s="22" t="n">
        <f aca="false">IF(DAY(B967)=1,Assumptions!B38*G967,0)</f>
        <v>0</v>
      </c>
      <c r="P967" s="22" t="n">
        <f aca="false">IF(DAY(B967)=1,Assumptions!B39*G967,0)</f>
        <v>0</v>
      </c>
      <c r="Q967" s="22" t="n">
        <f aca="false">IF(DAY(B967)=1,Assumptions!B40*G967,0)</f>
        <v>0</v>
      </c>
      <c r="R967" s="22" t="n">
        <f aca="false">IF(DAY(B967)=1,Assumptions!B41*G967,0)</f>
        <v>0</v>
      </c>
      <c r="S967" s="22" t="n">
        <f aca="false">IF(AND(DAY(B967)=1,D967&gt;=13),Assumptions!B42*G967,0)</f>
        <v>0</v>
      </c>
      <c r="T967" s="22" t="n">
        <f aca="false">IF(DAY(B967)=1,Assumptions!B43*G967,0)</f>
        <v>0</v>
      </c>
      <c r="U967" s="22" t="n">
        <f aca="false">SUM(O967:T967)</f>
        <v>0</v>
      </c>
      <c r="V967" s="22" t="n">
        <f aca="false">N967-U967</f>
        <v>19200</v>
      </c>
      <c r="W967" s="22" t="n">
        <f aca="false">W966+V967</f>
        <v>-2026974.63518154</v>
      </c>
      <c r="X967" s="23" t="str">
        <f aca="false">IF(W967&gt;=0,"YES","No")</f>
        <v>No</v>
      </c>
    </row>
    <row r="968" customFormat="false" ht="15" hidden="false" customHeight="false" outlineLevel="0" collapsed="false">
      <c r="A968" s="16" t="n">
        <v>967</v>
      </c>
      <c r="B968" s="17" t="n">
        <f aca="false">B967+1</f>
        <v>46989</v>
      </c>
      <c r="C968" s="18" t="n">
        <f aca="false">MIN(ROUNDUP(A968/365,0),5)</f>
        <v>3</v>
      </c>
      <c r="D968" s="18" t="n">
        <f aca="false">DATEDIF(Assumptions!B5,B968,"m")+1</f>
        <v>32</v>
      </c>
      <c r="E968" s="18" t="str">
        <f aca="false">TEXT(B968,"ddd")</f>
        <v>Thu</v>
      </c>
      <c r="F968" s="19" t="n">
        <f aca="false">IF(WEEKDAY(B968,2)&gt;=6,Assumptions!B34,Assumptions!B35)</f>
        <v>1</v>
      </c>
      <c r="G968" s="20" t="n">
        <f aca="false">IF(D968&gt;=13,(1+Assumptions!B46)^(D968-12),1)</f>
        <v>1.0617411762409</v>
      </c>
      <c r="H968" s="21" t="n">
        <f aca="false">H967*(1+IF(C968=1,Assumptions!B22,Assumptions!B23))</f>
        <v>22.9722290951636</v>
      </c>
      <c r="I968" s="16" t="n">
        <f aca="false">ROUND(H968*F968,0)</f>
        <v>23</v>
      </c>
      <c r="J968" s="22" t="n">
        <f aca="false">I968*Assumptions!B24</f>
        <v>13800</v>
      </c>
      <c r="K968" s="21" t="n">
        <f aca="false">K967*(1+Assumptions!B30)</f>
        <v>18.0198942467307</v>
      </c>
      <c r="L968" s="16" t="n">
        <f aca="false">ROUND(K968*F968,0)</f>
        <v>18</v>
      </c>
      <c r="M968" s="22" t="n">
        <f aca="false">L968*Assumptions!B31</f>
        <v>5400</v>
      </c>
      <c r="N968" s="22" t="n">
        <f aca="false">J968+M968</f>
        <v>19200</v>
      </c>
      <c r="O968" s="22" t="n">
        <f aca="false">IF(DAY(B968)=1,Assumptions!B38*G968,0)</f>
        <v>0</v>
      </c>
      <c r="P968" s="22" t="n">
        <f aca="false">IF(DAY(B968)=1,Assumptions!B39*G968,0)</f>
        <v>0</v>
      </c>
      <c r="Q968" s="22" t="n">
        <f aca="false">IF(DAY(B968)=1,Assumptions!B40*G968,0)</f>
        <v>0</v>
      </c>
      <c r="R968" s="22" t="n">
        <f aca="false">IF(DAY(B968)=1,Assumptions!B41*G968,0)</f>
        <v>0</v>
      </c>
      <c r="S968" s="22" t="n">
        <f aca="false">IF(AND(DAY(B968)=1,D968&gt;=13),Assumptions!B42*G968,0)</f>
        <v>0</v>
      </c>
      <c r="T968" s="22" t="n">
        <f aca="false">IF(DAY(B968)=1,Assumptions!B43*G968,0)</f>
        <v>0</v>
      </c>
      <c r="U968" s="22" t="n">
        <f aca="false">SUM(O968:T968)</f>
        <v>0</v>
      </c>
      <c r="V968" s="22" t="n">
        <f aca="false">N968-U968</f>
        <v>19200</v>
      </c>
      <c r="W968" s="22" t="n">
        <f aca="false">W967+V968</f>
        <v>-2007774.63518154</v>
      </c>
      <c r="X968" s="23" t="str">
        <f aca="false">IF(W968&gt;=0,"YES","No")</f>
        <v>No</v>
      </c>
    </row>
    <row r="969" customFormat="false" ht="15" hidden="false" customHeight="false" outlineLevel="0" collapsed="false">
      <c r="A969" s="16" t="n">
        <v>968</v>
      </c>
      <c r="B969" s="17" t="n">
        <f aca="false">B968+1</f>
        <v>46990</v>
      </c>
      <c r="C969" s="18" t="n">
        <f aca="false">MIN(ROUNDUP(A969/365,0),5)</f>
        <v>3</v>
      </c>
      <c r="D969" s="18" t="n">
        <f aca="false">DATEDIF(Assumptions!B5,B969,"m")+1</f>
        <v>32</v>
      </c>
      <c r="E969" s="18" t="str">
        <f aca="false">TEXT(B969,"ddd")</f>
        <v>Fri</v>
      </c>
      <c r="F969" s="19" t="n">
        <f aca="false">IF(WEEKDAY(B969,2)&gt;=6,Assumptions!B34,Assumptions!B35)</f>
        <v>1</v>
      </c>
      <c r="G969" s="20" t="n">
        <f aca="false">IF(D969&gt;=13,(1+Assumptions!B46)^(D969-12),1)</f>
        <v>1.0617411762409</v>
      </c>
      <c r="H969" s="21" t="n">
        <f aca="false">H968*(1+IF(C969=1,Assumptions!B22,Assumptions!B23))</f>
        <v>22.9759933636649</v>
      </c>
      <c r="I969" s="16" t="n">
        <f aca="false">ROUND(H969*F969,0)</f>
        <v>23</v>
      </c>
      <c r="J969" s="22" t="n">
        <f aca="false">I969*Assumptions!B24</f>
        <v>13800</v>
      </c>
      <c r="K969" s="21" t="n">
        <f aca="false">K968*(1+Assumptions!B30)</f>
        <v>18.0257856139654</v>
      </c>
      <c r="L969" s="16" t="n">
        <f aca="false">ROUND(K969*F969,0)</f>
        <v>18</v>
      </c>
      <c r="M969" s="22" t="n">
        <f aca="false">L969*Assumptions!B31</f>
        <v>5400</v>
      </c>
      <c r="N969" s="22" t="n">
        <f aca="false">J969+M969</f>
        <v>19200</v>
      </c>
      <c r="O969" s="22" t="n">
        <f aca="false">IF(DAY(B969)=1,Assumptions!B38*G969,0)</f>
        <v>0</v>
      </c>
      <c r="P969" s="22" t="n">
        <f aca="false">IF(DAY(B969)=1,Assumptions!B39*G969,0)</f>
        <v>0</v>
      </c>
      <c r="Q969" s="22" t="n">
        <f aca="false">IF(DAY(B969)=1,Assumptions!B40*G969,0)</f>
        <v>0</v>
      </c>
      <c r="R969" s="22" t="n">
        <f aca="false">IF(DAY(B969)=1,Assumptions!B41*G969,0)</f>
        <v>0</v>
      </c>
      <c r="S969" s="22" t="n">
        <f aca="false">IF(AND(DAY(B969)=1,D969&gt;=13),Assumptions!B42*G969,0)</f>
        <v>0</v>
      </c>
      <c r="T969" s="22" t="n">
        <f aca="false">IF(DAY(B969)=1,Assumptions!B43*G969,0)</f>
        <v>0</v>
      </c>
      <c r="U969" s="22" t="n">
        <f aca="false">SUM(O969:T969)</f>
        <v>0</v>
      </c>
      <c r="V969" s="22" t="n">
        <f aca="false">N969-U969</f>
        <v>19200</v>
      </c>
      <c r="W969" s="22" t="n">
        <f aca="false">W968+V969</f>
        <v>-1988574.63518154</v>
      </c>
      <c r="X969" s="23" t="str">
        <f aca="false">IF(W969&gt;=0,"YES","No")</f>
        <v>No</v>
      </c>
    </row>
    <row r="970" customFormat="false" ht="15" hidden="false" customHeight="false" outlineLevel="0" collapsed="false">
      <c r="A970" s="16" t="n">
        <v>969</v>
      </c>
      <c r="B970" s="17" t="n">
        <f aca="false">B969+1</f>
        <v>46991</v>
      </c>
      <c r="C970" s="18" t="n">
        <f aca="false">MIN(ROUNDUP(A970/365,0),5)</f>
        <v>3</v>
      </c>
      <c r="D970" s="18" t="n">
        <f aca="false">DATEDIF(Assumptions!B5,B970,"m")+1</f>
        <v>32</v>
      </c>
      <c r="E970" s="18" t="str">
        <f aca="false">TEXT(B970,"ddd")</f>
        <v>Sat</v>
      </c>
      <c r="F970" s="19" t="n">
        <f aca="false">IF(WEEKDAY(B970,2)&gt;=6,Assumptions!B34,Assumptions!B35)</f>
        <v>0.6</v>
      </c>
      <c r="G970" s="20" t="n">
        <f aca="false">IF(D970&gt;=13,(1+Assumptions!B46)^(D970-12),1)</f>
        <v>1.0617411762409</v>
      </c>
      <c r="H970" s="21" t="n">
        <f aca="false">H969*(1+IF(C970=1,Assumptions!B22,Assumptions!B23))</f>
        <v>22.9797582489856</v>
      </c>
      <c r="I970" s="16" t="n">
        <f aca="false">ROUND(H970*F970,0)</f>
        <v>14</v>
      </c>
      <c r="J970" s="22" t="n">
        <f aca="false">I970*Assumptions!B24</f>
        <v>8400</v>
      </c>
      <c r="K970" s="21" t="n">
        <f aca="false">K969*(1+Assumptions!B30)</f>
        <v>18.0316789073051</v>
      </c>
      <c r="L970" s="16" t="n">
        <f aca="false">ROUND(K970*F970,0)</f>
        <v>11</v>
      </c>
      <c r="M970" s="22" t="n">
        <f aca="false">L970*Assumptions!B31</f>
        <v>3300</v>
      </c>
      <c r="N970" s="22" t="n">
        <f aca="false">J970+M970</f>
        <v>11700</v>
      </c>
      <c r="O970" s="22" t="n">
        <f aca="false">IF(DAY(B970)=1,Assumptions!B38*G970,0)</f>
        <v>0</v>
      </c>
      <c r="P970" s="22" t="n">
        <f aca="false">IF(DAY(B970)=1,Assumptions!B39*G970,0)</f>
        <v>0</v>
      </c>
      <c r="Q970" s="22" t="n">
        <f aca="false">IF(DAY(B970)=1,Assumptions!B40*G970,0)</f>
        <v>0</v>
      </c>
      <c r="R970" s="22" t="n">
        <f aca="false">IF(DAY(B970)=1,Assumptions!B41*G970,0)</f>
        <v>0</v>
      </c>
      <c r="S970" s="22" t="n">
        <f aca="false">IF(AND(DAY(B970)=1,D970&gt;=13),Assumptions!B42*G970,0)</f>
        <v>0</v>
      </c>
      <c r="T970" s="22" t="n">
        <f aca="false">IF(DAY(B970)=1,Assumptions!B43*G970,0)</f>
        <v>0</v>
      </c>
      <c r="U970" s="22" t="n">
        <f aca="false">SUM(O970:T970)</f>
        <v>0</v>
      </c>
      <c r="V970" s="22" t="n">
        <f aca="false">N970-U970</f>
        <v>11700</v>
      </c>
      <c r="W970" s="22" t="n">
        <f aca="false">W969+V970</f>
        <v>-1976874.63518154</v>
      </c>
      <c r="X970" s="23" t="str">
        <f aca="false">IF(W970&gt;=0,"YES","No")</f>
        <v>No</v>
      </c>
    </row>
    <row r="971" customFormat="false" ht="15" hidden="false" customHeight="false" outlineLevel="0" collapsed="false">
      <c r="A971" s="16" t="n">
        <v>970</v>
      </c>
      <c r="B971" s="17" t="n">
        <f aca="false">B970+1</f>
        <v>46992</v>
      </c>
      <c r="C971" s="18" t="n">
        <f aca="false">MIN(ROUNDUP(A971/365,0),5)</f>
        <v>3</v>
      </c>
      <c r="D971" s="18" t="n">
        <f aca="false">DATEDIF(Assumptions!B5,B971,"m")+1</f>
        <v>32</v>
      </c>
      <c r="E971" s="18" t="str">
        <f aca="false">TEXT(B971,"ddd")</f>
        <v>Sun</v>
      </c>
      <c r="F971" s="19" t="n">
        <f aca="false">IF(WEEKDAY(B971,2)&gt;=6,Assumptions!B34,Assumptions!B35)</f>
        <v>0.6</v>
      </c>
      <c r="G971" s="20" t="n">
        <f aca="false">IF(D971&gt;=13,(1+Assumptions!B46)^(D971-12),1)</f>
        <v>1.0617411762409</v>
      </c>
      <c r="H971" s="21" t="n">
        <f aca="false">H970*(1+IF(C971=1,Assumptions!B22,Assumptions!B23))</f>
        <v>22.9835237512268</v>
      </c>
      <c r="I971" s="16" t="n">
        <f aca="false">ROUND(H971*F971,0)</f>
        <v>14</v>
      </c>
      <c r="J971" s="22" t="n">
        <f aca="false">I971*Assumptions!B24</f>
        <v>8400</v>
      </c>
      <c r="K971" s="21" t="n">
        <f aca="false">K970*(1+Assumptions!B30)</f>
        <v>18.0375741273794</v>
      </c>
      <c r="L971" s="16" t="n">
        <f aca="false">ROUND(K971*F971,0)</f>
        <v>11</v>
      </c>
      <c r="M971" s="22" t="n">
        <f aca="false">L971*Assumptions!B31</f>
        <v>3300</v>
      </c>
      <c r="N971" s="22" t="n">
        <f aca="false">J971+M971</f>
        <v>11700</v>
      </c>
      <c r="O971" s="22" t="n">
        <f aca="false">IF(DAY(B971)=1,Assumptions!B38*G971,0)</f>
        <v>0</v>
      </c>
      <c r="P971" s="22" t="n">
        <f aca="false">IF(DAY(B971)=1,Assumptions!B39*G971,0)</f>
        <v>0</v>
      </c>
      <c r="Q971" s="22" t="n">
        <f aca="false">IF(DAY(B971)=1,Assumptions!B40*G971,0)</f>
        <v>0</v>
      </c>
      <c r="R971" s="22" t="n">
        <f aca="false">IF(DAY(B971)=1,Assumptions!B41*G971,0)</f>
        <v>0</v>
      </c>
      <c r="S971" s="22" t="n">
        <f aca="false">IF(AND(DAY(B971)=1,D971&gt;=13),Assumptions!B42*G971,0)</f>
        <v>0</v>
      </c>
      <c r="T971" s="22" t="n">
        <f aca="false">IF(DAY(B971)=1,Assumptions!B43*G971,0)</f>
        <v>0</v>
      </c>
      <c r="U971" s="22" t="n">
        <f aca="false">SUM(O971:T971)</f>
        <v>0</v>
      </c>
      <c r="V971" s="22" t="n">
        <f aca="false">N971-U971</f>
        <v>11700</v>
      </c>
      <c r="W971" s="22" t="n">
        <f aca="false">W970+V971</f>
        <v>-1965174.63518154</v>
      </c>
      <c r="X971" s="23" t="str">
        <f aca="false">IF(W971&gt;=0,"YES","No")</f>
        <v>No</v>
      </c>
    </row>
    <row r="972" customFormat="false" ht="15" hidden="false" customHeight="false" outlineLevel="0" collapsed="false">
      <c r="A972" s="16" t="n">
        <v>971</v>
      </c>
      <c r="B972" s="17" t="n">
        <f aca="false">B971+1</f>
        <v>46993</v>
      </c>
      <c r="C972" s="18" t="n">
        <f aca="false">MIN(ROUNDUP(A972/365,0),5)</f>
        <v>3</v>
      </c>
      <c r="D972" s="18" t="n">
        <f aca="false">DATEDIF(Assumptions!B5,B972,"m")+1</f>
        <v>32</v>
      </c>
      <c r="E972" s="18" t="str">
        <f aca="false">TEXT(B972,"ddd")</f>
        <v>Mon</v>
      </c>
      <c r="F972" s="19" t="n">
        <f aca="false">IF(WEEKDAY(B972,2)&gt;=6,Assumptions!B34,Assumptions!B35)</f>
        <v>1</v>
      </c>
      <c r="G972" s="20" t="n">
        <f aca="false">IF(D972&gt;=13,(1+Assumptions!B46)^(D972-12),1)</f>
        <v>1.0617411762409</v>
      </c>
      <c r="H972" s="21" t="n">
        <f aca="false">H971*(1+IF(C972=1,Assumptions!B22,Assumptions!B23))</f>
        <v>22.9872898704897</v>
      </c>
      <c r="I972" s="16" t="n">
        <f aca="false">ROUND(H972*F972,0)</f>
        <v>23</v>
      </c>
      <c r="J972" s="22" t="n">
        <f aca="false">I972*Assumptions!B24</f>
        <v>13800</v>
      </c>
      <c r="K972" s="21" t="n">
        <f aca="false">K971*(1+Assumptions!B30)</f>
        <v>18.0434712748184</v>
      </c>
      <c r="L972" s="16" t="n">
        <f aca="false">ROUND(K972*F972,0)</f>
        <v>18</v>
      </c>
      <c r="M972" s="22" t="n">
        <f aca="false">L972*Assumptions!B31</f>
        <v>5400</v>
      </c>
      <c r="N972" s="22" t="n">
        <f aca="false">J972+M972</f>
        <v>19200</v>
      </c>
      <c r="O972" s="22" t="n">
        <f aca="false">IF(DAY(B972)=1,Assumptions!B38*G972,0)</f>
        <v>0</v>
      </c>
      <c r="P972" s="22" t="n">
        <f aca="false">IF(DAY(B972)=1,Assumptions!B39*G972,0)</f>
        <v>0</v>
      </c>
      <c r="Q972" s="22" t="n">
        <f aca="false">IF(DAY(B972)=1,Assumptions!B40*G972,0)</f>
        <v>0</v>
      </c>
      <c r="R972" s="22" t="n">
        <f aca="false">IF(DAY(B972)=1,Assumptions!B41*G972,0)</f>
        <v>0</v>
      </c>
      <c r="S972" s="22" t="n">
        <f aca="false">IF(AND(DAY(B972)=1,D972&gt;=13),Assumptions!B42*G972,0)</f>
        <v>0</v>
      </c>
      <c r="T972" s="22" t="n">
        <f aca="false">IF(DAY(B972)=1,Assumptions!B43*G972,0)</f>
        <v>0</v>
      </c>
      <c r="U972" s="22" t="n">
        <f aca="false">SUM(O972:T972)</f>
        <v>0</v>
      </c>
      <c r="V972" s="22" t="n">
        <f aca="false">N972-U972</f>
        <v>19200</v>
      </c>
      <c r="W972" s="22" t="n">
        <f aca="false">W971+V972</f>
        <v>-1945974.63518154</v>
      </c>
      <c r="X972" s="23" t="str">
        <f aca="false">IF(W972&gt;=0,"YES","No")</f>
        <v>No</v>
      </c>
    </row>
    <row r="973" customFormat="false" ht="15" hidden="false" customHeight="false" outlineLevel="0" collapsed="false">
      <c r="A973" s="16" t="n">
        <v>972</v>
      </c>
      <c r="B973" s="17" t="n">
        <f aca="false">B972+1</f>
        <v>46994</v>
      </c>
      <c r="C973" s="18" t="n">
        <f aca="false">MIN(ROUNDUP(A973/365,0),5)</f>
        <v>3</v>
      </c>
      <c r="D973" s="18" t="n">
        <f aca="false">DATEDIF(Assumptions!B5,B973,"m")+1</f>
        <v>32</v>
      </c>
      <c r="E973" s="18" t="str">
        <f aca="false">TEXT(B973,"ddd")</f>
        <v>Tue</v>
      </c>
      <c r="F973" s="19" t="n">
        <f aca="false">IF(WEEKDAY(B973,2)&gt;=6,Assumptions!B34,Assumptions!B35)</f>
        <v>1</v>
      </c>
      <c r="G973" s="20" t="n">
        <f aca="false">IF(D973&gt;=13,(1+Assumptions!B46)^(D973-12),1)</f>
        <v>1.0617411762409</v>
      </c>
      <c r="H973" s="21" t="n">
        <f aca="false">H972*(1+IF(C973=1,Assumptions!B22,Assumptions!B23))</f>
        <v>22.9910566068752</v>
      </c>
      <c r="I973" s="16" t="n">
        <f aca="false">ROUND(H973*F973,0)</f>
        <v>23</v>
      </c>
      <c r="J973" s="22" t="n">
        <f aca="false">I973*Assumptions!B24</f>
        <v>13800</v>
      </c>
      <c r="K973" s="21" t="n">
        <f aca="false">K972*(1+Assumptions!B30)</f>
        <v>18.049370350252</v>
      </c>
      <c r="L973" s="16" t="n">
        <f aca="false">ROUND(K973*F973,0)</f>
        <v>18</v>
      </c>
      <c r="M973" s="22" t="n">
        <f aca="false">L973*Assumptions!B31</f>
        <v>5400</v>
      </c>
      <c r="N973" s="22" t="n">
        <f aca="false">J973+M973</f>
        <v>19200</v>
      </c>
      <c r="O973" s="22" t="n">
        <f aca="false">IF(DAY(B973)=1,Assumptions!B38*G973,0)</f>
        <v>0</v>
      </c>
      <c r="P973" s="22" t="n">
        <f aca="false">IF(DAY(B973)=1,Assumptions!B39*G973,0)</f>
        <v>0</v>
      </c>
      <c r="Q973" s="22" t="n">
        <f aca="false">IF(DAY(B973)=1,Assumptions!B40*G973,0)</f>
        <v>0</v>
      </c>
      <c r="R973" s="22" t="n">
        <f aca="false">IF(DAY(B973)=1,Assumptions!B41*G973,0)</f>
        <v>0</v>
      </c>
      <c r="S973" s="22" t="n">
        <f aca="false">IF(AND(DAY(B973)=1,D973&gt;=13),Assumptions!B42*G973,0)</f>
        <v>0</v>
      </c>
      <c r="T973" s="22" t="n">
        <f aca="false">IF(DAY(B973)=1,Assumptions!B43*G973,0)</f>
        <v>0</v>
      </c>
      <c r="U973" s="22" t="n">
        <f aca="false">SUM(O973:T973)</f>
        <v>0</v>
      </c>
      <c r="V973" s="22" t="n">
        <f aca="false">N973-U973</f>
        <v>19200</v>
      </c>
      <c r="W973" s="22" t="n">
        <f aca="false">W972+V973</f>
        <v>-1926774.63518154</v>
      </c>
      <c r="X973" s="23" t="str">
        <f aca="false">IF(W973&gt;=0,"YES","No")</f>
        <v>No</v>
      </c>
    </row>
    <row r="974" customFormat="false" ht="15" hidden="false" customHeight="false" outlineLevel="0" collapsed="false">
      <c r="A974" s="16" t="n">
        <v>973</v>
      </c>
      <c r="B974" s="17" t="n">
        <f aca="false">B973+1</f>
        <v>46995</v>
      </c>
      <c r="C974" s="18" t="n">
        <f aca="false">MIN(ROUNDUP(A974/365,0),5)</f>
        <v>3</v>
      </c>
      <c r="D974" s="18" t="n">
        <f aca="false">DATEDIF(Assumptions!B5,B974,"m")+1</f>
        <v>32</v>
      </c>
      <c r="E974" s="18" t="str">
        <f aca="false">TEXT(B974,"ddd")</f>
        <v>Wed</v>
      </c>
      <c r="F974" s="19" t="n">
        <f aca="false">IF(WEEKDAY(B974,2)&gt;=6,Assumptions!B34,Assumptions!B35)</f>
        <v>1</v>
      </c>
      <c r="G974" s="20" t="n">
        <f aca="false">IF(D974&gt;=13,(1+Assumptions!B46)^(D974-12),1)</f>
        <v>1.0617411762409</v>
      </c>
      <c r="H974" s="21" t="n">
        <f aca="false">H973*(1+IF(C974=1,Assumptions!B22,Assumptions!B23))</f>
        <v>22.9948239604846</v>
      </c>
      <c r="I974" s="16" t="n">
        <f aca="false">ROUND(H974*F974,0)</f>
        <v>23</v>
      </c>
      <c r="J974" s="22" t="n">
        <f aca="false">I974*Assumptions!B24</f>
        <v>13800</v>
      </c>
      <c r="K974" s="21" t="n">
        <f aca="false">K973*(1+Assumptions!B30)</f>
        <v>18.0552713543108</v>
      </c>
      <c r="L974" s="16" t="n">
        <f aca="false">ROUND(K974*F974,0)</f>
        <v>18</v>
      </c>
      <c r="M974" s="22" t="n">
        <f aca="false">L974*Assumptions!B31</f>
        <v>5400</v>
      </c>
      <c r="N974" s="22" t="n">
        <f aca="false">J974+M974</f>
        <v>19200</v>
      </c>
      <c r="O974" s="22" t="n">
        <f aca="false">IF(DAY(B974)=1,Assumptions!B38*G974,0)</f>
        <v>0</v>
      </c>
      <c r="P974" s="22" t="n">
        <f aca="false">IF(DAY(B974)=1,Assumptions!B39*G974,0)</f>
        <v>0</v>
      </c>
      <c r="Q974" s="22" t="n">
        <f aca="false">IF(DAY(B974)=1,Assumptions!B40*G974,0)</f>
        <v>0</v>
      </c>
      <c r="R974" s="22" t="n">
        <f aca="false">IF(DAY(B974)=1,Assumptions!B41*G974,0)</f>
        <v>0</v>
      </c>
      <c r="S974" s="22" t="n">
        <f aca="false">IF(AND(DAY(B974)=1,D974&gt;=13),Assumptions!B42*G974,0)</f>
        <v>0</v>
      </c>
      <c r="T974" s="22" t="n">
        <f aca="false">IF(DAY(B974)=1,Assumptions!B43*G974,0)</f>
        <v>0</v>
      </c>
      <c r="U974" s="22" t="n">
        <f aca="false">SUM(O974:T974)</f>
        <v>0</v>
      </c>
      <c r="V974" s="22" t="n">
        <f aca="false">N974-U974</f>
        <v>19200</v>
      </c>
      <c r="W974" s="22" t="n">
        <f aca="false">W973+V974</f>
        <v>-1907574.63518154</v>
      </c>
      <c r="X974" s="23" t="str">
        <f aca="false">IF(W974&gt;=0,"YES","No")</f>
        <v>No</v>
      </c>
    </row>
    <row r="975" customFormat="false" ht="15" hidden="false" customHeight="false" outlineLevel="0" collapsed="false">
      <c r="A975" s="16" t="n">
        <v>974</v>
      </c>
      <c r="B975" s="17" t="n">
        <f aca="false">B974+1</f>
        <v>46996</v>
      </c>
      <c r="C975" s="18" t="n">
        <f aca="false">MIN(ROUNDUP(A975/365,0),5)</f>
        <v>3</v>
      </c>
      <c r="D975" s="18" t="n">
        <f aca="false">DATEDIF(Assumptions!B5,B975,"m")+1</f>
        <v>32</v>
      </c>
      <c r="E975" s="18" t="str">
        <f aca="false">TEXT(B975,"ddd")</f>
        <v>Thu</v>
      </c>
      <c r="F975" s="19" t="n">
        <f aca="false">IF(WEEKDAY(B975,2)&gt;=6,Assumptions!B34,Assumptions!B35)</f>
        <v>1</v>
      </c>
      <c r="G975" s="20" t="n">
        <f aca="false">IF(D975&gt;=13,(1+Assumptions!B46)^(D975-12),1)</f>
        <v>1.0617411762409</v>
      </c>
      <c r="H975" s="21" t="n">
        <f aca="false">H974*(1+IF(C975=1,Assumptions!B22,Assumptions!B23))</f>
        <v>22.9985919314189</v>
      </c>
      <c r="I975" s="16" t="n">
        <f aca="false">ROUND(H975*F975,0)</f>
        <v>23</v>
      </c>
      <c r="J975" s="22" t="n">
        <f aca="false">I975*Assumptions!B24</f>
        <v>13800</v>
      </c>
      <c r="K975" s="21" t="n">
        <f aca="false">K974*(1+Assumptions!B30)</f>
        <v>18.0611742876251</v>
      </c>
      <c r="L975" s="16" t="n">
        <f aca="false">ROUND(K975*F975,0)</f>
        <v>18</v>
      </c>
      <c r="M975" s="22" t="n">
        <f aca="false">L975*Assumptions!B31</f>
        <v>5400</v>
      </c>
      <c r="N975" s="22" t="n">
        <f aca="false">J975+M975</f>
        <v>19200</v>
      </c>
      <c r="O975" s="22" t="n">
        <f aca="false">IF(DAY(B975)=1,Assumptions!B38*G975,0)</f>
        <v>0</v>
      </c>
      <c r="P975" s="22" t="n">
        <f aca="false">IF(DAY(B975)=1,Assumptions!B39*G975,0)</f>
        <v>0</v>
      </c>
      <c r="Q975" s="22" t="n">
        <f aca="false">IF(DAY(B975)=1,Assumptions!B40*G975,0)</f>
        <v>0</v>
      </c>
      <c r="R975" s="22" t="n">
        <f aca="false">IF(DAY(B975)=1,Assumptions!B41*G975,0)</f>
        <v>0</v>
      </c>
      <c r="S975" s="22" t="n">
        <f aca="false">IF(AND(DAY(B975)=1,D975&gt;=13),Assumptions!B42*G975,0)</f>
        <v>0</v>
      </c>
      <c r="T975" s="22" t="n">
        <f aca="false">IF(DAY(B975)=1,Assumptions!B43*G975,0)</f>
        <v>0</v>
      </c>
      <c r="U975" s="22" t="n">
        <f aca="false">SUM(O975:T975)</f>
        <v>0</v>
      </c>
      <c r="V975" s="22" t="n">
        <f aca="false">N975-U975</f>
        <v>19200</v>
      </c>
      <c r="W975" s="22" t="n">
        <f aca="false">W974+V975</f>
        <v>-1888374.63518154</v>
      </c>
      <c r="X975" s="23" t="str">
        <f aca="false">IF(W975&gt;=0,"YES","No")</f>
        <v>No</v>
      </c>
    </row>
    <row r="976" customFormat="false" ht="15" hidden="false" customHeight="false" outlineLevel="0" collapsed="false">
      <c r="A976" s="16" t="n">
        <v>975</v>
      </c>
      <c r="B976" s="17" t="n">
        <f aca="false">B975+1</f>
        <v>46997</v>
      </c>
      <c r="C976" s="18" t="n">
        <f aca="false">MIN(ROUNDUP(A976/365,0),5)</f>
        <v>3</v>
      </c>
      <c r="D976" s="18" t="n">
        <f aca="false">DATEDIF(Assumptions!B5,B976,"m")+1</f>
        <v>33</v>
      </c>
      <c r="E976" s="18" t="str">
        <f aca="false">TEXT(B976,"ddd")</f>
        <v>Fri</v>
      </c>
      <c r="F976" s="19" t="n">
        <f aca="false">IF(WEEKDAY(B976,2)&gt;=6,Assumptions!B34,Assumptions!B35)</f>
        <v>1</v>
      </c>
      <c r="G976" s="20" t="n">
        <f aca="false">IF(D976&gt;=13,(1+Assumptions!B46)^(D976-12),1)</f>
        <v>1.06492639976962</v>
      </c>
      <c r="H976" s="21" t="n">
        <f aca="false">H975*(1+IF(C976=1,Assumptions!B22,Assumptions!B23))</f>
        <v>23.0023605197794</v>
      </c>
      <c r="I976" s="16" t="n">
        <f aca="false">ROUND(H976*F976,0)</f>
        <v>23</v>
      </c>
      <c r="J976" s="22" t="n">
        <f aca="false">I976*Assumptions!B24</f>
        <v>13800</v>
      </c>
      <c r="K976" s="21" t="n">
        <f aca="false">K975*(1+Assumptions!B30)</f>
        <v>18.0670791508258</v>
      </c>
      <c r="L976" s="16" t="n">
        <f aca="false">ROUND(K976*F976,0)</f>
        <v>18</v>
      </c>
      <c r="M976" s="22" t="n">
        <f aca="false">L976*Assumptions!B31</f>
        <v>5400</v>
      </c>
      <c r="N976" s="22" t="n">
        <f aca="false">J976+M976</f>
        <v>19200</v>
      </c>
      <c r="O976" s="22" t="n">
        <f aca="false">IF(DAY(B976)=1,Assumptions!B38*G976,0)</f>
        <v>159738.959965443</v>
      </c>
      <c r="P976" s="22" t="n">
        <f aca="false">IF(DAY(B976)=1,Assumptions!B39*G976,0)</f>
        <v>42597.0559907848</v>
      </c>
      <c r="Q976" s="22" t="n">
        <f aca="false">IF(DAY(B976)=1,Assumptions!B40*G976,0)</f>
        <v>31947.7919930886</v>
      </c>
      <c r="R976" s="22" t="n">
        <f aca="false">IF(DAY(B976)=1,Assumptions!B41*G976,0)</f>
        <v>21298.5279953924</v>
      </c>
      <c r="S976" s="22" t="n">
        <f aca="false">IF(AND(DAY(B976)=1,D976&gt;=13),Assumptions!B42*G976,0)</f>
        <v>159738.959965443</v>
      </c>
      <c r="T976" s="22" t="n">
        <f aca="false">IF(DAY(B976)=1,Assumptions!B43*G976,0)</f>
        <v>21298.5279953924</v>
      </c>
      <c r="U976" s="22" t="n">
        <f aca="false">SUM(O976:T976)</f>
        <v>436619.823905544</v>
      </c>
      <c r="V976" s="22" t="n">
        <f aca="false">N976-U976</f>
        <v>-417419.823905544</v>
      </c>
      <c r="W976" s="22" t="n">
        <f aca="false">W975+V976</f>
        <v>-2305794.45908709</v>
      </c>
      <c r="X976" s="23" t="str">
        <f aca="false">IF(W976&gt;=0,"YES","No")</f>
        <v>No</v>
      </c>
    </row>
    <row r="977" customFormat="false" ht="15" hidden="false" customHeight="false" outlineLevel="0" collapsed="false">
      <c r="A977" s="16" t="n">
        <v>976</v>
      </c>
      <c r="B977" s="17" t="n">
        <f aca="false">B976+1</f>
        <v>46998</v>
      </c>
      <c r="C977" s="18" t="n">
        <f aca="false">MIN(ROUNDUP(A977/365,0),5)</f>
        <v>3</v>
      </c>
      <c r="D977" s="18" t="n">
        <f aca="false">DATEDIF(Assumptions!B5,B977,"m")+1</f>
        <v>33</v>
      </c>
      <c r="E977" s="18" t="str">
        <f aca="false">TEXT(B977,"ddd")</f>
        <v>Sat</v>
      </c>
      <c r="F977" s="19" t="n">
        <f aca="false">IF(WEEKDAY(B977,2)&gt;=6,Assumptions!B34,Assumptions!B35)</f>
        <v>0.6</v>
      </c>
      <c r="G977" s="20" t="n">
        <f aca="false">IF(D977&gt;=13,(1+Assumptions!B46)^(D977-12),1)</f>
        <v>1.06492639976962</v>
      </c>
      <c r="H977" s="21" t="n">
        <f aca="false">H976*(1+IF(C977=1,Assumptions!B22,Assumptions!B23))</f>
        <v>23.0061297256671</v>
      </c>
      <c r="I977" s="16" t="n">
        <f aca="false">ROUND(H977*F977,0)</f>
        <v>14</v>
      </c>
      <c r="J977" s="22" t="n">
        <f aca="false">I977*Assumptions!B24</f>
        <v>8400</v>
      </c>
      <c r="K977" s="21" t="n">
        <f aca="false">K976*(1+Assumptions!B30)</f>
        <v>18.0729859445438</v>
      </c>
      <c r="L977" s="16" t="n">
        <f aca="false">ROUND(K977*F977,0)</f>
        <v>11</v>
      </c>
      <c r="M977" s="22" t="n">
        <f aca="false">L977*Assumptions!B31</f>
        <v>3300</v>
      </c>
      <c r="N977" s="22" t="n">
        <f aca="false">J977+M977</f>
        <v>11700</v>
      </c>
      <c r="O977" s="22" t="n">
        <f aca="false">IF(DAY(B977)=1,Assumptions!B38*G977,0)</f>
        <v>0</v>
      </c>
      <c r="P977" s="22" t="n">
        <f aca="false">IF(DAY(B977)=1,Assumptions!B39*G977,0)</f>
        <v>0</v>
      </c>
      <c r="Q977" s="22" t="n">
        <f aca="false">IF(DAY(B977)=1,Assumptions!B40*G977,0)</f>
        <v>0</v>
      </c>
      <c r="R977" s="22" t="n">
        <f aca="false">IF(DAY(B977)=1,Assumptions!B41*G977,0)</f>
        <v>0</v>
      </c>
      <c r="S977" s="22" t="n">
        <f aca="false">IF(AND(DAY(B977)=1,D977&gt;=13),Assumptions!B42*G977,0)</f>
        <v>0</v>
      </c>
      <c r="T977" s="22" t="n">
        <f aca="false">IF(DAY(B977)=1,Assumptions!B43*G977,0)</f>
        <v>0</v>
      </c>
      <c r="U977" s="22" t="n">
        <f aca="false">SUM(O977:T977)</f>
        <v>0</v>
      </c>
      <c r="V977" s="22" t="n">
        <f aca="false">N977-U977</f>
        <v>11700</v>
      </c>
      <c r="W977" s="22" t="n">
        <f aca="false">W976+V977</f>
        <v>-2294094.45908709</v>
      </c>
      <c r="X977" s="23" t="str">
        <f aca="false">IF(W977&gt;=0,"YES","No")</f>
        <v>No</v>
      </c>
    </row>
    <row r="978" customFormat="false" ht="15" hidden="false" customHeight="false" outlineLevel="0" collapsed="false">
      <c r="A978" s="16" t="n">
        <v>977</v>
      </c>
      <c r="B978" s="17" t="n">
        <f aca="false">B977+1</f>
        <v>46999</v>
      </c>
      <c r="C978" s="18" t="n">
        <f aca="false">MIN(ROUNDUP(A978/365,0),5)</f>
        <v>3</v>
      </c>
      <c r="D978" s="18" t="n">
        <f aca="false">DATEDIF(Assumptions!B5,B978,"m")+1</f>
        <v>33</v>
      </c>
      <c r="E978" s="18" t="str">
        <f aca="false">TEXT(B978,"ddd")</f>
        <v>Sun</v>
      </c>
      <c r="F978" s="19" t="n">
        <f aca="false">IF(WEEKDAY(B978,2)&gt;=6,Assumptions!B34,Assumptions!B35)</f>
        <v>0.6</v>
      </c>
      <c r="G978" s="20" t="n">
        <f aca="false">IF(D978&gt;=13,(1+Assumptions!B46)^(D978-12),1)</f>
        <v>1.06492639976962</v>
      </c>
      <c r="H978" s="21" t="n">
        <f aca="false">H977*(1+IF(C978=1,Assumptions!B22,Assumptions!B23))</f>
        <v>23.0098995491833</v>
      </c>
      <c r="I978" s="16" t="n">
        <f aca="false">ROUND(H978*F978,0)</f>
        <v>14</v>
      </c>
      <c r="J978" s="22" t="n">
        <f aca="false">I978*Assumptions!B24</f>
        <v>8400</v>
      </c>
      <c r="K978" s="21" t="n">
        <f aca="false">K977*(1+Assumptions!B30)</f>
        <v>18.0788946694103</v>
      </c>
      <c r="L978" s="16" t="n">
        <f aca="false">ROUND(K978*F978,0)</f>
        <v>11</v>
      </c>
      <c r="M978" s="22" t="n">
        <f aca="false">L978*Assumptions!B31</f>
        <v>3300</v>
      </c>
      <c r="N978" s="22" t="n">
        <f aca="false">J978+M978</f>
        <v>11700</v>
      </c>
      <c r="O978" s="22" t="n">
        <f aca="false">IF(DAY(B978)=1,Assumptions!B38*G978,0)</f>
        <v>0</v>
      </c>
      <c r="P978" s="22" t="n">
        <f aca="false">IF(DAY(B978)=1,Assumptions!B39*G978,0)</f>
        <v>0</v>
      </c>
      <c r="Q978" s="22" t="n">
        <f aca="false">IF(DAY(B978)=1,Assumptions!B40*G978,0)</f>
        <v>0</v>
      </c>
      <c r="R978" s="22" t="n">
        <f aca="false">IF(DAY(B978)=1,Assumptions!B41*G978,0)</f>
        <v>0</v>
      </c>
      <c r="S978" s="22" t="n">
        <f aca="false">IF(AND(DAY(B978)=1,D978&gt;=13),Assumptions!B42*G978,0)</f>
        <v>0</v>
      </c>
      <c r="T978" s="22" t="n">
        <f aca="false">IF(DAY(B978)=1,Assumptions!B43*G978,0)</f>
        <v>0</v>
      </c>
      <c r="U978" s="22" t="n">
        <f aca="false">SUM(O978:T978)</f>
        <v>0</v>
      </c>
      <c r="V978" s="22" t="n">
        <f aca="false">N978-U978</f>
        <v>11700</v>
      </c>
      <c r="W978" s="22" t="n">
        <f aca="false">W977+V978</f>
        <v>-2282394.45908709</v>
      </c>
      <c r="X978" s="23" t="str">
        <f aca="false">IF(W978&gt;=0,"YES","No")</f>
        <v>No</v>
      </c>
    </row>
    <row r="979" customFormat="false" ht="15" hidden="false" customHeight="false" outlineLevel="0" collapsed="false">
      <c r="A979" s="16" t="n">
        <v>978</v>
      </c>
      <c r="B979" s="17" t="n">
        <f aca="false">B978+1</f>
        <v>47000</v>
      </c>
      <c r="C979" s="18" t="n">
        <f aca="false">MIN(ROUNDUP(A979/365,0),5)</f>
        <v>3</v>
      </c>
      <c r="D979" s="18" t="n">
        <f aca="false">DATEDIF(Assumptions!B5,B979,"m")+1</f>
        <v>33</v>
      </c>
      <c r="E979" s="18" t="str">
        <f aca="false">TEXT(B979,"ddd")</f>
        <v>Mon</v>
      </c>
      <c r="F979" s="19" t="n">
        <f aca="false">IF(WEEKDAY(B979,2)&gt;=6,Assumptions!B34,Assumptions!B35)</f>
        <v>1</v>
      </c>
      <c r="G979" s="20" t="n">
        <f aca="false">IF(D979&gt;=13,(1+Assumptions!B46)^(D979-12),1)</f>
        <v>1.06492639976962</v>
      </c>
      <c r="H979" s="21" t="n">
        <f aca="false">H978*(1+IF(C979=1,Assumptions!B22,Assumptions!B23))</f>
        <v>23.0136699904293</v>
      </c>
      <c r="I979" s="16" t="n">
        <f aca="false">ROUND(H979*F979,0)</f>
        <v>23</v>
      </c>
      <c r="J979" s="22" t="n">
        <f aca="false">I979*Assumptions!B24</f>
        <v>13800</v>
      </c>
      <c r="K979" s="21" t="n">
        <f aca="false">K978*(1+Assumptions!B30)</f>
        <v>18.0848053260566</v>
      </c>
      <c r="L979" s="16" t="n">
        <f aca="false">ROUND(K979*F979,0)</f>
        <v>18</v>
      </c>
      <c r="M979" s="22" t="n">
        <f aca="false">L979*Assumptions!B31</f>
        <v>5400</v>
      </c>
      <c r="N979" s="22" t="n">
        <f aca="false">J979+M979</f>
        <v>19200</v>
      </c>
      <c r="O979" s="22" t="n">
        <f aca="false">IF(DAY(B979)=1,Assumptions!B38*G979,0)</f>
        <v>0</v>
      </c>
      <c r="P979" s="22" t="n">
        <f aca="false">IF(DAY(B979)=1,Assumptions!B39*G979,0)</f>
        <v>0</v>
      </c>
      <c r="Q979" s="22" t="n">
        <f aca="false">IF(DAY(B979)=1,Assumptions!B40*G979,0)</f>
        <v>0</v>
      </c>
      <c r="R979" s="22" t="n">
        <f aca="false">IF(DAY(B979)=1,Assumptions!B41*G979,0)</f>
        <v>0</v>
      </c>
      <c r="S979" s="22" t="n">
        <f aca="false">IF(AND(DAY(B979)=1,D979&gt;=13),Assumptions!B42*G979,0)</f>
        <v>0</v>
      </c>
      <c r="T979" s="22" t="n">
        <f aca="false">IF(DAY(B979)=1,Assumptions!B43*G979,0)</f>
        <v>0</v>
      </c>
      <c r="U979" s="22" t="n">
        <f aca="false">SUM(O979:T979)</f>
        <v>0</v>
      </c>
      <c r="V979" s="22" t="n">
        <f aca="false">N979-U979</f>
        <v>19200</v>
      </c>
      <c r="W979" s="22" t="n">
        <f aca="false">W978+V979</f>
        <v>-2263194.45908709</v>
      </c>
      <c r="X979" s="23" t="str">
        <f aca="false">IF(W979&gt;=0,"YES","No")</f>
        <v>No</v>
      </c>
    </row>
    <row r="980" customFormat="false" ht="15" hidden="false" customHeight="false" outlineLevel="0" collapsed="false">
      <c r="A980" s="16" t="n">
        <v>979</v>
      </c>
      <c r="B980" s="17" t="n">
        <f aca="false">B979+1</f>
        <v>47001</v>
      </c>
      <c r="C980" s="18" t="n">
        <f aca="false">MIN(ROUNDUP(A980/365,0),5)</f>
        <v>3</v>
      </c>
      <c r="D980" s="18" t="n">
        <f aca="false">DATEDIF(Assumptions!B5,B980,"m")+1</f>
        <v>33</v>
      </c>
      <c r="E980" s="18" t="str">
        <f aca="false">TEXT(B980,"ddd")</f>
        <v>Tue</v>
      </c>
      <c r="F980" s="19" t="n">
        <f aca="false">IF(WEEKDAY(B980,2)&gt;=6,Assumptions!B34,Assumptions!B35)</f>
        <v>1</v>
      </c>
      <c r="G980" s="20" t="n">
        <f aca="false">IF(D980&gt;=13,(1+Assumptions!B46)^(D980-12),1)</f>
        <v>1.06492639976962</v>
      </c>
      <c r="H980" s="21" t="n">
        <f aca="false">H979*(1+IF(C980=1,Assumptions!B22,Assumptions!B23))</f>
        <v>23.0174410495061</v>
      </c>
      <c r="I980" s="16" t="n">
        <f aca="false">ROUND(H980*F980,0)</f>
        <v>23</v>
      </c>
      <c r="J980" s="22" t="n">
        <f aca="false">I980*Assumptions!B24</f>
        <v>13800</v>
      </c>
      <c r="K980" s="21" t="n">
        <f aca="false">K979*(1+Assumptions!B30)</f>
        <v>18.0907179151142</v>
      </c>
      <c r="L980" s="16" t="n">
        <f aca="false">ROUND(K980*F980,0)</f>
        <v>18</v>
      </c>
      <c r="M980" s="22" t="n">
        <f aca="false">L980*Assumptions!B31</f>
        <v>5400</v>
      </c>
      <c r="N980" s="22" t="n">
        <f aca="false">J980+M980</f>
        <v>19200</v>
      </c>
      <c r="O980" s="22" t="n">
        <f aca="false">IF(DAY(B980)=1,Assumptions!B38*G980,0)</f>
        <v>0</v>
      </c>
      <c r="P980" s="22" t="n">
        <f aca="false">IF(DAY(B980)=1,Assumptions!B39*G980,0)</f>
        <v>0</v>
      </c>
      <c r="Q980" s="22" t="n">
        <f aca="false">IF(DAY(B980)=1,Assumptions!B40*G980,0)</f>
        <v>0</v>
      </c>
      <c r="R980" s="22" t="n">
        <f aca="false">IF(DAY(B980)=1,Assumptions!B41*G980,0)</f>
        <v>0</v>
      </c>
      <c r="S980" s="22" t="n">
        <f aca="false">IF(AND(DAY(B980)=1,D980&gt;=13),Assumptions!B42*G980,0)</f>
        <v>0</v>
      </c>
      <c r="T980" s="22" t="n">
        <f aca="false">IF(DAY(B980)=1,Assumptions!B43*G980,0)</f>
        <v>0</v>
      </c>
      <c r="U980" s="22" t="n">
        <f aca="false">SUM(O980:T980)</f>
        <v>0</v>
      </c>
      <c r="V980" s="22" t="n">
        <f aca="false">N980-U980</f>
        <v>19200</v>
      </c>
      <c r="W980" s="22" t="n">
        <f aca="false">W979+V980</f>
        <v>-2243994.45908709</v>
      </c>
      <c r="X980" s="23" t="str">
        <f aca="false">IF(W980&gt;=0,"YES","No")</f>
        <v>No</v>
      </c>
    </row>
    <row r="981" customFormat="false" ht="15" hidden="false" customHeight="false" outlineLevel="0" collapsed="false">
      <c r="A981" s="16" t="n">
        <v>980</v>
      </c>
      <c r="B981" s="17" t="n">
        <f aca="false">B980+1</f>
        <v>47002</v>
      </c>
      <c r="C981" s="18" t="n">
        <f aca="false">MIN(ROUNDUP(A981/365,0),5)</f>
        <v>3</v>
      </c>
      <c r="D981" s="18" t="n">
        <f aca="false">DATEDIF(Assumptions!B5,B981,"m")+1</f>
        <v>33</v>
      </c>
      <c r="E981" s="18" t="str">
        <f aca="false">TEXT(B981,"ddd")</f>
        <v>Wed</v>
      </c>
      <c r="F981" s="19" t="n">
        <f aca="false">IF(WEEKDAY(B981,2)&gt;=6,Assumptions!B34,Assumptions!B35)</f>
        <v>1</v>
      </c>
      <c r="G981" s="20" t="n">
        <f aca="false">IF(D981&gt;=13,(1+Assumptions!B46)^(D981-12),1)</f>
        <v>1.06492639976962</v>
      </c>
      <c r="H981" s="21" t="n">
        <f aca="false">H980*(1+IF(C981=1,Assumptions!B22,Assumptions!B23))</f>
        <v>23.0212127265151</v>
      </c>
      <c r="I981" s="16" t="n">
        <f aca="false">ROUND(H981*F981,0)</f>
        <v>23</v>
      </c>
      <c r="J981" s="22" t="n">
        <f aca="false">I981*Assumptions!B24</f>
        <v>13800</v>
      </c>
      <c r="K981" s="21" t="n">
        <f aca="false">K980*(1+Assumptions!B30)</f>
        <v>18.0966324372151</v>
      </c>
      <c r="L981" s="16" t="n">
        <f aca="false">ROUND(K981*F981,0)</f>
        <v>18</v>
      </c>
      <c r="M981" s="22" t="n">
        <f aca="false">L981*Assumptions!B31</f>
        <v>5400</v>
      </c>
      <c r="N981" s="22" t="n">
        <f aca="false">J981+M981</f>
        <v>19200</v>
      </c>
      <c r="O981" s="22" t="n">
        <f aca="false">IF(DAY(B981)=1,Assumptions!B38*G981,0)</f>
        <v>0</v>
      </c>
      <c r="P981" s="22" t="n">
        <f aca="false">IF(DAY(B981)=1,Assumptions!B39*G981,0)</f>
        <v>0</v>
      </c>
      <c r="Q981" s="22" t="n">
        <f aca="false">IF(DAY(B981)=1,Assumptions!B40*G981,0)</f>
        <v>0</v>
      </c>
      <c r="R981" s="22" t="n">
        <f aca="false">IF(DAY(B981)=1,Assumptions!B41*G981,0)</f>
        <v>0</v>
      </c>
      <c r="S981" s="22" t="n">
        <f aca="false">IF(AND(DAY(B981)=1,D981&gt;=13),Assumptions!B42*G981,0)</f>
        <v>0</v>
      </c>
      <c r="T981" s="22" t="n">
        <f aca="false">IF(DAY(B981)=1,Assumptions!B43*G981,0)</f>
        <v>0</v>
      </c>
      <c r="U981" s="22" t="n">
        <f aca="false">SUM(O981:T981)</f>
        <v>0</v>
      </c>
      <c r="V981" s="22" t="n">
        <f aca="false">N981-U981</f>
        <v>19200</v>
      </c>
      <c r="W981" s="22" t="n">
        <f aca="false">W980+V981</f>
        <v>-2224794.45908709</v>
      </c>
      <c r="X981" s="23" t="str">
        <f aca="false">IF(W981&gt;=0,"YES","No")</f>
        <v>No</v>
      </c>
    </row>
    <row r="982" customFormat="false" ht="15" hidden="false" customHeight="false" outlineLevel="0" collapsed="false">
      <c r="A982" s="16" t="n">
        <v>981</v>
      </c>
      <c r="B982" s="17" t="n">
        <f aca="false">B981+1</f>
        <v>47003</v>
      </c>
      <c r="C982" s="18" t="n">
        <f aca="false">MIN(ROUNDUP(A982/365,0),5)</f>
        <v>3</v>
      </c>
      <c r="D982" s="18" t="n">
        <f aca="false">DATEDIF(Assumptions!B5,B982,"m")+1</f>
        <v>33</v>
      </c>
      <c r="E982" s="18" t="str">
        <f aca="false">TEXT(B982,"ddd")</f>
        <v>Thu</v>
      </c>
      <c r="F982" s="19" t="n">
        <f aca="false">IF(WEEKDAY(B982,2)&gt;=6,Assumptions!B34,Assumptions!B35)</f>
        <v>1</v>
      </c>
      <c r="G982" s="20" t="n">
        <f aca="false">IF(D982&gt;=13,(1+Assumptions!B46)^(D982-12),1)</f>
        <v>1.06492639976962</v>
      </c>
      <c r="H982" s="21" t="n">
        <f aca="false">H981*(1+IF(C982=1,Assumptions!B22,Assumptions!B23))</f>
        <v>23.0249850215574</v>
      </c>
      <c r="I982" s="16" t="n">
        <f aca="false">ROUND(H982*F982,0)</f>
        <v>23</v>
      </c>
      <c r="J982" s="22" t="n">
        <f aca="false">I982*Assumptions!B24</f>
        <v>13800</v>
      </c>
      <c r="K982" s="21" t="n">
        <f aca="false">K981*(1+Assumptions!B30)</f>
        <v>18.1025488929911</v>
      </c>
      <c r="L982" s="16" t="n">
        <f aca="false">ROUND(K982*F982,0)</f>
        <v>18</v>
      </c>
      <c r="M982" s="22" t="n">
        <f aca="false">L982*Assumptions!B31</f>
        <v>5400</v>
      </c>
      <c r="N982" s="22" t="n">
        <f aca="false">J982+M982</f>
        <v>19200</v>
      </c>
      <c r="O982" s="22" t="n">
        <f aca="false">IF(DAY(B982)=1,Assumptions!B38*G982,0)</f>
        <v>0</v>
      </c>
      <c r="P982" s="22" t="n">
        <f aca="false">IF(DAY(B982)=1,Assumptions!B39*G982,0)</f>
        <v>0</v>
      </c>
      <c r="Q982" s="22" t="n">
        <f aca="false">IF(DAY(B982)=1,Assumptions!B40*G982,0)</f>
        <v>0</v>
      </c>
      <c r="R982" s="22" t="n">
        <f aca="false">IF(DAY(B982)=1,Assumptions!B41*G982,0)</f>
        <v>0</v>
      </c>
      <c r="S982" s="22" t="n">
        <f aca="false">IF(AND(DAY(B982)=1,D982&gt;=13),Assumptions!B42*G982,0)</f>
        <v>0</v>
      </c>
      <c r="T982" s="22" t="n">
        <f aca="false">IF(DAY(B982)=1,Assumptions!B43*G982,0)</f>
        <v>0</v>
      </c>
      <c r="U982" s="22" t="n">
        <f aca="false">SUM(O982:T982)</f>
        <v>0</v>
      </c>
      <c r="V982" s="22" t="n">
        <f aca="false">N982-U982</f>
        <v>19200</v>
      </c>
      <c r="W982" s="22" t="n">
        <f aca="false">W981+V982</f>
        <v>-2205594.45908709</v>
      </c>
      <c r="X982" s="23" t="str">
        <f aca="false">IF(W982&gt;=0,"YES","No")</f>
        <v>No</v>
      </c>
    </row>
    <row r="983" customFormat="false" ht="15" hidden="false" customHeight="false" outlineLevel="0" collapsed="false">
      <c r="A983" s="16" t="n">
        <v>982</v>
      </c>
      <c r="B983" s="17" t="n">
        <f aca="false">B982+1</f>
        <v>47004</v>
      </c>
      <c r="C983" s="18" t="n">
        <f aca="false">MIN(ROUNDUP(A983/365,0),5)</f>
        <v>3</v>
      </c>
      <c r="D983" s="18" t="n">
        <f aca="false">DATEDIF(Assumptions!B5,B983,"m")+1</f>
        <v>33</v>
      </c>
      <c r="E983" s="18" t="str">
        <f aca="false">TEXT(B983,"ddd")</f>
        <v>Fri</v>
      </c>
      <c r="F983" s="19" t="n">
        <f aca="false">IF(WEEKDAY(B983,2)&gt;=6,Assumptions!B34,Assumptions!B35)</f>
        <v>1</v>
      </c>
      <c r="G983" s="20" t="n">
        <f aca="false">IF(D983&gt;=13,(1+Assumptions!B46)^(D983-12),1)</f>
        <v>1.06492639976962</v>
      </c>
      <c r="H983" s="21" t="n">
        <f aca="false">H982*(1+IF(C983=1,Assumptions!B22,Assumptions!B23))</f>
        <v>23.0287579347345</v>
      </c>
      <c r="I983" s="16" t="n">
        <f aca="false">ROUND(H983*F983,0)</f>
        <v>23</v>
      </c>
      <c r="J983" s="22" t="n">
        <f aca="false">I983*Assumptions!B24</f>
        <v>13800</v>
      </c>
      <c r="K983" s="21" t="n">
        <f aca="false">K982*(1+Assumptions!B30)</f>
        <v>18.1084672830744</v>
      </c>
      <c r="L983" s="16" t="n">
        <f aca="false">ROUND(K983*F983,0)</f>
        <v>18</v>
      </c>
      <c r="M983" s="22" t="n">
        <f aca="false">L983*Assumptions!B31</f>
        <v>5400</v>
      </c>
      <c r="N983" s="22" t="n">
        <f aca="false">J983+M983</f>
        <v>19200</v>
      </c>
      <c r="O983" s="22" t="n">
        <f aca="false">IF(DAY(B983)=1,Assumptions!B38*G983,0)</f>
        <v>0</v>
      </c>
      <c r="P983" s="22" t="n">
        <f aca="false">IF(DAY(B983)=1,Assumptions!B39*G983,0)</f>
        <v>0</v>
      </c>
      <c r="Q983" s="22" t="n">
        <f aca="false">IF(DAY(B983)=1,Assumptions!B40*G983,0)</f>
        <v>0</v>
      </c>
      <c r="R983" s="22" t="n">
        <f aca="false">IF(DAY(B983)=1,Assumptions!B41*G983,0)</f>
        <v>0</v>
      </c>
      <c r="S983" s="22" t="n">
        <f aca="false">IF(AND(DAY(B983)=1,D983&gt;=13),Assumptions!B42*G983,0)</f>
        <v>0</v>
      </c>
      <c r="T983" s="22" t="n">
        <f aca="false">IF(DAY(B983)=1,Assumptions!B43*G983,0)</f>
        <v>0</v>
      </c>
      <c r="U983" s="22" t="n">
        <f aca="false">SUM(O983:T983)</f>
        <v>0</v>
      </c>
      <c r="V983" s="22" t="n">
        <f aca="false">N983-U983</f>
        <v>19200</v>
      </c>
      <c r="W983" s="22" t="n">
        <f aca="false">W982+V983</f>
        <v>-2186394.45908709</v>
      </c>
      <c r="X983" s="23" t="str">
        <f aca="false">IF(W983&gt;=0,"YES","No")</f>
        <v>No</v>
      </c>
    </row>
    <row r="984" customFormat="false" ht="15" hidden="false" customHeight="false" outlineLevel="0" collapsed="false">
      <c r="A984" s="16" t="n">
        <v>983</v>
      </c>
      <c r="B984" s="17" t="n">
        <f aca="false">B983+1</f>
        <v>47005</v>
      </c>
      <c r="C984" s="18" t="n">
        <f aca="false">MIN(ROUNDUP(A984/365,0),5)</f>
        <v>3</v>
      </c>
      <c r="D984" s="18" t="n">
        <f aca="false">DATEDIF(Assumptions!B5,B984,"m")+1</f>
        <v>33</v>
      </c>
      <c r="E984" s="18" t="str">
        <f aca="false">TEXT(B984,"ddd")</f>
        <v>Sat</v>
      </c>
      <c r="F984" s="19" t="n">
        <f aca="false">IF(WEEKDAY(B984,2)&gt;=6,Assumptions!B34,Assumptions!B35)</f>
        <v>0.6</v>
      </c>
      <c r="G984" s="20" t="n">
        <f aca="false">IF(D984&gt;=13,(1+Assumptions!B46)^(D984-12),1)</f>
        <v>1.06492639976962</v>
      </c>
      <c r="H984" s="21" t="n">
        <f aca="false">H983*(1+IF(C984=1,Assumptions!B22,Assumptions!B23))</f>
        <v>23.0325314661475</v>
      </c>
      <c r="I984" s="16" t="n">
        <f aca="false">ROUND(H984*F984,0)</f>
        <v>14</v>
      </c>
      <c r="J984" s="22" t="n">
        <f aca="false">I984*Assumptions!B24</f>
        <v>8400</v>
      </c>
      <c r="K984" s="21" t="n">
        <f aca="false">K983*(1+Assumptions!B30)</f>
        <v>18.1143876080974</v>
      </c>
      <c r="L984" s="16" t="n">
        <f aca="false">ROUND(K984*F984,0)</f>
        <v>11</v>
      </c>
      <c r="M984" s="22" t="n">
        <f aca="false">L984*Assumptions!B31</f>
        <v>3300</v>
      </c>
      <c r="N984" s="22" t="n">
        <f aca="false">J984+M984</f>
        <v>11700</v>
      </c>
      <c r="O984" s="22" t="n">
        <f aca="false">IF(DAY(B984)=1,Assumptions!B38*G984,0)</f>
        <v>0</v>
      </c>
      <c r="P984" s="22" t="n">
        <f aca="false">IF(DAY(B984)=1,Assumptions!B39*G984,0)</f>
        <v>0</v>
      </c>
      <c r="Q984" s="22" t="n">
        <f aca="false">IF(DAY(B984)=1,Assumptions!B40*G984,0)</f>
        <v>0</v>
      </c>
      <c r="R984" s="22" t="n">
        <f aca="false">IF(DAY(B984)=1,Assumptions!B41*G984,0)</f>
        <v>0</v>
      </c>
      <c r="S984" s="22" t="n">
        <f aca="false">IF(AND(DAY(B984)=1,D984&gt;=13),Assumptions!B42*G984,0)</f>
        <v>0</v>
      </c>
      <c r="T984" s="22" t="n">
        <f aca="false">IF(DAY(B984)=1,Assumptions!B43*G984,0)</f>
        <v>0</v>
      </c>
      <c r="U984" s="22" t="n">
        <f aca="false">SUM(O984:T984)</f>
        <v>0</v>
      </c>
      <c r="V984" s="22" t="n">
        <f aca="false">N984-U984</f>
        <v>11700</v>
      </c>
      <c r="W984" s="22" t="n">
        <f aca="false">W983+V984</f>
        <v>-2174694.45908709</v>
      </c>
      <c r="X984" s="23" t="str">
        <f aca="false">IF(W984&gt;=0,"YES","No")</f>
        <v>No</v>
      </c>
    </row>
    <row r="985" customFormat="false" ht="15" hidden="false" customHeight="false" outlineLevel="0" collapsed="false">
      <c r="A985" s="16" t="n">
        <v>984</v>
      </c>
      <c r="B985" s="17" t="n">
        <f aca="false">B984+1</f>
        <v>47006</v>
      </c>
      <c r="C985" s="18" t="n">
        <f aca="false">MIN(ROUNDUP(A985/365,0),5)</f>
        <v>3</v>
      </c>
      <c r="D985" s="18" t="n">
        <f aca="false">DATEDIF(Assumptions!B5,B985,"m")+1</f>
        <v>33</v>
      </c>
      <c r="E985" s="18" t="str">
        <f aca="false">TEXT(B985,"ddd")</f>
        <v>Sun</v>
      </c>
      <c r="F985" s="19" t="n">
        <f aca="false">IF(WEEKDAY(B985,2)&gt;=6,Assumptions!B34,Assumptions!B35)</f>
        <v>0.6</v>
      </c>
      <c r="G985" s="20" t="n">
        <f aca="false">IF(D985&gt;=13,(1+Assumptions!B46)^(D985-12),1)</f>
        <v>1.06492639976962</v>
      </c>
      <c r="H985" s="21" t="n">
        <f aca="false">H984*(1+IF(C985=1,Assumptions!B22,Assumptions!B23))</f>
        <v>23.0363056158978</v>
      </c>
      <c r="I985" s="16" t="n">
        <f aca="false">ROUND(H985*F985,0)</f>
        <v>14</v>
      </c>
      <c r="J985" s="22" t="n">
        <f aca="false">I985*Assumptions!B24</f>
        <v>8400</v>
      </c>
      <c r="K985" s="21" t="n">
        <f aca="false">K984*(1+Assumptions!B30)</f>
        <v>18.1203098686928</v>
      </c>
      <c r="L985" s="16" t="n">
        <f aca="false">ROUND(K985*F985,0)</f>
        <v>11</v>
      </c>
      <c r="M985" s="22" t="n">
        <f aca="false">L985*Assumptions!B31</f>
        <v>3300</v>
      </c>
      <c r="N985" s="22" t="n">
        <f aca="false">J985+M985</f>
        <v>11700</v>
      </c>
      <c r="O985" s="22" t="n">
        <f aca="false">IF(DAY(B985)=1,Assumptions!B38*G985,0)</f>
        <v>0</v>
      </c>
      <c r="P985" s="22" t="n">
        <f aca="false">IF(DAY(B985)=1,Assumptions!B39*G985,0)</f>
        <v>0</v>
      </c>
      <c r="Q985" s="22" t="n">
        <f aca="false">IF(DAY(B985)=1,Assumptions!B40*G985,0)</f>
        <v>0</v>
      </c>
      <c r="R985" s="22" t="n">
        <f aca="false">IF(DAY(B985)=1,Assumptions!B41*G985,0)</f>
        <v>0</v>
      </c>
      <c r="S985" s="22" t="n">
        <f aca="false">IF(AND(DAY(B985)=1,D985&gt;=13),Assumptions!B42*G985,0)</f>
        <v>0</v>
      </c>
      <c r="T985" s="22" t="n">
        <f aca="false">IF(DAY(B985)=1,Assumptions!B43*G985,0)</f>
        <v>0</v>
      </c>
      <c r="U985" s="22" t="n">
        <f aca="false">SUM(O985:T985)</f>
        <v>0</v>
      </c>
      <c r="V985" s="22" t="n">
        <f aca="false">N985-U985</f>
        <v>11700</v>
      </c>
      <c r="W985" s="22" t="n">
        <f aca="false">W984+V985</f>
        <v>-2162994.45908709</v>
      </c>
      <c r="X985" s="23" t="str">
        <f aca="false">IF(W985&gt;=0,"YES","No")</f>
        <v>No</v>
      </c>
    </row>
    <row r="986" customFormat="false" ht="15" hidden="false" customHeight="false" outlineLevel="0" collapsed="false">
      <c r="A986" s="16" t="n">
        <v>985</v>
      </c>
      <c r="B986" s="17" t="n">
        <f aca="false">B985+1</f>
        <v>47007</v>
      </c>
      <c r="C986" s="18" t="n">
        <f aca="false">MIN(ROUNDUP(A986/365,0),5)</f>
        <v>3</v>
      </c>
      <c r="D986" s="18" t="n">
        <f aca="false">DATEDIF(Assumptions!B5,B986,"m")+1</f>
        <v>33</v>
      </c>
      <c r="E986" s="18" t="str">
        <f aca="false">TEXT(B986,"ddd")</f>
        <v>Mon</v>
      </c>
      <c r="F986" s="19" t="n">
        <f aca="false">IF(WEEKDAY(B986,2)&gt;=6,Assumptions!B34,Assumptions!B35)</f>
        <v>1</v>
      </c>
      <c r="G986" s="20" t="n">
        <f aca="false">IF(D986&gt;=13,(1+Assumptions!B46)^(D986-12),1)</f>
        <v>1.06492639976962</v>
      </c>
      <c r="H986" s="21" t="n">
        <f aca="false">H985*(1+IF(C986=1,Assumptions!B22,Assumptions!B23))</f>
        <v>23.0400803840867</v>
      </c>
      <c r="I986" s="16" t="n">
        <f aca="false">ROUND(H986*F986,0)</f>
        <v>23</v>
      </c>
      <c r="J986" s="22" t="n">
        <f aca="false">I986*Assumptions!B24</f>
        <v>13800</v>
      </c>
      <c r="K986" s="21" t="n">
        <f aca="false">K985*(1+Assumptions!B30)</f>
        <v>18.1262340654934</v>
      </c>
      <c r="L986" s="16" t="n">
        <f aca="false">ROUND(K986*F986,0)</f>
        <v>18</v>
      </c>
      <c r="M986" s="22" t="n">
        <f aca="false">L986*Assumptions!B31</f>
        <v>5400</v>
      </c>
      <c r="N986" s="22" t="n">
        <f aca="false">J986+M986</f>
        <v>19200</v>
      </c>
      <c r="O986" s="22" t="n">
        <f aca="false">IF(DAY(B986)=1,Assumptions!B38*G986,0)</f>
        <v>0</v>
      </c>
      <c r="P986" s="22" t="n">
        <f aca="false">IF(DAY(B986)=1,Assumptions!B39*G986,0)</f>
        <v>0</v>
      </c>
      <c r="Q986" s="22" t="n">
        <f aca="false">IF(DAY(B986)=1,Assumptions!B40*G986,0)</f>
        <v>0</v>
      </c>
      <c r="R986" s="22" t="n">
        <f aca="false">IF(DAY(B986)=1,Assumptions!B41*G986,0)</f>
        <v>0</v>
      </c>
      <c r="S986" s="22" t="n">
        <f aca="false">IF(AND(DAY(B986)=1,D986&gt;=13),Assumptions!B42*G986,0)</f>
        <v>0</v>
      </c>
      <c r="T986" s="22" t="n">
        <f aca="false">IF(DAY(B986)=1,Assumptions!B43*G986,0)</f>
        <v>0</v>
      </c>
      <c r="U986" s="22" t="n">
        <f aca="false">SUM(O986:T986)</f>
        <v>0</v>
      </c>
      <c r="V986" s="22" t="n">
        <f aca="false">N986-U986</f>
        <v>19200</v>
      </c>
      <c r="W986" s="22" t="n">
        <f aca="false">W985+V986</f>
        <v>-2143794.45908709</v>
      </c>
      <c r="X986" s="23" t="str">
        <f aca="false">IF(W986&gt;=0,"YES","No")</f>
        <v>No</v>
      </c>
    </row>
    <row r="987" customFormat="false" ht="15" hidden="false" customHeight="false" outlineLevel="0" collapsed="false">
      <c r="A987" s="16" t="n">
        <v>986</v>
      </c>
      <c r="B987" s="17" t="n">
        <f aca="false">B986+1</f>
        <v>47008</v>
      </c>
      <c r="C987" s="18" t="n">
        <f aca="false">MIN(ROUNDUP(A987/365,0),5)</f>
        <v>3</v>
      </c>
      <c r="D987" s="18" t="n">
        <f aca="false">DATEDIF(Assumptions!B5,B987,"m")+1</f>
        <v>33</v>
      </c>
      <c r="E987" s="18" t="str">
        <f aca="false">TEXT(B987,"ddd")</f>
        <v>Tue</v>
      </c>
      <c r="F987" s="19" t="n">
        <f aca="false">IF(WEEKDAY(B987,2)&gt;=6,Assumptions!B34,Assumptions!B35)</f>
        <v>1</v>
      </c>
      <c r="G987" s="20" t="n">
        <f aca="false">IF(D987&gt;=13,(1+Assumptions!B46)^(D987-12),1)</f>
        <v>1.06492639976962</v>
      </c>
      <c r="H987" s="21" t="n">
        <f aca="false">H986*(1+IF(C987=1,Assumptions!B22,Assumptions!B23))</f>
        <v>23.0438557708155</v>
      </c>
      <c r="I987" s="16" t="n">
        <f aca="false">ROUND(H987*F987,0)</f>
        <v>23</v>
      </c>
      <c r="J987" s="22" t="n">
        <f aca="false">I987*Assumptions!B24</f>
        <v>13800</v>
      </c>
      <c r="K987" s="21" t="n">
        <f aca="false">K986*(1+Assumptions!B30)</f>
        <v>18.1321601991321</v>
      </c>
      <c r="L987" s="16" t="n">
        <f aca="false">ROUND(K987*F987,0)</f>
        <v>18</v>
      </c>
      <c r="M987" s="22" t="n">
        <f aca="false">L987*Assumptions!B31</f>
        <v>5400</v>
      </c>
      <c r="N987" s="22" t="n">
        <f aca="false">J987+M987</f>
        <v>19200</v>
      </c>
      <c r="O987" s="22" t="n">
        <f aca="false">IF(DAY(B987)=1,Assumptions!B38*G987,0)</f>
        <v>0</v>
      </c>
      <c r="P987" s="22" t="n">
        <f aca="false">IF(DAY(B987)=1,Assumptions!B39*G987,0)</f>
        <v>0</v>
      </c>
      <c r="Q987" s="22" t="n">
        <f aca="false">IF(DAY(B987)=1,Assumptions!B40*G987,0)</f>
        <v>0</v>
      </c>
      <c r="R987" s="22" t="n">
        <f aca="false">IF(DAY(B987)=1,Assumptions!B41*G987,0)</f>
        <v>0</v>
      </c>
      <c r="S987" s="22" t="n">
        <f aca="false">IF(AND(DAY(B987)=1,D987&gt;=13),Assumptions!B42*G987,0)</f>
        <v>0</v>
      </c>
      <c r="T987" s="22" t="n">
        <f aca="false">IF(DAY(B987)=1,Assumptions!B43*G987,0)</f>
        <v>0</v>
      </c>
      <c r="U987" s="22" t="n">
        <f aca="false">SUM(O987:T987)</f>
        <v>0</v>
      </c>
      <c r="V987" s="22" t="n">
        <f aca="false">N987-U987</f>
        <v>19200</v>
      </c>
      <c r="W987" s="22" t="n">
        <f aca="false">W986+V987</f>
        <v>-2124594.45908709</v>
      </c>
      <c r="X987" s="23" t="str">
        <f aca="false">IF(W987&gt;=0,"YES","No")</f>
        <v>No</v>
      </c>
    </row>
    <row r="988" customFormat="false" ht="15" hidden="false" customHeight="false" outlineLevel="0" collapsed="false">
      <c r="A988" s="16" t="n">
        <v>987</v>
      </c>
      <c r="B988" s="17" t="n">
        <f aca="false">B987+1</f>
        <v>47009</v>
      </c>
      <c r="C988" s="18" t="n">
        <f aca="false">MIN(ROUNDUP(A988/365,0),5)</f>
        <v>3</v>
      </c>
      <c r="D988" s="18" t="n">
        <f aca="false">DATEDIF(Assumptions!B5,B988,"m")+1</f>
        <v>33</v>
      </c>
      <c r="E988" s="18" t="str">
        <f aca="false">TEXT(B988,"ddd")</f>
        <v>Wed</v>
      </c>
      <c r="F988" s="19" t="n">
        <f aca="false">IF(WEEKDAY(B988,2)&gt;=6,Assumptions!B34,Assumptions!B35)</f>
        <v>1</v>
      </c>
      <c r="G988" s="20" t="n">
        <f aca="false">IF(D988&gt;=13,(1+Assumptions!B46)^(D988-12),1)</f>
        <v>1.06492639976962</v>
      </c>
      <c r="H988" s="21" t="n">
        <f aca="false">H987*(1+IF(C988=1,Assumptions!B22,Assumptions!B23))</f>
        <v>23.0476317761856</v>
      </c>
      <c r="I988" s="16" t="n">
        <f aca="false">ROUND(H988*F988,0)</f>
        <v>23</v>
      </c>
      <c r="J988" s="22" t="n">
        <f aca="false">I988*Assumptions!B24</f>
        <v>13800</v>
      </c>
      <c r="K988" s="21" t="n">
        <f aca="false">K987*(1+Assumptions!B30)</f>
        <v>18.1380882702422</v>
      </c>
      <c r="L988" s="16" t="n">
        <f aca="false">ROUND(K988*F988,0)</f>
        <v>18</v>
      </c>
      <c r="M988" s="22" t="n">
        <f aca="false">L988*Assumptions!B31</f>
        <v>5400</v>
      </c>
      <c r="N988" s="22" t="n">
        <f aca="false">J988+M988</f>
        <v>19200</v>
      </c>
      <c r="O988" s="22" t="n">
        <f aca="false">IF(DAY(B988)=1,Assumptions!B38*G988,0)</f>
        <v>0</v>
      </c>
      <c r="P988" s="22" t="n">
        <f aca="false">IF(DAY(B988)=1,Assumptions!B39*G988,0)</f>
        <v>0</v>
      </c>
      <c r="Q988" s="22" t="n">
        <f aca="false">IF(DAY(B988)=1,Assumptions!B40*G988,0)</f>
        <v>0</v>
      </c>
      <c r="R988" s="22" t="n">
        <f aca="false">IF(DAY(B988)=1,Assumptions!B41*G988,0)</f>
        <v>0</v>
      </c>
      <c r="S988" s="22" t="n">
        <f aca="false">IF(AND(DAY(B988)=1,D988&gt;=13),Assumptions!B42*G988,0)</f>
        <v>0</v>
      </c>
      <c r="T988" s="22" t="n">
        <f aca="false">IF(DAY(B988)=1,Assumptions!B43*G988,0)</f>
        <v>0</v>
      </c>
      <c r="U988" s="22" t="n">
        <f aca="false">SUM(O988:T988)</f>
        <v>0</v>
      </c>
      <c r="V988" s="22" t="n">
        <f aca="false">N988-U988</f>
        <v>19200</v>
      </c>
      <c r="W988" s="22" t="n">
        <f aca="false">W987+V988</f>
        <v>-2105394.45908709</v>
      </c>
      <c r="X988" s="23" t="str">
        <f aca="false">IF(W988&gt;=0,"YES","No")</f>
        <v>No</v>
      </c>
    </row>
    <row r="989" customFormat="false" ht="15" hidden="false" customHeight="false" outlineLevel="0" collapsed="false">
      <c r="A989" s="16" t="n">
        <v>988</v>
      </c>
      <c r="B989" s="17" t="n">
        <f aca="false">B988+1</f>
        <v>47010</v>
      </c>
      <c r="C989" s="18" t="n">
        <f aca="false">MIN(ROUNDUP(A989/365,0),5)</f>
        <v>3</v>
      </c>
      <c r="D989" s="18" t="n">
        <f aca="false">DATEDIF(Assumptions!B5,B989,"m")+1</f>
        <v>33</v>
      </c>
      <c r="E989" s="18" t="str">
        <f aca="false">TEXT(B989,"ddd")</f>
        <v>Thu</v>
      </c>
      <c r="F989" s="19" t="n">
        <f aca="false">IF(WEEKDAY(B989,2)&gt;=6,Assumptions!B34,Assumptions!B35)</f>
        <v>1</v>
      </c>
      <c r="G989" s="20" t="n">
        <f aca="false">IF(D989&gt;=13,(1+Assumptions!B46)^(D989-12),1)</f>
        <v>1.06492639976962</v>
      </c>
      <c r="H989" s="21" t="n">
        <f aca="false">H988*(1+IF(C989=1,Assumptions!B22,Assumptions!B23))</f>
        <v>23.0514084002984</v>
      </c>
      <c r="I989" s="16" t="n">
        <f aca="false">ROUND(H989*F989,0)</f>
        <v>23</v>
      </c>
      <c r="J989" s="22" t="n">
        <f aca="false">I989*Assumptions!B24</f>
        <v>13800</v>
      </c>
      <c r="K989" s="21" t="n">
        <f aca="false">K988*(1+Assumptions!B30)</f>
        <v>18.1440182794571</v>
      </c>
      <c r="L989" s="16" t="n">
        <f aca="false">ROUND(K989*F989,0)</f>
        <v>18</v>
      </c>
      <c r="M989" s="22" t="n">
        <f aca="false">L989*Assumptions!B31</f>
        <v>5400</v>
      </c>
      <c r="N989" s="22" t="n">
        <f aca="false">J989+M989</f>
        <v>19200</v>
      </c>
      <c r="O989" s="22" t="n">
        <f aca="false">IF(DAY(B989)=1,Assumptions!B38*G989,0)</f>
        <v>0</v>
      </c>
      <c r="P989" s="22" t="n">
        <f aca="false">IF(DAY(B989)=1,Assumptions!B39*G989,0)</f>
        <v>0</v>
      </c>
      <c r="Q989" s="22" t="n">
        <f aca="false">IF(DAY(B989)=1,Assumptions!B40*G989,0)</f>
        <v>0</v>
      </c>
      <c r="R989" s="22" t="n">
        <f aca="false">IF(DAY(B989)=1,Assumptions!B41*G989,0)</f>
        <v>0</v>
      </c>
      <c r="S989" s="22" t="n">
        <f aca="false">IF(AND(DAY(B989)=1,D989&gt;=13),Assumptions!B42*G989,0)</f>
        <v>0</v>
      </c>
      <c r="T989" s="22" t="n">
        <f aca="false">IF(DAY(B989)=1,Assumptions!B43*G989,0)</f>
        <v>0</v>
      </c>
      <c r="U989" s="22" t="n">
        <f aca="false">SUM(O989:T989)</f>
        <v>0</v>
      </c>
      <c r="V989" s="22" t="n">
        <f aca="false">N989-U989</f>
        <v>19200</v>
      </c>
      <c r="W989" s="22" t="n">
        <f aca="false">W988+V989</f>
        <v>-2086194.45908709</v>
      </c>
      <c r="X989" s="23" t="str">
        <f aca="false">IF(W989&gt;=0,"YES","No")</f>
        <v>No</v>
      </c>
    </row>
    <row r="990" customFormat="false" ht="15" hidden="false" customHeight="false" outlineLevel="0" collapsed="false">
      <c r="A990" s="16" t="n">
        <v>989</v>
      </c>
      <c r="B990" s="17" t="n">
        <f aca="false">B989+1</f>
        <v>47011</v>
      </c>
      <c r="C990" s="18" t="n">
        <f aca="false">MIN(ROUNDUP(A990/365,0),5)</f>
        <v>3</v>
      </c>
      <c r="D990" s="18" t="n">
        <f aca="false">DATEDIF(Assumptions!B5,B990,"m")+1</f>
        <v>33</v>
      </c>
      <c r="E990" s="18" t="str">
        <f aca="false">TEXT(B990,"ddd")</f>
        <v>Fri</v>
      </c>
      <c r="F990" s="19" t="n">
        <f aca="false">IF(WEEKDAY(B990,2)&gt;=6,Assumptions!B34,Assumptions!B35)</f>
        <v>1</v>
      </c>
      <c r="G990" s="20" t="n">
        <f aca="false">IF(D990&gt;=13,(1+Assumptions!B46)^(D990-12),1)</f>
        <v>1.06492639976962</v>
      </c>
      <c r="H990" s="21" t="n">
        <f aca="false">H989*(1+IF(C990=1,Assumptions!B22,Assumptions!B23))</f>
        <v>23.0551856432552</v>
      </c>
      <c r="I990" s="16" t="n">
        <f aca="false">ROUND(H990*F990,0)</f>
        <v>23</v>
      </c>
      <c r="J990" s="22" t="n">
        <f aca="false">I990*Assumptions!B24</f>
        <v>13800</v>
      </c>
      <c r="K990" s="21" t="n">
        <f aca="false">K989*(1+Assumptions!B30)</f>
        <v>18.1499502274105</v>
      </c>
      <c r="L990" s="16" t="n">
        <f aca="false">ROUND(K990*F990,0)</f>
        <v>18</v>
      </c>
      <c r="M990" s="22" t="n">
        <f aca="false">L990*Assumptions!B31</f>
        <v>5400</v>
      </c>
      <c r="N990" s="22" t="n">
        <f aca="false">J990+M990</f>
        <v>19200</v>
      </c>
      <c r="O990" s="22" t="n">
        <f aca="false">IF(DAY(B990)=1,Assumptions!B38*G990,0)</f>
        <v>0</v>
      </c>
      <c r="P990" s="22" t="n">
        <f aca="false">IF(DAY(B990)=1,Assumptions!B39*G990,0)</f>
        <v>0</v>
      </c>
      <c r="Q990" s="22" t="n">
        <f aca="false">IF(DAY(B990)=1,Assumptions!B40*G990,0)</f>
        <v>0</v>
      </c>
      <c r="R990" s="22" t="n">
        <f aca="false">IF(DAY(B990)=1,Assumptions!B41*G990,0)</f>
        <v>0</v>
      </c>
      <c r="S990" s="22" t="n">
        <f aca="false">IF(AND(DAY(B990)=1,D990&gt;=13),Assumptions!B42*G990,0)</f>
        <v>0</v>
      </c>
      <c r="T990" s="22" t="n">
        <f aca="false">IF(DAY(B990)=1,Assumptions!B43*G990,0)</f>
        <v>0</v>
      </c>
      <c r="U990" s="22" t="n">
        <f aca="false">SUM(O990:T990)</f>
        <v>0</v>
      </c>
      <c r="V990" s="22" t="n">
        <f aca="false">N990-U990</f>
        <v>19200</v>
      </c>
      <c r="W990" s="22" t="n">
        <f aca="false">W989+V990</f>
        <v>-2066994.45908709</v>
      </c>
      <c r="X990" s="23" t="str">
        <f aca="false">IF(W990&gt;=0,"YES","No")</f>
        <v>No</v>
      </c>
    </row>
    <row r="991" customFormat="false" ht="15" hidden="false" customHeight="false" outlineLevel="0" collapsed="false">
      <c r="A991" s="16" t="n">
        <v>990</v>
      </c>
      <c r="B991" s="17" t="n">
        <f aca="false">B990+1</f>
        <v>47012</v>
      </c>
      <c r="C991" s="18" t="n">
        <f aca="false">MIN(ROUNDUP(A991/365,0),5)</f>
        <v>3</v>
      </c>
      <c r="D991" s="18" t="n">
        <f aca="false">DATEDIF(Assumptions!B5,B991,"m")+1</f>
        <v>33</v>
      </c>
      <c r="E991" s="18" t="str">
        <f aca="false">TEXT(B991,"ddd")</f>
        <v>Sat</v>
      </c>
      <c r="F991" s="19" t="n">
        <f aca="false">IF(WEEKDAY(B991,2)&gt;=6,Assumptions!B34,Assumptions!B35)</f>
        <v>0.6</v>
      </c>
      <c r="G991" s="20" t="n">
        <f aca="false">IF(D991&gt;=13,(1+Assumptions!B46)^(D991-12),1)</f>
        <v>1.06492639976962</v>
      </c>
      <c r="H991" s="21" t="n">
        <f aca="false">H990*(1+IF(C991=1,Assumptions!B22,Assumptions!B23))</f>
        <v>23.0589635051574</v>
      </c>
      <c r="I991" s="16" t="n">
        <f aca="false">ROUND(H991*F991,0)</f>
        <v>14</v>
      </c>
      <c r="J991" s="22" t="n">
        <f aca="false">I991*Assumptions!B24</f>
        <v>8400</v>
      </c>
      <c r="K991" s="21" t="n">
        <f aca="false">K990*(1+Assumptions!B30)</f>
        <v>18.1558841147362</v>
      </c>
      <c r="L991" s="16" t="n">
        <f aca="false">ROUND(K991*F991,0)</f>
        <v>11</v>
      </c>
      <c r="M991" s="22" t="n">
        <f aca="false">L991*Assumptions!B31</f>
        <v>3300</v>
      </c>
      <c r="N991" s="22" t="n">
        <f aca="false">J991+M991</f>
        <v>11700</v>
      </c>
      <c r="O991" s="22" t="n">
        <f aca="false">IF(DAY(B991)=1,Assumptions!B38*G991,0)</f>
        <v>0</v>
      </c>
      <c r="P991" s="22" t="n">
        <f aca="false">IF(DAY(B991)=1,Assumptions!B39*G991,0)</f>
        <v>0</v>
      </c>
      <c r="Q991" s="22" t="n">
        <f aca="false">IF(DAY(B991)=1,Assumptions!B40*G991,0)</f>
        <v>0</v>
      </c>
      <c r="R991" s="22" t="n">
        <f aca="false">IF(DAY(B991)=1,Assumptions!B41*G991,0)</f>
        <v>0</v>
      </c>
      <c r="S991" s="22" t="n">
        <f aca="false">IF(AND(DAY(B991)=1,D991&gt;=13),Assumptions!B42*G991,0)</f>
        <v>0</v>
      </c>
      <c r="T991" s="22" t="n">
        <f aca="false">IF(DAY(B991)=1,Assumptions!B43*G991,0)</f>
        <v>0</v>
      </c>
      <c r="U991" s="22" t="n">
        <f aca="false">SUM(O991:T991)</f>
        <v>0</v>
      </c>
      <c r="V991" s="22" t="n">
        <f aca="false">N991-U991</f>
        <v>11700</v>
      </c>
      <c r="W991" s="22" t="n">
        <f aca="false">W990+V991</f>
        <v>-2055294.45908709</v>
      </c>
      <c r="X991" s="23" t="str">
        <f aca="false">IF(W991&gt;=0,"YES","No")</f>
        <v>No</v>
      </c>
    </row>
    <row r="992" customFormat="false" ht="15" hidden="false" customHeight="false" outlineLevel="0" collapsed="false">
      <c r="A992" s="16" t="n">
        <v>991</v>
      </c>
      <c r="B992" s="17" t="n">
        <f aca="false">B991+1</f>
        <v>47013</v>
      </c>
      <c r="C992" s="18" t="n">
        <f aca="false">MIN(ROUNDUP(A992/365,0),5)</f>
        <v>3</v>
      </c>
      <c r="D992" s="18" t="n">
        <f aca="false">DATEDIF(Assumptions!B5,B992,"m")+1</f>
        <v>33</v>
      </c>
      <c r="E992" s="18" t="str">
        <f aca="false">TEXT(B992,"ddd")</f>
        <v>Sun</v>
      </c>
      <c r="F992" s="19" t="n">
        <f aca="false">IF(WEEKDAY(B992,2)&gt;=6,Assumptions!B34,Assumptions!B35)</f>
        <v>0.6</v>
      </c>
      <c r="G992" s="20" t="n">
        <f aca="false">IF(D992&gt;=13,(1+Assumptions!B46)^(D992-12),1)</f>
        <v>1.06492639976962</v>
      </c>
      <c r="H992" s="21" t="n">
        <f aca="false">H991*(1+IF(C992=1,Assumptions!B22,Assumptions!B23))</f>
        <v>23.0627419861066</v>
      </c>
      <c r="I992" s="16" t="n">
        <f aca="false">ROUND(H992*F992,0)</f>
        <v>14</v>
      </c>
      <c r="J992" s="22" t="n">
        <f aca="false">I992*Assumptions!B24</f>
        <v>8400</v>
      </c>
      <c r="K992" s="21" t="n">
        <f aca="false">K991*(1+Assumptions!B30)</f>
        <v>18.1618199420683</v>
      </c>
      <c r="L992" s="16" t="n">
        <f aca="false">ROUND(K992*F992,0)</f>
        <v>11</v>
      </c>
      <c r="M992" s="22" t="n">
        <f aca="false">L992*Assumptions!B31</f>
        <v>3300</v>
      </c>
      <c r="N992" s="22" t="n">
        <f aca="false">J992+M992</f>
        <v>11700</v>
      </c>
      <c r="O992" s="22" t="n">
        <f aca="false">IF(DAY(B992)=1,Assumptions!B38*G992,0)</f>
        <v>0</v>
      </c>
      <c r="P992" s="22" t="n">
        <f aca="false">IF(DAY(B992)=1,Assumptions!B39*G992,0)</f>
        <v>0</v>
      </c>
      <c r="Q992" s="22" t="n">
        <f aca="false">IF(DAY(B992)=1,Assumptions!B40*G992,0)</f>
        <v>0</v>
      </c>
      <c r="R992" s="22" t="n">
        <f aca="false">IF(DAY(B992)=1,Assumptions!B41*G992,0)</f>
        <v>0</v>
      </c>
      <c r="S992" s="22" t="n">
        <f aca="false">IF(AND(DAY(B992)=1,D992&gt;=13),Assumptions!B42*G992,0)</f>
        <v>0</v>
      </c>
      <c r="T992" s="22" t="n">
        <f aca="false">IF(DAY(B992)=1,Assumptions!B43*G992,0)</f>
        <v>0</v>
      </c>
      <c r="U992" s="22" t="n">
        <f aca="false">SUM(O992:T992)</f>
        <v>0</v>
      </c>
      <c r="V992" s="22" t="n">
        <f aca="false">N992-U992</f>
        <v>11700</v>
      </c>
      <c r="W992" s="22" t="n">
        <f aca="false">W991+V992</f>
        <v>-2043594.45908709</v>
      </c>
      <c r="X992" s="23" t="str">
        <f aca="false">IF(W992&gt;=0,"YES","No")</f>
        <v>No</v>
      </c>
    </row>
    <row r="993" customFormat="false" ht="15" hidden="false" customHeight="false" outlineLevel="0" collapsed="false">
      <c r="A993" s="16" t="n">
        <v>992</v>
      </c>
      <c r="B993" s="17" t="n">
        <f aca="false">B992+1</f>
        <v>47014</v>
      </c>
      <c r="C993" s="18" t="n">
        <f aca="false">MIN(ROUNDUP(A993/365,0),5)</f>
        <v>3</v>
      </c>
      <c r="D993" s="18" t="n">
        <f aca="false">DATEDIF(Assumptions!B5,B993,"m")+1</f>
        <v>33</v>
      </c>
      <c r="E993" s="18" t="str">
        <f aca="false">TEXT(B993,"ddd")</f>
        <v>Mon</v>
      </c>
      <c r="F993" s="19" t="n">
        <f aca="false">IF(WEEKDAY(B993,2)&gt;=6,Assumptions!B34,Assumptions!B35)</f>
        <v>1</v>
      </c>
      <c r="G993" s="20" t="n">
        <f aca="false">IF(D993&gt;=13,(1+Assumptions!B46)^(D993-12),1)</f>
        <v>1.06492639976962</v>
      </c>
      <c r="H993" s="21" t="n">
        <f aca="false">H992*(1+IF(C993=1,Assumptions!B22,Assumptions!B23))</f>
        <v>23.066521086204</v>
      </c>
      <c r="I993" s="16" t="n">
        <f aca="false">ROUND(H993*F993,0)</f>
        <v>23</v>
      </c>
      <c r="J993" s="22" t="n">
        <f aca="false">I993*Assumptions!B24</f>
        <v>13800</v>
      </c>
      <c r="K993" s="21" t="n">
        <f aca="false">K992*(1+Assumptions!B30)</f>
        <v>18.1677577100409</v>
      </c>
      <c r="L993" s="16" t="n">
        <f aca="false">ROUND(K993*F993,0)</f>
        <v>18</v>
      </c>
      <c r="M993" s="22" t="n">
        <f aca="false">L993*Assumptions!B31</f>
        <v>5400</v>
      </c>
      <c r="N993" s="22" t="n">
        <f aca="false">J993+M993</f>
        <v>19200</v>
      </c>
      <c r="O993" s="22" t="n">
        <f aca="false">IF(DAY(B993)=1,Assumptions!B38*G993,0)</f>
        <v>0</v>
      </c>
      <c r="P993" s="22" t="n">
        <f aca="false">IF(DAY(B993)=1,Assumptions!B39*G993,0)</f>
        <v>0</v>
      </c>
      <c r="Q993" s="22" t="n">
        <f aca="false">IF(DAY(B993)=1,Assumptions!B40*G993,0)</f>
        <v>0</v>
      </c>
      <c r="R993" s="22" t="n">
        <f aca="false">IF(DAY(B993)=1,Assumptions!B41*G993,0)</f>
        <v>0</v>
      </c>
      <c r="S993" s="22" t="n">
        <f aca="false">IF(AND(DAY(B993)=1,D993&gt;=13),Assumptions!B42*G993,0)</f>
        <v>0</v>
      </c>
      <c r="T993" s="22" t="n">
        <f aca="false">IF(DAY(B993)=1,Assumptions!B43*G993,0)</f>
        <v>0</v>
      </c>
      <c r="U993" s="22" t="n">
        <f aca="false">SUM(O993:T993)</f>
        <v>0</v>
      </c>
      <c r="V993" s="22" t="n">
        <f aca="false">N993-U993</f>
        <v>19200</v>
      </c>
      <c r="W993" s="22" t="n">
        <f aca="false">W992+V993</f>
        <v>-2024394.45908709</v>
      </c>
      <c r="X993" s="23" t="str">
        <f aca="false">IF(W993&gt;=0,"YES","No")</f>
        <v>No</v>
      </c>
    </row>
    <row r="994" customFormat="false" ht="15" hidden="false" customHeight="false" outlineLevel="0" collapsed="false">
      <c r="A994" s="16" t="n">
        <v>993</v>
      </c>
      <c r="B994" s="17" t="n">
        <f aca="false">B993+1</f>
        <v>47015</v>
      </c>
      <c r="C994" s="18" t="n">
        <f aca="false">MIN(ROUNDUP(A994/365,0),5)</f>
        <v>3</v>
      </c>
      <c r="D994" s="18" t="n">
        <f aca="false">DATEDIF(Assumptions!B5,B994,"m")+1</f>
        <v>33</v>
      </c>
      <c r="E994" s="18" t="str">
        <f aca="false">TEXT(B994,"ddd")</f>
        <v>Tue</v>
      </c>
      <c r="F994" s="19" t="n">
        <f aca="false">IF(WEEKDAY(B994,2)&gt;=6,Assumptions!B34,Assumptions!B35)</f>
        <v>1</v>
      </c>
      <c r="G994" s="20" t="n">
        <f aca="false">IF(D994&gt;=13,(1+Assumptions!B46)^(D994-12),1)</f>
        <v>1.06492639976962</v>
      </c>
      <c r="H994" s="21" t="n">
        <f aca="false">H993*(1+IF(C994=1,Assumptions!B22,Assumptions!B23))</f>
        <v>23.0703008055512</v>
      </c>
      <c r="I994" s="16" t="n">
        <f aca="false">ROUND(H994*F994,0)</f>
        <v>23</v>
      </c>
      <c r="J994" s="22" t="n">
        <f aca="false">I994*Assumptions!B24</f>
        <v>13800</v>
      </c>
      <c r="K994" s="21" t="n">
        <f aca="false">K993*(1+Assumptions!B30)</f>
        <v>18.1736974192887</v>
      </c>
      <c r="L994" s="16" t="n">
        <f aca="false">ROUND(K994*F994,0)</f>
        <v>18</v>
      </c>
      <c r="M994" s="22" t="n">
        <f aca="false">L994*Assumptions!B31</f>
        <v>5400</v>
      </c>
      <c r="N994" s="22" t="n">
        <f aca="false">J994+M994</f>
        <v>19200</v>
      </c>
      <c r="O994" s="22" t="n">
        <f aca="false">IF(DAY(B994)=1,Assumptions!B38*G994,0)</f>
        <v>0</v>
      </c>
      <c r="P994" s="22" t="n">
        <f aca="false">IF(DAY(B994)=1,Assumptions!B39*G994,0)</f>
        <v>0</v>
      </c>
      <c r="Q994" s="22" t="n">
        <f aca="false">IF(DAY(B994)=1,Assumptions!B40*G994,0)</f>
        <v>0</v>
      </c>
      <c r="R994" s="22" t="n">
        <f aca="false">IF(DAY(B994)=1,Assumptions!B41*G994,0)</f>
        <v>0</v>
      </c>
      <c r="S994" s="22" t="n">
        <f aca="false">IF(AND(DAY(B994)=1,D994&gt;=13),Assumptions!B42*G994,0)</f>
        <v>0</v>
      </c>
      <c r="T994" s="22" t="n">
        <f aca="false">IF(DAY(B994)=1,Assumptions!B43*G994,0)</f>
        <v>0</v>
      </c>
      <c r="U994" s="22" t="n">
        <f aca="false">SUM(O994:T994)</f>
        <v>0</v>
      </c>
      <c r="V994" s="22" t="n">
        <f aca="false">N994-U994</f>
        <v>19200</v>
      </c>
      <c r="W994" s="22" t="n">
        <f aca="false">W993+V994</f>
        <v>-2005194.45908709</v>
      </c>
      <c r="X994" s="23" t="str">
        <f aca="false">IF(W994&gt;=0,"YES","No")</f>
        <v>No</v>
      </c>
    </row>
    <row r="995" customFormat="false" ht="15" hidden="false" customHeight="false" outlineLevel="0" collapsed="false">
      <c r="A995" s="16" t="n">
        <v>994</v>
      </c>
      <c r="B995" s="17" t="n">
        <f aca="false">B994+1</f>
        <v>47016</v>
      </c>
      <c r="C995" s="18" t="n">
        <f aca="false">MIN(ROUNDUP(A995/365,0),5)</f>
        <v>3</v>
      </c>
      <c r="D995" s="18" t="n">
        <f aca="false">DATEDIF(Assumptions!B5,B995,"m")+1</f>
        <v>33</v>
      </c>
      <c r="E995" s="18" t="str">
        <f aca="false">TEXT(B995,"ddd")</f>
        <v>Wed</v>
      </c>
      <c r="F995" s="19" t="n">
        <f aca="false">IF(WEEKDAY(B995,2)&gt;=6,Assumptions!B34,Assumptions!B35)</f>
        <v>1</v>
      </c>
      <c r="G995" s="20" t="n">
        <f aca="false">IF(D995&gt;=13,(1+Assumptions!B46)^(D995-12),1)</f>
        <v>1.06492639976962</v>
      </c>
      <c r="H995" s="21" t="n">
        <f aca="false">H994*(1+IF(C995=1,Assumptions!B22,Assumptions!B23))</f>
        <v>23.0740811442496</v>
      </c>
      <c r="I995" s="16" t="n">
        <f aca="false">ROUND(H995*F995,0)</f>
        <v>23</v>
      </c>
      <c r="J995" s="22" t="n">
        <f aca="false">I995*Assumptions!B24</f>
        <v>13800</v>
      </c>
      <c r="K995" s="21" t="n">
        <f aca="false">K994*(1+Assumptions!B30)</f>
        <v>18.1796390704461</v>
      </c>
      <c r="L995" s="16" t="n">
        <f aca="false">ROUND(K995*F995,0)</f>
        <v>18</v>
      </c>
      <c r="M995" s="22" t="n">
        <f aca="false">L995*Assumptions!B31</f>
        <v>5400</v>
      </c>
      <c r="N995" s="22" t="n">
        <f aca="false">J995+M995</f>
        <v>19200</v>
      </c>
      <c r="O995" s="22" t="n">
        <f aca="false">IF(DAY(B995)=1,Assumptions!B38*G995,0)</f>
        <v>0</v>
      </c>
      <c r="P995" s="22" t="n">
        <f aca="false">IF(DAY(B995)=1,Assumptions!B39*G995,0)</f>
        <v>0</v>
      </c>
      <c r="Q995" s="22" t="n">
        <f aca="false">IF(DAY(B995)=1,Assumptions!B40*G995,0)</f>
        <v>0</v>
      </c>
      <c r="R995" s="22" t="n">
        <f aca="false">IF(DAY(B995)=1,Assumptions!B41*G995,0)</f>
        <v>0</v>
      </c>
      <c r="S995" s="22" t="n">
        <f aca="false">IF(AND(DAY(B995)=1,D995&gt;=13),Assumptions!B42*G995,0)</f>
        <v>0</v>
      </c>
      <c r="T995" s="22" t="n">
        <f aca="false">IF(DAY(B995)=1,Assumptions!B43*G995,0)</f>
        <v>0</v>
      </c>
      <c r="U995" s="22" t="n">
        <f aca="false">SUM(O995:T995)</f>
        <v>0</v>
      </c>
      <c r="V995" s="22" t="n">
        <f aca="false">N995-U995</f>
        <v>19200</v>
      </c>
      <c r="W995" s="22" t="n">
        <f aca="false">W994+V995</f>
        <v>-1985994.45908709</v>
      </c>
      <c r="X995" s="23" t="str">
        <f aca="false">IF(W995&gt;=0,"YES","No")</f>
        <v>No</v>
      </c>
    </row>
    <row r="996" customFormat="false" ht="15" hidden="false" customHeight="false" outlineLevel="0" collapsed="false">
      <c r="A996" s="16" t="n">
        <v>995</v>
      </c>
      <c r="B996" s="17" t="n">
        <f aca="false">B995+1</f>
        <v>47017</v>
      </c>
      <c r="C996" s="18" t="n">
        <f aca="false">MIN(ROUNDUP(A996/365,0),5)</f>
        <v>3</v>
      </c>
      <c r="D996" s="18" t="n">
        <f aca="false">DATEDIF(Assumptions!B5,B996,"m")+1</f>
        <v>33</v>
      </c>
      <c r="E996" s="18" t="str">
        <f aca="false">TEXT(B996,"ddd")</f>
        <v>Thu</v>
      </c>
      <c r="F996" s="19" t="n">
        <f aca="false">IF(WEEKDAY(B996,2)&gt;=6,Assumptions!B34,Assumptions!B35)</f>
        <v>1</v>
      </c>
      <c r="G996" s="20" t="n">
        <f aca="false">IF(D996&gt;=13,(1+Assumptions!B46)^(D996-12),1)</f>
        <v>1.06492639976962</v>
      </c>
      <c r="H996" s="21" t="n">
        <f aca="false">H995*(1+IF(C996=1,Assumptions!B22,Assumptions!B23))</f>
        <v>23.0778621024008</v>
      </c>
      <c r="I996" s="16" t="n">
        <f aca="false">ROUND(H996*F996,0)</f>
        <v>23</v>
      </c>
      <c r="J996" s="22" t="n">
        <f aca="false">I996*Assumptions!B24</f>
        <v>13800</v>
      </c>
      <c r="K996" s="21" t="n">
        <f aca="false">K995*(1+Assumptions!B30)</f>
        <v>18.1855826641483</v>
      </c>
      <c r="L996" s="16" t="n">
        <f aca="false">ROUND(K996*F996,0)</f>
        <v>18</v>
      </c>
      <c r="M996" s="22" t="n">
        <f aca="false">L996*Assumptions!B31</f>
        <v>5400</v>
      </c>
      <c r="N996" s="22" t="n">
        <f aca="false">J996+M996</f>
        <v>19200</v>
      </c>
      <c r="O996" s="22" t="n">
        <f aca="false">IF(DAY(B996)=1,Assumptions!B38*G996,0)</f>
        <v>0</v>
      </c>
      <c r="P996" s="22" t="n">
        <f aca="false">IF(DAY(B996)=1,Assumptions!B39*G996,0)</f>
        <v>0</v>
      </c>
      <c r="Q996" s="22" t="n">
        <f aca="false">IF(DAY(B996)=1,Assumptions!B40*G996,0)</f>
        <v>0</v>
      </c>
      <c r="R996" s="22" t="n">
        <f aca="false">IF(DAY(B996)=1,Assumptions!B41*G996,0)</f>
        <v>0</v>
      </c>
      <c r="S996" s="22" t="n">
        <f aca="false">IF(AND(DAY(B996)=1,D996&gt;=13),Assumptions!B42*G996,0)</f>
        <v>0</v>
      </c>
      <c r="T996" s="22" t="n">
        <f aca="false">IF(DAY(B996)=1,Assumptions!B43*G996,0)</f>
        <v>0</v>
      </c>
      <c r="U996" s="22" t="n">
        <f aca="false">SUM(O996:T996)</f>
        <v>0</v>
      </c>
      <c r="V996" s="22" t="n">
        <f aca="false">N996-U996</f>
        <v>19200</v>
      </c>
      <c r="W996" s="22" t="n">
        <f aca="false">W995+V996</f>
        <v>-1966794.45908709</v>
      </c>
      <c r="X996" s="23" t="str">
        <f aca="false">IF(W996&gt;=0,"YES","No")</f>
        <v>No</v>
      </c>
    </row>
    <row r="997" customFormat="false" ht="15" hidden="false" customHeight="false" outlineLevel="0" collapsed="false">
      <c r="A997" s="16" t="n">
        <v>996</v>
      </c>
      <c r="B997" s="17" t="n">
        <f aca="false">B996+1</f>
        <v>47018</v>
      </c>
      <c r="C997" s="18" t="n">
        <f aca="false">MIN(ROUNDUP(A997/365,0),5)</f>
        <v>3</v>
      </c>
      <c r="D997" s="18" t="n">
        <f aca="false">DATEDIF(Assumptions!B5,B997,"m")+1</f>
        <v>33</v>
      </c>
      <c r="E997" s="18" t="str">
        <f aca="false">TEXT(B997,"ddd")</f>
        <v>Fri</v>
      </c>
      <c r="F997" s="19" t="n">
        <f aca="false">IF(WEEKDAY(B997,2)&gt;=6,Assumptions!B34,Assumptions!B35)</f>
        <v>1</v>
      </c>
      <c r="G997" s="20" t="n">
        <f aca="false">IF(D997&gt;=13,(1+Assumptions!B46)^(D997-12),1)</f>
        <v>1.06492639976962</v>
      </c>
      <c r="H997" s="21" t="n">
        <f aca="false">H996*(1+IF(C997=1,Assumptions!B22,Assumptions!B23))</f>
        <v>23.0816436801062</v>
      </c>
      <c r="I997" s="16" t="n">
        <f aca="false">ROUND(H997*F997,0)</f>
        <v>23</v>
      </c>
      <c r="J997" s="22" t="n">
        <f aca="false">I997*Assumptions!B24</f>
        <v>13800</v>
      </c>
      <c r="K997" s="21" t="n">
        <f aca="false">K996*(1+Assumptions!B30)</f>
        <v>18.1915282010301</v>
      </c>
      <c r="L997" s="16" t="n">
        <f aca="false">ROUND(K997*F997,0)</f>
        <v>18</v>
      </c>
      <c r="M997" s="22" t="n">
        <f aca="false">L997*Assumptions!B31</f>
        <v>5400</v>
      </c>
      <c r="N997" s="22" t="n">
        <f aca="false">J997+M997</f>
        <v>19200</v>
      </c>
      <c r="O997" s="22" t="n">
        <f aca="false">IF(DAY(B997)=1,Assumptions!B38*G997,0)</f>
        <v>0</v>
      </c>
      <c r="P997" s="22" t="n">
        <f aca="false">IF(DAY(B997)=1,Assumptions!B39*G997,0)</f>
        <v>0</v>
      </c>
      <c r="Q997" s="22" t="n">
        <f aca="false">IF(DAY(B997)=1,Assumptions!B40*G997,0)</f>
        <v>0</v>
      </c>
      <c r="R997" s="22" t="n">
        <f aca="false">IF(DAY(B997)=1,Assumptions!B41*G997,0)</f>
        <v>0</v>
      </c>
      <c r="S997" s="22" t="n">
        <f aca="false">IF(AND(DAY(B997)=1,D997&gt;=13),Assumptions!B42*G997,0)</f>
        <v>0</v>
      </c>
      <c r="T997" s="22" t="n">
        <f aca="false">IF(DAY(B997)=1,Assumptions!B43*G997,0)</f>
        <v>0</v>
      </c>
      <c r="U997" s="22" t="n">
        <f aca="false">SUM(O997:T997)</f>
        <v>0</v>
      </c>
      <c r="V997" s="22" t="n">
        <f aca="false">N997-U997</f>
        <v>19200</v>
      </c>
      <c r="W997" s="22" t="n">
        <f aca="false">W996+V997</f>
        <v>-1947594.45908709</v>
      </c>
      <c r="X997" s="23" t="str">
        <f aca="false">IF(W997&gt;=0,"YES","No")</f>
        <v>No</v>
      </c>
    </row>
    <row r="998" customFormat="false" ht="15" hidden="false" customHeight="false" outlineLevel="0" collapsed="false">
      <c r="A998" s="16" t="n">
        <v>997</v>
      </c>
      <c r="B998" s="17" t="n">
        <f aca="false">B997+1</f>
        <v>47019</v>
      </c>
      <c r="C998" s="18" t="n">
        <f aca="false">MIN(ROUNDUP(A998/365,0),5)</f>
        <v>3</v>
      </c>
      <c r="D998" s="18" t="n">
        <f aca="false">DATEDIF(Assumptions!B5,B998,"m")+1</f>
        <v>33</v>
      </c>
      <c r="E998" s="18" t="str">
        <f aca="false">TEXT(B998,"ddd")</f>
        <v>Sat</v>
      </c>
      <c r="F998" s="19" t="n">
        <f aca="false">IF(WEEKDAY(B998,2)&gt;=6,Assumptions!B34,Assumptions!B35)</f>
        <v>0.6</v>
      </c>
      <c r="G998" s="20" t="n">
        <f aca="false">IF(D998&gt;=13,(1+Assumptions!B46)^(D998-12),1)</f>
        <v>1.06492639976962</v>
      </c>
      <c r="H998" s="21" t="n">
        <f aca="false">H997*(1+IF(C998=1,Assumptions!B22,Assumptions!B23))</f>
        <v>23.0854258774673</v>
      </c>
      <c r="I998" s="16" t="n">
        <f aca="false">ROUND(H998*F998,0)</f>
        <v>14</v>
      </c>
      <c r="J998" s="22" t="n">
        <f aca="false">I998*Assumptions!B24</f>
        <v>8400</v>
      </c>
      <c r="K998" s="21" t="n">
        <f aca="false">K997*(1+Assumptions!B30)</f>
        <v>18.197475681727</v>
      </c>
      <c r="L998" s="16" t="n">
        <f aca="false">ROUND(K998*F998,0)</f>
        <v>11</v>
      </c>
      <c r="M998" s="22" t="n">
        <f aca="false">L998*Assumptions!B31</f>
        <v>3300</v>
      </c>
      <c r="N998" s="22" t="n">
        <f aca="false">J998+M998</f>
        <v>11700</v>
      </c>
      <c r="O998" s="22" t="n">
        <f aca="false">IF(DAY(B998)=1,Assumptions!B38*G998,0)</f>
        <v>0</v>
      </c>
      <c r="P998" s="22" t="n">
        <f aca="false">IF(DAY(B998)=1,Assumptions!B39*G998,0)</f>
        <v>0</v>
      </c>
      <c r="Q998" s="22" t="n">
        <f aca="false">IF(DAY(B998)=1,Assumptions!B40*G998,0)</f>
        <v>0</v>
      </c>
      <c r="R998" s="22" t="n">
        <f aca="false">IF(DAY(B998)=1,Assumptions!B41*G998,0)</f>
        <v>0</v>
      </c>
      <c r="S998" s="22" t="n">
        <f aca="false">IF(AND(DAY(B998)=1,D998&gt;=13),Assumptions!B42*G998,0)</f>
        <v>0</v>
      </c>
      <c r="T998" s="22" t="n">
        <f aca="false">IF(DAY(B998)=1,Assumptions!B43*G998,0)</f>
        <v>0</v>
      </c>
      <c r="U998" s="22" t="n">
        <f aca="false">SUM(O998:T998)</f>
        <v>0</v>
      </c>
      <c r="V998" s="22" t="n">
        <f aca="false">N998-U998</f>
        <v>11700</v>
      </c>
      <c r="W998" s="22" t="n">
        <f aca="false">W997+V998</f>
        <v>-1935894.45908709</v>
      </c>
      <c r="X998" s="23" t="str">
        <f aca="false">IF(W998&gt;=0,"YES","No")</f>
        <v>No</v>
      </c>
    </row>
    <row r="999" customFormat="false" ht="15" hidden="false" customHeight="false" outlineLevel="0" collapsed="false">
      <c r="A999" s="16" t="n">
        <v>998</v>
      </c>
      <c r="B999" s="17" t="n">
        <f aca="false">B998+1</f>
        <v>47020</v>
      </c>
      <c r="C999" s="18" t="n">
        <f aca="false">MIN(ROUNDUP(A999/365,0),5)</f>
        <v>3</v>
      </c>
      <c r="D999" s="18" t="n">
        <f aca="false">DATEDIF(Assumptions!B5,B999,"m")+1</f>
        <v>33</v>
      </c>
      <c r="E999" s="18" t="str">
        <f aca="false">TEXT(B999,"ddd")</f>
        <v>Sun</v>
      </c>
      <c r="F999" s="19" t="n">
        <f aca="false">IF(WEEKDAY(B999,2)&gt;=6,Assumptions!B34,Assumptions!B35)</f>
        <v>0.6</v>
      </c>
      <c r="G999" s="20" t="n">
        <f aca="false">IF(D999&gt;=13,(1+Assumptions!B46)^(D999-12),1)</f>
        <v>1.06492639976962</v>
      </c>
      <c r="H999" s="21" t="n">
        <f aca="false">H998*(1+IF(C999=1,Assumptions!B22,Assumptions!B23))</f>
        <v>23.0892086945858</v>
      </c>
      <c r="I999" s="16" t="n">
        <f aca="false">ROUND(H999*F999,0)</f>
        <v>14</v>
      </c>
      <c r="J999" s="22" t="n">
        <f aca="false">I999*Assumptions!B24</f>
        <v>8400</v>
      </c>
      <c r="K999" s="21" t="n">
        <f aca="false">K998*(1+Assumptions!B30)</f>
        <v>18.2034251068744</v>
      </c>
      <c r="L999" s="16" t="n">
        <f aca="false">ROUND(K999*F999,0)</f>
        <v>11</v>
      </c>
      <c r="M999" s="22" t="n">
        <f aca="false">L999*Assumptions!B31</f>
        <v>3300</v>
      </c>
      <c r="N999" s="22" t="n">
        <f aca="false">J999+M999</f>
        <v>11700</v>
      </c>
      <c r="O999" s="22" t="n">
        <f aca="false">IF(DAY(B999)=1,Assumptions!B38*G999,0)</f>
        <v>0</v>
      </c>
      <c r="P999" s="22" t="n">
        <f aca="false">IF(DAY(B999)=1,Assumptions!B39*G999,0)</f>
        <v>0</v>
      </c>
      <c r="Q999" s="22" t="n">
        <f aca="false">IF(DAY(B999)=1,Assumptions!B40*G999,0)</f>
        <v>0</v>
      </c>
      <c r="R999" s="22" t="n">
        <f aca="false">IF(DAY(B999)=1,Assumptions!B41*G999,0)</f>
        <v>0</v>
      </c>
      <c r="S999" s="22" t="n">
        <f aca="false">IF(AND(DAY(B999)=1,D999&gt;=13),Assumptions!B42*G999,0)</f>
        <v>0</v>
      </c>
      <c r="T999" s="22" t="n">
        <f aca="false">IF(DAY(B999)=1,Assumptions!B43*G999,0)</f>
        <v>0</v>
      </c>
      <c r="U999" s="22" t="n">
        <f aca="false">SUM(O999:T999)</f>
        <v>0</v>
      </c>
      <c r="V999" s="22" t="n">
        <f aca="false">N999-U999</f>
        <v>11700</v>
      </c>
      <c r="W999" s="22" t="n">
        <f aca="false">W998+V999</f>
        <v>-1924194.45908709</v>
      </c>
      <c r="X999" s="23" t="str">
        <f aca="false">IF(W999&gt;=0,"YES","No")</f>
        <v>No</v>
      </c>
    </row>
    <row r="1000" customFormat="false" ht="15" hidden="false" customHeight="false" outlineLevel="0" collapsed="false">
      <c r="A1000" s="16" t="n">
        <v>999</v>
      </c>
      <c r="B1000" s="17" t="n">
        <f aca="false">B999+1</f>
        <v>47021</v>
      </c>
      <c r="C1000" s="18" t="n">
        <f aca="false">MIN(ROUNDUP(A1000/365,0),5)</f>
        <v>3</v>
      </c>
      <c r="D1000" s="18" t="n">
        <f aca="false">DATEDIF(Assumptions!B5,B1000,"m")+1</f>
        <v>33</v>
      </c>
      <c r="E1000" s="18" t="str">
        <f aca="false">TEXT(B1000,"ddd")</f>
        <v>Mon</v>
      </c>
      <c r="F1000" s="19" t="n">
        <f aca="false">IF(WEEKDAY(B1000,2)&gt;=6,Assumptions!B34,Assumptions!B35)</f>
        <v>1</v>
      </c>
      <c r="G1000" s="20" t="n">
        <f aca="false">IF(D1000&gt;=13,(1+Assumptions!B46)^(D1000-12),1)</f>
        <v>1.06492639976962</v>
      </c>
      <c r="H1000" s="21" t="n">
        <f aca="false">H999*(1+IF(C1000=1,Assumptions!B22,Assumptions!B23))</f>
        <v>23.092992131563</v>
      </c>
      <c r="I1000" s="16" t="n">
        <f aca="false">ROUND(H1000*F1000,0)</f>
        <v>23</v>
      </c>
      <c r="J1000" s="22" t="n">
        <f aca="false">I1000*Assumptions!B24</f>
        <v>13800</v>
      </c>
      <c r="K1000" s="21" t="n">
        <f aca="false">K999*(1+Assumptions!B30)</f>
        <v>18.2093764771081</v>
      </c>
      <c r="L1000" s="16" t="n">
        <f aca="false">ROUND(K1000*F1000,0)</f>
        <v>18</v>
      </c>
      <c r="M1000" s="22" t="n">
        <f aca="false">L1000*Assumptions!B31</f>
        <v>5400</v>
      </c>
      <c r="N1000" s="22" t="n">
        <f aca="false">J1000+M1000</f>
        <v>19200</v>
      </c>
      <c r="O1000" s="22" t="n">
        <f aca="false">IF(DAY(B1000)=1,Assumptions!B38*G1000,0)</f>
        <v>0</v>
      </c>
      <c r="P1000" s="22" t="n">
        <f aca="false">IF(DAY(B1000)=1,Assumptions!B39*G1000,0)</f>
        <v>0</v>
      </c>
      <c r="Q1000" s="22" t="n">
        <f aca="false">IF(DAY(B1000)=1,Assumptions!B40*G1000,0)</f>
        <v>0</v>
      </c>
      <c r="R1000" s="22" t="n">
        <f aca="false">IF(DAY(B1000)=1,Assumptions!B41*G1000,0)</f>
        <v>0</v>
      </c>
      <c r="S1000" s="22" t="n">
        <f aca="false">IF(AND(DAY(B1000)=1,D1000&gt;=13),Assumptions!B42*G1000,0)</f>
        <v>0</v>
      </c>
      <c r="T1000" s="22" t="n">
        <f aca="false">IF(DAY(B1000)=1,Assumptions!B43*G1000,0)</f>
        <v>0</v>
      </c>
      <c r="U1000" s="22" t="n">
        <f aca="false">SUM(O1000:T1000)</f>
        <v>0</v>
      </c>
      <c r="V1000" s="22" t="n">
        <f aca="false">N1000-U1000</f>
        <v>19200</v>
      </c>
      <c r="W1000" s="22" t="n">
        <f aca="false">W999+V1000</f>
        <v>-1904994.45908709</v>
      </c>
      <c r="X1000" s="23" t="str">
        <f aca="false">IF(W1000&gt;=0,"YES","No")</f>
        <v>No</v>
      </c>
    </row>
    <row r="1001" customFormat="false" ht="15" hidden="false" customHeight="false" outlineLevel="0" collapsed="false">
      <c r="A1001" s="16" t="n">
        <v>1000</v>
      </c>
      <c r="B1001" s="17" t="n">
        <f aca="false">B1000+1</f>
        <v>47022</v>
      </c>
      <c r="C1001" s="18" t="n">
        <f aca="false">MIN(ROUNDUP(A1001/365,0),5)</f>
        <v>3</v>
      </c>
      <c r="D1001" s="18" t="n">
        <f aca="false">DATEDIF(Assumptions!B5,B1001,"m")+1</f>
        <v>33</v>
      </c>
      <c r="E1001" s="18" t="str">
        <f aca="false">TEXT(B1001,"ddd")</f>
        <v>Tue</v>
      </c>
      <c r="F1001" s="19" t="n">
        <f aca="false">IF(WEEKDAY(B1001,2)&gt;=6,Assumptions!B34,Assumptions!B35)</f>
        <v>1</v>
      </c>
      <c r="G1001" s="20" t="n">
        <f aca="false">IF(D1001&gt;=13,(1+Assumptions!B46)^(D1001-12),1)</f>
        <v>1.06492639976962</v>
      </c>
      <c r="H1001" s="21" t="n">
        <f aca="false">H1000*(1+IF(C1001=1,Assumptions!B22,Assumptions!B23))</f>
        <v>23.0967761885007</v>
      </c>
      <c r="I1001" s="16" t="n">
        <f aca="false">ROUND(H1001*F1001,0)</f>
        <v>23</v>
      </c>
      <c r="J1001" s="22" t="n">
        <f aca="false">I1001*Assumptions!B24</f>
        <v>13800</v>
      </c>
      <c r="K1001" s="21" t="n">
        <f aca="false">K1000*(1+Assumptions!B30)</f>
        <v>18.2153297930639</v>
      </c>
      <c r="L1001" s="16" t="n">
        <f aca="false">ROUND(K1001*F1001,0)</f>
        <v>18</v>
      </c>
      <c r="M1001" s="22" t="n">
        <f aca="false">L1001*Assumptions!B31</f>
        <v>5400</v>
      </c>
      <c r="N1001" s="22" t="n">
        <f aca="false">J1001+M1001</f>
        <v>19200</v>
      </c>
      <c r="O1001" s="22" t="n">
        <f aca="false">IF(DAY(B1001)=1,Assumptions!B38*G1001,0)</f>
        <v>0</v>
      </c>
      <c r="P1001" s="22" t="n">
        <f aca="false">IF(DAY(B1001)=1,Assumptions!B39*G1001,0)</f>
        <v>0</v>
      </c>
      <c r="Q1001" s="22" t="n">
        <f aca="false">IF(DAY(B1001)=1,Assumptions!B40*G1001,0)</f>
        <v>0</v>
      </c>
      <c r="R1001" s="22" t="n">
        <f aca="false">IF(DAY(B1001)=1,Assumptions!B41*G1001,0)</f>
        <v>0</v>
      </c>
      <c r="S1001" s="22" t="n">
        <f aca="false">IF(AND(DAY(B1001)=1,D1001&gt;=13),Assumptions!B42*G1001,0)</f>
        <v>0</v>
      </c>
      <c r="T1001" s="22" t="n">
        <f aca="false">IF(DAY(B1001)=1,Assumptions!B43*G1001,0)</f>
        <v>0</v>
      </c>
      <c r="U1001" s="22" t="n">
        <f aca="false">SUM(O1001:T1001)</f>
        <v>0</v>
      </c>
      <c r="V1001" s="22" t="n">
        <f aca="false">N1001-U1001</f>
        <v>19200</v>
      </c>
      <c r="W1001" s="22" t="n">
        <f aca="false">W1000+V1001</f>
        <v>-1885794.45908709</v>
      </c>
      <c r="X1001" s="23" t="str">
        <f aca="false">IF(W1001&gt;=0,"YES","No")</f>
        <v>No</v>
      </c>
    </row>
    <row r="1002" customFormat="false" ht="15" hidden="false" customHeight="false" outlineLevel="0" collapsed="false">
      <c r="A1002" s="16" t="n">
        <v>1001</v>
      </c>
      <c r="B1002" s="17" t="n">
        <f aca="false">B1001+1</f>
        <v>47023</v>
      </c>
      <c r="C1002" s="18" t="n">
        <f aca="false">MIN(ROUNDUP(A1002/365,0),5)</f>
        <v>3</v>
      </c>
      <c r="D1002" s="18" t="n">
        <f aca="false">DATEDIF(Assumptions!B5,B1002,"m")+1</f>
        <v>33</v>
      </c>
      <c r="E1002" s="18" t="str">
        <f aca="false">TEXT(B1002,"ddd")</f>
        <v>Wed</v>
      </c>
      <c r="F1002" s="19" t="n">
        <f aca="false">IF(WEEKDAY(B1002,2)&gt;=6,Assumptions!B34,Assumptions!B35)</f>
        <v>1</v>
      </c>
      <c r="G1002" s="20" t="n">
        <f aca="false">IF(D1002&gt;=13,(1+Assumptions!B46)^(D1002-12),1)</f>
        <v>1.06492639976962</v>
      </c>
      <c r="H1002" s="21" t="n">
        <f aca="false">H1001*(1+IF(C1002=1,Assumptions!B22,Assumptions!B23))</f>
        <v>23.1005608655004</v>
      </c>
      <c r="I1002" s="16" t="n">
        <f aca="false">ROUND(H1002*F1002,0)</f>
        <v>23</v>
      </c>
      <c r="J1002" s="22" t="n">
        <f aca="false">I1002*Assumptions!B24</f>
        <v>13800</v>
      </c>
      <c r="K1002" s="21" t="n">
        <f aca="false">K1001*(1+Assumptions!B30)</f>
        <v>18.221285055378</v>
      </c>
      <c r="L1002" s="16" t="n">
        <f aca="false">ROUND(K1002*F1002,0)</f>
        <v>18</v>
      </c>
      <c r="M1002" s="22" t="n">
        <f aca="false">L1002*Assumptions!B31</f>
        <v>5400</v>
      </c>
      <c r="N1002" s="22" t="n">
        <f aca="false">J1002+M1002</f>
        <v>19200</v>
      </c>
      <c r="O1002" s="22" t="n">
        <f aca="false">IF(DAY(B1002)=1,Assumptions!B38*G1002,0)</f>
        <v>0</v>
      </c>
      <c r="P1002" s="22" t="n">
        <f aca="false">IF(DAY(B1002)=1,Assumptions!B39*G1002,0)</f>
        <v>0</v>
      </c>
      <c r="Q1002" s="22" t="n">
        <f aca="false">IF(DAY(B1002)=1,Assumptions!B40*G1002,0)</f>
        <v>0</v>
      </c>
      <c r="R1002" s="22" t="n">
        <f aca="false">IF(DAY(B1002)=1,Assumptions!B41*G1002,0)</f>
        <v>0</v>
      </c>
      <c r="S1002" s="22" t="n">
        <f aca="false">IF(AND(DAY(B1002)=1,D1002&gt;=13),Assumptions!B42*G1002,0)</f>
        <v>0</v>
      </c>
      <c r="T1002" s="22" t="n">
        <f aca="false">IF(DAY(B1002)=1,Assumptions!B43*G1002,0)</f>
        <v>0</v>
      </c>
      <c r="U1002" s="22" t="n">
        <f aca="false">SUM(O1002:T1002)</f>
        <v>0</v>
      </c>
      <c r="V1002" s="22" t="n">
        <f aca="false">N1002-U1002</f>
        <v>19200</v>
      </c>
      <c r="W1002" s="22" t="n">
        <f aca="false">W1001+V1002</f>
        <v>-1866594.45908709</v>
      </c>
      <c r="X1002" s="23" t="str">
        <f aca="false">IF(W1002&gt;=0,"YES","No")</f>
        <v>No</v>
      </c>
    </row>
    <row r="1003" customFormat="false" ht="15" hidden="false" customHeight="false" outlineLevel="0" collapsed="false">
      <c r="A1003" s="16" t="n">
        <v>1002</v>
      </c>
      <c r="B1003" s="17" t="n">
        <f aca="false">B1002+1</f>
        <v>47024</v>
      </c>
      <c r="C1003" s="18" t="n">
        <f aca="false">MIN(ROUNDUP(A1003/365,0),5)</f>
        <v>3</v>
      </c>
      <c r="D1003" s="18" t="n">
        <f aca="false">DATEDIF(Assumptions!B5,B1003,"m")+1</f>
        <v>33</v>
      </c>
      <c r="E1003" s="18" t="str">
        <f aca="false">TEXT(B1003,"ddd")</f>
        <v>Thu</v>
      </c>
      <c r="F1003" s="19" t="n">
        <f aca="false">IF(WEEKDAY(B1003,2)&gt;=6,Assumptions!B34,Assumptions!B35)</f>
        <v>1</v>
      </c>
      <c r="G1003" s="20" t="n">
        <f aca="false">IF(D1003&gt;=13,(1+Assumptions!B46)^(D1003-12),1)</f>
        <v>1.06492639976962</v>
      </c>
      <c r="H1003" s="21" t="n">
        <f aca="false">H1002*(1+IF(C1003=1,Assumptions!B22,Assumptions!B23))</f>
        <v>23.1043461626637</v>
      </c>
      <c r="I1003" s="16" t="n">
        <f aca="false">ROUND(H1003*F1003,0)</f>
        <v>23</v>
      </c>
      <c r="J1003" s="22" t="n">
        <f aca="false">I1003*Assumptions!B24</f>
        <v>13800</v>
      </c>
      <c r="K1003" s="21" t="n">
        <f aca="false">K1002*(1+Assumptions!B30)</f>
        <v>18.2272422646868</v>
      </c>
      <c r="L1003" s="16" t="n">
        <f aca="false">ROUND(K1003*F1003,0)</f>
        <v>18</v>
      </c>
      <c r="M1003" s="22" t="n">
        <f aca="false">L1003*Assumptions!B31</f>
        <v>5400</v>
      </c>
      <c r="N1003" s="22" t="n">
        <f aca="false">J1003+M1003</f>
        <v>19200</v>
      </c>
      <c r="O1003" s="22" t="n">
        <f aca="false">IF(DAY(B1003)=1,Assumptions!B38*G1003,0)</f>
        <v>0</v>
      </c>
      <c r="P1003" s="22" t="n">
        <f aca="false">IF(DAY(B1003)=1,Assumptions!B39*G1003,0)</f>
        <v>0</v>
      </c>
      <c r="Q1003" s="22" t="n">
        <f aca="false">IF(DAY(B1003)=1,Assumptions!B40*G1003,0)</f>
        <v>0</v>
      </c>
      <c r="R1003" s="22" t="n">
        <f aca="false">IF(DAY(B1003)=1,Assumptions!B41*G1003,0)</f>
        <v>0</v>
      </c>
      <c r="S1003" s="22" t="n">
        <f aca="false">IF(AND(DAY(B1003)=1,D1003&gt;=13),Assumptions!B42*G1003,0)</f>
        <v>0</v>
      </c>
      <c r="T1003" s="22" t="n">
        <f aca="false">IF(DAY(B1003)=1,Assumptions!B43*G1003,0)</f>
        <v>0</v>
      </c>
      <c r="U1003" s="22" t="n">
        <f aca="false">SUM(O1003:T1003)</f>
        <v>0</v>
      </c>
      <c r="V1003" s="22" t="n">
        <f aca="false">N1003-U1003</f>
        <v>19200</v>
      </c>
      <c r="W1003" s="22" t="n">
        <f aca="false">W1002+V1003</f>
        <v>-1847394.45908709</v>
      </c>
      <c r="X1003" s="23" t="str">
        <f aca="false">IF(W1003&gt;=0,"YES","No")</f>
        <v>No</v>
      </c>
    </row>
    <row r="1004" customFormat="false" ht="15" hidden="false" customHeight="false" outlineLevel="0" collapsed="false">
      <c r="A1004" s="16" t="n">
        <v>1003</v>
      </c>
      <c r="B1004" s="17" t="n">
        <f aca="false">B1003+1</f>
        <v>47025</v>
      </c>
      <c r="C1004" s="18" t="n">
        <f aca="false">MIN(ROUNDUP(A1004/365,0),5)</f>
        <v>3</v>
      </c>
      <c r="D1004" s="18" t="n">
        <f aca="false">DATEDIF(Assumptions!B5,B1004,"m")+1</f>
        <v>33</v>
      </c>
      <c r="E1004" s="18" t="str">
        <f aca="false">TEXT(B1004,"ddd")</f>
        <v>Fri</v>
      </c>
      <c r="F1004" s="19" t="n">
        <f aca="false">IF(WEEKDAY(B1004,2)&gt;=6,Assumptions!B34,Assumptions!B35)</f>
        <v>1</v>
      </c>
      <c r="G1004" s="20" t="n">
        <f aca="false">IF(D1004&gt;=13,(1+Assumptions!B46)^(D1004-12),1)</f>
        <v>1.06492639976962</v>
      </c>
      <c r="H1004" s="21" t="n">
        <f aca="false">H1003*(1+IF(C1004=1,Assumptions!B22,Assumptions!B23))</f>
        <v>23.1081320800922</v>
      </c>
      <c r="I1004" s="16" t="n">
        <f aca="false">ROUND(H1004*F1004,0)</f>
        <v>23</v>
      </c>
      <c r="J1004" s="22" t="n">
        <f aca="false">I1004*Assumptions!B24</f>
        <v>13800</v>
      </c>
      <c r="K1004" s="21" t="n">
        <f aca="false">K1003*(1+Assumptions!B30)</f>
        <v>18.2332014216267</v>
      </c>
      <c r="L1004" s="16" t="n">
        <f aca="false">ROUND(K1004*F1004,0)</f>
        <v>18</v>
      </c>
      <c r="M1004" s="22" t="n">
        <f aca="false">L1004*Assumptions!B31</f>
        <v>5400</v>
      </c>
      <c r="N1004" s="22" t="n">
        <f aca="false">J1004+M1004</f>
        <v>19200</v>
      </c>
      <c r="O1004" s="22" t="n">
        <f aca="false">IF(DAY(B1004)=1,Assumptions!B38*G1004,0)</f>
        <v>0</v>
      </c>
      <c r="P1004" s="22" t="n">
        <f aca="false">IF(DAY(B1004)=1,Assumptions!B39*G1004,0)</f>
        <v>0</v>
      </c>
      <c r="Q1004" s="22" t="n">
        <f aca="false">IF(DAY(B1004)=1,Assumptions!B40*G1004,0)</f>
        <v>0</v>
      </c>
      <c r="R1004" s="22" t="n">
        <f aca="false">IF(DAY(B1004)=1,Assumptions!B41*G1004,0)</f>
        <v>0</v>
      </c>
      <c r="S1004" s="22" t="n">
        <f aca="false">IF(AND(DAY(B1004)=1,D1004&gt;=13),Assumptions!B42*G1004,0)</f>
        <v>0</v>
      </c>
      <c r="T1004" s="22" t="n">
        <f aca="false">IF(DAY(B1004)=1,Assumptions!B43*G1004,0)</f>
        <v>0</v>
      </c>
      <c r="U1004" s="22" t="n">
        <f aca="false">SUM(O1004:T1004)</f>
        <v>0</v>
      </c>
      <c r="V1004" s="22" t="n">
        <f aca="false">N1004-U1004</f>
        <v>19200</v>
      </c>
      <c r="W1004" s="22" t="n">
        <f aca="false">W1003+V1004</f>
        <v>-1828194.45908709</v>
      </c>
      <c r="X1004" s="23" t="str">
        <f aca="false">IF(W1004&gt;=0,"YES","No")</f>
        <v>No</v>
      </c>
    </row>
    <row r="1005" customFormat="false" ht="15" hidden="false" customHeight="false" outlineLevel="0" collapsed="false">
      <c r="A1005" s="16" t="n">
        <v>1004</v>
      </c>
      <c r="B1005" s="17" t="n">
        <f aca="false">B1004+1</f>
        <v>47026</v>
      </c>
      <c r="C1005" s="18" t="n">
        <f aca="false">MIN(ROUNDUP(A1005/365,0),5)</f>
        <v>3</v>
      </c>
      <c r="D1005" s="18" t="n">
        <f aca="false">DATEDIF(Assumptions!B5,B1005,"m")+1</f>
        <v>33</v>
      </c>
      <c r="E1005" s="18" t="str">
        <f aca="false">TEXT(B1005,"ddd")</f>
        <v>Sat</v>
      </c>
      <c r="F1005" s="19" t="n">
        <f aca="false">IF(WEEKDAY(B1005,2)&gt;=6,Assumptions!B34,Assumptions!B35)</f>
        <v>0.6</v>
      </c>
      <c r="G1005" s="20" t="n">
        <f aca="false">IF(D1005&gt;=13,(1+Assumptions!B46)^(D1005-12),1)</f>
        <v>1.06492639976962</v>
      </c>
      <c r="H1005" s="21" t="n">
        <f aca="false">H1004*(1+IF(C1005=1,Assumptions!B22,Assumptions!B23))</f>
        <v>23.1119186178876</v>
      </c>
      <c r="I1005" s="16" t="n">
        <f aca="false">ROUND(H1005*F1005,0)</f>
        <v>14</v>
      </c>
      <c r="J1005" s="22" t="n">
        <f aca="false">I1005*Assumptions!B24</f>
        <v>8400</v>
      </c>
      <c r="K1005" s="21" t="n">
        <f aca="false">K1004*(1+Assumptions!B30)</f>
        <v>18.2391625268345</v>
      </c>
      <c r="L1005" s="16" t="n">
        <f aca="false">ROUND(K1005*F1005,0)</f>
        <v>11</v>
      </c>
      <c r="M1005" s="22" t="n">
        <f aca="false">L1005*Assumptions!B31</f>
        <v>3300</v>
      </c>
      <c r="N1005" s="22" t="n">
        <f aca="false">J1005+M1005</f>
        <v>11700</v>
      </c>
      <c r="O1005" s="22" t="n">
        <f aca="false">IF(DAY(B1005)=1,Assumptions!B38*G1005,0)</f>
        <v>0</v>
      </c>
      <c r="P1005" s="22" t="n">
        <f aca="false">IF(DAY(B1005)=1,Assumptions!B39*G1005,0)</f>
        <v>0</v>
      </c>
      <c r="Q1005" s="22" t="n">
        <f aca="false">IF(DAY(B1005)=1,Assumptions!B40*G1005,0)</f>
        <v>0</v>
      </c>
      <c r="R1005" s="22" t="n">
        <f aca="false">IF(DAY(B1005)=1,Assumptions!B41*G1005,0)</f>
        <v>0</v>
      </c>
      <c r="S1005" s="22" t="n">
        <f aca="false">IF(AND(DAY(B1005)=1,D1005&gt;=13),Assumptions!B42*G1005,0)</f>
        <v>0</v>
      </c>
      <c r="T1005" s="22" t="n">
        <f aca="false">IF(DAY(B1005)=1,Assumptions!B43*G1005,0)</f>
        <v>0</v>
      </c>
      <c r="U1005" s="22" t="n">
        <f aca="false">SUM(O1005:T1005)</f>
        <v>0</v>
      </c>
      <c r="V1005" s="22" t="n">
        <f aca="false">N1005-U1005</f>
        <v>11700</v>
      </c>
      <c r="W1005" s="22" t="n">
        <f aca="false">W1004+V1005</f>
        <v>-1816494.45908709</v>
      </c>
      <c r="X1005" s="23" t="str">
        <f aca="false">IF(W1005&gt;=0,"YES","No")</f>
        <v>No</v>
      </c>
    </row>
    <row r="1006" customFormat="false" ht="15" hidden="false" customHeight="false" outlineLevel="0" collapsed="false">
      <c r="A1006" s="16" t="n">
        <v>1005</v>
      </c>
      <c r="B1006" s="17" t="n">
        <f aca="false">B1005+1</f>
        <v>47027</v>
      </c>
      <c r="C1006" s="18" t="n">
        <f aca="false">MIN(ROUNDUP(A1006/365,0),5)</f>
        <v>3</v>
      </c>
      <c r="D1006" s="18" t="n">
        <f aca="false">DATEDIF(Assumptions!B5,B1006,"m")+1</f>
        <v>34</v>
      </c>
      <c r="E1006" s="18" t="str">
        <f aca="false">TEXT(B1006,"ddd")</f>
        <v>Sun</v>
      </c>
      <c r="F1006" s="19" t="n">
        <f aca="false">IF(WEEKDAY(B1006,2)&gt;=6,Assumptions!B34,Assumptions!B35)</f>
        <v>0.6</v>
      </c>
      <c r="G1006" s="20" t="n">
        <f aca="false">IF(D1006&gt;=13,(1+Assumptions!B46)^(D1006-12),1)</f>
        <v>1.06812117896893</v>
      </c>
      <c r="H1006" s="21" t="n">
        <f aca="false">H1005*(1+IF(C1006=1,Assumptions!B22,Assumptions!B23))</f>
        <v>23.1157057761515</v>
      </c>
      <c r="I1006" s="16" t="n">
        <f aca="false">ROUND(H1006*F1006,0)</f>
        <v>14</v>
      </c>
      <c r="J1006" s="22" t="n">
        <f aca="false">I1006*Assumptions!B24</f>
        <v>8400</v>
      </c>
      <c r="K1006" s="21" t="n">
        <f aca="false">K1005*(1+Assumptions!B30)</f>
        <v>18.2451255809472</v>
      </c>
      <c r="L1006" s="16" t="n">
        <f aca="false">ROUND(K1006*F1006,0)</f>
        <v>11</v>
      </c>
      <c r="M1006" s="22" t="n">
        <f aca="false">L1006*Assumptions!B31</f>
        <v>3300</v>
      </c>
      <c r="N1006" s="22" t="n">
        <f aca="false">J1006+M1006</f>
        <v>11700</v>
      </c>
      <c r="O1006" s="22" t="n">
        <f aca="false">IF(DAY(B1006)=1,Assumptions!B38*G1006,0)</f>
        <v>160218.176845339</v>
      </c>
      <c r="P1006" s="22" t="n">
        <f aca="false">IF(DAY(B1006)=1,Assumptions!B39*G1006,0)</f>
        <v>42724.8471587571</v>
      </c>
      <c r="Q1006" s="22" t="n">
        <f aca="false">IF(DAY(B1006)=1,Assumptions!B40*G1006,0)</f>
        <v>32043.6353690678</v>
      </c>
      <c r="R1006" s="22" t="n">
        <f aca="false">IF(DAY(B1006)=1,Assumptions!B41*G1006,0)</f>
        <v>21362.4235793786</v>
      </c>
      <c r="S1006" s="22" t="n">
        <f aca="false">IF(AND(DAY(B1006)=1,D1006&gt;=13),Assumptions!B42*G1006,0)</f>
        <v>160218.176845339</v>
      </c>
      <c r="T1006" s="22" t="n">
        <f aca="false">IF(DAY(B1006)=1,Assumptions!B43*G1006,0)</f>
        <v>21362.4235793786</v>
      </c>
      <c r="U1006" s="22" t="n">
        <f aca="false">SUM(O1006:T1006)</f>
        <v>437929.68337726</v>
      </c>
      <c r="V1006" s="22" t="n">
        <f aca="false">N1006-U1006</f>
        <v>-426229.68337726</v>
      </c>
      <c r="W1006" s="22" t="n">
        <f aca="false">W1005+V1006</f>
        <v>-2242724.14246435</v>
      </c>
      <c r="X1006" s="23" t="str">
        <f aca="false">IF(W1006&gt;=0,"YES","No")</f>
        <v>No</v>
      </c>
    </row>
    <row r="1007" customFormat="false" ht="15" hidden="false" customHeight="false" outlineLevel="0" collapsed="false">
      <c r="A1007" s="16" t="n">
        <v>1006</v>
      </c>
      <c r="B1007" s="17" t="n">
        <f aca="false">B1006+1</f>
        <v>47028</v>
      </c>
      <c r="C1007" s="18" t="n">
        <f aca="false">MIN(ROUNDUP(A1007/365,0),5)</f>
        <v>3</v>
      </c>
      <c r="D1007" s="18" t="n">
        <f aca="false">DATEDIF(Assumptions!B5,B1007,"m")+1</f>
        <v>34</v>
      </c>
      <c r="E1007" s="18" t="str">
        <f aca="false">TEXT(B1007,"ddd")</f>
        <v>Mon</v>
      </c>
      <c r="F1007" s="19" t="n">
        <f aca="false">IF(WEEKDAY(B1007,2)&gt;=6,Assumptions!B34,Assumptions!B35)</f>
        <v>1</v>
      </c>
      <c r="G1007" s="20" t="n">
        <f aca="false">IF(D1007&gt;=13,(1+Assumptions!B46)^(D1007-12),1)</f>
        <v>1.06812117896893</v>
      </c>
      <c r="H1007" s="21" t="n">
        <f aca="false">H1006*(1+IF(C1007=1,Assumptions!B22,Assumptions!B23))</f>
        <v>23.1194935549856</v>
      </c>
      <c r="I1007" s="16" t="n">
        <f aca="false">ROUND(H1007*F1007,0)</f>
        <v>23</v>
      </c>
      <c r="J1007" s="22" t="n">
        <f aca="false">I1007*Assumptions!B24</f>
        <v>13800</v>
      </c>
      <c r="K1007" s="21" t="n">
        <f aca="false">K1006*(1+Assumptions!B30)</f>
        <v>18.251090584602</v>
      </c>
      <c r="L1007" s="16" t="n">
        <f aca="false">ROUND(K1007*F1007,0)</f>
        <v>18</v>
      </c>
      <c r="M1007" s="22" t="n">
        <f aca="false">L1007*Assumptions!B31</f>
        <v>5400</v>
      </c>
      <c r="N1007" s="22" t="n">
        <f aca="false">J1007+M1007</f>
        <v>19200</v>
      </c>
      <c r="O1007" s="22" t="n">
        <f aca="false">IF(DAY(B1007)=1,Assumptions!B38*G1007,0)</f>
        <v>0</v>
      </c>
      <c r="P1007" s="22" t="n">
        <f aca="false">IF(DAY(B1007)=1,Assumptions!B39*G1007,0)</f>
        <v>0</v>
      </c>
      <c r="Q1007" s="22" t="n">
        <f aca="false">IF(DAY(B1007)=1,Assumptions!B40*G1007,0)</f>
        <v>0</v>
      </c>
      <c r="R1007" s="22" t="n">
        <f aca="false">IF(DAY(B1007)=1,Assumptions!B41*G1007,0)</f>
        <v>0</v>
      </c>
      <c r="S1007" s="22" t="n">
        <f aca="false">IF(AND(DAY(B1007)=1,D1007&gt;=13),Assumptions!B42*G1007,0)</f>
        <v>0</v>
      </c>
      <c r="T1007" s="22" t="n">
        <f aca="false">IF(DAY(B1007)=1,Assumptions!B43*G1007,0)</f>
        <v>0</v>
      </c>
      <c r="U1007" s="22" t="n">
        <f aca="false">SUM(O1007:T1007)</f>
        <v>0</v>
      </c>
      <c r="V1007" s="22" t="n">
        <f aca="false">N1007-U1007</f>
        <v>19200</v>
      </c>
      <c r="W1007" s="22" t="n">
        <f aca="false">W1006+V1007</f>
        <v>-2223524.14246435</v>
      </c>
      <c r="X1007" s="23" t="str">
        <f aca="false">IF(W1007&gt;=0,"YES","No")</f>
        <v>No</v>
      </c>
    </row>
    <row r="1008" customFormat="false" ht="15" hidden="false" customHeight="false" outlineLevel="0" collapsed="false">
      <c r="A1008" s="16" t="n">
        <v>1007</v>
      </c>
      <c r="B1008" s="17" t="n">
        <f aca="false">B1007+1</f>
        <v>47029</v>
      </c>
      <c r="C1008" s="18" t="n">
        <f aca="false">MIN(ROUNDUP(A1008/365,0),5)</f>
        <v>3</v>
      </c>
      <c r="D1008" s="18" t="n">
        <f aca="false">DATEDIF(Assumptions!B5,B1008,"m")+1</f>
        <v>34</v>
      </c>
      <c r="E1008" s="18" t="str">
        <f aca="false">TEXT(B1008,"ddd")</f>
        <v>Tue</v>
      </c>
      <c r="F1008" s="19" t="n">
        <f aca="false">IF(WEEKDAY(B1008,2)&gt;=6,Assumptions!B34,Assumptions!B35)</f>
        <v>1</v>
      </c>
      <c r="G1008" s="20" t="n">
        <f aca="false">IF(D1008&gt;=13,(1+Assumptions!B46)^(D1008-12),1)</f>
        <v>1.06812117896893</v>
      </c>
      <c r="H1008" s="21" t="n">
        <f aca="false">H1007*(1+IF(C1008=1,Assumptions!B22,Assumptions!B23))</f>
        <v>23.1232819544915</v>
      </c>
      <c r="I1008" s="16" t="n">
        <f aca="false">ROUND(H1008*F1008,0)</f>
        <v>23</v>
      </c>
      <c r="J1008" s="22" t="n">
        <f aca="false">I1008*Assumptions!B24</f>
        <v>13800</v>
      </c>
      <c r="K1008" s="21" t="n">
        <f aca="false">K1007*(1+Assumptions!B30)</f>
        <v>18.2570575384362</v>
      </c>
      <c r="L1008" s="16" t="n">
        <f aca="false">ROUND(K1008*F1008,0)</f>
        <v>18</v>
      </c>
      <c r="M1008" s="22" t="n">
        <f aca="false">L1008*Assumptions!B31</f>
        <v>5400</v>
      </c>
      <c r="N1008" s="22" t="n">
        <f aca="false">J1008+M1008</f>
        <v>19200</v>
      </c>
      <c r="O1008" s="22" t="n">
        <f aca="false">IF(DAY(B1008)=1,Assumptions!B38*G1008,0)</f>
        <v>0</v>
      </c>
      <c r="P1008" s="22" t="n">
        <f aca="false">IF(DAY(B1008)=1,Assumptions!B39*G1008,0)</f>
        <v>0</v>
      </c>
      <c r="Q1008" s="22" t="n">
        <f aca="false">IF(DAY(B1008)=1,Assumptions!B40*G1008,0)</f>
        <v>0</v>
      </c>
      <c r="R1008" s="22" t="n">
        <f aca="false">IF(DAY(B1008)=1,Assumptions!B41*G1008,0)</f>
        <v>0</v>
      </c>
      <c r="S1008" s="22" t="n">
        <f aca="false">IF(AND(DAY(B1008)=1,D1008&gt;=13),Assumptions!B42*G1008,0)</f>
        <v>0</v>
      </c>
      <c r="T1008" s="22" t="n">
        <f aca="false">IF(DAY(B1008)=1,Assumptions!B43*G1008,0)</f>
        <v>0</v>
      </c>
      <c r="U1008" s="22" t="n">
        <f aca="false">SUM(O1008:T1008)</f>
        <v>0</v>
      </c>
      <c r="V1008" s="22" t="n">
        <f aca="false">N1008-U1008</f>
        <v>19200</v>
      </c>
      <c r="W1008" s="22" t="n">
        <f aca="false">W1007+V1008</f>
        <v>-2204324.14246435</v>
      </c>
      <c r="X1008" s="23" t="str">
        <f aca="false">IF(W1008&gt;=0,"YES","No")</f>
        <v>No</v>
      </c>
    </row>
    <row r="1009" customFormat="false" ht="15" hidden="false" customHeight="false" outlineLevel="0" collapsed="false">
      <c r="A1009" s="16" t="n">
        <v>1008</v>
      </c>
      <c r="B1009" s="17" t="n">
        <f aca="false">B1008+1</f>
        <v>47030</v>
      </c>
      <c r="C1009" s="18" t="n">
        <f aca="false">MIN(ROUNDUP(A1009/365,0),5)</f>
        <v>3</v>
      </c>
      <c r="D1009" s="18" t="n">
        <f aca="false">DATEDIF(Assumptions!B5,B1009,"m")+1</f>
        <v>34</v>
      </c>
      <c r="E1009" s="18" t="str">
        <f aca="false">TEXT(B1009,"ddd")</f>
        <v>Wed</v>
      </c>
      <c r="F1009" s="19" t="n">
        <f aca="false">IF(WEEKDAY(B1009,2)&gt;=6,Assumptions!B34,Assumptions!B35)</f>
        <v>1</v>
      </c>
      <c r="G1009" s="20" t="n">
        <f aca="false">IF(D1009&gt;=13,(1+Assumptions!B46)^(D1009-12),1)</f>
        <v>1.06812117896893</v>
      </c>
      <c r="H1009" s="21" t="n">
        <f aca="false">H1008*(1+IF(C1009=1,Assumptions!B22,Assumptions!B23))</f>
        <v>23.1270709747711</v>
      </c>
      <c r="I1009" s="16" t="n">
        <f aca="false">ROUND(H1009*F1009,0)</f>
        <v>23</v>
      </c>
      <c r="J1009" s="22" t="n">
        <f aca="false">I1009*Assumptions!B24</f>
        <v>13800</v>
      </c>
      <c r="K1009" s="21" t="n">
        <f aca="false">K1008*(1+Assumptions!B30)</f>
        <v>18.2630264430874</v>
      </c>
      <c r="L1009" s="16" t="n">
        <f aca="false">ROUND(K1009*F1009,0)</f>
        <v>18</v>
      </c>
      <c r="M1009" s="22" t="n">
        <f aca="false">L1009*Assumptions!B31</f>
        <v>5400</v>
      </c>
      <c r="N1009" s="22" t="n">
        <f aca="false">J1009+M1009</f>
        <v>19200</v>
      </c>
      <c r="O1009" s="22" t="n">
        <f aca="false">IF(DAY(B1009)=1,Assumptions!B38*G1009,0)</f>
        <v>0</v>
      </c>
      <c r="P1009" s="22" t="n">
        <f aca="false">IF(DAY(B1009)=1,Assumptions!B39*G1009,0)</f>
        <v>0</v>
      </c>
      <c r="Q1009" s="22" t="n">
        <f aca="false">IF(DAY(B1009)=1,Assumptions!B40*G1009,0)</f>
        <v>0</v>
      </c>
      <c r="R1009" s="22" t="n">
        <f aca="false">IF(DAY(B1009)=1,Assumptions!B41*G1009,0)</f>
        <v>0</v>
      </c>
      <c r="S1009" s="22" t="n">
        <f aca="false">IF(AND(DAY(B1009)=1,D1009&gt;=13),Assumptions!B42*G1009,0)</f>
        <v>0</v>
      </c>
      <c r="T1009" s="22" t="n">
        <f aca="false">IF(DAY(B1009)=1,Assumptions!B43*G1009,0)</f>
        <v>0</v>
      </c>
      <c r="U1009" s="22" t="n">
        <f aca="false">SUM(O1009:T1009)</f>
        <v>0</v>
      </c>
      <c r="V1009" s="22" t="n">
        <f aca="false">N1009-U1009</f>
        <v>19200</v>
      </c>
      <c r="W1009" s="22" t="n">
        <f aca="false">W1008+V1009</f>
        <v>-2185124.14246435</v>
      </c>
      <c r="X1009" s="23" t="str">
        <f aca="false">IF(W1009&gt;=0,"YES","No")</f>
        <v>No</v>
      </c>
    </row>
    <row r="1010" customFormat="false" ht="15" hidden="false" customHeight="false" outlineLevel="0" collapsed="false">
      <c r="A1010" s="16" t="n">
        <v>1009</v>
      </c>
      <c r="B1010" s="17" t="n">
        <f aca="false">B1009+1</f>
        <v>47031</v>
      </c>
      <c r="C1010" s="18" t="n">
        <f aca="false">MIN(ROUNDUP(A1010/365,0),5)</f>
        <v>3</v>
      </c>
      <c r="D1010" s="18" t="n">
        <f aca="false">DATEDIF(Assumptions!B5,B1010,"m")+1</f>
        <v>34</v>
      </c>
      <c r="E1010" s="18" t="str">
        <f aca="false">TEXT(B1010,"ddd")</f>
        <v>Thu</v>
      </c>
      <c r="F1010" s="19" t="n">
        <f aca="false">IF(WEEKDAY(B1010,2)&gt;=6,Assumptions!B34,Assumptions!B35)</f>
        <v>1</v>
      </c>
      <c r="G1010" s="20" t="n">
        <f aca="false">IF(D1010&gt;=13,(1+Assumptions!B46)^(D1010-12),1)</f>
        <v>1.06812117896893</v>
      </c>
      <c r="H1010" s="21" t="n">
        <f aca="false">H1009*(1+IF(C1010=1,Assumptions!B22,Assumptions!B23))</f>
        <v>23.1308606159259</v>
      </c>
      <c r="I1010" s="16" t="n">
        <f aca="false">ROUND(H1010*F1010,0)</f>
        <v>23</v>
      </c>
      <c r="J1010" s="22" t="n">
        <f aca="false">I1010*Assumptions!B24</f>
        <v>13800</v>
      </c>
      <c r="K1010" s="21" t="n">
        <f aca="false">K1009*(1+Assumptions!B30)</f>
        <v>18.2689972991934</v>
      </c>
      <c r="L1010" s="16" t="n">
        <f aca="false">ROUND(K1010*F1010,0)</f>
        <v>18</v>
      </c>
      <c r="M1010" s="22" t="n">
        <f aca="false">L1010*Assumptions!B31</f>
        <v>5400</v>
      </c>
      <c r="N1010" s="22" t="n">
        <f aca="false">J1010+M1010</f>
        <v>19200</v>
      </c>
      <c r="O1010" s="22" t="n">
        <f aca="false">IF(DAY(B1010)=1,Assumptions!B38*G1010,0)</f>
        <v>0</v>
      </c>
      <c r="P1010" s="22" t="n">
        <f aca="false">IF(DAY(B1010)=1,Assumptions!B39*G1010,0)</f>
        <v>0</v>
      </c>
      <c r="Q1010" s="22" t="n">
        <f aca="false">IF(DAY(B1010)=1,Assumptions!B40*G1010,0)</f>
        <v>0</v>
      </c>
      <c r="R1010" s="22" t="n">
        <f aca="false">IF(DAY(B1010)=1,Assumptions!B41*G1010,0)</f>
        <v>0</v>
      </c>
      <c r="S1010" s="22" t="n">
        <f aca="false">IF(AND(DAY(B1010)=1,D1010&gt;=13),Assumptions!B42*G1010,0)</f>
        <v>0</v>
      </c>
      <c r="T1010" s="22" t="n">
        <f aca="false">IF(DAY(B1010)=1,Assumptions!B43*G1010,0)</f>
        <v>0</v>
      </c>
      <c r="U1010" s="22" t="n">
        <f aca="false">SUM(O1010:T1010)</f>
        <v>0</v>
      </c>
      <c r="V1010" s="22" t="n">
        <f aca="false">N1010-U1010</f>
        <v>19200</v>
      </c>
      <c r="W1010" s="22" t="n">
        <f aca="false">W1009+V1010</f>
        <v>-2165924.14246435</v>
      </c>
      <c r="X1010" s="23" t="str">
        <f aca="false">IF(W1010&gt;=0,"YES","No")</f>
        <v>No</v>
      </c>
    </row>
    <row r="1011" customFormat="false" ht="15" hidden="false" customHeight="false" outlineLevel="0" collapsed="false">
      <c r="A1011" s="16" t="n">
        <v>1010</v>
      </c>
      <c r="B1011" s="17" t="n">
        <f aca="false">B1010+1</f>
        <v>47032</v>
      </c>
      <c r="C1011" s="18" t="n">
        <f aca="false">MIN(ROUNDUP(A1011/365,0),5)</f>
        <v>3</v>
      </c>
      <c r="D1011" s="18" t="n">
        <f aca="false">DATEDIF(Assumptions!B5,B1011,"m")+1</f>
        <v>34</v>
      </c>
      <c r="E1011" s="18" t="str">
        <f aca="false">TEXT(B1011,"ddd")</f>
        <v>Fri</v>
      </c>
      <c r="F1011" s="19" t="n">
        <f aca="false">IF(WEEKDAY(B1011,2)&gt;=6,Assumptions!B34,Assumptions!B35)</f>
        <v>1</v>
      </c>
      <c r="G1011" s="20" t="n">
        <f aca="false">IF(D1011&gt;=13,(1+Assumptions!B46)^(D1011-12),1)</f>
        <v>1.06812117896893</v>
      </c>
      <c r="H1011" s="21" t="n">
        <f aca="false">H1010*(1+IF(C1011=1,Assumptions!B22,Assumptions!B23))</f>
        <v>23.1346508780578</v>
      </c>
      <c r="I1011" s="16" t="n">
        <f aca="false">ROUND(H1011*F1011,0)</f>
        <v>23</v>
      </c>
      <c r="J1011" s="22" t="n">
        <f aca="false">I1011*Assumptions!B24</f>
        <v>13800</v>
      </c>
      <c r="K1011" s="21" t="n">
        <f aca="false">K1010*(1+Assumptions!B30)</f>
        <v>18.2749701073923</v>
      </c>
      <c r="L1011" s="16" t="n">
        <f aca="false">ROUND(K1011*F1011,0)</f>
        <v>18</v>
      </c>
      <c r="M1011" s="22" t="n">
        <f aca="false">L1011*Assumptions!B31</f>
        <v>5400</v>
      </c>
      <c r="N1011" s="22" t="n">
        <f aca="false">J1011+M1011</f>
        <v>19200</v>
      </c>
      <c r="O1011" s="22" t="n">
        <f aca="false">IF(DAY(B1011)=1,Assumptions!B38*G1011,0)</f>
        <v>0</v>
      </c>
      <c r="P1011" s="22" t="n">
        <f aca="false">IF(DAY(B1011)=1,Assumptions!B39*G1011,0)</f>
        <v>0</v>
      </c>
      <c r="Q1011" s="22" t="n">
        <f aca="false">IF(DAY(B1011)=1,Assumptions!B40*G1011,0)</f>
        <v>0</v>
      </c>
      <c r="R1011" s="22" t="n">
        <f aca="false">IF(DAY(B1011)=1,Assumptions!B41*G1011,0)</f>
        <v>0</v>
      </c>
      <c r="S1011" s="22" t="n">
        <f aca="false">IF(AND(DAY(B1011)=1,D1011&gt;=13),Assumptions!B42*G1011,0)</f>
        <v>0</v>
      </c>
      <c r="T1011" s="22" t="n">
        <f aca="false">IF(DAY(B1011)=1,Assumptions!B43*G1011,0)</f>
        <v>0</v>
      </c>
      <c r="U1011" s="22" t="n">
        <f aca="false">SUM(O1011:T1011)</f>
        <v>0</v>
      </c>
      <c r="V1011" s="22" t="n">
        <f aca="false">N1011-U1011</f>
        <v>19200</v>
      </c>
      <c r="W1011" s="22" t="n">
        <f aca="false">W1010+V1011</f>
        <v>-2146724.14246435</v>
      </c>
      <c r="X1011" s="23" t="str">
        <f aca="false">IF(W1011&gt;=0,"YES","No")</f>
        <v>No</v>
      </c>
    </row>
    <row r="1012" customFormat="false" ht="15" hidden="false" customHeight="false" outlineLevel="0" collapsed="false">
      <c r="A1012" s="16" t="n">
        <v>1011</v>
      </c>
      <c r="B1012" s="17" t="n">
        <f aca="false">B1011+1</f>
        <v>47033</v>
      </c>
      <c r="C1012" s="18" t="n">
        <f aca="false">MIN(ROUNDUP(A1012/365,0),5)</f>
        <v>3</v>
      </c>
      <c r="D1012" s="18" t="n">
        <f aca="false">DATEDIF(Assumptions!B5,B1012,"m")+1</f>
        <v>34</v>
      </c>
      <c r="E1012" s="18" t="str">
        <f aca="false">TEXT(B1012,"ddd")</f>
        <v>Sat</v>
      </c>
      <c r="F1012" s="19" t="n">
        <f aca="false">IF(WEEKDAY(B1012,2)&gt;=6,Assumptions!B34,Assumptions!B35)</f>
        <v>0.6</v>
      </c>
      <c r="G1012" s="20" t="n">
        <f aca="false">IF(D1012&gt;=13,(1+Assumptions!B46)^(D1012-12),1)</f>
        <v>1.06812117896893</v>
      </c>
      <c r="H1012" s="21" t="n">
        <f aca="false">H1011*(1+IF(C1012=1,Assumptions!B22,Assumptions!B23))</f>
        <v>23.1384417612685</v>
      </c>
      <c r="I1012" s="16" t="n">
        <f aca="false">ROUND(H1012*F1012,0)</f>
        <v>14</v>
      </c>
      <c r="J1012" s="22" t="n">
        <f aca="false">I1012*Assumptions!B24</f>
        <v>8400</v>
      </c>
      <c r="K1012" s="21" t="n">
        <f aca="false">K1011*(1+Assumptions!B30)</f>
        <v>18.2809448683221</v>
      </c>
      <c r="L1012" s="16" t="n">
        <f aca="false">ROUND(K1012*F1012,0)</f>
        <v>11</v>
      </c>
      <c r="M1012" s="22" t="n">
        <f aca="false">L1012*Assumptions!B31</f>
        <v>3300</v>
      </c>
      <c r="N1012" s="22" t="n">
        <f aca="false">J1012+M1012</f>
        <v>11700</v>
      </c>
      <c r="O1012" s="22" t="n">
        <f aca="false">IF(DAY(B1012)=1,Assumptions!B38*G1012,0)</f>
        <v>0</v>
      </c>
      <c r="P1012" s="22" t="n">
        <f aca="false">IF(DAY(B1012)=1,Assumptions!B39*G1012,0)</f>
        <v>0</v>
      </c>
      <c r="Q1012" s="22" t="n">
        <f aca="false">IF(DAY(B1012)=1,Assumptions!B40*G1012,0)</f>
        <v>0</v>
      </c>
      <c r="R1012" s="22" t="n">
        <f aca="false">IF(DAY(B1012)=1,Assumptions!B41*G1012,0)</f>
        <v>0</v>
      </c>
      <c r="S1012" s="22" t="n">
        <f aca="false">IF(AND(DAY(B1012)=1,D1012&gt;=13),Assumptions!B42*G1012,0)</f>
        <v>0</v>
      </c>
      <c r="T1012" s="22" t="n">
        <f aca="false">IF(DAY(B1012)=1,Assumptions!B43*G1012,0)</f>
        <v>0</v>
      </c>
      <c r="U1012" s="22" t="n">
        <f aca="false">SUM(O1012:T1012)</f>
        <v>0</v>
      </c>
      <c r="V1012" s="22" t="n">
        <f aca="false">N1012-U1012</f>
        <v>11700</v>
      </c>
      <c r="W1012" s="22" t="n">
        <f aca="false">W1011+V1012</f>
        <v>-2135024.14246435</v>
      </c>
      <c r="X1012" s="23" t="str">
        <f aca="false">IF(W1012&gt;=0,"YES","No")</f>
        <v>No</v>
      </c>
    </row>
    <row r="1013" customFormat="false" ht="15" hidden="false" customHeight="false" outlineLevel="0" collapsed="false">
      <c r="A1013" s="16" t="n">
        <v>1012</v>
      </c>
      <c r="B1013" s="17" t="n">
        <f aca="false">B1012+1</f>
        <v>47034</v>
      </c>
      <c r="C1013" s="18" t="n">
        <f aca="false">MIN(ROUNDUP(A1013/365,0),5)</f>
        <v>3</v>
      </c>
      <c r="D1013" s="18" t="n">
        <f aca="false">DATEDIF(Assumptions!B5,B1013,"m")+1</f>
        <v>34</v>
      </c>
      <c r="E1013" s="18" t="str">
        <f aca="false">TEXT(B1013,"ddd")</f>
        <v>Sun</v>
      </c>
      <c r="F1013" s="19" t="n">
        <f aca="false">IF(WEEKDAY(B1013,2)&gt;=6,Assumptions!B34,Assumptions!B35)</f>
        <v>0.6</v>
      </c>
      <c r="G1013" s="20" t="n">
        <f aca="false">IF(D1013&gt;=13,(1+Assumptions!B46)^(D1013-12),1)</f>
        <v>1.06812117896893</v>
      </c>
      <c r="H1013" s="21" t="n">
        <f aca="false">H1012*(1+IF(C1013=1,Assumptions!B22,Assumptions!B23))</f>
        <v>23.1422332656597</v>
      </c>
      <c r="I1013" s="16" t="n">
        <f aca="false">ROUND(H1013*F1013,0)</f>
        <v>14</v>
      </c>
      <c r="J1013" s="22" t="n">
        <f aca="false">I1013*Assumptions!B24</f>
        <v>8400</v>
      </c>
      <c r="K1013" s="21" t="n">
        <f aca="false">K1012*(1+Assumptions!B30)</f>
        <v>18.2869215826214</v>
      </c>
      <c r="L1013" s="16" t="n">
        <f aca="false">ROUND(K1013*F1013,0)</f>
        <v>11</v>
      </c>
      <c r="M1013" s="22" t="n">
        <f aca="false">L1013*Assumptions!B31</f>
        <v>3300</v>
      </c>
      <c r="N1013" s="22" t="n">
        <f aca="false">J1013+M1013</f>
        <v>11700</v>
      </c>
      <c r="O1013" s="22" t="n">
        <f aca="false">IF(DAY(B1013)=1,Assumptions!B38*G1013,0)</f>
        <v>0</v>
      </c>
      <c r="P1013" s="22" t="n">
        <f aca="false">IF(DAY(B1013)=1,Assumptions!B39*G1013,0)</f>
        <v>0</v>
      </c>
      <c r="Q1013" s="22" t="n">
        <f aca="false">IF(DAY(B1013)=1,Assumptions!B40*G1013,0)</f>
        <v>0</v>
      </c>
      <c r="R1013" s="22" t="n">
        <f aca="false">IF(DAY(B1013)=1,Assumptions!B41*G1013,0)</f>
        <v>0</v>
      </c>
      <c r="S1013" s="22" t="n">
        <f aca="false">IF(AND(DAY(B1013)=1,D1013&gt;=13),Assumptions!B42*G1013,0)</f>
        <v>0</v>
      </c>
      <c r="T1013" s="22" t="n">
        <f aca="false">IF(DAY(B1013)=1,Assumptions!B43*G1013,0)</f>
        <v>0</v>
      </c>
      <c r="U1013" s="22" t="n">
        <f aca="false">SUM(O1013:T1013)</f>
        <v>0</v>
      </c>
      <c r="V1013" s="22" t="n">
        <f aca="false">N1013-U1013</f>
        <v>11700</v>
      </c>
      <c r="W1013" s="22" t="n">
        <f aca="false">W1012+V1013</f>
        <v>-2123324.14246435</v>
      </c>
      <c r="X1013" s="23" t="str">
        <f aca="false">IF(W1013&gt;=0,"YES","No")</f>
        <v>No</v>
      </c>
    </row>
    <row r="1014" customFormat="false" ht="15" hidden="false" customHeight="false" outlineLevel="0" collapsed="false">
      <c r="A1014" s="16" t="n">
        <v>1013</v>
      </c>
      <c r="B1014" s="17" t="n">
        <f aca="false">B1013+1</f>
        <v>47035</v>
      </c>
      <c r="C1014" s="18" t="n">
        <f aca="false">MIN(ROUNDUP(A1014/365,0),5)</f>
        <v>3</v>
      </c>
      <c r="D1014" s="18" t="n">
        <f aca="false">DATEDIF(Assumptions!B5,B1014,"m")+1</f>
        <v>34</v>
      </c>
      <c r="E1014" s="18" t="str">
        <f aca="false">TEXT(B1014,"ddd")</f>
        <v>Mon</v>
      </c>
      <c r="F1014" s="19" t="n">
        <f aca="false">IF(WEEKDAY(B1014,2)&gt;=6,Assumptions!B34,Assumptions!B35)</f>
        <v>1</v>
      </c>
      <c r="G1014" s="20" t="n">
        <f aca="false">IF(D1014&gt;=13,(1+Assumptions!B46)^(D1014-12),1)</f>
        <v>1.06812117896893</v>
      </c>
      <c r="H1014" s="21" t="n">
        <f aca="false">H1013*(1+IF(C1014=1,Assumptions!B22,Assumptions!B23))</f>
        <v>23.1460253913333</v>
      </c>
      <c r="I1014" s="16" t="n">
        <f aca="false">ROUND(H1014*F1014,0)</f>
        <v>23</v>
      </c>
      <c r="J1014" s="22" t="n">
        <f aca="false">I1014*Assumptions!B24</f>
        <v>13800</v>
      </c>
      <c r="K1014" s="21" t="n">
        <f aca="false">K1013*(1+Assumptions!B30)</f>
        <v>18.2929002509288</v>
      </c>
      <c r="L1014" s="16" t="n">
        <f aca="false">ROUND(K1014*F1014,0)</f>
        <v>18</v>
      </c>
      <c r="M1014" s="22" t="n">
        <f aca="false">L1014*Assumptions!B31</f>
        <v>5400</v>
      </c>
      <c r="N1014" s="22" t="n">
        <f aca="false">J1014+M1014</f>
        <v>19200</v>
      </c>
      <c r="O1014" s="22" t="n">
        <f aca="false">IF(DAY(B1014)=1,Assumptions!B38*G1014,0)</f>
        <v>0</v>
      </c>
      <c r="P1014" s="22" t="n">
        <f aca="false">IF(DAY(B1014)=1,Assumptions!B39*G1014,0)</f>
        <v>0</v>
      </c>
      <c r="Q1014" s="22" t="n">
        <f aca="false">IF(DAY(B1014)=1,Assumptions!B40*G1014,0)</f>
        <v>0</v>
      </c>
      <c r="R1014" s="22" t="n">
        <f aca="false">IF(DAY(B1014)=1,Assumptions!B41*G1014,0)</f>
        <v>0</v>
      </c>
      <c r="S1014" s="22" t="n">
        <f aca="false">IF(AND(DAY(B1014)=1,D1014&gt;=13),Assumptions!B42*G1014,0)</f>
        <v>0</v>
      </c>
      <c r="T1014" s="22" t="n">
        <f aca="false">IF(DAY(B1014)=1,Assumptions!B43*G1014,0)</f>
        <v>0</v>
      </c>
      <c r="U1014" s="22" t="n">
        <f aca="false">SUM(O1014:T1014)</f>
        <v>0</v>
      </c>
      <c r="V1014" s="22" t="n">
        <f aca="false">N1014-U1014</f>
        <v>19200</v>
      </c>
      <c r="W1014" s="22" t="n">
        <f aca="false">W1013+V1014</f>
        <v>-2104124.14246435</v>
      </c>
      <c r="X1014" s="23" t="str">
        <f aca="false">IF(W1014&gt;=0,"YES","No")</f>
        <v>No</v>
      </c>
    </row>
    <row r="1015" customFormat="false" ht="15" hidden="false" customHeight="false" outlineLevel="0" collapsed="false">
      <c r="A1015" s="16" t="n">
        <v>1014</v>
      </c>
      <c r="B1015" s="17" t="n">
        <f aca="false">B1014+1</f>
        <v>47036</v>
      </c>
      <c r="C1015" s="18" t="n">
        <f aca="false">MIN(ROUNDUP(A1015/365,0),5)</f>
        <v>3</v>
      </c>
      <c r="D1015" s="18" t="n">
        <f aca="false">DATEDIF(Assumptions!B5,B1015,"m")+1</f>
        <v>34</v>
      </c>
      <c r="E1015" s="18" t="str">
        <f aca="false">TEXT(B1015,"ddd")</f>
        <v>Tue</v>
      </c>
      <c r="F1015" s="19" t="n">
        <f aca="false">IF(WEEKDAY(B1015,2)&gt;=6,Assumptions!B34,Assumptions!B35)</f>
        <v>1</v>
      </c>
      <c r="G1015" s="20" t="n">
        <f aca="false">IF(D1015&gt;=13,(1+Assumptions!B46)^(D1015-12),1)</f>
        <v>1.06812117896893</v>
      </c>
      <c r="H1015" s="21" t="n">
        <f aca="false">H1014*(1+IF(C1015=1,Assumptions!B22,Assumptions!B23))</f>
        <v>23.1498181383911</v>
      </c>
      <c r="I1015" s="16" t="n">
        <f aca="false">ROUND(H1015*F1015,0)</f>
        <v>23</v>
      </c>
      <c r="J1015" s="22" t="n">
        <f aca="false">I1015*Assumptions!B24</f>
        <v>13800</v>
      </c>
      <c r="K1015" s="21" t="n">
        <f aca="false">K1014*(1+Assumptions!B30)</f>
        <v>18.2988808738831</v>
      </c>
      <c r="L1015" s="16" t="n">
        <f aca="false">ROUND(K1015*F1015,0)</f>
        <v>18</v>
      </c>
      <c r="M1015" s="22" t="n">
        <f aca="false">L1015*Assumptions!B31</f>
        <v>5400</v>
      </c>
      <c r="N1015" s="22" t="n">
        <f aca="false">J1015+M1015</f>
        <v>19200</v>
      </c>
      <c r="O1015" s="22" t="n">
        <f aca="false">IF(DAY(B1015)=1,Assumptions!B38*G1015,0)</f>
        <v>0</v>
      </c>
      <c r="P1015" s="22" t="n">
        <f aca="false">IF(DAY(B1015)=1,Assumptions!B39*G1015,0)</f>
        <v>0</v>
      </c>
      <c r="Q1015" s="22" t="n">
        <f aca="false">IF(DAY(B1015)=1,Assumptions!B40*G1015,0)</f>
        <v>0</v>
      </c>
      <c r="R1015" s="22" t="n">
        <f aca="false">IF(DAY(B1015)=1,Assumptions!B41*G1015,0)</f>
        <v>0</v>
      </c>
      <c r="S1015" s="22" t="n">
        <f aca="false">IF(AND(DAY(B1015)=1,D1015&gt;=13),Assumptions!B42*G1015,0)</f>
        <v>0</v>
      </c>
      <c r="T1015" s="22" t="n">
        <f aca="false">IF(DAY(B1015)=1,Assumptions!B43*G1015,0)</f>
        <v>0</v>
      </c>
      <c r="U1015" s="22" t="n">
        <f aca="false">SUM(O1015:T1015)</f>
        <v>0</v>
      </c>
      <c r="V1015" s="22" t="n">
        <f aca="false">N1015-U1015</f>
        <v>19200</v>
      </c>
      <c r="W1015" s="22" t="n">
        <f aca="false">W1014+V1015</f>
        <v>-2084924.14246435</v>
      </c>
      <c r="X1015" s="23" t="str">
        <f aca="false">IF(W1015&gt;=0,"YES","No")</f>
        <v>No</v>
      </c>
    </row>
    <row r="1016" customFormat="false" ht="15" hidden="false" customHeight="false" outlineLevel="0" collapsed="false">
      <c r="A1016" s="16" t="n">
        <v>1015</v>
      </c>
      <c r="B1016" s="17" t="n">
        <f aca="false">B1015+1</f>
        <v>47037</v>
      </c>
      <c r="C1016" s="18" t="n">
        <f aca="false">MIN(ROUNDUP(A1016/365,0),5)</f>
        <v>3</v>
      </c>
      <c r="D1016" s="18" t="n">
        <f aca="false">DATEDIF(Assumptions!B5,B1016,"m")+1</f>
        <v>34</v>
      </c>
      <c r="E1016" s="18" t="str">
        <f aca="false">TEXT(B1016,"ddd")</f>
        <v>Wed</v>
      </c>
      <c r="F1016" s="19" t="n">
        <f aca="false">IF(WEEKDAY(B1016,2)&gt;=6,Assumptions!B34,Assumptions!B35)</f>
        <v>1</v>
      </c>
      <c r="G1016" s="20" t="n">
        <f aca="false">IF(D1016&gt;=13,(1+Assumptions!B46)^(D1016-12),1)</f>
        <v>1.06812117896893</v>
      </c>
      <c r="H1016" s="21" t="n">
        <f aca="false">H1015*(1+IF(C1016=1,Assumptions!B22,Assumptions!B23))</f>
        <v>23.1536115069348</v>
      </c>
      <c r="I1016" s="16" t="n">
        <f aca="false">ROUND(H1016*F1016,0)</f>
        <v>23</v>
      </c>
      <c r="J1016" s="22" t="n">
        <f aca="false">I1016*Assumptions!B24</f>
        <v>13800</v>
      </c>
      <c r="K1016" s="21" t="n">
        <f aca="false">K1015*(1+Assumptions!B30)</f>
        <v>18.3048634521233</v>
      </c>
      <c r="L1016" s="16" t="n">
        <f aca="false">ROUND(K1016*F1016,0)</f>
        <v>18</v>
      </c>
      <c r="M1016" s="22" t="n">
        <f aca="false">L1016*Assumptions!B31</f>
        <v>5400</v>
      </c>
      <c r="N1016" s="22" t="n">
        <f aca="false">J1016+M1016</f>
        <v>19200</v>
      </c>
      <c r="O1016" s="22" t="n">
        <f aca="false">IF(DAY(B1016)=1,Assumptions!B38*G1016,0)</f>
        <v>0</v>
      </c>
      <c r="P1016" s="22" t="n">
        <f aca="false">IF(DAY(B1016)=1,Assumptions!B39*G1016,0)</f>
        <v>0</v>
      </c>
      <c r="Q1016" s="22" t="n">
        <f aca="false">IF(DAY(B1016)=1,Assumptions!B40*G1016,0)</f>
        <v>0</v>
      </c>
      <c r="R1016" s="22" t="n">
        <f aca="false">IF(DAY(B1016)=1,Assumptions!B41*G1016,0)</f>
        <v>0</v>
      </c>
      <c r="S1016" s="22" t="n">
        <f aca="false">IF(AND(DAY(B1016)=1,D1016&gt;=13),Assumptions!B42*G1016,0)</f>
        <v>0</v>
      </c>
      <c r="T1016" s="22" t="n">
        <f aca="false">IF(DAY(B1016)=1,Assumptions!B43*G1016,0)</f>
        <v>0</v>
      </c>
      <c r="U1016" s="22" t="n">
        <f aca="false">SUM(O1016:T1016)</f>
        <v>0</v>
      </c>
      <c r="V1016" s="22" t="n">
        <f aca="false">N1016-U1016</f>
        <v>19200</v>
      </c>
      <c r="W1016" s="22" t="n">
        <f aca="false">W1015+V1016</f>
        <v>-2065724.14246435</v>
      </c>
      <c r="X1016" s="23" t="str">
        <f aca="false">IF(W1016&gt;=0,"YES","No")</f>
        <v>No</v>
      </c>
    </row>
    <row r="1017" customFormat="false" ht="15" hidden="false" customHeight="false" outlineLevel="0" collapsed="false">
      <c r="A1017" s="16" t="n">
        <v>1016</v>
      </c>
      <c r="B1017" s="17" t="n">
        <f aca="false">B1016+1</f>
        <v>47038</v>
      </c>
      <c r="C1017" s="18" t="n">
        <f aca="false">MIN(ROUNDUP(A1017/365,0),5)</f>
        <v>3</v>
      </c>
      <c r="D1017" s="18" t="n">
        <f aca="false">DATEDIF(Assumptions!B5,B1017,"m")+1</f>
        <v>34</v>
      </c>
      <c r="E1017" s="18" t="str">
        <f aca="false">TEXT(B1017,"ddd")</f>
        <v>Thu</v>
      </c>
      <c r="F1017" s="19" t="n">
        <f aca="false">IF(WEEKDAY(B1017,2)&gt;=6,Assumptions!B34,Assumptions!B35)</f>
        <v>1</v>
      </c>
      <c r="G1017" s="20" t="n">
        <f aca="false">IF(D1017&gt;=13,(1+Assumptions!B46)^(D1017-12),1)</f>
        <v>1.06812117896893</v>
      </c>
      <c r="H1017" s="21" t="n">
        <f aca="false">H1016*(1+IF(C1017=1,Assumptions!B22,Assumptions!B23))</f>
        <v>23.1574054970664</v>
      </c>
      <c r="I1017" s="16" t="n">
        <f aca="false">ROUND(H1017*F1017,0)</f>
        <v>23</v>
      </c>
      <c r="J1017" s="22" t="n">
        <f aca="false">I1017*Assumptions!B24</f>
        <v>13800</v>
      </c>
      <c r="K1017" s="21" t="n">
        <f aca="false">K1016*(1+Assumptions!B30)</f>
        <v>18.3108479862887</v>
      </c>
      <c r="L1017" s="16" t="n">
        <f aca="false">ROUND(K1017*F1017,0)</f>
        <v>18</v>
      </c>
      <c r="M1017" s="22" t="n">
        <f aca="false">L1017*Assumptions!B31</f>
        <v>5400</v>
      </c>
      <c r="N1017" s="22" t="n">
        <f aca="false">J1017+M1017</f>
        <v>19200</v>
      </c>
      <c r="O1017" s="22" t="n">
        <f aca="false">IF(DAY(B1017)=1,Assumptions!B38*G1017,0)</f>
        <v>0</v>
      </c>
      <c r="P1017" s="22" t="n">
        <f aca="false">IF(DAY(B1017)=1,Assumptions!B39*G1017,0)</f>
        <v>0</v>
      </c>
      <c r="Q1017" s="22" t="n">
        <f aca="false">IF(DAY(B1017)=1,Assumptions!B40*G1017,0)</f>
        <v>0</v>
      </c>
      <c r="R1017" s="22" t="n">
        <f aca="false">IF(DAY(B1017)=1,Assumptions!B41*G1017,0)</f>
        <v>0</v>
      </c>
      <c r="S1017" s="22" t="n">
        <f aca="false">IF(AND(DAY(B1017)=1,D1017&gt;=13),Assumptions!B42*G1017,0)</f>
        <v>0</v>
      </c>
      <c r="T1017" s="22" t="n">
        <f aca="false">IF(DAY(B1017)=1,Assumptions!B43*G1017,0)</f>
        <v>0</v>
      </c>
      <c r="U1017" s="22" t="n">
        <f aca="false">SUM(O1017:T1017)</f>
        <v>0</v>
      </c>
      <c r="V1017" s="22" t="n">
        <f aca="false">N1017-U1017</f>
        <v>19200</v>
      </c>
      <c r="W1017" s="22" t="n">
        <f aca="false">W1016+V1017</f>
        <v>-2046524.14246435</v>
      </c>
      <c r="X1017" s="23" t="str">
        <f aca="false">IF(W1017&gt;=0,"YES","No")</f>
        <v>No</v>
      </c>
    </row>
    <row r="1018" customFormat="false" ht="15" hidden="false" customHeight="false" outlineLevel="0" collapsed="false">
      <c r="A1018" s="16" t="n">
        <v>1017</v>
      </c>
      <c r="B1018" s="17" t="n">
        <f aca="false">B1017+1</f>
        <v>47039</v>
      </c>
      <c r="C1018" s="18" t="n">
        <f aca="false">MIN(ROUNDUP(A1018/365,0),5)</f>
        <v>3</v>
      </c>
      <c r="D1018" s="18" t="n">
        <f aca="false">DATEDIF(Assumptions!B5,B1018,"m")+1</f>
        <v>34</v>
      </c>
      <c r="E1018" s="18" t="str">
        <f aca="false">TEXT(B1018,"ddd")</f>
        <v>Fri</v>
      </c>
      <c r="F1018" s="19" t="n">
        <f aca="false">IF(WEEKDAY(B1018,2)&gt;=6,Assumptions!B34,Assumptions!B35)</f>
        <v>1</v>
      </c>
      <c r="G1018" s="20" t="n">
        <f aca="false">IF(D1018&gt;=13,(1+Assumptions!B46)^(D1018-12),1)</f>
        <v>1.06812117896893</v>
      </c>
      <c r="H1018" s="21" t="n">
        <f aca="false">H1017*(1+IF(C1018=1,Assumptions!B22,Assumptions!B23))</f>
        <v>23.1612001088876</v>
      </c>
      <c r="I1018" s="16" t="n">
        <f aca="false">ROUND(H1018*F1018,0)</f>
        <v>23</v>
      </c>
      <c r="J1018" s="22" t="n">
        <f aca="false">I1018*Assumptions!B24</f>
        <v>13800</v>
      </c>
      <c r="K1018" s="21" t="n">
        <f aca="false">K1017*(1+Assumptions!B30)</f>
        <v>18.3168344770188</v>
      </c>
      <c r="L1018" s="16" t="n">
        <f aca="false">ROUND(K1018*F1018,0)</f>
        <v>18</v>
      </c>
      <c r="M1018" s="22" t="n">
        <f aca="false">L1018*Assumptions!B31</f>
        <v>5400</v>
      </c>
      <c r="N1018" s="22" t="n">
        <f aca="false">J1018+M1018</f>
        <v>19200</v>
      </c>
      <c r="O1018" s="22" t="n">
        <f aca="false">IF(DAY(B1018)=1,Assumptions!B38*G1018,0)</f>
        <v>0</v>
      </c>
      <c r="P1018" s="22" t="n">
        <f aca="false">IF(DAY(B1018)=1,Assumptions!B39*G1018,0)</f>
        <v>0</v>
      </c>
      <c r="Q1018" s="22" t="n">
        <f aca="false">IF(DAY(B1018)=1,Assumptions!B40*G1018,0)</f>
        <v>0</v>
      </c>
      <c r="R1018" s="22" t="n">
        <f aca="false">IF(DAY(B1018)=1,Assumptions!B41*G1018,0)</f>
        <v>0</v>
      </c>
      <c r="S1018" s="22" t="n">
        <f aca="false">IF(AND(DAY(B1018)=1,D1018&gt;=13),Assumptions!B42*G1018,0)</f>
        <v>0</v>
      </c>
      <c r="T1018" s="22" t="n">
        <f aca="false">IF(DAY(B1018)=1,Assumptions!B43*G1018,0)</f>
        <v>0</v>
      </c>
      <c r="U1018" s="22" t="n">
        <f aca="false">SUM(O1018:T1018)</f>
        <v>0</v>
      </c>
      <c r="V1018" s="22" t="n">
        <f aca="false">N1018-U1018</f>
        <v>19200</v>
      </c>
      <c r="W1018" s="22" t="n">
        <f aca="false">W1017+V1018</f>
        <v>-2027324.14246435</v>
      </c>
      <c r="X1018" s="23" t="str">
        <f aca="false">IF(W1018&gt;=0,"YES","No")</f>
        <v>No</v>
      </c>
    </row>
    <row r="1019" customFormat="false" ht="15" hidden="false" customHeight="false" outlineLevel="0" collapsed="false">
      <c r="A1019" s="16" t="n">
        <v>1018</v>
      </c>
      <c r="B1019" s="17" t="n">
        <f aca="false">B1018+1</f>
        <v>47040</v>
      </c>
      <c r="C1019" s="18" t="n">
        <f aca="false">MIN(ROUNDUP(A1019/365,0),5)</f>
        <v>3</v>
      </c>
      <c r="D1019" s="18" t="n">
        <f aca="false">DATEDIF(Assumptions!B5,B1019,"m")+1</f>
        <v>34</v>
      </c>
      <c r="E1019" s="18" t="str">
        <f aca="false">TEXT(B1019,"ddd")</f>
        <v>Sat</v>
      </c>
      <c r="F1019" s="19" t="n">
        <f aca="false">IF(WEEKDAY(B1019,2)&gt;=6,Assumptions!B34,Assumptions!B35)</f>
        <v>0.6</v>
      </c>
      <c r="G1019" s="20" t="n">
        <f aca="false">IF(D1019&gt;=13,(1+Assumptions!B46)^(D1019-12),1)</f>
        <v>1.06812117896893</v>
      </c>
      <c r="H1019" s="21" t="n">
        <f aca="false">H1018*(1+IF(C1019=1,Assumptions!B22,Assumptions!B23))</f>
        <v>23.1649953425004</v>
      </c>
      <c r="I1019" s="16" t="n">
        <f aca="false">ROUND(H1019*F1019,0)</f>
        <v>14</v>
      </c>
      <c r="J1019" s="22" t="n">
        <f aca="false">I1019*Assumptions!B24</f>
        <v>8400</v>
      </c>
      <c r="K1019" s="21" t="n">
        <f aca="false">K1018*(1+Assumptions!B30)</f>
        <v>18.3228229249533</v>
      </c>
      <c r="L1019" s="16" t="n">
        <f aca="false">ROUND(K1019*F1019,0)</f>
        <v>11</v>
      </c>
      <c r="M1019" s="22" t="n">
        <f aca="false">L1019*Assumptions!B31</f>
        <v>3300</v>
      </c>
      <c r="N1019" s="22" t="n">
        <f aca="false">J1019+M1019</f>
        <v>11700</v>
      </c>
      <c r="O1019" s="22" t="n">
        <f aca="false">IF(DAY(B1019)=1,Assumptions!B38*G1019,0)</f>
        <v>0</v>
      </c>
      <c r="P1019" s="22" t="n">
        <f aca="false">IF(DAY(B1019)=1,Assumptions!B39*G1019,0)</f>
        <v>0</v>
      </c>
      <c r="Q1019" s="22" t="n">
        <f aca="false">IF(DAY(B1019)=1,Assumptions!B40*G1019,0)</f>
        <v>0</v>
      </c>
      <c r="R1019" s="22" t="n">
        <f aca="false">IF(DAY(B1019)=1,Assumptions!B41*G1019,0)</f>
        <v>0</v>
      </c>
      <c r="S1019" s="22" t="n">
        <f aca="false">IF(AND(DAY(B1019)=1,D1019&gt;=13),Assumptions!B42*G1019,0)</f>
        <v>0</v>
      </c>
      <c r="T1019" s="22" t="n">
        <f aca="false">IF(DAY(B1019)=1,Assumptions!B43*G1019,0)</f>
        <v>0</v>
      </c>
      <c r="U1019" s="22" t="n">
        <f aca="false">SUM(O1019:T1019)</f>
        <v>0</v>
      </c>
      <c r="V1019" s="22" t="n">
        <f aca="false">N1019-U1019</f>
        <v>11700</v>
      </c>
      <c r="W1019" s="22" t="n">
        <f aca="false">W1018+V1019</f>
        <v>-2015624.14246435</v>
      </c>
      <c r="X1019" s="23" t="str">
        <f aca="false">IF(W1019&gt;=0,"YES","No")</f>
        <v>No</v>
      </c>
    </row>
    <row r="1020" customFormat="false" ht="15" hidden="false" customHeight="false" outlineLevel="0" collapsed="false">
      <c r="A1020" s="16" t="n">
        <v>1019</v>
      </c>
      <c r="B1020" s="17" t="n">
        <f aca="false">B1019+1</f>
        <v>47041</v>
      </c>
      <c r="C1020" s="18" t="n">
        <f aca="false">MIN(ROUNDUP(A1020/365,0),5)</f>
        <v>3</v>
      </c>
      <c r="D1020" s="18" t="n">
        <f aca="false">DATEDIF(Assumptions!B5,B1020,"m")+1</f>
        <v>34</v>
      </c>
      <c r="E1020" s="18" t="str">
        <f aca="false">TEXT(B1020,"ddd")</f>
        <v>Sun</v>
      </c>
      <c r="F1020" s="19" t="n">
        <f aca="false">IF(WEEKDAY(B1020,2)&gt;=6,Assumptions!B34,Assumptions!B35)</f>
        <v>0.6</v>
      </c>
      <c r="G1020" s="20" t="n">
        <f aca="false">IF(D1020&gt;=13,(1+Assumptions!B46)^(D1020-12),1)</f>
        <v>1.06812117896893</v>
      </c>
      <c r="H1020" s="21" t="n">
        <f aca="false">H1019*(1+IF(C1020=1,Assumptions!B22,Assumptions!B23))</f>
        <v>23.1687911980066</v>
      </c>
      <c r="I1020" s="16" t="n">
        <f aca="false">ROUND(H1020*F1020,0)</f>
        <v>14</v>
      </c>
      <c r="J1020" s="22" t="n">
        <f aca="false">I1020*Assumptions!B24</f>
        <v>8400</v>
      </c>
      <c r="K1020" s="21" t="n">
        <f aca="false">K1019*(1+Assumptions!B30)</f>
        <v>18.328813330732</v>
      </c>
      <c r="L1020" s="16" t="n">
        <f aca="false">ROUND(K1020*F1020,0)</f>
        <v>11</v>
      </c>
      <c r="M1020" s="22" t="n">
        <f aca="false">L1020*Assumptions!B31</f>
        <v>3300</v>
      </c>
      <c r="N1020" s="22" t="n">
        <f aca="false">J1020+M1020</f>
        <v>11700</v>
      </c>
      <c r="O1020" s="22" t="n">
        <f aca="false">IF(DAY(B1020)=1,Assumptions!B38*G1020,0)</f>
        <v>0</v>
      </c>
      <c r="P1020" s="22" t="n">
        <f aca="false">IF(DAY(B1020)=1,Assumptions!B39*G1020,0)</f>
        <v>0</v>
      </c>
      <c r="Q1020" s="22" t="n">
        <f aca="false">IF(DAY(B1020)=1,Assumptions!B40*G1020,0)</f>
        <v>0</v>
      </c>
      <c r="R1020" s="22" t="n">
        <f aca="false">IF(DAY(B1020)=1,Assumptions!B41*G1020,0)</f>
        <v>0</v>
      </c>
      <c r="S1020" s="22" t="n">
        <f aca="false">IF(AND(DAY(B1020)=1,D1020&gt;=13),Assumptions!B42*G1020,0)</f>
        <v>0</v>
      </c>
      <c r="T1020" s="22" t="n">
        <f aca="false">IF(DAY(B1020)=1,Assumptions!B43*G1020,0)</f>
        <v>0</v>
      </c>
      <c r="U1020" s="22" t="n">
        <f aca="false">SUM(O1020:T1020)</f>
        <v>0</v>
      </c>
      <c r="V1020" s="22" t="n">
        <f aca="false">N1020-U1020</f>
        <v>11700</v>
      </c>
      <c r="W1020" s="22" t="n">
        <f aca="false">W1019+V1020</f>
        <v>-2003924.14246435</v>
      </c>
      <c r="X1020" s="23" t="str">
        <f aca="false">IF(W1020&gt;=0,"YES","No")</f>
        <v>No</v>
      </c>
    </row>
    <row r="1021" customFormat="false" ht="15" hidden="false" customHeight="false" outlineLevel="0" collapsed="false">
      <c r="A1021" s="16" t="n">
        <v>1020</v>
      </c>
      <c r="B1021" s="17" t="n">
        <f aca="false">B1020+1</f>
        <v>47042</v>
      </c>
      <c r="C1021" s="18" t="n">
        <f aca="false">MIN(ROUNDUP(A1021/365,0),5)</f>
        <v>3</v>
      </c>
      <c r="D1021" s="18" t="n">
        <f aca="false">DATEDIF(Assumptions!B5,B1021,"m")+1</f>
        <v>34</v>
      </c>
      <c r="E1021" s="18" t="str">
        <f aca="false">TEXT(B1021,"ddd")</f>
        <v>Mon</v>
      </c>
      <c r="F1021" s="19" t="n">
        <f aca="false">IF(WEEKDAY(B1021,2)&gt;=6,Assumptions!B34,Assumptions!B35)</f>
        <v>1</v>
      </c>
      <c r="G1021" s="20" t="n">
        <f aca="false">IF(D1021&gt;=13,(1+Assumptions!B46)^(D1021-12),1)</f>
        <v>1.06812117896893</v>
      </c>
      <c r="H1021" s="21" t="n">
        <f aca="false">H1020*(1+IF(C1021=1,Assumptions!B22,Assumptions!B23))</f>
        <v>23.1725876755081</v>
      </c>
      <c r="I1021" s="16" t="n">
        <f aca="false">ROUND(H1021*F1021,0)</f>
        <v>23</v>
      </c>
      <c r="J1021" s="22" t="n">
        <f aca="false">I1021*Assumptions!B24</f>
        <v>13800</v>
      </c>
      <c r="K1021" s="21" t="n">
        <f aca="false">K1020*(1+Assumptions!B30)</f>
        <v>18.334805694995</v>
      </c>
      <c r="L1021" s="16" t="n">
        <f aca="false">ROUND(K1021*F1021,0)</f>
        <v>18</v>
      </c>
      <c r="M1021" s="22" t="n">
        <f aca="false">L1021*Assumptions!B31</f>
        <v>5400</v>
      </c>
      <c r="N1021" s="22" t="n">
        <f aca="false">J1021+M1021</f>
        <v>19200</v>
      </c>
      <c r="O1021" s="22" t="n">
        <f aca="false">IF(DAY(B1021)=1,Assumptions!B38*G1021,0)</f>
        <v>0</v>
      </c>
      <c r="P1021" s="22" t="n">
        <f aca="false">IF(DAY(B1021)=1,Assumptions!B39*G1021,0)</f>
        <v>0</v>
      </c>
      <c r="Q1021" s="22" t="n">
        <f aca="false">IF(DAY(B1021)=1,Assumptions!B40*G1021,0)</f>
        <v>0</v>
      </c>
      <c r="R1021" s="22" t="n">
        <f aca="false">IF(DAY(B1021)=1,Assumptions!B41*G1021,0)</f>
        <v>0</v>
      </c>
      <c r="S1021" s="22" t="n">
        <f aca="false">IF(AND(DAY(B1021)=1,D1021&gt;=13),Assumptions!B42*G1021,0)</f>
        <v>0</v>
      </c>
      <c r="T1021" s="22" t="n">
        <f aca="false">IF(DAY(B1021)=1,Assumptions!B43*G1021,0)</f>
        <v>0</v>
      </c>
      <c r="U1021" s="22" t="n">
        <f aca="false">SUM(O1021:T1021)</f>
        <v>0</v>
      </c>
      <c r="V1021" s="22" t="n">
        <f aca="false">N1021-U1021</f>
        <v>19200</v>
      </c>
      <c r="W1021" s="22" t="n">
        <f aca="false">W1020+V1021</f>
        <v>-1984724.14246435</v>
      </c>
      <c r="X1021" s="23" t="str">
        <f aca="false">IF(W1021&gt;=0,"YES","No")</f>
        <v>No</v>
      </c>
    </row>
    <row r="1022" customFormat="false" ht="15" hidden="false" customHeight="false" outlineLevel="0" collapsed="false">
      <c r="A1022" s="16" t="n">
        <v>1021</v>
      </c>
      <c r="B1022" s="17" t="n">
        <f aca="false">B1021+1</f>
        <v>47043</v>
      </c>
      <c r="C1022" s="18" t="n">
        <f aca="false">MIN(ROUNDUP(A1022/365,0),5)</f>
        <v>3</v>
      </c>
      <c r="D1022" s="18" t="n">
        <f aca="false">DATEDIF(Assumptions!B5,B1022,"m")+1</f>
        <v>34</v>
      </c>
      <c r="E1022" s="18" t="str">
        <f aca="false">TEXT(B1022,"ddd")</f>
        <v>Tue</v>
      </c>
      <c r="F1022" s="19" t="n">
        <f aca="false">IF(WEEKDAY(B1022,2)&gt;=6,Assumptions!B34,Assumptions!B35)</f>
        <v>1</v>
      </c>
      <c r="G1022" s="20" t="n">
        <f aca="false">IF(D1022&gt;=13,(1+Assumptions!B46)^(D1022-12),1)</f>
        <v>1.06812117896893</v>
      </c>
      <c r="H1022" s="21" t="n">
        <f aca="false">H1021*(1+IF(C1022=1,Assumptions!B22,Assumptions!B23))</f>
        <v>23.1763847751069</v>
      </c>
      <c r="I1022" s="16" t="n">
        <f aca="false">ROUND(H1022*F1022,0)</f>
        <v>23</v>
      </c>
      <c r="J1022" s="22" t="n">
        <f aca="false">I1022*Assumptions!B24</f>
        <v>13800</v>
      </c>
      <c r="K1022" s="21" t="n">
        <f aca="false">K1021*(1+Assumptions!B30)</f>
        <v>18.3408000183826</v>
      </c>
      <c r="L1022" s="16" t="n">
        <f aca="false">ROUND(K1022*F1022,0)</f>
        <v>18</v>
      </c>
      <c r="M1022" s="22" t="n">
        <f aca="false">L1022*Assumptions!B31</f>
        <v>5400</v>
      </c>
      <c r="N1022" s="22" t="n">
        <f aca="false">J1022+M1022</f>
        <v>19200</v>
      </c>
      <c r="O1022" s="22" t="n">
        <f aca="false">IF(DAY(B1022)=1,Assumptions!B38*G1022,0)</f>
        <v>0</v>
      </c>
      <c r="P1022" s="22" t="n">
        <f aca="false">IF(DAY(B1022)=1,Assumptions!B39*G1022,0)</f>
        <v>0</v>
      </c>
      <c r="Q1022" s="22" t="n">
        <f aca="false">IF(DAY(B1022)=1,Assumptions!B40*G1022,0)</f>
        <v>0</v>
      </c>
      <c r="R1022" s="22" t="n">
        <f aca="false">IF(DAY(B1022)=1,Assumptions!B41*G1022,0)</f>
        <v>0</v>
      </c>
      <c r="S1022" s="22" t="n">
        <f aca="false">IF(AND(DAY(B1022)=1,D1022&gt;=13),Assumptions!B42*G1022,0)</f>
        <v>0</v>
      </c>
      <c r="T1022" s="22" t="n">
        <f aca="false">IF(DAY(B1022)=1,Assumptions!B43*G1022,0)</f>
        <v>0</v>
      </c>
      <c r="U1022" s="22" t="n">
        <f aca="false">SUM(O1022:T1022)</f>
        <v>0</v>
      </c>
      <c r="V1022" s="22" t="n">
        <f aca="false">N1022-U1022</f>
        <v>19200</v>
      </c>
      <c r="W1022" s="22" t="n">
        <f aca="false">W1021+V1022</f>
        <v>-1965524.14246435</v>
      </c>
      <c r="X1022" s="23" t="str">
        <f aca="false">IF(W1022&gt;=0,"YES","No")</f>
        <v>No</v>
      </c>
    </row>
    <row r="1023" customFormat="false" ht="15" hidden="false" customHeight="false" outlineLevel="0" collapsed="false">
      <c r="A1023" s="16" t="n">
        <v>1022</v>
      </c>
      <c r="B1023" s="17" t="n">
        <f aca="false">B1022+1</f>
        <v>47044</v>
      </c>
      <c r="C1023" s="18" t="n">
        <f aca="false">MIN(ROUNDUP(A1023/365,0),5)</f>
        <v>3</v>
      </c>
      <c r="D1023" s="18" t="n">
        <f aca="false">DATEDIF(Assumptions!B5,B1023,"m")+1</f>
        <v>34</v>
      </c>
      <c r="E1023" s="18" t="str">
        <f aca="false">TEXT(B1023,"ddd")</f>
        <v>Wed</v>
      </c>
      <c r="F1023" s="19" t="n">
        <f aca="false">IF(WEEKDAY(B1023,2)&gt;=6,Assumptions!B34,Assumptions!B35)</f>
        <v>1</v>
      </c>
      <c r="G1023" s="20" t="n">
        <f aca="false">IF(D1023&gt;=13,(1+Assumptions!B46)^(D1023-12),1)</f>
        <v>1.06812117896893</v>
      </c>
      <c r="H1023" s="21" t="n">
        <f aca="false">H1022*(1+IF(C1023=1,Assumptions!B22,Assumptions!B23))</f>
        <v>23.1801824969049</v>
      </c>
      <c r="I1023" s="16" t="n">
        <f aca="false">ROUND(H1023*F1023,0)</f>
        <v>23</v>
      </c>
      <c r="J1023" s="22" t="n">
        <f aca="false">I1023*Assumptions!B24</f>
        <v>13800</v>
      </c>
      <c r="K1023" s="21" t="n">
        <f aca="false">K1022*(1+Assumptions!B30)</f>
        <v>18.3467963015354</v>
      </c>
      <c r="L1023" s="16" t="n">
        <f aca="false">ROUND(K1023*F1023,0)</f>
        <v>18</v>
      </c>
      <c r="M1023" s="22" t="n">
        <f aca="false">L1023*Assumptions!B31</f>
        <v>5400</v>
      </c>
      <c r="N1023" s="22" t="n">
        <f aca="false">J1023+M1023</f>
        <v>19200</v>
      </c>
      <c r="O1023" s="22" t="n">
        <f aca="false">IF(DAY(B1023)=1,Assumptions!B38*G1023,0)</f>
        <v>0</v>
      </c>
      <c r="P1023" s="22" t="n">
        <f aca="false">IF(DAY(B1023)=1,Assumptions!B39*G1023,0)</f>
        <v>0</v>
      </c>
      <c r="Q1023" s="22" t="n">
        <f aca="false">IF(DAY(B1023)=1,Assumptions!B40*G1023,0)</f>
        <v>0</v>
      </c>
      <c r="R1023" s="22" t="n">
        <f aca="false">IF(DAY(B1023)=1,Assumptions!B41*G1023,0)</f>
        <v>0</v>
      </c>
      <c r="S1023" s="22" t="n">
        <f aca="false">IF(AND(DAY(B1023)=1,D1023&gt;=13),Assumptions!B42*G1023,0)</f>
        <v>0</v>
      </c>
      <c r="T1023" s="22" t="n">
        <f aca="false">IF(DAY(B1023)=1,Assumptions!B43*G1023,0)</f>
        <v>0</v>
      </c>
      <c r="U1023" s="22" t="n">
        <f aca="false">SUM(O1023:T1023)</f>
        <v>0</v>
      </c>
      <c r="V1023" s="22" t="n">
        <f aca="false">N1023-U1023</f>
        <v>19200</v>
      </c>
      <c r="W1023" s="22" t="n">
        <f aca="false">W1022+V1023</f>
        <v>-1946324.14246435</v>
      </c>
      <c r="X1023" s="23" t="str">
        <f aca="false">IF(W1023&gt;=0,"YES","No")</f>
        <v>No</v>
      </c>
    </row>
    <row r="1024" customFormat="false" ht="15" hidden="false" customHeight="false" outlineLevel="0" collapsed="false">
      <c r="A1024" s="16" t="n">
        <v>1023</v>
      </c>
      <c r="B1024" s="17" t="n">
        <f aca="false">B1023+1</f>
        <v>47045</v>
      </c>
      <c r="C1024" s="18" t="n">
        <f aca="false">MIN(ROUNDUP(A1024/365,0),5)</f>
        <v>3</v>
      </c>
      <c r="D1024" s="18" t="n">
        <f aca="false">DATEDIF(Assumptions!B5,B1024,"m")+1</f>
        <v>34</v>
      </c>
      <c r="E1024" s="18" t="str">
        <f aca="false">TEXT(B1024,"ddd")</f>
        <v>Thu</v>
      </c>
      <c r="F1024" s="19" t="n">
        <f aca="false">IF(WEEKDAY(B1024,2)&gt;=6,Assumptions!B34,Assumptions!B35)</f>
        <v>1</v>
      </c>
      <c r="G1024" s="20" t="n">
        <f aca="false">IF(D1024&gt;=13,(1+Assumptions!B46)^(D1024-12),1)</f>
        <v>1.06812117896893</v>
      </c>
      <c r="H1024" s="21" t="n">
        <f aca="false">H1023*(1+IF(C1024=1,Assumptions!B22,Assumptions!B23))</f>
        <v>23.183980841004</v>
      </c>
      <c r="I1024" s="16" t="n">
        <f aca="false">ROUND(H1024*F1024,0)</f>
        <v>23</v>
      </c>
      <c r="J1024" s="22" t="n">
        <f aca="false">I1024*Assumptions!B24</f>
        <v>13800</v>
      </c>
      <c r="K1024" s="21" t="n">
        <f aca="false">K1023*(1+Assumptions!B30)</f>
        <v>18.352794545094</v>
      </c>
      <c r="L1024" s="16" t="n">
        <f aca="false">ROUND(K1024*F1024,0)</f>
        <v>18</v>
      </c>
      <c r="M1024" s="22" t="n">
        <f aca="false">L1024*Assumptions!B31</f>
        <v>5400</v>
      </c>
      <c r="N1024" s="22" t="n">
        <f aca="false">J1024+M1024</f>
        <v>19200</v>
      </c>
      <c r="O1024" s="22" t="n">
        <f aca="false">IF(DAY(B1024)=1,Assumptions!B38*G1024,0)</f>
        <v>0</v>
      </c>
      <c r="P1024" s="22" t="n">
        <f aca="false">IF(DAY(B1024)=1,Assumptions!B39*G1024,0)</f>
        <v>0</v>
      </c>
      <c r="Q1024" s="22" t="n">
        <f aca="false">IF(DAY(B1024)=1,Assumptions!B40*G1024,0)</f>
        <v>0</v>
      </c>
      <c r="R1024" s="22" t="n">
        <f aca="false">IF(DAY(B1024)=1,Assumptions!B41*G1024,0)</f>
        <v>0</v>
      </c>
      <c r="S1024" s="22" t="n">
        <f aca="false">IF(AND(DAY(B1024)=1,D1024&gt;=13),Assumptions!B42*G1024,0)</f>
        <v>0</v>
      </c>
      <c r="T1024" s="22" t="n">
        <f aca="false">IF(DAY(B1024)=1,Assumptions!B43*G1024,0)</f>
        <v>0</v>
      </c>
      <c r="U1024" s="22" t="n">
        <f aca="false">SUM(O1024:T1024)</f>
        <v>0</v>
      </c>
      <c r="V1024" s="22" t="n">
        <f aca="false">N1024-U1024</f>
        <v>19200</v>
      </c>
      <c r="W1024" s="22" t="n">
        <f aca="false">W1023+V1024</f>
        <v>-1927124.14246435</v>
      </c>
      <c r="X1024" s="23" t="str">
        <f aca="false">IF(W1024&gt;=0,"YES","No")</f>
        <v>No</v>
      </c>
    </row>
    <row r="1025" customFormat="false" ht="15" hidden="false" customHeight="false" outlineLevel="0" collapsed="false">
      <c r="A1025" s="16" t="n">
        <v>1024</v>
      </c>
      <c r="B1025" s="17" t="n">
        <f aca="false">B1024+1</f>
        <v>47046</v>
      </c>
      <c r="C1025" s="18" t="n">
        <f aca="false">MIN(ROUNDUP(A1025/365,0),5)</f>
        <v>3</v>
      </c>
      <c r="D1025" s="18" t="n">
        <f aca="false">DATEDIF(Assumptions!B5,B1025,"m")+1</f>
        <v>34</v>
      </c>
      <c r="E1025" s="18" t="str">
        <f aca="false">TEXT(B1025,"ddd")</f>
        <v>Fri</v>
      </c>
      <c r="F1025" s="19" t="n">
        <f aca="false">IF(WEEKDAY(B1025,2)&gt;=6,Assumptions!B34,Assumptions!B35)</f>
        <v>1</v>
      </c>
      <c r="G1025" s="20" t="n">
        <f aca="false">IF(D1025&gt;=13,(1+Assumptions!B46)^(D1025-12),1)</f>
        <v>1.06812117896893</v>
      </c>
      <c r="H1025" s="21" t="n">
        <f aca="false">H1024*(1+IF(C1025=1,Assumptions!B22,Assumptions!B23))</f>
        <v>23.1877798075062</v>
      </c>
      <c r="I1025" s="16" t="n">
        <f aca="false">ROUND(H1025*F1025,0)</f>
        <v>23</v>
      </c>
      <c r="J1025" s="22" t="n">
        <f aca="false">I1025*Assumptions!B24</f>
        <v>13800</v>
      </c>
      <c r="K1025" s="21" t="n">
        <f aca="false">K1024*(1+Assumptions!B30)</f>
        <v>18.3587947496994</v>
      </c>
      <c r="L1025" s="16" t="n">
        <f aca="false">ROUND(K1025*F1025,0)</f>
        <v>18</v>
      </c>
      <c r="M1025" s="22" t="n">
        <f aca="false">L1025*Assumptions!B31</f>
        <v>5400</v>
      </c>
      <c r="N1025" s="22" t="n">
        <f aca="false">J1025+M1025</f>
        <v>19200</v>
      </c>
      <c r="O1025" s="22" t="n">
        <f aca="false">IF(DAY(B1025)=1,Assumptions!B38*G1025,0)</f>
        <v>0</v>
      </c>
      <c r="P1025" s="22" t="n">
        <f aca="false">IF(DAY(B1025)=1,Assumptions!B39*G1025,0)</f>
        <v>0</v>
      </c>
      <c r="Q1025" s="22" t="n">
        <f aca="false">IF(DAY(B1025)=1,Assumptions!B40*G1025,0)</f>
        <v>0</v>
      </c>
      <c r="R1025" s="22" t="n">
        <f aca="false">IF(DAY(B1025)=1,Assumptions!B41*G1025,0)</f>
        <v>0</v>
      </c>
      <c r="S1025" s="22" t="n">
        <f aca="false">IF(AND(DAY(B1025)=1,D1025&gt;=13),Assumptions!B42*G1025,0)</f>
        <v>0</v>
      </c>
      <c r="T1025" s="22" t="n">
        <f aca="false">IF(DAY(B1025)=1,Assumptions!B43*G1025,0)</f>
        <v>0</v>
      </c>
      <c r="U1025" s="22" t="n">
        <f aca="false">SUM(O1025:T1025)</f>
        <v>0</v>
      </c>
      <c r="V1025" s="22" t="n">
        <f aca="false">N1025-U1025</f>
        <v>19200</v>
      </c>
      <c r="W1025" s="22" t="n">
        <f aca="false">W1024+V1025</f>
        <v>-1907924.14246435</v>
      </c>
      <c r="X1025" s="23" t="str">
        <f aca="false">IF(W1025&gt;=0,"YES","No")</f>
        <v>No</v>
      </c>
    </row>
    <row r="1026" customFormat="false" ht="15" hidden="false" customHeight="false" outlineLevel="0" collapsed="false">
      <c r="A1026" s="16" t="n">
        <v>1025</v>
      </c>
      <c r="B1026" s="17" t="n">
        <f aca="false">B1025+1</f>
        <v>47047</v>
      </c>
      <c r="C1026" s="18" t="n">
        <f aca="false">MIN(ROUNDUP(A1026/365,0),5)</f>
        <v>3</v>
      </c>
      <c r="D1026" s="18" t="n">
        <f aca="false">DATEDIF(Assumptions!B5,B1026,"m")+1</f>
        <v>34</v>
      </c>
      <c r="E1026" s="18" t="str">
        <f aca="false">TEXT(B1026,"ddd")</f>
        <v>Sat</v>
      </c>
      <c r="F1026" s="19" t="n">
        <f aca="false">IF(WEEKDAY(B1026,2)&gt;=6,Assumptions!B34,Assumptions!B35)</f>
        <v>0.6</v>
      </c>
      <c r="G1026" s="20" t="n">
        <f aca="false">IF(D1026&gt;=13,(1+Assumptions!B46)^(D1026-12),1)</f>
        <v>1.06812117896893</v>
      </c>
      <c r="H1026" s="21" t="n">
        <f aca="false">H1025*(1+IF(C1026=1,Assumptions!B22,Assumptions!B23))</f>
        <v>23.1915793965136</v>
      </c>
      <c r="I1026" s="16" t="n">
        <f aca="false">ROUND(H1026*F1026,0)</f>
        <v>14</v>
      </c>
      <c r="J1026" s="22" t="n">
        <f aca="false">I1026*Assumptions!B24</f>
        <v>8400</v>
      </c>
      <c r="K1026" s="21" t="n">
        <f aca="false">K1025*(1+Assumptions!B30)</f>
        <v>18.3647969159927</v>
      </c>
      <c r="L1026" s="16" t="n">
        <f aca="false">ROUND(K1026*F1026,0)</f>
        <v>11</v>
      </c>
      <c r="M1026" s="22" t="n">
        <f aca="false">L1026*Assumptions!B31</f>
        <v>3300</v>
      </c>
      <c r="N1026" s="22" t="n">
        <f aca="false">J1026+M1026</f>
        <v>11700</v>
      </c>
      <c r="O1026" s="22" t="n">
        <f aca="false">IF(DAY(B1026)=1,Assumptions!B38*G1026,0)</f>
        <v>0</v>
      </c>
      <c r="P1026" s="22" t="n">
        <f aca="false">IF(DAY(B1026)=1,Assumptions!B39*G1026,0)</f>
        <v>0</v>
      </c>
      <c r="Q1026" s="22" t="n">
        <f aca="false">IF(DAY(B1026)=1,Assumptions!B40*G1026,0)</f>
        <v>0</v>
      </c>
      <c r="R1026" s="22" t="n">
        <f aca="false">IF(DAY(B1026)=1,Assumptions!B41*G1026,0)</f>
        <v>0</v>
      </c>
      <c r="S1026" s="22" t="n">
        <f aca="false">IF(AND(DAY(B1026)=1,D1026&gt;=13),Assumptions!B42*G1026,0)</f>
        <v>0</v>
      </c>
      <c r="T1026" s="22" t="n">
        <f aca="false">IF(DAY(B1026)=1,Assumptions!B43*G1026,0)</f>
        <v>0</v>
      </c>
      <c r="U1026" s="22" t="n">
        <f aca="false">SUM(O1026:T1026)</f>
        <v>0</v>
      </c>
      <c r="V1026" s="22" t="n">
        <f aca="false">N1026-U1026</f>
        <v>11700</v>
      </c>
      <c r="W1026" s="22" t="n">
        <f aca="false">W1025+V1026</f>
        <v>-1896224.14246435</v>
      </c>
      <c r="X1026" s="23" t="str">
        <f aca="false">IF(W1026&gt;=0,"YES","No")</f>
        <v>No</v>
      </c>
    </row>
    <row r="1027" customFormat="false" ht="15" hidden="false" customHeight="false" outlineLevel="0" collapsed="false">
      <c r="A1027" s="16" t="n">
        <v>1026</v>
      </c>
      <c r="B1027" s="17" t="n">
        <f aca="false">B1026+1</f>
        <v>47048</v>
      </c>
      <c r="C1027" s="18" t="n">
        <f aca="false">MIN(ROUNDUP(A1027/365,0),5)</f>
        <v>3</v>
      </c>
      <c r="D1027" s="18" t="n">
        <f aca="false">DATEDIF(Assumptions!B5,B1027,"m")+1</f>
        <v>34</v>
      </c>
      <c r="E1027" s="18" t="str">
        <f aca="false">TEXT(B1027,"ddd")</f>
        <v>Sun</v>
      </c>
      <c r="F1027" s="19" t="n">
        <f aca="false">IF(WEEKDAY(B1027,2)&gt;=6,Assumptions!B34,Assumptions!B35)</f>
        <v>0.6</v>
      </c>
      <c r="G1027" s="20" t="n">
        <f aca="false">IF(D1027&gt;=13,(1+Assumptions!B46)^(D1027-12),1)</f>
        <v>1.06812117896893</v>
      </c>
      <c r="H1027" s="21" t="n">
        <f aca="false">H1026*(1+IF(C1027=1,Assumptions!B22,Assumptions!B23))</f>
        <v>23.1953796081281</v>
      </c>
      <c r="I1027" s="16" t="n">
        <f aca="false">ROUND(H1027*F1027,0)</f>
        <v>14</v>
      </c>
      <c r="J1027" s="22" t="n">
        <f aca="false">I1027*Assumptions!B24</f>
        <v>8400</v>
      </c>
      <c r="K1027" s="21" t="n">
        <f aca="false">K1026*(1+Assumptions!B30)</f>
        <v>18.3708010446153</v>
      </c>
      <c r="L1027" s="16" t="n">
        <f aca="false">ROUND(K1027*F1027,0)</f>
        <v>11</v>
      </c>
      <c r="M1027" s="22" t="n">
        <f aca="false">L1027*Assumptions!B31</f>
        <v>3300</v>
      </c>
      <c r="N1027" s="22" t="n">
        <f aca="false">J1027+M1027</f>
        <v>11700</v>
      </c>
      <c r="O1027" s="22" t="n">
        <f aca="false">IF(DAY(B1027)=1,Assumptions!B38*G1027,0)</f>
        <v>0</v>
      </c>
      <c r="P1027" s="22" t="n">
        <f aca="false">IF(DAY(B1027)=1,Assumptions!B39*G1027,0)</f>
        <v>0</v>
      </c>
      <c r="Q1027" s="22" t="n">
        <f aca="false">IF(DAY(B1027)=1,Assumptions!B40*G1027,0)</f>
        <v>0</v>
      </c>
      <c r="R1027" s="22" t="n">
        <f aca="false">IF(DAY(B1027)=1,Assumptions!B41*G1027,0)</f>
        <v>0</v>
      </c>
      <c r="S1027" s="22" t="n">
        <f aca="false">IF(AND(DAY(B1027)=1,D1027&gt;=13),Assumptions!B42*G1027,0)</f>
        <v>0</v>
      </c>
      <c r="T1027" s="22" t="n">
        <f aca="false">IF(DAY(B1027)=1,Assumptions!B43*G1027,0)</f>
        <v>0</v>
      </c>
      <c r="U1027" s="22" t="n">
        <f aca="false">SUM(O1027:T1027)</f>
        <v>0</v>
      </c>
      <c r="V1027" s="22" t="n">
        <f aca="false">N1027-U1027</f>
        <v>11700</v>
      </c>
      <c r="W1027" s="22" t="n">
        <f aca="false">W1026+V1027</f>
        <v>-1884524.14246435</v>
      </c>
      <c r="X1027" s="23" t="str">
        <f aca="false">IF(W1027&gt;=0,"YES","No")</f>
        <v>No</v>
      </c>
    </row>
    <row r="1028" customFormat="false" ht="15" hidden="false" customHeight="false" outlineLevel="0" collapsed="false">
      <c r="A1028" s="16" t="n">
        <v>1027</v>
      </c>
      <c r="B1028" s="17" t="n">
        <f aca="false">B1027+1</f>
        <v>47049</v>
      </c>
      <c r="C1028" s="18" t="n">
        <f aca="false">MIN(ROUNDUP(A1028/365,0),5)</f>
        <v>3</v>
      </c>
      <c r="D1028" s="18" t="n">
        <f aca="false">DATEDIF(Assumptions!B5,B1028,"m")+1</f>
        <v>34</v>
      </c>
      <c r="E1028" s="18" t="str">
        <f aca="false">TEXT(B1028,"ddd")</f>
        <v>Mon</v>
      </c>
      <c r="F1028" s="19" t="n">
        <f aca="false">IF(WEEKDAY(B1028,2)&gt;=6,Assumptions!B34,Assumptions!B35)</f>
        <v>1</v>
      </c>
      <c r="G1028" s="20" t="n">
        <f aca="false">IF(D1028&gt;=13,(1+Assumptions!B46)^(D1028-12),1)</f>
        <v>1.06812117896893</v>
      </c>
      <c r="H1028" s="21" t="n">
        <f aca="false">H1027*(1+IF(C1028=1,Assumptions!B22,Assumptions!B23))</f>
        <v>23.1991804424517</v>
      </c>
      <c r="I1028" s="16" t="n">
        <f aca="false">ROUND(H1028*F1028,0)</f>
        <v>23</v>
      </c>
      <c r="J1028" s="22" t="n">
        <f aca="false">I1028*Assumptions!B24</f>
        <v>13800</v>
      </c>
      <c r="K1028" s="21" t="n">
        <f aca="false">K1027*(1+Assumptions!B30)</f>
        <v>18.3768071362087</v>
      </c>
      <c r="L1028" s="16" t="n">
        <f aca="false">ROUND(K1028*F1028,0)</f>
        <v>18</v>
      </c>
      <c r="M1028" s="22" t="n">
        <f aca="false">L1028*Assumptions!B31</f>
        <v>5400</v>
      </c>
      <c r="N1028" s="22" t="n">
        <f aca="false">J1028+M1028</f>
        <v>19200</v>
      </c>
      <c r="O1028" s="22" t="n">
        <f aca="false">IF(DAY(B1028)=1,Assumptions!B38*G1028,0)</f>
        <v>0</v>
      </c>
      <c r="P1028" s="22" t="n">
        <f aca="false">IF(DAY(B1028)=1,Assumptions!B39*G1028,0)</f>
        <v>0</v>
      </c>
      <c r="Q1028" s="22" t="n">
        <f aca="false">IF(DAY(B1028)=1,Assumptions!B40*G1028,0)</f>
        <v>0</v>
      </c>
      <c r="R1028" s="22" t="n">
        <f aca="false">IF(DAY(B1028)=1,Assumptions!B41*G1028,0)</f>
        <v>0</v>
      </c>
      <c r="S1028" s="22" t="n">
        <f aca="false">IF(AND(DAY(B1028)=1,D1028&gt;=13),Assumptions!B42*G1028,0)</f>
        <v>0</v>
      </c>
      <c r="T1028" s="22" t="n">
        <f aca="false">IF(DAY(B1028)=1,Assumptions!B43*G1028,0)</f>
        <v>0</v>
      </c>
      <c r="U1028" s="22" t="n">
        <f aca="false">SUM(O1028:T1028)</f>
        <v>0</v>
      </c>
      <c r="V1028" s="22" t="n">
        <f aca="false">N1028-U1028</f>
        <v>19200</v>
      </c>
      <c r="W1028" s="22" t="n">
        <f aca="false">W1027+V1028</f>
        <v>-1865324.14246435</v>
      </c>
      <c r="X1028" s="23" t="str">
        <f aca="false">IF(W1028&gt;=0,"YES","No")</f>
        <v>No</v>
      </c>
    </row>
    <row r="1029" customFormat="false" ht="15" hidden="false" customHeight="false" outlineLevel="0" collapsed="false">
      <c r="A1029" s="16" t="n">
        <v>1028</v>
      </c>
      <c r="B1029" s="17" t="n">
        <f aca="false">B1028+1</f>
        <v>47050</v>
      </c>
      <c r="C1029" s="18" t="n">
        <f aca="false">MIN(ROUNDUP(A1029/365,0),5)</f>
        <v>3</v>
      </c>
      <c r="D1029" s="18" t="n">
        <f aca="false">DATEDIF(Assumptions!B5,B1029,"m")+1</f>
        <v>34</v>
      </c>
      <c r="E1029" s="18" t="str">
        <f aca="false">TEXT(B1029,"ddd")</f>
        <v>Tue</v>
      </c>
      <c r="F1029" s="19" t="n">
        <f aca="false">IF(WEEKDAY(B1029,2)&gt;=6,Assumptions!B34,Assumptions!B35)</f>
        <v>1</v>
      </c>
      <c r="G1029" s="20" t="n">
        <f aca="false">IF(D1029&gt;=13,(1+Assumptions!B46)^(D1029-12),1)</f>
        <v>1.06812117896893</v>
      </c>
      <c r="H1029" s="21" t="n">
        <f aca="false">H1028*(1+IF(C1029=1,Assumptions!B22,Assumptions!B23))</f>
        <v>23.2029818995864</v>
      </c>
      <c r="I1029" s="16" t="n">
        <f aca="false">ROUND(H1029*F1029,0)</f>
        <v>23</v>
      </c>
      <c r="J1029" s="22" t="n">
        <f aca="false">I1029*Assumptions!B24</f>
        <v>13800</v>
      </c>
      <c r="K1029" s="21" t="n">
        <f aca="false">K1028*(1+Assumptions!B30)</f>
        <v>18.3828151914146</v>
      </c>
      <c r="L1029" s="16" t="n">
        <f aca="false">ROUND(K1029*F1029,0)</f>
        <v>18</v>
      </c>
      <c r="M1029" s="22" t="n">
        <f aca="false">L1029*Assumptions!B31</f>
        <v>5400</v>
      </c>
      <c r="N1029" s="22" t="n">
        <f aca="false">J1029+M1029</f>
        <v>19200</v>
      </c>
      <c r="O1029" s="22" t="n">
        <f aca="false">IF(DAY(B1029)=1,Assumptions!B38*G1029,0)</f>
        <v>0</v>
      </c>
      <c r="P1029" s="22" t="n">
        <f aca="false">IF(DAY(B1029)=1,Assumptions!B39*G1029,0)</f>
        <v>0</v>
      </c>
      <c r="Q1029" s="22" t="n">
        <f aca="false">IF(DAY(B1029)=1,Assumptions!B40*G1029,0)</f>
        <v>0</v>
      </c>
      <c r="R1029" s="22" t="n">
        <f aca="false">IF(DAY(B1029)=1,Assumptions!B41*G1029,0)</f>
        <v>0</v>
      </c>
      <c r="S1029" s="22" t="n">
        <f aca="false">IF(AND(DAY(B1029)=1,D1029&gt;=13),Assumptions!B42*G1029,0)</f>
        <v>0</v>
      </c>
      <c r="T1029" s="22" t="n">
        <f aca="false">IF(DAY(B1029)=1,Assumptions!B43*G1029,0)</f>
        <v>0</v>
      </c>
      <c r="U1029" s="22" t="n">
        <f aca="false">SUM(O1029:T1029)</f>
        <v>0</v>
      </c>
      <c r="V1029" s="22" t="n">
        <f aca="false">N1029-U1029</f>
        <v>19200</v>
      </c>
      <c r="W1029" s="22" t="n">
        <f aca="false">W1028+V1029</f>
        <v>-1846124.14246435</v>
      </c>
      <c r="X1029" s="23" t="str">
        <f aca="false">IF(W1029&gt;=0,"YES","No")</f>
        <v>No</v>
      </c>
    </row>
    <row r="1030" customFormat="false" ht="15" hidden="false" customHeight="false" outlineLevel="0" collapsed="false">
      <c r="A1030" s="16" t="n">
        <v>1029</v>
      </c>
      <c r="B1030" s="17" t="n">
        <f aca="false">B1029+1</f>
        <v>47051</v>
      </c>
      <c r="C1030" s="18" t="n">
        <f aca="false">MIN(ROUNDUP(A1030/365,0),5)</f>
        <v>3</v>
      </c>
      <c r="D1030" s="18" t="n">
        <f aca="false">DATEDIF(Assumptions!B5,B1030,"m")+1</f>
        <v>34</v>
      </c>
      <c r="E1030" s="18" t="str">
        <f aca="false">TEXT(B1030,"ddd")</f>
        <v>Wed</v>
      </c>
      <c r="F1030" s="19" t="n">
        <f aca="false">IF(WEEKDAY(B1030,2)&gt;=6,Assumptions!B34,Assumptions!B35)</f>
        <v>1</v>
      </c>
      <c r="G1030" s="20" t="n">
        <f aca="false">IF(D1030&gt;=13,(1+Assumptions!B46)^(D1030-12),1)</f>
        <v>1.06812117896893</v>
      </c>
      <c r="H1030" s="21" t="n">
        <f aca="false">H1029*(1+IF(C1030=1,Assumptions!B22,Assumptions!B23))</f>
        <v>23.2067839796344</v>
      </c>
      <c r="I1030" s="16" t="n">
        <f aca="false">ROUND(H1030*F1030,0)</f>
        <v>23</v>
      </c>
      <c r="J1030" s="22" t="n">
        <f aca="false">I1030*Assumptions!B24</f>
        <v>13800</v>
      </c>
      <c r="K1030" s="21" t="n">
        <f aca="false">K1029*(1+Assumptions!B30)</f>
        <v>18.3888252108752</v>
      </c>
      <c r="L1030" s="16" t="n">
        <f aca="false">ROUND(K1030*F1030,0)</f>
        <v>18</v>
      </c>
      <c r="M1030" s="22" t="n">
        <f aca="false">L1030*Assumptions!B31</f>
        <v>5400</v>
      </c>
      <c r="N1030" s="22" t="n">
        <f aca="false">J1030+M1030</f>
        <v>19200</v>
      </c>
      <c r="O1030" s="22" t="n">
        <f aca="false">IF(DAY(B1030)=1,Assumptions!B38*G1030,0)</f>
        <v>0</v>
      </c>
      <c r="P1030" s="22" t="n">
        <f aca="false">IF(DAY(B1030)=1,Assumptions!B39*G1030,0)</f>
        <v>0</v>
      </c>
      <c r="Q1030" s="22" t="n">
        <f aca="false">IF(DAY(B1030)=1,Assumptions!B40*G1030,0)</f>
        <v>0</v>
      </c>
      <c r="R1030" s="22" t="n">
        <f aca="false">IF(DAY(B1030)=1,Assumptions!B41*G1030,0)</f>
        <v>0</v>
      </c>
      <c r="S1030" s="22" t="n">
        <f aca="false">IF(AND(DAY(B1030)=1,D1030&gt;=13),Assumptions!B42*G1030,0)</f>
        <v>0</v>
      </c>
      <c r="T1030" s="22" t="n">
        <f aca="false">IF(DAY(B1030)=1,Assumptions!B43*G1030,0)</f>
        <v>0</v>
      </c>
      <c r="U1030" s="22" t="n">
        <f aca="false">SUM(O1030:T1030)</f>
        <v>0</v>
      </c>
      <c r="V1030" s="22" t="n">
        <f aca="false">N1030-U1030</f>
        <v>19200</v>
      </c>
      <c r="W1030" s="22" t="n">
        <f aca="false">W1029+V1030</f>
        <v>-1826924.14246435</v>
      </c>
      <c r="X1030" s="23" t="str">
        <f aca="false">IF(W1030&gt;=0,"YES","No")</f>
        <v>No</v>
      </c>
    </row>
    <row r="1031" customFormat="false" ht="15" hidden="false" customHeight="false" outlineLevel="0" collapsed="false">
      <c r="A1031" s="16" t="n">
        <v>1030</v>
      </c>
      <c r="B1031" s="17" t="n">
        <f aca="false">B1030+1</f>
        <v>47052</v>
      </c>
      <c r="C1031" s="18" t="n">
        <f aca="false">MIN(ROUNDUP(A1031/365,0),5)</f>
        <v>3</v>
      </c>
      <c r="D1031" s="18" t="n">
        <f aca="false">DATEDIF(Assumptions!B5,B1031,"m")+1</f>
        <v>34</v>
      </c>
      <c r="E1031" s="18" t="str">
        <f aca="false">TEXT(B1031,"ddd")</f>
        <v>Thu</v>
      </c>
      <c r="F1031" s="19" t="n">
        <f aca="false">IF(WEEKDAY(B1031,2)&gt;=6,Assumptions!B34,Assumptions!B35)</f>
        <v>1</v>
      </c>
      <c r="G1031" s="20" t="n">
        <f aca="false">IF(D1031&gt;=13,(1+Assumptions!B46)^(D1031-12),1)</f>
        <v>1.06812117896893</v>
      </c>
      <c r="H1031" s="21" t="n">
        <f aca="false">H1030*(1+IF(C1031=1,Assumptions!B22,Assumptions!B23))</f>
        <v>23.2105866826978</v>
      </c>
      <c r="I1031" s="16" t="n">
        <f aca="false">ROUND(H1031*F1031,0)</f>
        <v>23</v>
      </c>
      <c r="J1031" s="22" t="n">
        <f aca="false">I1031*Assumptions!B24</f>
        <v>13800</v>
      </c>
      <c r="K1031" s="21" t="n">
        <f aca="false">K1030*(1+Assumptions!B30)</f>
        <v>18.3948371952325</v>
      </c>
      <c r="L1031" s="16" t="n">
        <f aca="false">ROUND(K1031*F1031,0)</f>
        <v>18</v>
      </c>
      <c r="M1031" s="22" t="n">
        <f aca="false">L1031*Assumptions!B31</f>
        <v>5400</v>
      </c>
      <c r="N1031" s="22" t="n">
        <f aca="false">J1031+M1031</f>
        <v>19200</v>
      </c>
      <c r="O1031" s="22" t="n">
        <f aca="false">IF(DAY(B1031)=1,Assumptions!B38*G1031,0)</f>
        <v>0</v>
      </c>
      <c r="P1031" s="22" t="n">
        <f aca="false">IF(DAY(B1031)=1,Assumptions!B39*G1031,0)</f>
        <v>0</v>
      </c>
      <c r="Q1031" s="22" t="n">
        <f aca="false">IF(DAY(B1031)=1,Assumptions!B40*G1031,0)</f>
        <v>0</v>
      </c>
      <c r="R1031" s="22" t="n">
        <f aca="false">IF(DAY(B1031)=1,Assumptions!B41*G1031,0)</f>
        <v>0</v>
      </c>
      <c r="S1031" s="22" t="n">
        <f aca="false">IF(AND(DAY(B1031)=1,D1031&gt;=13),Assumptions!B42*G1031,0)</f>
        <v>0</v>
      </c>
      <c r="T1031" s="22" t="n">
        <f aca="false">IF(DAY(B1031)=1,Assumptions!B43*G1031,0)</f>
        <v>0</v>
      </c>
      <c r="U1031" s="22" t="n">
        <f aca="false">SUM(O1031:T1031)</f>
        <v>0</v>
      </c>
      <c r="V1031" s="22" t="n">
        <f aca="false">N1031-U1031</f>
        <v>19200</v>
      </c>
      <c r="W1031" s="22" t="n">
        <f aca="false">W1030+V1031</f>
        <v>-1807724.14246435</v>
      </c>
      <c r="X1031" s="23" t="str">
        <f aca="false">IF(W1031&gt;=0,"YES","No")</f>
        <v>No</v>
      </c>
    </row>
    <row r="1032" customFormat="false" ht="15" hidden="false" customHeight="false" outlineLevel="0" collapsed="false">
      <c r="A1032" s="16" t="n">
        <v>1031</v>
      </c>
      <c r="B1032" s="17" t="n">
        <f aca="false">B1031+1</f>
        <v>47053</v>
      </c>
      <c r="C1032" s="18" t="n">
        <f aca="false">MIN(ROUNDUP(A1032/365,0),5)</f>
        <v>3</v>
      </c>
      <c r="D1032" s="18" t="n">
        <f aca="false">DATEDIF(Assumptions!B5,B1032,"m")+1</f>
        <v>34</v>
      </c>
      <c r="E1032" s="18" t="str">
        <f aca="false">TEXT(B1032,"ddd")</f>
        <v>Fri</v>
      </c>
      <c r="F1032" s="19" t="n">
        <f aca="false">IF(WEEKDAY(B1032,2)&gt;=6,Assumptions!B34,Assumptions!B35)</f>
        <v>1</v>
      </c>
      <c r="G1032" s="20" t="n">
        <f aca="false">IF(D1032&gt;=13,(1+Assumptions!B46)^(D1032-12),1)</f>
        <v>1.06812117896893</v>
      </c>
      <c r="H1032" s="21" t="n">
        <f aca="false">H1031*(1+IF(C1032=1,Assumptions!B22,Assumptions!B23))</f>
        <v>23.2143900088784</v>
      </c>
      <c r="I1032" s="16" t="n">
        <f aca="false">ROUND(H1032*F1032,0)</f>
        <v>23</v>
      </c>
      <c r="J1032" s="22" t="n">
        <f aca="false">I1032*Assumptions!B24</f>
        <v>13800</v>
      </c>
      <c r="K1032" s="21" t="n">
        <f aca="false">K1031*(1+Assumptions!B30)</f>
        <v>18.400851145129</v>
      </c>
      <c r="L1032" s="16" t="n">
        <f aca="false">ROUND(K1032*F1032,0)</f>
        <v>18</v>
      </c>
      <c r="M1032" s="22" t="n">
        <f aca="false">L1032*Assumptions!B31</f>
        <v>5400</v>
      </c>
      <c r="N1032" s="22" t="n">
        <f aca="false">J1032+M1032</f>
        <v>19200</v>
      </c>
      <c r="O1032" s="22" t="n">
        <f aca="false">IF(DAY(B1032)=1,Assumptions!B38*G1032,0)</f>
        <v>0</v>
      </c>
      <c r="P1032" s="22" t="n">
        <f aca="false">IF(DAY(B1032)=1,Assumptions!B39*G1032,0)</f>
        <v>0</v>
      </c>
      <c r="Q1032" s="22" t="n">
        <f aca="false">IF(DAY(B1032)=1,Assumptions!B40*G1032,0)</f>
        <v>0</v>
      </c>
      <c r="R1032" s="22" t="n">
        <f aca="false">IF(DAY(B1032)=1,Assumptions!B41*G1032,0)</f>
        <v>0</v>
      </c>
      <c r="S1032" s="22" t="n">
        <f aca="false">IF(AND(DAY(B1032)=1,D1032&gt;=13),Assumptions!B42*G1032,0)</f>
        <v>0</v>
      </c>
      <c r="T1032" s="22" t="n">
        <f aca="false">IF(DAY(B1032)=1,Assumptions!B43*G1032,0)</f>
        <v>0</v>
      </c>
      <c r="U1032" s="22" t="n">
        <f aca="false">SUM(O1032:T1032)</f>
        <v>0</v>
      </c>
      <c r="V1032" s="22" t="n">
        <f aca="false">N1032-U1032</f>
        <v>19200</v>
      </c>
      <c r="W1032" s="22" t="n">
        <f aca="false">W1031+V1032</f>
        <v>-1788524.14246435</v>
      </c>
      <c r="X1032" s="23" t="str">
        <f aca="false">IF(W1032&gt;=0,"YES","No")</f>
        <v>No</v>
      </c>
    </row>
    <row r="1033" customFormat="false" ht="15" hidden="false" customHeight="false" outlineLevel="0" collapsed="false">
      <c r="A1033" s="16" t="n">
        <v>1032</v>
      </c>
      <c r="B1033" s="17" t="n">
        <f aca="false">B1032+1</f>
        <v>47054</v>
      </c>
      <c r="C1033" s="18" t="n">
        <f aca="false">MIN(ROUNDUP(A1033/365,0),5)</f>
        <v>3</v>
      </c>
      <c r="D1033" s="18" t="n">
        <f aca="false">DATEDIF(Assumptions!B5,B1033,"m")+1</f>
        <v>34</v>
      </c>
      <c r="E1033" s="18" t="str">
        <f aca="false">TEXT(B1033,"ddd")</f>
        <v>Sat</v>
      </c>
      <c r="F1033" s="19" t="n">
        <f aca="false">IF(WEEKDAY(B1033,2)&gt;=6,Assumptions!B34,Assumptions!B35)</f>
        <v>0.6</v>
      </c>
      <c r="G1033" s="20" t="n">
        <f aca="false">IF(D1033&gt;=13,(1+Assumptions!B46)^(D1033-12),1)</f>
        <v>1.06812117896893</v>
      </c>
      <c r="H1033" s="21" t="n">
        <f aca="false">H1032*(1+IF(C1033=1,Assumptions!B22,Assumptions!B23))</f>
        <v>23.2181939582786</v>
      </c>
      <c r="I1033" s="16" t="n">
        <f aca="false">ROUND(H1033*F1033,0)</f>
        <v>14</v>
      </c>
      <c r="J1033" s="22" t="n">
        <f aca="false">I1033*Assumptions!B24</f>
        <v>8400</v>
      </c>
      <c r="K1033" s="21" t="n">
        <f aca="false">K1032*(1+Assumptions!B30)</f>
        <v>18.4068670612072</v>
      </c>
      <c r="L1033" s="16" t="n">
        <f aca="false">ROUND(K1033*F1033,0)</f>
        <v>11</v>
      </c>
      <c r="M1033" s="22" t="n">
        <f aca="false">L1033*Assumptions!B31</f>
        <v>3300</v>
      </c>
      <c r="N1033" s="22" t="n">
        <f aca="false">J1033+M1033</f>
        <v>11700</v>
      </c>
      <c r="O1033" s="22" t="n">
        <f aca="false">IF(DAY(B1033)=1,Assumptions!B38*G1033,0)</f>
        <v>0</v>
      </c>
      <c r="P1033" s="22" t="n">
        <f aca="false">IF(DAY(B1033)=1,Assumptions!B39*G1033,0)</f>
        <v>0</v>
      </c>
      <c r="Q1033" s="22" t="n">
        <f aca="false">IF(DAY(B1033)=1,Assumptions!B40*G1033,0)</f>
        <v>0</v>
      </c>
      <c r="R1033" s="22" t="n">
        <f aca="false">IF(DAY(B1033)=1,Assumptions!B41*G1033,0)</f>
        <v>0</v>
      </c>
      <c r="S1033" s="22" t="n">
        <f aca="false">IF(AND(DAY(B1033)=1,D1033&gt;=13),Assumptions!B42*G1033,0)</f>
        <v>0</v>
      </c>
      <c r="T1033" s="22" t="n">
        <f aca="false">IF(DAY(B1033)=1,Assumptions!B43*G1033,0)</f>
        <v>0</v>
      </c>
      <c r="U1033" s="22" t="n">
        <f aca="false">SUM(O1033:T1033)</f>
        <v>0</v>
      </c>
      <c r="V1033" s="22" t="n">
        <f aca="false">N1033-U1033</f>
        <v>11700</v>
      </c>
      <c r="W1033" s="22" t="n">
        <f aca="false">W1032+V1033</f>
        <v>-1776824.14246435</v>
      </c>
      <c r="X1033" s="23" t="str">
        <f aca="false">IF(W1033&gt;=0,"YES","No")</f>
        <v>No</v>
      </c>
    </row>
    <row r="1034" customFormat="false" ht="15" hidden="false" customHeight="false" outlineLevel="0" collapsed="false">
      <c r="A1034" s="16" t="n">
        <v>1033</v>
      </c>
      <c r="B1034" s="17" t="n">
        <f aca="false">B1033+1</f>
        <v>47055</v>
      </c>
      <c r="C1034" s="18" t="n">
        <f aca="false">MIN(ROUNDUP(A1034/365,0),5)</f>
        <v>3</v>
      </c>
      <c r="D1034" s="18" t="n">
        <f aca="false">DATEDIF(Assumptions!B5,B1034,"m")+1</f>
        <v>34</v>
      </c>
      <c r="E1034" s="18" t="str">
        <f aca="false">TEXT(B1034,"ddd")</f>
        <v>Sun</v>
      </c>
      <c r="F1034" s="19" t="n">
        <f aca="false">IF(WEEKDAY(B1034,2)&gt;=6,Assumptions!B34,Assumptions!B35)</f>
        <v>0.6</v>
      </c>
      <c r="G1034" s="20" t="n">
        <f aca="false">IF(D1034&gt;=13,(1+Assumptions!B46)^(D1034-12),1)</f>
        <v>1.06812117896893</v>
      </c>
      <c r="H1034" s="21" t="n">
        <f aca="false">H1033*(1+IF(C1034=1,Assumptions!B22,Assumptions!B23))</f>
        <v>23.2219985310004</v>
      </c>
      <c r="I1034" s="16" t="n">
        <f aca="false">ROUND(H1034*F1034,0)</f>
        <v>14</v>
      </c>
      <c r="J1034" s="22" t="n">
        <f aca="false">I1034*Assumptions!B24</f>
        <v>8400</v>
      </c>
      <c r="K1034" s="21" t="n">
        <f aca="false">K1033*(1+Assumptions!B30)</f>
        <v>18.41288494411</v>
      </c>
      <c r="L1034" s="16" t="n">
        <f aca="false">ROUND(K1034*F1034,0)</f>
        <v>11</v>
      </c>
      <c r="M1034" s="22" t="n">
        <f aca="false">L1034*Assumptions!B31</f>
        <v>3300</v>
      </c>
      <c r="N1034" s="22" t="n">
        <f aca="false">J1034+M1034</f>
        <v>11700</v>
      </c>
      <c r="O1034" s="22" t="n">
        <f aca="false">IF(DAY(B1034)=1,Assumptions!B38*G1034,0)</f>
        <v>0</v>
      </c>
      <c r="P1034" s="22" t="n">
        <f aca="false">IF(DAY(B1034)=1,Assumptions!B39*G1034,0)</f>
        <v>0</v>
      </c>
      <c r="Q1034" s="22" t="n">
        <f aca="false">IF(DAY(B1034)=1,Assumptions!B40*G1034,0)</f>
        <v>0</v>
      </c>
      <c r="R1034" s="22" t="n">
        <f aca="false">IF(DAY(B1034)=1,Assumptions!B41*G1034,0)</f>
        <v>0</v>
      </c>
      <c r="S1034" s="22" t="n">
        <f aca="false">IF(AND(DAY(B1034)=1,D1034&gt;=13),Assumptions!B42*G1034,0)</f>
        <v>0</v>
      </c>
      <c r="T1034" s="22" t="n">
        <f aca="false">IF(DAY(B1034)=1,Assumptions!B43*G1034,0)</f>
        <v>0</v>
      </c>
      <c r="U1034" s="22" t="n">
        <f aca="false">SUM(O1034:T1034)</f>
        <v>0</v>
      </c>
      <c r="V1034" s="22" t="n">
        <f aca="false">N1034-U1034</f>
        <v>11700</v>
      </c>
      <c r="W1034" s="22" t="n">
        <f aca="false">W1033+V1034</f>
        <v>-1765124.14246435</v>
      </c>
      <c r="X1034" s="23" t="str">
        <f aca="false">IF(W1034&gt;=0,"YES","No")</f>
        <v>No</v>
      </c>
    </row>
    <row r="1035" customFormat="false" ht="15" hidden="false" customHeight="false" outlineLevel="0" collapsed="false">
      <c r="A1035" s="16" t="n">
        <v>1034</v>
      </c>
      <c r="B1035" s="17" t="n">
        <f aca="false">B1034+1</f>
        <v>47056</v>
      </c>
      <c r="C1035" s="18" t="n">
        <f aca="false">MIN(ROUNDUP(A1035/365,0),5)</f>
        <v>3</v>
      </c>
      <c r="D1035" s="18" t="n">
        <f aca="false">DATEDIF(Assumptions!B5,B1035,"m")+1</f>
        <v>34</v>
      </c>
      <c r="E1035" s="18" t="str">
        <f aca="false">TEXT(B1035,"ddd")</f>
        <v>Mon</v>
      </c>
      <c r="F1035" s="19" t="n">
        <f aca="false">IF(WEEKDAY(B1035,2)&gt;=6,Assumptions!B34,Assumptions!B35)</f>
        <v>1</v>
      </c>
      <c r="G1035" s="20" t="n">
        <f aca="false">IF(D1035&gt;=13,(1+Assumptions!B46)^(D1035-12),1)</f>
        <v>1.06812117896893</v>
      </c>
      <c r="H1035" s="21" t="n">
        <f aca="false">H1034*(1+IF(C1035=1,Assumptions!B22,Assumptions!B23))</f>
        <v>23.2258037271459</v>
      </c>
      <c r="I1035" s="16" t="n">
        <f aca="false">ROUND(H1035*F1035,0)</f>
        <v>23</v>
      </c>
      <c r="J1035" s="22" t="n">
        <f aca="false">I1035*Assumptions!B24</f>
        <v>13800</v>
      </c>
      <c r="K1035" s="21" t="n">
        <f aca="false">K1034*(1+Assumptions!B30)</f>
        <v>18.4189047944804</v>
      </c>
      <c r="L1035" s="16" t="n">
        <f aca="false">ROUND(K1035*F1035,0)</f>
        <v>18</v>
      </c>
      <c r="M1035" s="22" t="n">
        <f aca="false">L1035*Assumptions!B31</f>
        <v>5400</v>
      </c>
      <c r="N1035" s="22" t="n">
        <f aca="false">J1035+M1035</f>
        <v>19200</v>
      </c>
      <c r="O1035" s="22" t="n">
        <f aca="false">IF(DAY(B1035)=1,Assumptions!B38*G1035,0)</f>
        <v>0</v>
      </c>
      <c r="P1035" s="22" t="n">
        <f aca="false">IF(DAY(B1035)=1,Assumptions!B39*G1035,0)</f>
        <v>0</v>
      </c>
      <c r="Q1035" s="22" t="n">
        <f aca="false">IF(DAY(B1035)=1,Assumptions!B40*G1035,0)</f>
        <v>0</v>
      </c>
      <c r="R1035" s="22" t="n">
        <f aca="false">IF(DAY(B1035)=1,Assumptions!B41*G1035,0)</f>
        <v>0</v>
      </c>
      <c r="S1035" s="22" t="n">
        <f aca="false">IF(AND(DAY(B1035)=1,D1035&gt;=13),Assumptions!B42*G1035,0)</f>
        <v>0</v>
      </c>
      <c r="T1035" s="22" t="n">
        <f aca="false">IF(DAY(B1035)=1,Assumptions!B43*G1035,0)</f>
        <v>0</v>
      </c>
      <c r="U1035" s="22" t="n">
        <f aca="false">SUM(O1035:T1035)</f>
        <v>0</v>
      </c>
      <c r="V1035" s="22" t="n">
        <f aca="false">N1035-U1035</f>
        <v>19200</v>
      </c>
      <c r="W1035" s="22" t="n">
        <f aca="false">W1034+V1035</f>
        <v>-1745924.14246435</v>
      </c>
      <c r="X1035" s="23" t="str">
        <f aca="false">IF(W1035&gt;=0,"YES","No")</f>
        <v>No</v>
      </c>
    </row>
    <row r="1036" customFormat="false" ht="15" hidden="false" customHeight="false" outlineLevel="0" collapsed="false">
      <c r="A1036" s="16" t="n">
        <v>1035</v>
      </c>
      <c r="B1036" s="17" t="n">
        <f aca="false">B1035+1</f>
        <v>47057</v>
      </c>
      <c r="C1036" s="18" t="n">
        <f aca="false">MIN(ROUNDUP(A1036/365,0),5)</f>
        <v>3</v>
      </c>
      <c r="D1036" s="18" t="n">
        <f aca="false">DATEDIF(Assumptions!B5,B1036,"m")+1</f>
        <v>34</v>
      </c>
      <c r="E1036" s="18" t="str">
        <f aca="false">TEXT(B1036,"ddd")</f>
        <v>Tue</v>
      </c>
      <c r="F1036" s="19" t="n">
        <f aca="false">IF(WEEKDAY(B1036,2)&gt;=6,Assumptions!B34,Assumptions!B35)</f>
        <v>1</v>
      </c>
      <c r="G1036" s="20" t="n">
        <f aca="false">IF(D1036&gt;=13,(1+Assumptions!B46)^(D1036-12),1)</f>
        <v>1.06812117896893</v>
      </c>
      <c r="H1036" s="21" t="n">
        <f aca="false">H1035*(1+IF(C1036=1,Assumptions!B22,Assumptions!B23))</f>
        <v>23.2296095468174</v>
      </c>
      <c r="I1036" s="16" t="n">
        <f aca="false">ROUND(H1036*F1036,0)</f>
        <v>23</v>
      </c>
      <c r="J1036" s="22" t="n">
        <f aca="false">I1036*Assumptions!B24</f>
        <v>13800</v>
      </c>
      <c r="K1036" s="21" t="n">
        <f aca="false">K1035*(1+Assumptions!B30)</f>
        <v>18.4249266129616</v>
      </c>
      <c r="L1036" s="16" t="n">
        <f aca="false">ROUND(K1036*F1036,0)</f>
        <v>18</v>
      </c>
      <c r="M1036" s="22" t="n">
        <f aca="false">L1036*Assumptions!B31</f>
        <v>5400</v>
      </c>
      <c r="N1036" s="22" t="n">
        <f aca="false">J1036+M1036</f>
        <v>19200</v>
      </c>
      <c r="O1036" s="22" t="n">
        <f aca="false">IF(DAY(B1036)=1,Assumptions!B38*G1036,0)</f>
        <v>0</v>
      </c>
      <c r="P1036" s="22" t="n">
        <f aca="false">IF(DAY(B1036)=1,Assumptions!B39*G1036,0)</f>
        <v>0</v>
      </c>
      <c r="Q1036" s="22" t="n">
        <f aca="false">IF(DAY(B1036)=1,Assumptions!B40*G1036,0)</f>
        <v>0</v>
      </c>
      <c r="R1036" s="22" t="n">
        <f aca="false">IF(DAY(B1036)=1,Assumptions!B41*G1036,0)</f>
        <v>0</v>
      </c>
      <c r="S1036" s="22" t="n">
        <f aca="false">IF(AND(DAY(B1036)=1,D1036&gt;=13),Assumptions!B42*G1036,0)</f>
        <v>0</v>
      </c>
      <c r="T1036" s="22" t="n">
        <f aca="false">IF(DAY(B1036)=1,Assumptions!B43*G1036,0)</f>
        <v>0</v>
      </c>
      <c r="U1036" s="22" t="n">
        <f aca="false">SUM(O1036:T1036)</f>
        <v>0</v>
      </c>
      <c r="V1036" s="22" t="n">
        <f aca="false">N1036-U1036</f>
        <v>19200</v>
      </c>
      <c r="W1036" s="22" t="n">
        <f aca="false">W1035+V1036</f>
        <v>-1726724.14246435</v>
      </c>
      <c r="X1036" s="23" t="str">
        <f aca="false">IF(W1036&gt;=0,"YES","No")</f>
        <v>No</v>
      </c>
    </row>
    <row r="1037" customFormat="false" ht="15" hidden="false" customHeight="false" outlineLevel="0" collapsed="false">
      <c r="A1037" s="16" t="n">
        <v>1036</v>
      </c>
      <c r="B1037" s="17" t="n">
        <f aca="false">B1036+1</f>
        <v>47058</v>
      </c>
      <c r="C1037" s="18" t="n">
        <f aca="false">MIN(ROUNDUP(A1037/365,0),5)</f>
        <v>3</v>
      </c>
      <c r="D1037" s="18" t="n">
        <f aca="false">DATEDIF(Assumptions!B5,B1037,"m")+1</f>
        <v>35</v>
      </c>
      <c r="E1037" s="18" t="str">
        <f aca="false">TEXT(B1037,"ddd")</f>
        <v>Wed</v>
      </c>
      <c r="F1037" s="19" t="n">
        <f aca="false">IF(WEEKDAY(B1037,2)&gt;=6,Assumptions!B34,Assumptions!B35)</f>
        <v>1</v>
      </c>
      <c r="G1037" s="20" t="n">
        <f aca="false">IF(D1037&gt;=13,(1+Assumptions!B46)^(D1037-12),1)</f>
        <v>1.07132554250583</v>
      </c>
      <c r="H1037" s="21" t="n">
        <f aca="false">H1036*(1+IF(C1037=1,Assumptions!B22,Assumptions!B23))</f>
        <v>23.2334159901169</v>
      </c>
      <c r="I1037" s="16" t="n">
        <f aca="false">ROUND(H1037*F1037,0)</f>
        <v>23</v>
      </c>
      <c r="J1037" s="22" t="n">
        <f aca="false">I1037*Assumptions!B24</f>
        <v>13800</v>
      </c>
      <c r="K1037" s="21" t="n">
        <f aca="false">K1036*(1+Assumptions!B30)</f>
        <v>18.4309504001971</v>
      </c>
      <c r="L1037" s="16" t="n">
        <f aca="false">ROUND(K1037*F1037,0)</f>
        <v>18</v>
      </c>
      <c r="M1037" s="22" t="n">
        <f aca="false">L1037*Assumptions!B31</f>
        <v>5400</v>
      </c>
      <c r="N1037" s="22" t="n">
        <f aca="false">J1037+M1037</f>
        <v>19200</v>
      </c>
      <c r="O1037" s="22" t="n">
        <f aca="false">IF(DAY(B1037)=1,Assumptions!B38*G1037,0)</f>
        <v>160698.831375875</v>
      </c>
      <c r="P1037" s="22" t="n">
        <f aca="false">IF(DAY(B1037)=1,Assumptions!B39*G1037,0)</f>
        <v>42853.0217002334</v>
      </c>
      <c r="Q1037" s="22" t="n">
        <f aca="false">IF(DAY(B1037)=1,Assumptions!B40*G1037,0)</f>
        <v>32139.766275175</v>
      </c>
      <c r="R1037" s="22" t="n">
        <f aca="false">IF(DAY(B1037)=1,Assumptions!B41*G1037,0)</f>
        <v>21426.5108501167</v>
      </c>
      <c r="S1037" s="22" t="n">
        <f aca="false">IF(AND(DAY(B1037)=1,D1037&gt;=13),Assumptions!B42*G1037,0)</f>
        <v>160698.831375875</v>
      </c>
      <c r="T1037" s="22" t="n">
        <f aca="false">IF(DAY(B1037)=1,Assumptions!B43*G1037,0)</f>
        <v>21426.5108501167</v>
      </c>
      <c r="U1037" s="22" t="n">
        <f aca="false">SUM(O1037:T1037)</f>
        <v>439243.472427392</v>
      </c>
      <c r="V1037" s="22" t="n">
        <f aca="false">N1037-U1037</f>
        <v>-420043.472427392</v>
      </c>
      <c r="W1037" s="22" t="n">
        <f aca="false">W1036+V1037</f>
        <v>-2146767.61489174</v>
      </c>
      <c r="X1037" s="23" t="str">
        <f aca="false">IF(W1037&gt;=0,"YES","No")</f>
        <v>No</v>
      </c>
    </row>
    <row r="1038" customFormat="false" ht="15" hidden="false" customHeight="false" outlineLevel="0" collapsed="false">
      <c r="A1038" s="16" t="n">
        <v>1037</v>
      </c>
      <c r="B1038" s="17" t="n">
        <f aca="false">B1037+1</f>
        <v>47059</v>
      </c>
      <c r="C1038" s="18" t="n">
        <f aca="false">MIN(ROUNDUP(A1038/365,0),5)</f>
        <v>3</v>
      </c>
      <c r="D1038" s="18" t="n">
        <f aca="false">DATEDIF(Assumptions!B5,B1038,"m")+1</f>
        <v>35</v>
      </c>
      <c r="E1038" s="18" t="str">
        <f aca="false">TEXT(B1038,"ddd")</f>
        <v>Thu</v>
      </c>
      <c r="F1038" s="19" t="n">
        <f aca="false">IF(WEEKDAY(B1038,2)&gt;=6,Assumptions!B34,Assumptions!B35)</f>
        <v>1</v>
      </c>
      <c r="G1038" s="20" t="n">
        <f aca="false">IF(D1038&gt;=13,(1+Assumptions!B46)^(D1038-12),1)</f>
        <v>1.07132554250583</v>
      </c>
      <c r="H1038" s="21" t="n">
        <f aca="false">H1037*(1+IF(C1038=1,Assumptions!B22,Assumptions!B23))</f>
        <v>23.2372230571467</v>
      </c>
      <c r="I1038" s="16" t="n">
        <f aca="false">ROUND(H1038*F1038,0)</f>
        <v>23</v>
      </c>
      <c r="J1038" s="22" t="n">
        <f aca="false">I1038*Assumptions!B24</f>
        <v>13800</v>
      </c>
      <c r="K1038" s="21" t="n">
        <f aca="false">K1037*(1+Assumptions!B30)</f>
        <v>18.4369761568306</v>
      </c>
      <c r="L1038" s="16" t="n">
        <f aca="false">ROUND(K1038*F1038,0)</f>
        <v>18</v>
      </c>
      <c r="M1038" s="22" t="n">
        <f aca="false">L1038*Assumptions!B31</f>
        <v>5400</v>
      </c>
      <c r="N1038" s="22" t="n">
        <f aca="false">J1038+M1038</f>
        <v>19200</v>
      </c>
      <c r="O1038" s="22" t="n">
        <f aca="false">IF(DAY(B1038)=1,Assumptions!B38*G1038,0)</f>
        <v>0</v>
      </c>
      <c r="P1038" s="22" t="n">
        <f aca="false">IF(DAY(B1038)=1,Assumptions!B39*G1038,0)</f>
        <v>0</v>
      </c>
      <c r="Q1038" s="22" t="n">
        <f aca="false">IF(DAY(B1038)=1,Assumptions!B40*G1038,0)</f>
        <v>0</v>
      </c>
      <c r="R1038" s="22" t="n">
        <f aca="false">IF(DAY(B1038)=1,Assumptions!B41*G1038,0)</f>
        <v>0</v>
      </c>
      <c r="S1038" s="22" t="n">
        <f aca="false">IF(AND(DAY(B1038)=1,D1038&gt;=13),Assumptions!B42*G1038,0)</f>
        <v>0</v>
      </c>
      <c r="T1038" s="22" t="n">
        <f aca="false">IF(DAY(B1038)=1,Assumptions!B43*G1038,0)</f>
        <v>0</v>
      </c>
      <c r="U1038" s="22" t="n">
        <f aca="false">SUM(O1038:T1038)</f>
        <v>0</v>
      </c>
      <c r="V1038" s="22" t="n">
        <f aca="false">N1038-U1038</f>
        <v>19200</v>
      </c>
      <c r="W1038" s="22" t="n">
        <f aca="false">W1037+V1038</f>
        <v>-2127567.61489174</v>
      </c>
      <c r="X1038" s="23" t="str">
        <f aca="false">IF(W1038&gt;=0,"YES","No")</f>
        <v>No</v>
      </c>
    </row>
    <row r="1039" customFormat="false" ht="15" hidden="false" customHeight="false" outlineLevel="0" collapsed="false">
      <c r="A1039" s="16" t="n">
        <v>1038</v>
      </c>
      <c r="B1039" s="17" t="n">
        <f aca="false">B1038+1</f>
        <v>47060</v>
      </c>
      <c r="C1039" s="18" t="n">
        <f aca="false">MIN(ROUNDUP(A1039/365,0),5)</f>
        <v>3</v>
      </c>
      <c r="D1039" s="18" t="n">
        <f aca="false">DATEDIF(Assumptions!B5,B1039,"m")+1</f>
        <v>35</v>
      </c>
      <c r="E1039" s="18" t="str">
        <f aca="false">TEXT(B1039,"ddd")</f>
        <v>Fri</v>
      </c>
      <c r="F1039" s="19" t="n">
        <f aca="false">IF(WEEKDAY(B1039,2)&gt;=6,Assumptions!B34,Assumptions!B35)</f>
        <v>1</v>
      </c>
      <c r="G1039" s="20" t="n">
        <f aca="false">IF(D1039&gt;=13,(1+Assumptions!B46)^(D1039-12),1)</f>
        <v>1.07132554250583</v>
      </c>
      <c r="H1039" s="21" t="n">
        <f aca="false">H1038*(1+IF(C1039=1,Assumptions!B22,Assumptions!B23))</f>
        <v>23.241030748009</v>
      </c>
      <c r="I1039" s="16" t="n">
        <f aca="false">ROUND(H1039*F1039,0)</f>
        <v>23</v>
      </c>
      <c r="J1039" s="22" t="n">
        <f aca="false">I1039*Assumptions!B24</f>
        <v>13800</v>
      </c>
      <c r="K1039" s="21" t="n">
        <f aca="false">K1038*(1+Assumptions!B30)</f>
        <v>18.4430038835059</v>
      </c>
      <c r="L1039" s="16" t="n">
        <f aca="false">ROUND(K1039*F1039,0)</f>
        <v>18</v>
      </c>
      <c r="M1039" s="22" t="n">
        <f aca="false">L1039*Assumptions!B31</f>
        <v>5400</v>
      </c>
      <c r="N1039" s="22" t="n">
        <f aca="false">J1039+M1039</f>
        <v>19200</v>
      </c>
      <c r="O1039" s="22" t="n">
        <f aca="false">IF(DAY(B1039)=1,Assumptions!B38*G1039,0)</f>
        <v>0</v>
      </c>
      <c r="P1039" s="22" t="n">
        <f aca="false">IF(DAY(B1039)=1,Assumptions!B39*G1039,0)</f>
        <v>0</v>
      </c>
      <c r="Q1039" s="22" t="n">
        <f aca="false">IF(DAY(B1039)=1,Assumptions!B40*G1039,0)</f>
        <v>0</v>
      </c>
      <c r="R1039" s="22" t="n">
        <f aca="false">IF(DAY(B1039)=1,Assumptions!B41*G1039,0)</f>
        <v>0</v>
      </c>
      <c r="S1039" s="22" t="n">
        <f aca="false">IF(AND(DAY(B1039)=1,D1039&gt;=13),Assumptions!B42*G1039,0)</f>
        <v>0</v>
      </c>
      <c r="T1039" s="22" t="n">
        <f aca="false">IF(DAY(B1039)=1,Assumptions!B43*G1039,0)</f>
        <v>0</v>
      </c>
      <c r="U1039" s="22" t="n">
        <f aca="false">SUM(O1039:T1039)</f>
        <v>0</v>
      </c>
      <c r="V1039" s="22" t="n">
        <f aca="false">N1039-U1039</f>
        <v>19200</v>
      </c>
      <c r="W1039" s="22" t="n">
        <f aca="false">W1038+V1039</f>
        <v>-2108367.61489174</v>
      </c>
      <c r="X1039" s="23" t="str">
        <f aca="false">IF(W1039&gt;=0,"YES","No")</f>
        <v>No</v>
      </c>
    </row>
    <row r="1040" customFormat="false" ht="15" hidden="false" customHeight="false" outlineLevel="0" collapsed="false">
      <c r="A1040" s="16" t="n">
        <v>1039</v>
      </c>
      <c r="B1040" s="17" t="n">
        <f aca="false">B1039+1</f>
        <v>47061</v>
      </c>
      <c r="C1040" s="18" t="n">
        <f aca="false">MIN(ROUNDUP(A1040/365,0),5)</f>
        <v>3</v>
      </c>
      <c r="D1040" s="18" t="n">
        <f aca="false">DATEDIF(Assumptions!B5,B1040,"m")+1</f>
        <v>35</v>
      </c>
      <c r="E1040" s="18" t="str">
        <f aca="false">TEXT(B1040,"ddd")</f>
        <v>Sat</v>
      </c>
      <c r="F1040" s="19" t="n">
        <f aca="false">IF(WEEKDAY(B1040,2)&gt;=6,Assumptions!B34,Assumptions!B35)</f>
        <v>0.6</v>
      </c>
      <c r="G1040" s="20" t="n">
        <f aca="false">IF(D1040&gt;=13,(1+Assumptions!B46)^(D1040-12),1)</f>
        <v>1.07132554250583</v>
      </c>
      <c r="H1040" s="21" t="n">
        <f aca="false">H1039*(1+IF(C1040=1,Assumptions!B22,Assumptions!B23))</f>
        <v>23.244839062806</v>
      </c>
      <c r="I1040" s="16" t="n">
        <f aca="false">ROUND(H1040*F1040,0)</f>
        <v>14</v>
      </c>
      <c r="J1040" s="22" t="n">
        <f aca="false">I1040*Assumptions!B24</f>
        <v>8400</v>
      </c>
      <c r="K1040" s="21" t="n">
        <f aca="false">K1039*(1+Assumptions!B30)</f>
        <v>18.4490335808671</v>
      </c>
      <c r="L1040" s="16" t="n">
        <f aca="false">ROUND(K1040*F1040,0)</f>
        <v>11</v>
      </c>
      <c r="M1040" s="22" t="n">
        <f aca="false">L1040*Assumptions!B31</f>
        <v>3300</v>
      </c>
      <c r="N1040" s="22" t="n">
        <f aca="false">J1040+M1040</f>
        <v>11700</v>
      </c>
      <c r="O1040" s="22" t="n">
        <f aca="false">IF(DAY(B1040)=1,Assumptions!B38*G1040,0)</f>
        <v>0</v>
      </c>
      <c r="P1040" s="22" t="n">
        <f aca="false">IF(DAY(B1040)=1,Assumptions!B39*G1040,0)</f>
        <v>0</v>
      </c>
      <c r="Q1040" s="22" t="n">
        <f aca="false">IF(DAY(B1040)=1,Assumptions!B40*G1040,0)</f>
        <v>0</v>
      </c>
      <c r="R1040" s="22" t="n">
        <f aca="false">IF(DAY(B1040)=1,Assumptions!B41*G1040,0)</f>
        <v>0</v>
      </c>
      <c r="S1040" s="22" t="n">
        <f aca="false">IF(AND(DAY(B1040)=1,D1040&gt;=13),Assumptions!B42*G1040,0)</f>
        <v>0</v>
      </c>
      <c r="T1040" s="22" t="n">
        <f aca="false">IF(DAY(B1040)=1,Assumptions!B43*G1040,0)</f>
        <v>0</v>
      </c>
      <c r="U1040" s="22" t="n">
        <f aca="false">SUM(O1040:T1040)</f>
        <v>0</v>
      </c>
      <c r="V1040" s="22" t="n">
        <f aca="false">N1040-U1040</f>
        <v>11700</v>
      </c>
      <c r="W1040" s="22" t="n">
        <f aca="false">W1039+V1040</f>
        <v>-2096667.61489174</v>
      </c>
      <c r="X1040" s="23" t="str">
        <f aca="false">IF(W1040&gt;=0,"YES","No")</f>
        <v>No</v>
      </c>
    </row>
    <row r="1041" customFormat="false" ht="15" hidden="false" customHeight="false" outlineLevel="0" collapsed="false">
      <c r="A1041" s="16" t="n">
        <v>1040</v>
      </c>
      <c r="B1041" s="17" t="n">
        <f aca="false">B1040+1</f>
        <v>47062</v>
      </c>
      <c r="C1041" s="18" t="n">
        <f aca="false">MIN(ROUNDUP(A1041/365,0),5)</f>
        <v>3</v>
      </c>
      <c r="D1041" s="18" t="n">
        <f aca="false">DATEDIF(Assumptions!B5,B1041,"m")+1</f>
        <v>35</v>
      </c>
      <c r="E1041" s="18" t="str">
        <f aca="false">TEXT(B1041,"ddd")</f>
        <v>Sun</v>
      </c>
      <c r="F1041" s="19" t="n">
        <f aca="false">IF(WEEKDAY(B1041,2)&gt;=6,Assumptions!B34,Assumptions!B35)</f>
        <v>0.6</v>
      </c>
      <c r="G1041" s="20" t="n">
        <f aca="false">IF(D1041&gt;=13,(1+Assumptions!B46)^(D1041-12),1)</f>
        <v>1.07132554250583</v>
      </c>
      <c r="H1041" s="21" t="n">
        <f aca="false">H1040*(1+IF(C1041=1,Assumptions!B22,Assumptions!B23))</f>
        <v>23.2486480016399</v>
      </c>
      <c r="I1041" s="16" t="n">
        <f aca="false">ROUND(H1041*F1041,0)</f>
        <v>14</v>
      </c>
      <c r="J1041" s="22" t="n">
        <f aca="false">I1041*Assumptions!B24</f>
        <v>8400</v>
      </c>
      <c r="K1041" s="21" t="n">
        <f aca="false">K1040*(1+Assumptions!B30)</f>
        <v>18.4550652495585</v>
      </c>
      <c r="L1041" s="16" t="n">
        <f aca="false">ROUND(K1041*F1041,0)</f>
        <v>11</v>
      </c>
      <c r="M1041" s="22" t="n">
        <f aca="false">L1041*Assumptions!B31</f>
        <v>3300</v>
      </c>
      <c r="N1041" s="22" t="n">
        <f aca="false">J1041+M1041</f>
        <v>11700</v>
      </c>
      <c r="O1041" s="22" t="n">
        <f aca="false">IF(DAY(B1041)=1,Assumptions!B38*G1041,0)</f>
        <v>0</v>
      </c>
      <c r="P1041" s="22" t="n">
        <f aca="false">IF(DAY(B1041)=1,Assumptions!B39*G1041,0)</f>
        <v>0</v>
      </c>
      <c r="Q1041" s="22" t="n">
        <f aca="false">IF(DAY(B1041)=1,Assumptions!B40*G1041,0)</f>
        <v>0</v>
      </c>
      <c r="R1041" s="22" t="n">
        <f aca="false">IF(DAY(B1041)=1,Assumptions!B41*G1041,0)</f>
        <v>0</v>
      </c>
      <c r="S1041" s="22" t="n">
        <f aca="false">IF(AND(DAY(B1041)=1,D1041&gt;=13),Assumptions!B42*G1041,0)</f>
        <v>0</v>
      </c>
      <c r="T1041" s="22" t="n">
        <f aca="false">IF(DAY(B1041)=1,Assumptions!B43*G1041,0)</f>
        <v>0</v>
      </c>
      <c r="U1041" s="22" t="n">
        <f aca="false">SUM(O1041:T1041)</f>
        <v>0</v>
      </c>
      <c r="V1041" s="22" t="n">
        <f aca="false">N1041-U1041</f>
        <v>11700</v>
      </c>
      <c r="W1041" s="22" t="n">
        <f aca="false">W1040+V1041</f>
        <v>-2084967.61489174</v>
      </c>
      <c r="X1041" s="23" t="str">
        <f aca="false">IF(W1041&gt;=0,"YES","No")</f>
        <v>No</v>
      </c>
    </row>
    <row r="1042" customFormat="false" ht="15" hidden="false" customHeight="false" outlineLevel="0" collapsed="false">
      <c r="A1042" s="16" t="n">
        <v>1041</v>
      </c>
      <c r="B1042" s="17" t="n">
        <f aca="false">B1041+1</f>
        <v>47063</v>
      </c>
      <c r="C1042" s="18" t="n">
        <f aca="false">MIN(ROUNDUP(A1042/365,0),5)</f>
        <v>3</v>
      </c>
      <c r="D1042" s="18" t="n">
        <f aca="false">DATEDIF(Assumptions!B5,B1042,"m")+1</f>
        <v>35</v>
      </c>
      <c r="E1042" s="18" t="str">
        <f aca="false">TEXT(B1042,"ddd")</f>
        <v>Mon</v>
      </c>
      <c r="F1042" s="19" t="n">
        <f aca="false">IF(WEEKDAY(B1042,2)&gt;=6,Assumptions!B34,Assumptions!B35)</f>
        <v>1</v>
      </c>
      <c r="G1042" s="20" t="n">
        <f aca="false">IF(D1042&gt;=13,(1+Assumptions!B46)^(D1042-12),1)</f>
        <v>1.07132554250583</v>
      </c>
      <c r="H1042" s="21" t="n">
        <f aca="false">H1041*(1+IF(C1042=1,Assumptions!B22,Assumptions!B23))</f>
        <v>23.252457564613</v>
      </c>
      <c r="I1042" s="16" t="n">
        <f aca="false">ROUND(H1042*F1042,0)</f>
        <v>23</v>
      </c>
      <c r="J1042" s="22" t="n">
        <f aca="false">I1042*Assumptions!B24</f>
        <v>13800</v>
      </c>
      <c r="K1042" s="21" t="n">
        <f aca="false">K1041*(1+Assumptions!B30)</f>
        <v>18.4610988902245</v>
      </c>
      <c r="L1042" s="16" t="n">
        <f aca="false">ROUND(K1042*F1042,0)</f>
        <v>18</v>
      </c>
      <c r="M1042" s="22" t="n">
        <f aca="false">L1042*Assumptions!B31</f>
        <v>5400</v>
      </c>
      <c r="N1042" s="22" t="n">
        <f aca="false">J1042+M1042</f>
        <v>19200</v>
      </c>
      <c r="O1042" s="22" t="n">
        <f aca="false">IF(DAY(B1042)=1,Assumptions!B38*G1042,0)</f>
        <v>0</v>
      </c>
      <c r="P1042" s="22" t="n">
        <f aca="false">IF(DAY(B1042)=1,Assumptions!B39*G1042,0)</f>
        <v>0</v>
      </c>
      <c r="Q1042" s="22" t="n">
        <f aca="false">IF(DAY(B1042)=1,Assumptions!B40*G1042,0)</f>
        <v>0</v>
      </c>
      <c r="R1042" s="22" t="n">
        <f aca="false">IF(DAY(B1042)=1,Assumptions!B41*G1042,0)</f>
        <v>0</v>
      </c>
      <c r="S1042" s="22" t="n">
        <f aca="false">IF(AND(DAY(B1042)=1,D1042&gt;=13),Assumptions!B42*G1042,0)</f>
        <v>0</v>
      </c>
      <c r="T1042" s="22" t="n">
        <f aca="false">IF(DAY(B1042)=1,Assumptions!B43*G1042,0)</f>
        <v>0</v>
      </c>
      <c r="U1042" s="22" t="n">
        <f aca="false">SUM(O1042:T1042)</f>
        <v>0</v>
      </c>
      <c r="V1042" s="22" t="n">
        <f aca="false">N1042-U1042</f>
        <v>19200</v>
      </c>
      <c r="W1042" s="22" t="n">
        <f aca="false">W1041+V1042</f>
        <v>-2065767.61489174</v>
      </c>
      <c r="X1042" s="23" t="str">
        <f aca="false">IF(W1042&gt;=0,"YES","No")</f>
        <v>No</v>
      </c>
    </row>
    <row r="1043" customFormat="false" ht="15" hidden="false" customHeight="false" outlineLevel="0" collapsed="false">
      <c r="A1043" s="16" t="n">
        <v>1042</v>
      </c>
      <c r="B1043" s="17" t="n">
        <f aca="false">B1042+1</f>
        <v>47064</v>
      </c>
      <c r="C1043" s="18" t="n">
        <f aca="false">MIN(ROUNDUP(A1043/365,0),5)</f>
        <v>3</v>
      </c>
      <c r="D1043" s="18" t="n">
        <f aca="false">DATEDIF(Assumptions!B5,B1043,"m")+1</f>
        <v>35</v>
      </c>
      <c r="E1043" s="18" t="str">
        <f aca="false">TEXT(B1043,"ddd")</f>
        <v>Tue</v>
      </c>
      <c r="F1043" s="19" t="n">
        <f aca="false">IF(WEEKDAY(B1043,2)&gt;=6,Assumptions!B34,Assumptions!B35)</f>
        <v>1</v>
      </c>
      <c r="G1043" s="20" t="n">
        <f aca="false">IF(D1043&gt;=13,(1+Assumptions!B46)^(D1043-12),1)</f>
        <v>1.07132554250583</v>
      </c>
      <c r="H1043" s="21" t="n">
        <f aca="false">H1042*(1+IF(C1043=1,Assumptions!B22,Assumptions!B23))</f>
        <v>23.2562677518275</v>
      </c>
      <c r="I1043" s="16" t="n">
        <f aca="false">ROUND(H1043*F1043,0)</f>
        <v>23</v>
      </c>
      <c r="J1043" s="22" t="n">
        <f aca="false">I1043*Assumptions!B24</f>
        <v>13800</v>
      </c>
      <c r="K1043" s="21" t="n">
        <f aca="false">K1042*(1+Assumptions!B30)</f>
        <v>18.46713450351</v>
      </c>
      <c r="L1043" s="16" t="n">
        <f aca="false">ROUND(K1043*F1043,0)</f>
        <v>18</v>
      </c>
      <c r="M1043" s="22" t="n">
        <f aca="false">L1043*Assumptions!B31</f>
        <v>5400</v>
      </c>
      <c r="N1043" s="22" t="n">
        <f aca="false">J1043+M1043</f>
        <v>19200</v>
      </c>
      <c r="O1043" s="22" t="n">
        <f aca="false">IF(DAY(B1043)=1,Assumptions!B38*G1043,0)</f>
        <v>0</v>
      </c>
      <c r="P1043" s="22" t="n">
        <f aca="false">IF(DAY(B1043)=1,Assumptions!B39*G1043,0)</f>
        <v>0</v>
      </c>
      <c r="Q1043" s="22" t="n">
        <f aca="false">IF(DAY(B1043)=1,Assumptions!B40*G1043,0)</f>
        <v>0</v>
      </c>
      <c r="R1043" s="22" t="n">
        <f aca="false">IF(DAY(B1043)=1,Assumptions!B41*G1043,0)</f>
        <v>0</v>
      </c>
      <c r="S1043" s="22" t="n">
        <f aca="false">IF(AND(DAY(B1043)=1,D1043&gt;=13),Assumptions!B42*G1043,0)</f>
        <v>0</v>
      </c>
      <c r="T1043" s="22" t="n">
        <f aca="false">IF(DAY(B1043)=1,Assumptions!B43*G1043,0)</f>
        <v>0</v>
      </c>
      <c r="U1043" s="22" t="n">
        <f aca="false">SUM(O1043:T1043)</f>
        <v>0</v>
      </c>
      <c r="V1043" s="22" t="n">
        <f aca="false">N1043-U1043</f>
        <v>19200</v>
      </c>
      <c r="W1043" s="22" t="n">
        <f aca="false">W1042+V1043</f>
        <v>-2046567.61489174</v>
      </c>
      <c r="X1043" s="23" t="str">
        <f aca="false">IF(W1043&gt;=0,"YES","No")</f>
        <v>No</v>
      </c>
    </row>
    <row r="1044" customFormat="false" ht="15" hidden="false" customHeight="false" outlineLevel="0" collapsed="false">
      <c r="A1044" s="16" t="n">
        <v>1043</v>
      </c>
      <c r="B1044" s="17" t="n">
        <f aca="false">B1043+1</f>
        <v>47065</v>
      </c>
      <c r="C1044" s="18" t="n">
        <f aca="false">MIN(ROUNDUP(A1044/365,0),5)</f>
        <v>3</v>
      </c>
      <c r="D1044" s="18" t="n">
        <f aca="false">DATEDIF(Assumptions!B5,B1044,"m")+1</f>
        <v>35</v>
      </c>
      <c r="E1044" s="18" t="str">
        <f aca="false">TEXT(B1044,"ddd")</f>
        <v>Wed</v>
      </c>
      <c r="F1044" s="19" t="n">
        <f aca="false">IF(WEEKDAY(B1044,2)&gt;=6,Assumptions!B34,Assumptions!B35)</f>
        <v>1</v>
      </c>
      <c r="G1044" s="20" t="n">
        <f aca="false">IF(D1044&gt;=13,(1+Assumptions!B46)^(D1044-12),1)</f>
        <v>1.07132554250583</v>
      </c>
      <c r="H1044" s="21" t="n">
        <f aca="false">H1043*(1+IF(C1044=1,Assumptions!B22,Assumptions!B23))</f>
        <v>23.2600785633858</v>
      </c>
      <c r="I1044" s="16" t="n">
        <f aca="false">ROUND(H1044*F1044,0)</f>
        <v>23</v>
      </c>
      <c r="J1044" s="22" t="n">
        <f aca="false">I1044*Assumptions!B24</f>
        <v>13800</v>
      </c>
      <c r="K1044" s="21" t="n">
        <f aca="false">K1043*(1+Assumptions!B30)</f>
        <v>18.4731720900598</v>
      </c>
      <c r="L1044" s="16" t="n">
        <f aca="false">ROUND(K1044*F1044,0)</f>
        <v>18</v>
      </c>
      <c r="M1044" s="22" t="n">
        <f aca="false">L1044*Assumptions!B31</f>
        <v>5400</v>
      </c>
      <c r="N1044" s="22" t="n">
        <f aca="false">J1044+M1044</f>
        <v>19200</v>
      </c>
      <c r="O1044" s="22" t="n">
        <f aca="false">IF(DAY(B1044)=1,Assumptions!B38*G1044,0)</f>
        <v>0</v>
      </c>
      <c r="P1044" s="22" t="n">
        <f aca="false">IF(DAY(B1044)=1,Assumptions!B39*G1044,0)</f>
        <v>0</v>
      </c>
      <c r="Q1044" s="22" t="n">
        <f aca="false">IF(DAY(B1044)=1,Assumptions!B40*G1044,0)</f>
        <v>0</v>
      </c>
      <c r="R1044" s="22" t="n">
        <f aca="false">IF(DAY(B1044)=1,Assumptions!B41*G1044,0)</f>
        <v>0</v>
      </c>
      <c r="S1044" s="22" t="n">
        <f aca="false">IF(AND(DAY(B1044)=1,D1044&gt;=13),Assumptions!B42*G1044,0)</f>
        <v>0</v>
      </c>
      <c r="T1044" s="22" t="n">
        <f aca="false">IF(DAY(B1044)=1,Assumptions!B43*G1044,0)</f>
        <v>0</v>
      </c>
      <c r="U1044" s="22" t="n">
        <f aca="false">SUM(O1044:T1044)</f>
        <v>0</v>
      </c>
      <c r="V1044" s="22" t="n">
        <f aca="false">N1044-U1044</f>
        <v>19200</v>
      </c>
      <c r="W1044" s="22" t="n">
        <f aca="false">W1043+V1044</f>
        <v>-2027367.61489174</v>
      </c>
      <c r="X1044" s="23" t="str">
        <f aca="false">IF(W1044&gt;=0,"YES","No")</f>
        <v>No</v>
      </c>
    </row>
    <row r="1045" customFormat="false" ht="15" hidden="false" customHeight="false" outlineLevel="0" collapsed="false">
      <c r="A1045" s="16" t="n">
        <v>1044</v>
      </c>
      <c r="B1045" s="17" t="n">
        <f aca="false">B1044+1</f>
        <v>47066</v>
      </c>
      <c r="C1045" s="18" t="n">
        <f aca="false">MIN(ROUNDUP(A1045/365,0),5)</f>
        <v>3</v>
      </c>
      <c r="D1045" s="18" t="n">
        <f aca="false">DATEDIF(Assumptions!B5,B1045,"m")+1</f>
        <v>35</v>
      </c>
      <c r="E1045" s="18" t="str">
        <f aca="false">TEXT(B1045,"ddd")</f>
        <v>Thu</v>
      </c>
      <c r="F1045" s="19" t="n">
        <f aca="false">IF(WEEKDAY(B1045,2)&gt;=6,Assumptions!B34,Assumptions!B35)</f>
        <v>1</v>
      </c>
      <c r="G1045" s="20" t="n">
        <f aca="false">IF(D1045&gt;=13,(1+Assumptions!B46)^(D1045-12),1)</f>
        <v>1.07132554250583</v>
      </c>
      <c r="H1045" s="21" t="n">
        <f aca="false">H1044*(1+IF(C1045=1,Assumptions!B22,Assumptions!B23))</f>
        <v>23.2638899993902</v>
      </c>
      <c r="I1045" s="16" t="n">
        <f aca="false">ROUND(H1045*F1045,0)</f>
        <v>23</v>
      </c>
      <c r="J1045" s="22" t="n">
        <f aca="false">I1045*Assumptions!B24</f>
        <v>13800</v>
      </c>
      <c r="K1045" s="21" t="n">
        <f aca="false">K1044*(1+Assumptions!B30)</f>
        <v>18.479211650519</v>
      </c>
      <c r="L1045" s="16" t="n">
        <f aca="false">ROUND(K1045*F1045,0)</f>
        <v>18</v>
      </c>
      <c r="M1045" s="22" t="n">
        <f aca="false">L1045*Assumptions!B31</f>
        <v>5400</v>
      </c>
      <c r="N1045" s="22" t="n">
        <f aca="false">J1045+M1045</f>
        <v>19200</v>
      </c>
      <c r="O1045" s="22" t="n">
        <f aca="false">IF(DAY(B1045)=1,Assumptions!B38*G1045,0)</f>
        <v>0</v>
      </c>
      <c r="P1045" s="22" t="n">
        <f aca="false">IF(DAY(B1045)=1,Assumptions!B39*G1045,0)</f>
        <v>0</v>
      </c>
      <c r="Q1045" s="22" t="n">
        <f aca="false">IF(DAY(B1045)=1,Assumptions!B40*G1045,0)</f>
        <v>0</v>
      </c>
      <c r="R1045" s="22" t="n">
        <f aca="false">IF(DAY(B1045)=1,Assumptions!B41*G1045,0)</f>
        <v>0</v>
      </c>
      <c r="S1045" s="22" t="n">
        <f aca="false">IF(AND(DAY(B1045)=1,D1045&gt;=13),Assumptions!B42*G1045,0)</f>
        <v>0</v>
      </c>
      <c r="T1045" s="22" t="n">
        <f aca="false">IF(DAY(B1045)=1,Assumptions!B43*G1045,0)</f>
        <v>0</v>
      </c>
      <c r="U1045" s="22" t="n">
        <f aca="false">SUM(O1045:T1045)</f>
        <v>0</v>
      </c>
      <c r="V1045" s="22" t="n">
        <f aca="false">N1045-U1045</f>
        <v>19200</v>
      </c>
      <c r="W1045" s="22" t="n">
        <f aca="false">W1044+V1045</f>
        <v>-2008167.61489174</v>
      </c>
      <c r="X1045" s="23" t="str">
        <f aca="false">IF(W1045&gt;=0,"YES","No")</f>
        <v>No</v>
      </c>
    </row>
    <row r="1046" customFormat="false" ht="15" hidden="false" customHeight="false" outlineLevel="0" collapsed="false">
      <c r="A1046" s="16" t="n">
        <v>1045</v>
      </c>
      <c r="B1046" s="17" t="n">
        <f aca="false">B1045+1</f>
        <v>47067</v>
      </c>
      <c r="C1046" s="18" t="n">
        <f aca="false">MIN(ROUNDUP(A1046/365,0),5)</f>
        <v>3</v>
      </c>
      <c r="D1046" s="18" t="n">
        <f aca="false">DATEDIF(Assumptions!B5,B1046,"m")+1</f>
        <v>35</v>
      </c>
      <c r="E1046" s="18" t="str">
        <f aca="false">TEXT(B1046,"ddd")</f>
        <v>Fri</v>
      </c>
      <c r="F1046" s="19" t="n">
        <f aca="false">IF(WEEKDAY(B1046,2)&gt;=6,Assumptions!B34,Assumptions!B35)</f>
        <v>1</v>
      </c>
      <c r="G1046" s="20" t="n">
        <f aca="false">IF(D1046&gt;=13,(1+Assumptions!B46)^(D1046-12),1)</f>
        <v>1.07132554250583</v>
      </c>
      <c r="H1046" s="21" t="n">
        <f aca="false">H1045*(1+IF(C1046=1,Assumptions!B22,Assumptions!B23))</f>
        <v>23.2677020599429</v>
      </c>
      <c r="I1046" s="16" t="n">
        <f aca="false">ROUND(H1046*F1046,0)</f>
        <v>23</v>
      </c>
      <c r="J1046" s="22" t="n">
        <f aca="false">I1046*Assumptions!B24</f>
        <v>13800</v>
      </c>
      <c r="K1046" s="21" t="n">
        <f aca="false">K1045*(1+Assumptions!B30)</f>
        <v>18.485253185533</v>
      </c>
      <c r="L1046" s="16" t="n">
        <f aca="false">ROUND(K1046*F1046,0)</f>
        <v>18</v>
      </c>
      <c r="M1046" s="22" t="n">
        <f aca="false">L1046*Assumptions!B31</f>
        <v>5400</v>
      </c>
      <c r="N1046" s="22" t="n">
        <f aca="false">J1046+M1046</f>
        <v>19200</v>
      </c>
      <c r="O1046" s="22" t="n">
        <f aca="false">IF(DAY(B1046)=1,Assumptions!B38*G1046,0)</f>
        <v>0</v>
      </c>
      <c r="P1046" s="22" t="n">
        <f aca="false">IF(DAY(B1046)=1,Assumptions!B39*G1046,0)</f>
        <v>0</v>
      </c>
      <c r="Q1046" s="22" t="n">
        <f aca="false">IF(DAY(B1046)=1,Assumptions!B40*G1046,0)</f>
        <v>0</v>
      </c>
      <c r="R1046" s="22" t="n">
        <f aca="false">IF(DAY(B1046)=1,Assumptions!B41*G1046,0)</f>
        <v>0</v>
      </c>
      <c r="S1046" s="22" t="n">
        <f aca="false">IF(AND(DAY(B1046)=1,D1046&gt;=13),Assumptions!B42*G1046,0)</f>
        <v>0</v>
      </c>
      <c r="T1046" s="22" t="n">
        <f aca="false">IF(DAY(B1046)=1,Assumptions!B43*G1046,0)</f>
        <v>0</v>
      </c>
      <c r="U1046" s="22" t="n">
        <f aca="false">SUM(O1046:T1046)</f>
        <v>0</v>
      </c>
      <c r="V1046" s="22" t="n">
        <f aca="false">N1046-U1046</f>
        <v>19200</v>
      </c>
      <c r="W1046" s="22" t="n">
        <f aca="false">W1045+V1046</f>
        <v>-1988967.61489174</v>
      </c>
      <c r="X1046" s="23" t="str">
        <f aca="false">IF(W1046&gt;=0,"YES","No")</f>
        <v>No</v>
      </c>
    </row>
    <row r="1047" customFormat="false" ht="15" hidden="false" customHeight="false" outlineLevel="0" collapsed="false">
      <c r="A1047" s="16" t="n">
        <v>1046</v>
      </c>
      <c r="B1047" s="17" t="n">
        <f aca="false">B1046+1</f>
        <v>47068</v>
      </c>
      <c r="C1047" s="18" t="n">
        <f aca="false">MIN(ROUNDUP(A1047/365,0),5)</f>
        <v>3</v>
      </c>
      <c r="D1047" s="18" t="n">
        <f aca="false">DATEDIF(Assumptions!B5,B1047,"m")+1</f>
        <v>35</v>
      </c>
      <c r="E1047" s="18" t="str">
        <f aca="false">TEXT(B1047,"ddd")</f>
        <v>Sat</v>
      </c>
      <c r="F1047" s="19" t="n">
        <f aca="false">IF(WEEKDAY(B1047,2)&gt;=6,Assumptions!B34,Assumptions!B35)</f>
        <v>0.6</v>
      </c>
      <c r="G1047" s="20" t="n">
        <f aca="false">IF(D1047&gt;=13,(1+Assumptions!B46)^(D1047-12),1)</f>
        <v>1.07132554250583</v>
      </c>
      <c r="H1047" s="21" t="n">
        <f aca="false">H1046*(1+IF(C1047=1,Assumptions!B22,Assumptions!B23))</f>
        <v>23.2715147451464</v>
      </c>
      <c r="I1047" s="16" t="n">
        <f aca="false">ROUND(H1047*F1047,0)</f>
        <v>14</v>
      </c>
      <c r="J1047" s="22" t="n">
        <f aca="false">I1047*Assumptions!B24</f>
        <v>8400</v>
      </c>
      <c r="K1047" s="21" t="n">
        <f aca="false">K1046*(1+Assumptions!B30)</f>
        <v>18.4912966957474</v>
      </c>
      <c r="L1047" s="16" t="n">
        <f aca="false">ROUND(K1047*F1047,0)</f>
        <v>11</v>
      </c>
      <c r="M1047" s="22" t="n">
        <f aca="false">L1047*Assumptions!B31</f>
        <v>3300</v>
      </c>
      <c r="N1047" s="22" t="n">
        <f aca="false">J1047+M1047</f>
        <v>11700</v>
      </c>
      <c r="O1047" s="22" t="n">
        <f aca="false">IF(DAY(B1047)=1,Assumptions!B38*G1047,0)</f>
        <v>0</v>
      </c>
      <c r="P1047" s="22" t="n">
        <f aca="false">IF(DAY(B1047)=1,Assumptions!B39*G1047,0)</f>
        <v>0</v>
      </c>
      <c r="Q1047" s="22" t="n">
        <f aca="false">IF(DAY(B1047)=1,Assumptions!B40*G1047,0)</f>
        <v>0</v>
      </c>
      <c r="R1047" s="22" t="n">
        <f aca="false">IF(DAY(B1047)=1,Assumptions!B41*G1047,0)</f>
        <v>0</v>
      </c>
      <c r="S1047" s="22" t="n">
        <f aca="false">IF(AND(DAY(B1047)=1,D1047&gt;=13),Assumptions!B42*G1047,0)</f>
        <v>0</v>
      </c>
      <c r="T1047" s="22" t="n">
        <f aca="false">IF(DAY(B1047)=1,Assumptions!B43*G1047,0)</f>
        <v>0</v>
      </c>
      <c r="U1047" s="22" t="n">
        <f aca="false">SUM(O1047:T1047)</f>
        <v>0</v>
      </c>
      <c r="V1047" s="22" t="n">
        <f aca="false">N1047-U1047</f>
        <v>11700</v>
      </c>
      <c r="W1047" s="22" t="n">
        <f aca="false">W1046+V1047</f>
        <v>-1977267.61489174</v>
      </c>
      <c r="X1047" s="23" t="str">
        <f aca="false">IF(W1047&gt;=0,"YES","No")</f>
        <v>No</v>
      </c>
    </row>
    <row r="1048" customFormat="false" ht="15" hidden="false" customHeight="false" outlineLevel="0" collapsed="false">
      <c r="A1048" s="16" t="n">
        <v>1047</v>
      </c>
      <c r="B1048" s="17" t="n">
        <f aca="false">B1047+1</f>
        <v>47069</v>
      </c>
      <c r="C1048" s="18" t="n">
        <f aca="false">MIN(ROUNDUP(A1048/365,0),5)</f>
        <v>3</v>
      </c>
      <c r="D1048" s="18" t="n">
        <f aca="false">DATEDIF(Assumptions!B5,B1048,"m")+1</f>
        <v>35</v>
      </c>
      <c r="E1048" s="18" t="str">
        <f aca="false">TEXT(B1048,"ddd")</f>
        <v>Sun</v>
      </c>
      <c r="F1048" s="19" t="n">
        <f aca="false">IF(WEEKDAY(B1048,2)&gt;=6,Assumptions!B34,Assumptions!B35)</f>
        <v>0.6</v>
      </c>
      <c r="G1048" s="20" t="n">
        <f aca="false">IF(D1048&gt;=13,(1+Assumptions!B46)^(D1048-12),1)</f>
        <v>1.07132554250583</v>
      </c>
      <c r="H1048" s="21" t="n">
        <f aca="false">H1047*(1+IF(C1048=1,Assumptions!B22,Assumptions!B23))</f>
        <v>23.2753280551029</v>
      </c>
      <c r="I1048" s="16" t="n">
        <f aca="false">ROUND(H1048*F1048,0)</f>
        <v>14</v>
      </c>
      <c r="J1048" s="22" t="n">
        <f aca="false">I1048*Assumptions!B24</f>
        <v>8400</v>
      </c>
      <c r="K1048" s="21" t="n">
        <f aca="false">K1047*(1+Assumptions!B30)</f>
        <v>18.4973421818079</v>
      </c>
      <c r="L1048" s="16" t="n">
        <f aca="false">ROUND(K1048*F1048,0)</f>
        <v>11</v>
      </c>
      <c r="M1048" s="22" t="n">
        <f aca="false">L1048*Assumptions!B31</f>
        <v>3300</v>
      </c>
      <c r="N1048" s="22" t="n">
        <f aca="false">J1048+M1048</f>
        <v>11700</v>
      </c>
      <c r="O1048" s="22" t="n">
        <f aca="false">IF(DAY(B1048)=1,Assumptions!B38*G1048,0)</f>
        <v>0</v>
      </c>
      <c r="P1048" s="22" t="n">
        <f aca="false">IF(DAY(B1048)=1,Assumptions!B39*G1048,0)</f>
        <v>0</v>
      </c>
      <c r="Q1048" s="22" t="n">
        <f aca="false">IF(DAY(B1048)=1,Assumptions!B40*G1048,0)</f>
        <v>0</v>
      </c>
      <c r="R1048" s="22" t="n">
        <f aca="false">IF(DAY(B1048)=1,Assumptions!B41*G1048,0)</f>
        <v>0</v>
      </c>
      <c r="S1048" s="22" t="n">
        <f aca="false">IF(AND(DAY(B1048)=1,D1048&gt;=13),Assumptions!B42*G1048,0)</f>
        <v>0</v>
      </c>
      <c r="T1048" s="22" t="n">
        <f aca="false">IF(DAY(B1048)=1,Assumptions!B43*G1048,0)</f>
        <v>0</v>
      </c>
      <c r="U1048" s="22" t="n">
        <f aca="false">SUM(O1048:T1048)</f>
        <v>0</v>
      </c>
      <c r="V1048" s="22" t="n">
        <f aca="false">N1048-U1048</f>
        <v>11700</v>
      </c>
      <c r="W1048" s="22" t="n">
        <f aca="false">W1047+V1048</f>
        <v>-1965567.61489174</v>
      </c>
      <c r="X1048" s="23" t="str">
        <f aca="false">IF(W1048&gt;=0,"YES","No")</f>
        <v>No</v>
      </c>
    </row>
    <row r="1049" customFormat="false" ht="15" hidden="false" customHeight="false" outlineLevel="0" collapsed="false">
      <c r="A1049" s="16" t="n">
        <v>1048</v>
      </c>
      <c r="B1049" s="17" t="n">
        <f aca="false">B1048+1</f>
        <v>47070</v>
      </c>
      <c r="C1049" s="18" t="n">
        <f aca="false">MIN(ROUNDUP(A1049/365,0),5)</f>
        <v>3</v>
      </c>
      <c r="D1049" s="18" t="n">
        <f aca="false">DATEDIF(Assumptions!B5,B1049,"m")+1</f>
        <v>35</v>
      </c>
      <c r="E1049" s="18" t="str">
        <f aca="false">TEXT(B1049,"ddd")</f>
        <v>Mon</v>
      </c>
      <c r="F1049" s="19" t="n">
        <f aca="false">IF(WEEKDAY(B1049,2)&gt;=6,Assumptions!B34,Assumptions!B35)</f>
        <v>1</v>
      </c>
      <c r="G1049" s="20" t="n">
        <f aca="false">IF(D1049&gt;=13,(1+Assumptions!B46)^(D1049-12),1)</f>
        <v>1.07132554250583</v>
      </c>
      <c r="H1049" s="21" t="n">
        <f aca="false">H1048*(1+IF(C1049=1,Assumptions!B22,Assumptions!B23))</f>
        <v>23.2791419899149</v>
      </c>
      <c r="I1049" s="16" t="n">
        <f aca="false">ROUND(H1049*F1049,0)</f>
        <v>23</v>
      </c>
      <c r="J1049" s="22" t="n">
        <f aca="false">I1049*Assumptions!B24</f>
        <v>13800</v>
      </c>
      <c r="K1049" s="21" t="n">
        <f aca="false">K1048*(1+Assumptions!B30)</f>
        <v>18.5033896443605</v>
      </c>
      <c r="L1049" s="16" t="n">
        <f aca="false">ROUND(K1049*F1049,0)</f>
        <v>19</v>
      </c>
      <c r="M1049" s="22" t="n">
        <f aca="false">L1049*Assumptions!B31</f>
        <v>5700</v>
      </c>
      <c r="N1049" s="22" t="n">
        <f aca="false">J1049+M1049</f>
        <v>19500</v>
      </c>
      <c r="O1049" s="22" t="n">
        <f aca="false">IF(DAY(B1049)=1,Assumptions!B38*G1049,0)</f>
        <v>0</v>
      </c>
      <c r="P1049" s="22" t="n">
        <f aca="false">IF(DAY(B1049)=1,Assumptions!B39*G1049,0)</f>
        <v>0</v>
      </c>
      <c r="Q1049" s="22" t="n">
        <f aca="false">IF(DAY(B1049)=1,Assumptions!B40*G1049,0)</f>
        <v>0</v>
      </c>
      <c r="R1049" s="22" t="n">
        <f aca="false">IF(DAY(B1049)=1,Assumptions!B41*G1049,0)</f>
        <v>0</v>
      </c>
      <c r="S1049" s="22" t="n">
        <f aca="false">IF(AND(DAY(B1049)=1,D1049&gt;=13),Assumptions!B42*G1049,0)</f>
        <v>0</v>
      </c>
      <c r="T1049" s="22" t="n">
        <f aca="false">IF(DAY(B1049)=1,Assumptions!B43*G1049,0)</f>
        <v>0</v>
      </c>
      <c r="U1049" s="22" t="n">
        <f aca="false">SUM(O1049:T1049)</f>
        <v>0</v>
      </c>
      <c r="V1049" s="22" t="n">
        <f aca="false">N1049-U1049</f>
        <v>19500</v>
      </c>
      <c r="W1049" s="22" t="n">
        <f aca="false">W1048+V1049</f>
        <v>-1946067.61489174</v>
      </c>
      <c r="X1049" s="23" t="str">
        <f aca="false">IF(W1049&gt;=0,"YES","No")</f>
        <v>No</v>
      </c>
    </row>
    <row r="1050" customFormat="false" ht="15" hidden="false" customHeight="false" outlineLevel="0" collapsed="false">
      <c r="A1050" s="16" t="n">
        <v>1049</v>
      </c>
      <c r="B1050" s="17" t="n">
        <f aca="false">B1049+1</f>
        <v>47071</v>
      </c>
      <c r="C1050" s="18" t="n">
        <f aca="false">MIN(ROUNDUP(A1050/365,0),5)</f>
        <v>3</v>
      </c>
      <c r="D1050" s="18" t="n">
        <f aca="false">DATEDIF(Assumptions!B5,B1050,"m")+1</f>
        <v>35</v>
      </c>
      <c r="E1050" s="18" t="str">
        <f aca="false">TEXT(B1050,"ddd")</f>
        <v>Tue</v>
      </c>
      <c r="F1050" s="19" t="n">
        <f aca="false">IF(WEEKDAY(B1050,2)&gt;=6,Assumptions!B34,Assumptions!B35)</f>
        <v>1</v>
      </c>
      <c r="G1050" s="20" t="n">
        <f aca="false">IF(D1050&gt;=13,(1+Assumptions!B46)^(D1050-12),1)</f>
        <v>1.07132554250583</v>
      </c>
      <c r="H1050" s="21" t="n">
        <f aca="false">H1049*(1+IF(C1050=1,Assumptions!B22,Assumptions!B23))</f>
        <v>23.2829565496848</v>
      </c>
      <c r="I1050" s="16" t="n">
        <f aca="false">ROUND(H1050*F1050,0)</f>
        <v>23</v>
      </c>
      <c r="J1050" s="22" t="n">
        <f aca="false">I1050*Assumptions!B24</f>
        <v>13800</v>
      </c>
      <c r="K1050" s="21" t="n">
        <f aca="false">K1049*(1+Assumptions!B30)</f>
        <v>18.5094390840513</v>
      </c>
      <c r="L1050" s="16" t="n">
        <f aca="false">ROUND(K1050*F1050,0)</f>
        <v>19</v>
      </c>
      <c r="M1050" s="22" t="n">
        <f aca="false">L1050*Assumptions!B31</f>
        <v>5700</v>
      </c>
      <c r="N1050" s="22" t="n">
        <f aca="false">J1050+M1050</f>
        <v>19500</v>
      </c>
      <c r="O1050" s="22" t="n">
        <f aca="false">IF(DAY(B1050)=1,Assumptions!B38*G1050,0)</f>
        <v>0</v>
      </c>
      <c r="P1050" s="22" t="n">
        <f aca="false">IF(DAY(B1050)=1,Assumptions!B39*G1050,0)</f>
        <v>0</v>
      </c>
      <c r="Q1050" s="22" t="n">
        <f aca="false">IF(DAY(B1050)=1,Assumptions!B40*G1050,0)</f>
        <v>0</v>
      </c>
      <c r="R1050" s="22" t="n">
        <f aca="false">IF(DAY(B1050)=1,Assumptions!B41*G1050,0)</f>
        <v>0</v>
      </c>
      <c r="S1050" s="22" t="n">
        <f aca="false">IF(AND(DAY(B1050)=1,D1050&gt;=13),Assumptions!B42*G1050,0)</f>
        <v>0</v>
      </c>
      <c r="T1050" s="22" t="n">
        <f aca="false">IF(DAY(B1050)=1,Assumptions!B43*G1050,0)</f>
        <v>0</v>
      </c>
      <c r="U1050" s="22" t="n">
        <f aca="false">SUM(O1050:T1050)</f>
        <v>0</v>
      </c>
      <c r="V1050" s="22" t="n">
        <f aca="false">N1050-U1050</f>
        <v>19500</v>
      </c>
      <c r="W1050" s="22" t="n">
        <f aca="false">W1049+V1050</f>
        <v>-1926567.61489174</v>
      </c>
      <c r="X1050" s="23" t="str">
        <f aca="false">IF(W1050&gt;=0,"YES","No")</f>
        <v>No</v>
      </c>
    </row>
    <row r="1051" customFormat="false" ht="15" hidden="false" customHeight="false" outlineLevel="0" collapsed="false">
      <c r="A1051" s="16" t="n">
        <v>1050</v>
      </c>
      <c r="B1051" s="17" t="n">
        <f aca="false">B1050+1</f>
        <v>47072</v>
      </c>
      <c r="C1051" s="18" t="n">
        <f aca="false">MIN(ROUNDUP(A1051/365,0),5)</f>
        <v>3</v>
      </c>
      <c r="D1051" s="18" t="n">
        <f aca="false">DATEDIF(Assumptions!B5,B1051,"m")+1</f>
        <v>35</v>
      </c>
      <c r="E1051" s="18" t="str">
        <f aca="false">TEXT(B1051,"ddd")</f>
        <v>Wed</v>
      </c>
      <c r="F1051" s="19" t="n">
        <f aca="false">IF(WEEKDAY(B1051,2)&gt;=6,Assumptions!B34,Assumptions!B35)</f>
        <v>1</v>
      </c>
      <c r="G1051" s="20" t="n">
        <f aca="false">IF(D1051&gt;=13,(1+Assumptions!B46)^(D1051-12),1)</f>
        <v>1.07132554250583</v>
      </c>
      <c r="H1051" s="21" t="n">
        <f aca="false">H1050*(1+IF(C1051=1,Assumptions!B22,Assumptions!B23))</f>
        <v>23.2867717345149</v>
      </c>
      <c r="I1051" s="16" t="n">
        <f aca="false">ROUND(H1051*F1051,0)</f>
        <v>23</v>
      </c>
      <c r="J1051" s="22" t="n">
        <f aca="false">I1051*Assumptions!B24</f>
        <v>13800</v>
      </c>
      <c r="K1051" s="21" t="n">
        <f aca="false">K1050*(1+Assumptions!B30)</f>
        <v>18.5154905015269</v>
      </c>
      <c r="L1051" s="16" t="n">
        <f aca="false">ROUND(K1051*F1051,0)</f>
        <v>19</v>
      </c>
      <c r="M1051" s="22" t="n">
        <f aca="false">L1051*Assumptions!B31</f>
        <v>5700</v>
      </c>
      <c r="N1051" s="22" t="n">
        <f aca="false">J1051+M1051</f>
        <v>19500</v>
      </c>
      <c r="O1051" s="22" t="n">
        <f aca="false">IF(DAY(B1051)=1,Assumptions!B38*G1051,0)</f>
        <v>0</v>
      </c>
      <c r="P1051" s="22" t="n">
        <f aca="false">IF(DAY(B1051)=1,Assumptions!B39*G1051,0)</f>
        <v>0</v>
      </c>
      <c r="Q1051" s="22" t="n">
        <f aca="false">IF(DAY(B1051)=1,Assumptions!B40*G1051,0)</f>
        <v>0</v>
      </c>
      <c r="R1051" s="22" t="n">
        <f aca="false">IF(DAY(B1051)=1,Assumptions!B41*G1051,0)</f>
        <v>0</v>
      </c>
      <c r="S1051" s="22" t="n">
        <f aca="false">IF(AND(DAY(B1051)=1,D1051&gt;=13),Assumptions!B42*G1051,0)</f>
        <v>0</v>
      </c>
      <c r="T1051" s="22" t="n">
        <f aca="false">IF(DAY(B1051)=1,Assumptions!B43*G1051,0)</f>
        <v>0</v>
      </c>
      <c r="U1051" s="22" t="n">
        <f aca="false">SUM(O1051:T1051)</f>
        <v>0</v>
      </c>
      <c r="V1051" s="22" t="n">
        <f aca="false">N1051-U1051</f>
        <v>19500</v>
      </c>
      <c r="W1051" s="22" t="n">
        <f aca="false">W1050+V1051</f>
        <v>-1907067.61489174</v>
      </c>
      <c r="X1051" s="23" t="str">
        <f aca="false">IF(W1051&gt;=0,"YES","No")</f>
        <v>No</v>
      </c>
    </row>
    <row r="1052" customFormat="false" ht="15" hidden="false" customHeight="false" outlineLevel="0" collapsed="false">
      <c r="A1052" s="16" t="n">
        <v>1051</v>
      </c>
      <c r="B1052" s="17" t="n">
        <f aca="false">B1051+1</f>
        <v>47073</v>
      </c>
      <c r="C1052" s="18" t="n">
        <f aca="false">MIN(ROUNDUP(A1052/365,0),5)</f>
        <v>3</v>
      </c>
      <c r="D1052" s="18" t="n">
        <f aca="false">DATEDIF(Assumptions!B5,B1052,"m")+1</f>
        <v>35</v>
      </c>
      <c r="E1052" s="18" t="str">
        <f aca="false">TEXT(B1052,"ddd")</f>
        <v>Thu</v>
      </c>
      <c r="F1052" s="19" t="n">
        <f aca="false">IF(WEEKDAY(B1052,2)&gt;=6,Assumptions!B34,Assumptions!B35)</f>
        <v>1</v>
      </c>
      <c r="G1052" s="20" t="n">
        <f aca="false">IF(D1052&gt;=13,(1+Assumptions!B46)^(D1052-12),1)</f>
        <v>1.07132554250583</v>
      </c>
      <c r="H1052" s="21" t="n">
        <f aca="false">H1051*(1+IF(C1052=1,Assumptions!B22,Assumptions!B23))</f>
        <v>23.2905875445076</v>
      </c>
      <c r="I1052" s="16" t="n">
        <f aca="false">ROUND(H1052*F1052,0)</f>
        <v>23</v>
      </c>
      <c r="J1052" s="22" t="n">
        <f aca="false">I1052*Assumptions!B24</f>
        <v>13800</v>
      </c>
      <c r="K1052" s="21" t="n">
        <f aca="false">K1051*(1+Assumptions!B30)</f>
        <v>18.5215438974337</v>
      </c>
      <c r="L1052" s="16" t="n">
        <f aca="false">ROUND(K1052*F1052,0)</f>
        <v>19</v>
      </c>
      <c r="M1052" s="22" t="n">
        <f aca="false">L1052*Assumptions!B31</f>
        <v>5700</v>
      </c>
      <c r="N1052" s="22" t="n">
        <f aca="false">J1052+M1052</f>
        <v>19500</v>
      </c>
      <c r="O1052" s="22" t="n">
        <f aca="false">IF(DAY(B1052)=1,Assumptions!B38*G1052,0)</f>
        <v>0</v>
      </c>
      <c r="P1052" s="22" t="n">
        <f aca="false">IF(DAY(B1052)=1,Assumptions!B39*G1052,0)</f>
        <v>0</v>
      </c>
      <c r="Q1052" s="22" t="n">
        <f aca="false">IF(DAY(B1052)=1,Assumptions!B40*G1052,0)</f>
        <v>0</v>
      </c>
      <c r="R1052" s="22" t="n">
        <f aca="false">IF(DAY(B1052)=1,Assumptions!B41*G1052,0)</f>
        <v>0</v>
      </c>
      <c r="S1052" s="22" t="n">
        <f aca="false">IF(AND(DAY(B1052)=1,D1052&gt;=13),Assumptions!B42*G1052,0)</f>
        <v>0</v>
      </c>
      <c r="T1052" s="22" t="n">
        <f aca="false">IF(DAY(B1052)=1,Assumptions!B43*G1052,0)</f>
        <v>0</v>
      </c>
      <c r="U1052" s="22" t="n">
        <f aca="false">SUM(O1052:T1052)</f>
        <v>0</v>
      </c>
      <c r="V1052" s="22" t="n">
        <f aca="false">N1052-U1052</f>
        <v>19500</v>
      </c>
      <c r="W1052" s="22" t="n">
        <f aca="false">W1051+V1052</f>
        <v>-1887567.61489174</v>
      </c>
      <c r="X1052" s="23" t="str">
        <f aca="false">IF(W1052&gt;=0,"YES","No")</f>
        <v>No</v>
      </c>
    </row>
    <row r="1053" customFormat="false" ht="15" hidden="false" customHeight="false" outlineLevel="0" collapsed="false">
      <c r="A1053" s="16" t="n">
        <v>1052</v>
      </c>
      <c r="B1053" s="17" t="n">
        <f aca="false">B1052+1</f>
        <v>47074</v>
      </c>
      <c r="C1053" s="18" t="n">
        <f aca="false">MIN(ROUNDUP(A1053/365,0),5)</f>
        <v>3</v>
      </c>
      <c r="D1053" s="18" t="n">
        <f aca="false">DATEDIF(Assumptions!B5,B1053,"m")+1</f>
        <v>35</v>
      </c>
      <c r="E1053" s="18" t="str">
        <f aca="false">TEXT(B1053,"ddd")</f>
        <v>Fri</v>
      </c>
      <c r="F1053" s="19" t="n">
        <f aca="false">IF(WEEKDAY(B1053,2)&gt;=6,Assumptions!B34,Assumptions!B35)</f>
        <v>1</v>
      </c>
      <c r="G1053" s="20" t="n">
        <f aca="false">IF(D1053&gt;=13,(1+Assumptions!B46)^(D1053-12),1)</f>
        <v>1.07132554250583</v>
      </c>
      <c r="H1053" s="21" t="n">
        <f aca="false">H1052*(1+IF(C1053=1,Assumptions!B22,Assumptions!B23))</f>
        <v>23.2944039797655</v>
      </c>
      <c r="I1053" s="16" t="n">
        <f aca="false">ROUND(H1053*F1053,0)</f>
        <v>23</v>
      </c>
      <c r="J1053" s="22" t="n">
        <f aca="false">I1053*Assumptions!B24</f>
        <v>13800</v>
      </c>
      <c r="K1053" s="21" t="n">
        <f aca="false">K1052*(1+Assumptions!B30)</f>
        <v>18.5275992724187</v>
      </c>
      <c r="L1053" s="16" t="n">
        <f aca="false">ROUND(K1053*F1053,0)</f>
        <v>19</v>
      </c>
      <c r="M1053" s="22" t="n">
        <f aca="false">L1053*Assumptions!B31</f>
        <v>5700</v>
      </c>
      <c r="N1053" s="22" t="n">
        <f aca="false">J1053+M1053</f>
        <v>19500</v>
      </c>
      <c r="O1053" s="22" t="n">
        <f aca="false">IF(DAY(B1053)=1,Assumptions!B38*G1053,0)</f>
        <v>0</v>
      </c>
      <c r="P1053" s="22" t="n">
        <f aca="false">IF(DAY(B1053)=1,Assumptions!B39*G1053,0)</f>
        <v>0</v>
      </c>
      <c r="Q1053" s="22" t="n">
        <f aca="false">IF(DAY(B1053)=1,Assumptions!B40*G1053,0)</f>
        <v>0</v>
      </c>
      <c r="R1053" s="22" t="n">
        <f aca="false">IF(DAY(B1053)=1,Assumptions!B41*G1053,0)</f>
        <v>0</v>
      </c>
      <c r="S1053" s="22" t="n">
        <f aca="false">IF(AND(DAY(B1053)=1,D1053&gt;=13),Assumptions!B42*G1053,0)</f>
        <v>0</v>
      </c>
      <c r="T1053" s="22" t="n">
        <f aca="false">IF(DAY(B1053)=1,Assumptions!B43*G1053,0)</f>
        <v>0</v>
      </c>
      <c r="U1053" s="22" t="n">
        <f aca="false">SUM(O1053:T1053)</f>
        <v>0</v>
      </c>
      <c r="V1053" s="22" t="n">
        <f aca="false">N1053-U1053</f>
        <v>19500</v>
      </c>
      <c r="W1053" s="22" t="n">
        <f aca="false">W1052+V1053</f>
        <v>-1868067.61489174</v>
      </c>
      <c r="X1053" s="23" t="str">
        <f aca="false">IF(W1053&gt;=0,"YES","No")</f>
        <v>No</v>
      </c>
    </row>
    <row r="1054" customFormat="false" ht="15" hidden="false" customHeight="false" outlineLevel="0" collapsed="false">
      <c r="A1054" s="16" t="n">
        <v>1053</v>
      </c>
      <c r="B1054" s="17" t="n">
        <f aca="false">B1053+1</f>
        <v>47075</v>
      </c>
      <c r="C1054" s="18" t="n">
        <f aca="false">MIN(ROUNDUP(A1054/365,0),5)</f>
        <v>3</v>
      </c>
      <c r="D1054" s="18" t="n">
        <f aca="false">DATEDIF(Assumptions!B5,B1054,"m")+1</f>
        <v>35</v>
      </c>
      <c r="E1054" s="18" t="str">
        <f aca="false">TEXT(B1054,"ddd")</f>
        <v>Sat</v>
      </c>
      <c r="F1054" s="19" t="n">
        <f aca="false">IF(WEEKDAY(B1054,2)&gt;=6,Assumptions!B34,Assumptions!B35)</f>
        <v>0.6</v>
      </c>
      <c r="G1054" s="20" t="n">
        <f aca="false">IF(D1054&gt;=13,(1+Assumptions!B46)^(D1054-12),1)</f>
        <v>1.07132554250583</v>
      </c>
      <c r="H1054" s="21" t="n">
        <f aca="false">H1053*(1+IF(C1054=1,Assumptions!B22,Assumptions!B23))</f>
        <v>23.2982210403909</v>
      </c>
      <c r="I1054" s="16" t="n">
        <f aca="false">ROUND(H1054*F1054,0)</f>
        <v>14</v>
      </c>
      <c r="J1054" s="22" t="n">
        <f aca="false">I1054*Assumptions!B24</f>
        <v>8400</v>
      </c>
      <c r="K1054" s="21" t="n">
        <f aca="false">K1053*(1+Assumptions!B30)</f>
        <v>18.5336566271288</v>
      </c>
      <c r="L1054" s="16" t="n">
        <f aca="false">ROUND(K1054*F1054,0)</f>
        <v>11</v>
      </c>
      <c r="M1054" s="22" t="n">
        <f aca="false">L1054*Assumptions!B31</f>
        <v>3300</v>
      </c>
      <c r="N1054" s="22" t="n">
        <f aca="false">J1054+M1054</f>
        <v>11700</v>
      </c>
      <c r="O1054" s="22" t="n">
        <f aca="false">IF(DAY(B1054)=1,Assumptions!B38*G1054,0)</f>
        <v>0</v>
      </c>
      <c r="P1054" s="22" t="n">
        <f aca="false">IF(DAY(B1054)=1,Assumptions!B39*G1054,0)</f>
        <v>0</v>
      </c>
      <c r="Q1054" s="22" t="n">
        <f aca="false">IF(DAY(B1054)=1,Assumptions!B40*G1054,0)</f>
        <v>0</v>
      </c>
      <c r="R1054" s="22" t="n">
        <f aca="false">IF(DAY(B1054)=1,Assumptions!B41*G1054,0)</f>
        <v>0</v>
      </c>
      <c r="S1054" s="22" t="n">
        <f aca="false">IF(AND(DAY(B1054)=1,D1054&gt;=13),Assumptions!B42*G1054,0)</f>
        <v>0</v>
      </c>
      <c r="T1054" s="22" t="n">
        <f aca="false">IF(DAY(B1054)=1,Assumptions!B43*G1054,0)</f>
        <v>0</v>
      </c>
      <c r="U1054" s="22" t="n">
        <f aca="false">SUM(O1054:T1054)</f>
        <v>0</v>
      </c>
      <c r="V1054" s="22" t="n">
        <f aca="false">N1054-U1054</f>
        <v>11700</v>
      </c>
      <c r="W1054" s="22" t="n">
        <f aca="false">W1053+V1054</f>
        <v>-1856367.61489174</v>
      </c>
      <c r="X1054" s="23" t="str">
        <f aca="false">IF(W1054&gt;=0,"YES","No")</f>
        <v>No</v>
      </c>
    </row>
    <row r="1055" customFormat="false" ht="15" hidden="false" customHeight="false" outlineLevel="0" collapsed="false">
      <c r="A1055" s="16" t="n">
        <v>1054</v>
      </c>
      <c r="B1055" s="17" t="n">
        <f aca="false">B1054+1</f>
        <v>47076</v>
      </c>
      <c r="C1055" s="18" t="n">
        <f aca="false">MIN(ROUNDUP(A1055/365,0),5)</f>
        <v>3</v>
      </c>
      <c r="D1055" s="18" t="n">
        <f aca="false">DATEDIF(Assumptions!B5,B1055,"m")+1</f>
        <v>35</v>
      </c>
      <c r="E1055" s="18" t="str">
        <f aca="false">TEXT(B1055,"ddd")</f>
        <v>Sun</v>
      </c>
      <c r="F1055" s="19" t="n">
        <f aca="false">IF(WEEKDAY(B1055,2)&gt;=6,Assumptions!B34,Assumptions!B35)</f>
        <v>0.6</v>
      </c>
      <c r="G1055" s="20" t="n">
        <f aca="false">IF(D1055&gt;=13,(1+Assumptions!B46)^(D1055-12),1)</f>
        <v>1.07132554250583</v>
      </c>
      <c r="H1055" s="21" t="n">
        <f aca="false">H1054*(1+IF(C1055=1,Assumptions!B22,Assumptions!B23))</f>
        <v>23.3020387264864</v>
      </c>
      <c r="I1055" s="16" t="n">
        <f aca="false">ROUND(H1055*F1055,0)</f>
        <v>14</v>
      </c>
      <c r="J1055" s="22" t="n">
        <f aca="false">I1055*Assumptions!B24</f>
        <v>8400</v>
      </c>
      <c r="K1055" s="21" t="n">
        <f aca="false">K1054*(1+Assumptions!B30)</f>
        <v>18.5397159622112</v>
      </c>
      <c r="L1055" s="16" t="n">
        <f aca="false">ROUND(K1055*F1055,0)</f>
        <v>11</v>
      </c>
      <c r="M1055" s="22" t="n">
        <f aca="false">L1055*Assumptions!B31</f>
        <v>3300</v>
      </c>
      <c r="N1055" s="22" t="n">
        <f aca="false">J1055+M1055</f>
        <v>11700</v>
      </c>
      <c r="O1055" s="22" t="n">
        <f aca="false">IF(DAY(B1055)=1,Assumptions!B38*G1055,0)</f>
        <v>0</v>
      </c>
      <c r="P1055" s="22" t="n">
        <f aca="false">IF(DAY(B1055)=1,Assumptions!B39*G1055,0)</f>
        <v>0</v>
      </c>
      <c r="Q1055" s="22" t="n">
        <f aca="false">IF(DAY(B1055)=1,Assumptions!B40*G1055,0)</f>
        <v>0</v>
      </c>
      <c r="R1055" s="22" t="n">
        <f aca="false">IF(DAY(B1055)=1,Assumptions!B41*G1055,0)</f>
        <v>0</v>
      </c>
      <c r="S1055" s="22" t="n">
        <f aca="false">IF(AND(DAY(B1055)=1,D1055&gt;=13),Assumptions!B42*G1055,0)</f>
        <v>0</v>
      </c>
      <c r="T1055" s="22" t="n">
        <f aca="false">IF(DAY(B1055)=1,Assumptions!B43*G1055,0)</f>
        <v>0</v>
      </c>
      <c r="U1055" s="22" t="n">
        <f aca="false">SUM(O1055:T1055)</f>
        <v>0</v>
      </c>
      <c r="V1055" s="22" t="n">
        <f aca="false">N1055-U1055</f>
        <v>11700</v>
      </c>
      <c r="W1055" s="22" t="n">
        <f aca="false">W1054+V1055</f>
        <v>-1844667.61489174</v>
      </c>
      <c r="X1055" s="23" t="str">
        <f aca="false">IF(W1055&gt;=0,"YES","No")</f>
        <v>No</v>
      </c>
    </row>
    <row r="1056" customFormat="false" ht="15" hidden="false" customHeight="false" outlineLevel="0" collapsed="false">
      <c r="A1056" s="16" t="n">
        <v>1055</v>
      </c>
      <c r="B1056" s="17" t="n">
        <f aca="false">B1055+1</f>
        <v>47077</v>
      </c>
      <c r="C1056" s="18" t="n">
        <f aca="false">MIN(ROUNDUP(A1056/365,0),5)</f>
        <v>3</v>
      </c>
      <c r="D1056" s="18" t="n">
        <f aca="false">DATEDIF(Assumptions!B5,B1056,"m")+1</f>
        <v>35</v>
      </c>
      <c r="E1056" s="18" t="str">
        <f aca="false">TEXT(B1056,"ddd")</f>
        <v>Mon</v>
      </c>
      <c r="F1056" s="19" t="n">
        <f aca="false">IF(WEEKDAY(B1056,2)&gt;=6,Assumptions!B34,Assumptions!B35)</f>
        <v>1</v>
      </c>
      <c r="G1056" s="20" t="n">
        <f aca="false">IF(D1056&gt;=13,(1+Assumptions!B46)^(D1056-12),1)</f>
        <v>1.07132554250583</v>
      </c>
      <c r="H1056" s="21" t="n">
        <f aca="false">H1055*(1+IF(C1056=1,Assumptions!B22,Assumptions!B23))</f>
        <v>23.3058570381544</v>
      </c>
      <c r="I1056" s="16" t="n">
        <f aca="false">ROUND(H1056*F1056,0)</f>
        <v>23</v>
      </c>
      <c r="J1056" s="22" t="n">
        <f aca="false">I1056*Assumptions!B24</f>
        <v>13800</v>
      </c>
      <c r="K1056" s="21" t="n">
        <f aca="false">K1055*(1+Assumptions!B30)</f>
        <v>18.5457772783136</v>
      </c>
      <c r="L1056" s="16" t="n">
        <f aca="false">ROUND(K1056*F1056,0)</f>
        <v>19</v>
      </c>
      <c r="M1056" s="22" t="n">
        <f aca="false">L1056*Assumptions!B31</f>
        <v>5700</v>
      </c>
      <c r="N1056" s="22" t="n">
        <f aca="false">J1056+M1056</f>
        <v>19500</v>
      </c>
      <c r="O1056" s="22" t="n">
        <f aca="false">IF(DAY(B1056)=1,Assumptions!B38*G1056,0)</f>
        <v>0</v>
      </c>
      <c r="P1056" s="22" t="n">
        <f aca="false">IF(DAY(B1056)=1,Assumptions!B39*G1056,0)</f>
        <v>0</v>
      </c>
      <c r="Q1056" s="22" t="n">
        <f aca="false">IF(DAY(B1056)=1,Assumptions!B40*G1056,0)</f>
        <v>0</v>
      </c>
      <c r="R1056" s="22" t="n">
        <f aca="false">IF(DAY(B1056)=1,Assumptions!B41*G1056,0)</f>
        <v>0</v>
      </c>
      <c r="S1056" s="22" t="n">
        <f aca="false">IF(AND(DAY(B1056)=1,D1056&gt;=13),Assumptions!B42*G1056,0)</f>
        <v>0</v>
      </c>
      <c r="T1056" s="22" t="n">
        <f aca="false">IF(DAY(B1056)=1,Assumptions!B43*G1056,0)</f>
        <v>0</v>
      </c>
      <c r="U1056" s="22" t="n">
        <f aca="false">SUM(O1056:T1056)</f>
        <v>0</v>
      </c>
      <c r="V1056" s="22" t="n">
        <f aca="false">N1056-U1056</f>
        <v>19500</v>
      </c>
      <c r="W1056" s="22" t="n">
        <f aca="false">W1055+V1056</f>
        <v>-1825167.61489174</v>
      </c>
      <c r="X1056" s="23" t="str">
        <f aca="false">IF(W1056&gt;=0,"YES","No")</f>
        <v>No</v>
      </c>
    </row>
    <row r="1057" customFormat="false" ht="15" hidden="false" customHeight="false" outlineLevel="0" collapsed="false">
      <c r="A1057" s="16" t="n">
        <v>1056</v>
      </c>
      <c r="B1057" s="17" t="n">
        <f aca="false">B1056+1</f>
        <v>47078</v>
      </c>
      <c r="C1057" s="18" t="n">
        <f aca="false">MIN(ROUNDUP(A1057/365,0),5)</f>
        <v>3</v>
      </c>
      <c r="D1057" s="18" t="n">
        <f aca="false">DATEDIF(Assumptions!B5,B1057,"m")+1</f>
        <v>35</v>
      </c>
      <c r="E1057" s="18" t="str">
        <f aca="false">TEXT(B1057,"ddd")</f>
        <v>Tue</v>
      </c>
      <c r="F1057" s="19" t="n">
        <f aca="false">IF(WEEKDAY(B1057,2)&gt;=6,Assumptions!B34,Assumptions!B35)</f>
        <v>1</v>
      </c>
      <c r="G1057" s="20" t="n">
        <f aca="false">IF(D1057&gt;=13,(1+Assumptions!B46)^(D1057-12),1)</f>
        <v>1.07132554250583</v>
      </c>
      <c r="H1057" s="21" t="n">
        <f aca="false">H1056*(1+IF(C1057=1,Assumptions!B22,Assumptions!B23))</f>
        <v>23.3096759754974</v>
      </c>
      <c r="I1057" s="16" t="n">
        <f aca="false">ROUND(H1057*F1057,0)</f>
        <v>23</v>
      </c>
      <c r="J1057" s="22" t="n">
        <f aca="false">I1057*Assumptions!B24</f>
        <v>13800</v>
      </c>
      <c r="K1057" s="21" t="n">
        <f aca="false">K1056*(1+Assumptions!B30)</f>
        <v>18.5518405760834</v>
      </c>
      <c r="L1057" s="16" t="n">
        <f aca="false">ROUND(K1057*F1057,0)</f>
        <v>19</v>
      </c>
      <c r="M1057" s="22" t="n">
        <f aca="false">L1057*Assumptions!B31</f>
        <v>5700</v>
      </c>
      <c r="N1057" s="22" t="n">
        <f aca="false">J1057+M1057</f>
        <v>19500</v>
      </c>
      <c r="O1057" s="22" t="n">
        <f aca="false">IF(DAY(B1057)=1,Assumptions!B38*G1057,0)</f>
        <v>0</v>
      </c>
      <c r="P1057" s="22" t="n">
        <f aca="false">IF(DAY(B1057)=1,Assumptions!B39*G1057,0)</f>
        <v>0</v>
      </c>
      <c r="Q1057" s="22" t="n">
        <f aca="false">IF(DAY(B1057)=1,Assumptions!B40*G1057,0)</f>
        <v>0</v>
      </c>
      <c r="R1057" s="22" t="n">
        <f aca="false">IF(DAY(B1057)=1,Assumptions!B41*G1057,0)</f>
        <v>0</v>
      </c>
      <c r="S1057" s="22" t="n">
        <f aca="false">IF(AND(DAY(B1057)=1,D1057&gt;=13),Assumptions!B42*G1057,0)</f>
        <v>0</v>
      </c>
      <c r="T1057" s="22" t="n">
        <f aca="false">IF(DAY(B1057)=1,Assumptions!B43*G1057,0)</f>
        <v>0</v>
      </c>
      <c r="U1057" s="22" t="n">
        <f aca="false">SUM(O1057:T1057)</f>
        <v>0</v>
      </c>
      <c r="V1057" s="22" t="n">
        <f aca="false">N1057-U1057</f>
        <v>19500</v>
      </c>
      <c r="W1057" s="22" t="n">
        <f aca="false">W1056+V1057</f>
        <v>-1805667.61489174</v>
      </c>
      <c r="X1057" s="23" t="str">
        <f aca="false">IF(W1057&gt;=0,"YES","No")</f>
        <v>No</v>
      </c>
    </row>
    <row r="1058" customFormat="false" ht="15" hidden="false" customHeight="false" outlineLevel="0" collapsed="false">
      <c r="A1058" s="16" t="n">
        <v>1057</v>
      </c>
      <c r="B1058" s="17" t="n">
        <f aca="false">B1057+1</f>
        <v>47079</v>
      </c>
      <c r="C1058" s="18" t="n">
        <f aca="false">MIN(ROUNDUP(A1058/365,0),5)</f>
        <v>3</v>
      </c>
      <c r="D1058" s="18" t="n">
        <f aca="false">DATEDIF(Assumptions!B5,B1058,"m")+1</f>
        <v>35</v>
      </c>
      <c r="E1058" s="18" t="str">
        <f aca="false">TEXT(B1058,"ddd")</f>
        <v>Wed</v>
      </c>
      <c r="F1058" s="19" t="n">
        <f aca="false">IF(WEEKDAY(B1058,2)&gt;=6,Assumptions!B34,Assumptions!B35)</f>
        <v>1</v>
      </c>
      <c r="G1058" s="20" t="n">
        <f aca="false">IF(D1058&gt;=13,(1+Assumptions!B46)^(D1058-12),1)</f>
        <v>1.07132554250583</v>
      </c>
      <c r="H1058" s="21" t="n">
        <f aca="false">H1057*(1+IF(C1058=1,Assumptions!B22,Assumptions!B23))</f>
        <v>23.3134955386181</v>
      </c>
      <c r="I1058" s="16" t="n">
        <f aca="false">ROUND(H1058*F1058,0)</f>
        <v>23</v>
      </c>
      <c r="J1058" s="22" t="n">
        <f aca="false">I1058*Assumptions!B24</f>
        <v>13800</v>
      </c>
      <c r="K1058" s="21" t="n">
        <f aca="false">K1057*(1+Assumptions!B30)</f>
        <v>18.5579058561687</v>
      </c>
      <c r="L1058" s="16" t="n">
        <f aca="false">ROUND(K1058*F1058,0)</f>
        <v>19</v>
      </c>
      <c r="M1058" s="22" t="n">
        <f aca="false">L1058*Assumptions!B31</f>
        <v>5700</v>
      </c>
      <c r="N1058" s="22" t="n">
        <f aca="false">J1058+M1058</f>
        <v>19500</v>
      </c>
      <c r="O1058" s="22" t="n">
        <f aca="false">IF(DAY(B1058)=1,Assumptions!B38*G1058,0)</f>
        <v>0</v>
      </c>
      <c r="P1058" s="22" t="n">
        <f aca="false">IF(DAY(B1058)=1,Assumptions!B39*G1058,0)</f>
        <v>0</v>
      </c>
      <c r="Q1058" s="22" t="n">
        <f aca="false">IF(DAY(B1058)=1,Assumptions!B40*G1058,0)</f>
        <v>0</v>
      </c>
      <c r="R1058" s="22" t="n">
        <f aca="false">IF(DAY(B1058)=1,Assumptions!B41*G1058,0)</f>
        <v>0</v>
      </c>
      <c r="S1058" s="22" t="n">
        <f aca="false">IF(AND(DAY(B1058)=1,D1058&gt;=13),Assumptions!B42*G1058,0)</f>
        <v>0</v>
      </c>
      <c r="T1058" s="22" t="n">
        <f aca="false">IF(DAY(B1058)=1,Assumptions!B43*G1058,0)</f>
        <v>0</v>
      </c>
      <c r="U1058" s="22" t="n">
        <f aca="false">SUM(O1058:T1058)</f>
        <v>0</v>
      </c>
      <c r="V1058" s="22" t="n">
        <f aca="false">N1058-U1058</f>
        <v>19500</v>
      </c>
      <c r="W1058" s="22" t="n">
        <f aca="false">W1057+V1058</f>
        <v>-1786167.61489174</v>
      </c>
      <c r="X1058" s="23" t="str">
        <f aca="false">IF(W1058&gt;=0,"YES","No")</f>
        <v>No</v>
      </c>
    </row>
    <row r="1059" customFormat="false" ht="15" hidden="false" customHeight="false" outlineLevel="0" collapsed="false">
      <c r="A1059" s="16" t="n">
        <v>1058</v>
      </c>
      <c r="B1059" s="17" t="n">
        <f aca="false">B1058+1</f>
        <v>47080</v>
      </c>
      <c r="C1059" s="18" t="n">
        <f aca="false">MIN(ROUNDUP(A1059/365,0),5)</f>
        <v>3</v>
      </c>
      <c r="D1059" s="18" t="n">
        <f aca="false">DATEDIF(Assumptions!B5,B1059,"m")+1</f>
        <v>35</v>
      </c>
      <c r="E1059" s="18" t="str">
        <f aca="false">TEXT(B1059,"ddd")</f>
        <v>Thu</v>
      </c>
      <c r="F1059" s="19" t="n">
        <f aca="false">IF(WEEKDAY(B1059,2)&gt;=6,Assumptions!B34,Assumptions!B35)</f>
        <v>1</v>
      </c>
      <c r="G1059" s="20" t="n">
        <f aca="false">IF(D1059&gt;=13,(1+Assumptions!B46)^(D1059-12),1)</f>
        <v>1.07132554250583</v>
      </c>
      <c r="H1059" s="21" t="n">
        <f aca="false">H1058*(1+IF(C1059=1,Assumptions!B22,Assumptions!B23))</f>
        <v>23.3173157276188</v>
      </c>
      <c r="I1059" s="16" t="n">
        <f aca="false">ROUND(H1059*F1059,0)</f>
        <v>23</v>
      </c>
      <c r="J1059" s="22" t="n">
        <f aca="false">I1059*Assumptions!B24</f>
        <v>13800</v>
      </c>
      <c r="K1059" s="21" t="n">
        <f aca="false">K1058*(1+Assumptions!B30)</f>
        <v>18.5639731192174</v>
      </c>
      <c r="L1059" s="16" t="n">
        <f aca="false">ROUND(K1059*F1059,0)</f>
        <v>19</v>
      </c>
      <c r="M1059" s="22" t="n">
        <f aca="false">L1059*Assumptions!B31</f>
        <v>5700</v>
      </c>
      <c r="N1059" s="22" t="n">
        <f aca="false">J1059+M1059</f>
        <v>19500</v>
      </c>
      <c r="O1059" s="22" t="n">
        <f aca="false">IF(DAY(B1059)=1,Assumptions!B38*G1059,0)</f>
        <v>0</v>
      </c>
      <c r="P1059" s="22" t="n">
        <f aca="false">IF(DAY(B1059)=1,Assumptions!B39*G1059,0)</f>
        <v>0</v>
      </c>
      <c r="Q1059" s="22" t="n">
        <f aca="false">IF(DAY(B1059)=1,Assumptions!B40*G1059,0)</f>
        <v>0</v>
      </c>
      <c r="R1059" s="22" t="n">
        <f aca="false">IF(DAY(B1059)=1,Assumptions!B41*G1059,0)</f>
        <v>0</v>
      </c>
      <c r="S1059" s="22" t="n">
        <f aca="false">IF(AND(DAY(B1059)=1,D1059&gt;=13),Assumptions!B42*G1059,0)</f>
        <v>0</v>
      </c>
      <c r="T1059" s="22" t="n">
        <f aca="false">IF(DAY(B1059)=1,Assumptions!B43*G1059,0)</f>
        <v>0</v>
      </c>
      <c r="U1059" s="22" t="n">
        <f aca="false">SUM(O1059:T1059)</f>
        <v>0</v>
      </c>
      <c r="V1059" s="22" t="n">
        <f aca="false">N1059-U1059</f>
        <v>19500</v>
      </c>
      <c r="W1059" s="22" t="n">
        <f aca="false">W1058+V1059</f>
        <v>-1766667.61489174</v>
      </c>
      <c r="X1059" s="23" t="str">
        <f aca="false">IF(W1059&gt;=0,"YES","No")</f>
        <v>No</v>
      </c>
    </row>
    <row r="1060" customFormat="false" ht="15" hidden="false" customHeight="false" outlineLevel="0" collapsed="false">
      <c r="A1060" s="16" t="n">
        <v>1059</v>
      </c>
      <c r="B1060" s="17" t="n">
        <f aca="false">B1059+1</f>
        <v>47081</v>
      </c>
      <c r="C1060" s="18" t="n">
        <f aca="false">MIN(ROUNDUP(A1060/365,0),5)</f>
        <v>3</v>
      </c>
      <c r="D1060" s="18" t="n">
        <f aca="false">DATEDIF(Assumptions!B5,B1060,"m")+1</f>
        <v>35</v>
      </c>
      <c r="E1060" s="18" t="str">
        <f aca="false">TEXT(B1060,"ddd")</f>
        <v>Fri</v>
      </c>
      <c r="F1060" s="19" t="n">
        <f aca="false">IF(WEEKDAY(B1060,2)&gt;=6,Assumptions!B34,Assumptions!B35)</f>
        <v>1</v>
      </c>
      <c r="G1060" s="20" t="n">
        <f aca="false">IF(D1060&gt;=13,(1+Assumptions!B46)^(D1060-12),1)</f>
        <v>1.07132554250583</v>
      </c>
      <c r="H1060" s="21" t="n">
        <f aca="false">H1059*(1+IF(C1060=1,Assumptions!B22,Assumptions!B23))</f>
        <v>23.3211365426021</v>
      </c>
      <c r="I1060" s="16" t="n">
        <f aca="false">ROUND(H1060*F1060,0)</f>
        <v>23</v>
      </c>
      <c r="J1060" s="22" t="n">
        <f aca="false">I1060*Assumptions!B24</f>
        <v>13800</v>
      </c>
      <c r="K1060" s="21" t="n">
        <f aca="false">K1059*(1+Assumptions!B30)</f>
        <v>18.570042365878</v>
      </c>
      <c r="L1060" s="16" t="n">
        <f aca="false">ROUND(K1060*F1060,0)</f>
        <v>19</v>
      </c>
      <c r="M1060" s="22" t="n">
        <f aca="false">L1060*Assumptions!B31</f>
        <v>5700</v>
      </c>
      <c r="N1060" s="22" t="n">
        <f aca="false">J1060+M1060</f>
        <v>19500</v>
      </c>
      <c r="O1060" s="22" t="n">
        <f aca="false">IF(DAY(B1060)=1,Assumptions!B38*G1060,0)</f>
        <v>0</v>
      </c>
      <c r="P1060" s="22" t="n">
        <f aca="false">IF(DAY(B1060)=1,Assumptions!B39*G1060,0)</f>
        <v>0</v>
      </c>
      <c r="Q1060" s="22" t="n">
        <f aca="false">IF(DAY(B1060)=1,Assumptions!B40*G1060,0)</f>
        <v>0</v>
      </c>
      <c r="R1060" s="22" t="n">
        <f aca="false">IF(DAY(B1060)=1,Assumptions!B41*G1060,0)</f>
        <v>0</v>
      </c>
      <c r="S1060" s="22" t="n">
        <f aca="false">IF(AND(DAY(B1060)=1,D1060&gt;=13),Assumptions!B42*G1060,0)</f>
        <v>0</v>
      </c>
      <c r="T1060" s="22" t="n">
        <f aca="false">IF(DAY(B1060)=1,Assumptions!B43*G1060,0)</f>
        <v>0</v>
      </c>
      <c r="U1060" s="22" t="n">
        <f aca="false">SUM(O1060:T1060)</f>
        <v>0</v>
      </c>
      <c r="V1060" s="22" t="n">
        <f aca="false">N1060-U1060</f>
        <v>19500</v>
      </c>
      <c r="W1060" s="22" t="n">
        <f aca="false">W1059+V1060</f>
        <v>-1747167.61489174</v>
      </c>
      <c r="X1060" s="23" t="str">
        <f aca="false">IF(W1060&gt;=0,"YES","No")</f>
        <v>No</v>
      </c>
    </row>
    <row r="1061" customFormat="false" ht="15" hidden="false" customHeight="false" outlineLevel="0" collapsed="false">
      <c r="A1061" s="16" t="n">
        <v>1060</v>
      </c>
      <c r="B1061" s="17" t="n">
        <f aca="false">B1060+1</f>
        <v>47082</v>
      </c>
      <c r="C1061" s="18" t="n">
        <f aca="false">MIN(ROUNDUP(A1061/365,0),5)</f>
        <v>3</v>
      </c>
      <c r="D1061" s="18" t="n">
        <f aca="false">DATEDIF(Assumptions!B5,B1061,"m")+1</f>
        <v>35</v>
      </c>
      <c r="E1061" s="18" t="str">
        <f aca="false">TEXT(B1061,"ddd")</f>
        <v>Sat</v>
      </c>
      <c r="F1061" s="19" t="n">
        <f aca="false">IF(WEEKDAY(B1061,2)&gt;=6,Assumptions!B34,Assumptions!B35)</f>
        <v>0.6</v>
      </c>
      <c r="G1061" s="20" t="n">
        <f aca="false">IF(D1061&gt;=13,(1+Assumptions!B46)^(D1061-12),1)</f>
        <v>1.07132554250583</v>
      </c>
      <c r="H1061" s="21" t="n">
        <f aca="false">H1060*(1+IF(C1061=1,Assumptions!B22,Assumptions!B23))</f>
        <v>23.3249579836707</v>
      </c>
      <c r="I1061" s="16" t="n">
        <f aca="false">ROUND(H1061*F1061,0)</f>
        <v>14</v>
      </c>
      <c r="J1061" s="22" t="n">
        <f aca="false">I1061*Assumptions!B24</f>
        <v>8400</v>
      </c>
      <c r="K1061" s="21" t="n">
        <f aca="false">K1060*(1+Assumptions!B30)</f>
        <v>18.5761135967988</v>
      </c>
      <c r="L1061" s="16" t="n">
        <f aca="false">ROUND(K1061*F1061,0)</f>
        <v>11</v>
      </c>
      <c r="M1061" s="22" t="n">
        <f aca="false">L1061*Assumptions!B31</f>
        <v>3300</v>
      </c>
      <c r="N1061" s="22" t="n">
        <f aca="false">J1061+M1061</f>
        <v>11700</v>
      </c>
      <c r="O1061" s="22" t="n">
        <f aca="false">IF(DAY(B1061)=1,Assumptions!B38*G1061,0)</f>
        <v>0</v>
      </c>
      <c r="P1061" s="22" t="n">
        <f aca="false">IF(DAY(B1061)=1,Assumptions!B39*G1061,0)</f>
        <v>0</v>
      </c>
      <c r="Q1061" s="22" t="n">
        <f aca="false">IF(DAY(B1061)=1,Assumptions!B40*G1061,0)</f>
        <v>0</v>
      </c>
      <c r="R1061" s="22" t="n">
        <f aca="false">IF(DAY(B1061)=1,Assumptions!B41*G1061,0)</f>
        <v>0</v>
      </c>
      <c r="S1061" s="22" t="n">
        <f aca="false">IF(AND(DAY(B1061)=1,D1061&gt;=13),Assumptions!B42*G1061,0)</f>
        <v>0</v>
      </c>
      <c r="T1061" s="22" t="n">
        <f aca="false">IF(DAY(B1061)=1,Assumptions!B43*G1061,0)</f>
        <v>0</v>
      </c>
      <c r="U1061" s="22" t="n">
        <f aca="false">SUM(O1061:T1061)</f>
        <v>0</v>
      </c>
      <c r="V1061" s="22" t="n">
        <f aca="false">N1061-U1061</f>
        <v>11700</v>
      </c>
      <c r="W1061" s="22" t="n">
        <f aca="false">W1060+V1061</f>
        <v>-1735467.61489174</v>
      </c>
      <c r="X1061" s="23" t="str">
        <f aca="false">IF(W1061&gt;=0,"YES","No")</f>
        <v>No</v>
      </c>
    </row>
    <row r="1062" customFormat="false" ht="15" hidden="false" customHeight="false" outlineLevel="0" collapsed="false">
      <c r="A1062" s="16" t="n">
        <v>1061</v>
      </c>
      <c r="B1062" s="17" t="n">
        <f aca="false">B1061+1</f>
        <v>47083</v>
      </c>
      <c r="C1062" s="18" t="n">
        <f aca="false">MIN(ROUNDUP(A1062/365,0),5)</f>
        <v>3</v>
      </c>
      <c r="D1062" s="18" t="n">
        <f aca="false">DATEDIF(Assumptions!B5,B1062,"m")+1</f>
        <v>35</v>
      </c>
      <c r="E1062" s="18" t="str">
        <f aca="false">TEXT(B1062,"ddd")</f>
        <v>Sun</v>
      </c>
      <c r="F1062" s="19" t="n">
        <f aca="false">IF(WEEKDAY(B1062,2)&gt;=6,Assumptions!B34,Assumptions!B35)</f>
        <v>0.6</v>
      </c>
      <c r="G1062" s="20" t="n">
        <f aca="false">IF(D1062&gt;=13,(1+Assumptions!B46)^(D1062-12),1)</f>
        <v>1.07132554250583</v>
      </c>
      <c r="H1062" s="21" t="n">
        <f aca="false">H1061*(1+IF(C1062=1,Assumptions!B22,Assumptions!B23))</f>
        <v>23.3287800509272</v>
      </c>
      <c r="I1062" s="16" t="n">
        <f aca="false">ROUND(H1062*F1062,0)</f>
        <v>14</v>
      </c>
      <c r="J1062" s="22" t="n">
        <f aca="false">I1062*Assumptions!B24</f>
        <v>8400</v>
      </c>
      <c r="K1062" s="21" t="n">
        <f aca="false">K1061*(1+Assumptions!B30)</f>
        <v>18.5821868126287</v>
      </c>
      <c r="L1062" s="16" t="n">
        <f aca="false">ROUND(K1062*F1062,0)</f>
        <v>11</v>
      </c>
      <c r="M1062" s="22" t="n">
        <f aca="false">L1062*Assumptions!B31</f>
        <v>3300</v>
      </c>
      <c r="N1062" s="22" t="n">
        <f aca="false">J1062+M1062</f>
        <v>11700</v>
      </c>
      <c r="O1062" s="22" t="n">
        <f aca="false">IF(DAY(B1062)=1,Assumptions!B38*G1062,0)</f>
        <v>0</v>
      </c>
      <c r="P1062" s="22" t="n">
        <f aca="false">IF(DAY(B1062)=1,Assumptions!B39*G1062,0)</f>
        <v>0</v>
      </c>
      <c r="Q1062" s="22" t="n">
        <f aca="false">IF(DAY(B1062)=1,Assumptions!B40*G1062,0)</f>
        <v>0</v>
      </c>
      <c r="R1062" s="22" t="n">
        <f aca="false">IF(DAY(B1062)=1,Assumptions!B41*G1062,0)</f>
        <v>0</v>
      </c>
      <c r="S1062" s="22" t="n">
        <f aca="false">IF(AND(DAY(B1062)=1,D1062&gt;=13),Assumptions!B42*G1062,0)</f>
        <v>0</v>
      </c>
      <c r="T1062" s="22" t="n">
        <f aca="false">IF(DAY(B1062)=1,Assumptions!B43*G1062,0)</f>
        <v>0</v>
      </c>
      <c r="U1062" s="22" t="n">
        <f aca="false">SUM(O1062:T1062)</f>
        <v>0</v>
      </c>
      <c r="V1062" s="22" t="n">
        <f aca="false">N1062-U1062</f>
        <v>11700</v>
      </c>
      <c r="W1062" s="22" t="n">
        <f aca="false">W1061+V1062</f>
        <v>-1723767.61489174</v>
      </c>
      <c r="X1062" s="23" t="str">
        <f aca="false">IF(W1062&gt;=0,"YES","No")</f>
        <v>No</v>
      </c>
    </row>
    <row r="1063" customFormat="false" ht="15" hidden="false" customHeight="false" outlineLevel="0" collapsed="false">
      <c r="A1063" s="16" t="n">
        <v>1062</v>
      </c>
      <c r="B1063" s="17" t="n">
        <f aca="false">B1062+1</f>
        <v>47084</v>
      </c>
      <c r="C1063" s="18" t="n">
        <f aca="false">MIN(ROUNDUP(A1063/365,0),5)</f>
        <v>3</v>
      </c>
      <c r="D1063" s="18" t="n">
        <f aca="false">DATEDIF(Assumptions!B5,B1063,"m")+1</f>
        <v>35</v>
      </c>
      <c r="E1063" s="18" t="str">
        <f aca="false">TEXT(B1063,"ddd")</f>
        <v>Mon</v>
      </c>
      <c r="F1063" s="19" t="n">
        <f aca="false">IF(WEEKDAY(B1063,2)&gt;=6,Assumptions!B34,Assumptions!B35)</f>
        <v>1</v>
      </c>
      <c r="G1063" s="20" t="n">
        <f aca="false">IF(D1063&gt;=13,(1+Assumptions!B46)^(D1063-12),1)</f>
        <v>1.07132554250583</v>
      </c>
      <c r="H1063" s="21" t="n">
        <f aca="false">H1062*(1+IF(C1063=1,Assumptions!B22,Assumptions!B23))</f>
        <v>23.3326027444741</v>
      </c>
      <c r="I1063" s="16" t="n">
        <f aca="false">ROUND(H1063*F1063,0)</f>
        <v>23</v>
      </c>
      <c r="J1063" s="22" t="n">
        <f aca="false">I1063*Assumptions!B24</f>
        <v>13800</v>
      </c>
      <c r="K1063" s="21" t="n">
        <f aca="false">K1062*(1+Assumptions!B30)</f>
        <v>18.5882620140165</v>
      </c>
      <c r="L1063" s="16" t="n">
        <f aca="false">ROUND(K1063*F1063,0)</f>
        <v>19</v>
      </c>
      <c r="M1063" s="22" t="n">
        <f aca="false">L1063*Assumptions!B31</f>
        <v>5700</v>
      </c>
      <c r="N1063" s="22" t="n">
        <f aca="false">J1063+M1063</f>
        <v>19500</v>
      </c>
      <c r="O1063" s="22" t="n">
        <f aca="false">IF(DAY(B1063)=1,Assumptions!B38*G1063,0)</f>
        <v>0</v>
      </c>
      <c r="P1063" s="22" t="n">
        <f aca="false">IF(DAY(B1063)=1,Assumptions!B39*G1063,0)</f>
        <v>0</v>
      </c>
      <c r="Q1063" s="22" t="n">
        <f aca="false">IF(DAY(B1063)=1,Assumptions!B40*G1063,0)</f>
        <v>0</v>
      </c>
      <c r="R1063" s="22" t="n">
        <f aca="false">IF(DAY(B1063)=1,Assumptions!B41*G1063,0)</f>
        <v>0</v>
      </c>
      <c r="S1063" s="22" t="n">
        <f aca="false">IF(AND(DAY(B1063)=1,D1063&gt;=13),Assumptions!B42*G1063,0)</f>
        <v>0</v>
      </c>
      <c r="T1063" s="22" t="n">
        <f aca="false">IF(DAY(B1063)=1,Assumptions!B43*G1063,0)</f>
        <v>0</v>
      </c>
      <c r="U1063" s="22" t="n">
        <f aca="false">SUM(O1063:T1063)</f>
        <v>0</v>
      </c>
      <c r="V1063" s="22" t="n">
        <f aca="false">N1063-U1063</f>
        <v>19500</v>
      </c>
      <c r="W1063" s="22" t="n">
        <f aca="false">W1062+V1063</f>
        <v>-1704267.61489174</v>
      </c>
      <c r="X1063" s="23" t="str">
        <f aca="false">IF(W1063&gt;=0,"YES","No")</f>
        <v>No</v>
      </c>
    </row>
    <row r="1064" customFormat="false" ht="15" hidden="false" customHeight="false" outlineLevel="0" collapsed="false">
      <c r="A1064" s="16" t="n">
        <v>1063</v>
      </c>
      <c r="B1064" s="17" t="n">
        <f aca="false">B1063+1</f>
        <v>47085</v>
      </c>
      <c r="C1064" s="18" t="n">
        <f aca="false">MIN(ROUNDUP(A1064/365,0),5)</f>
        <v>3</v>
      </c>
      <c r="D1064" s="18" t="n">
        <f aca="false">DATEDIF(Assumptions!B5,B1064,"m")+1</f>
        <v>35</v>
      </c>
      <c r="E1064" s="18" t="str">
        <f aca="false">TEXT(B1064,"ddd")</f>
        <v>Tue</v>
      </c>
      <c r="F1064" s="19" t="n">
        <f aca="false">IF(WEEKDAY(B1064,2)&gt;=6,Assumptions!B34,Assumptions!B35)</f>
        <v>1</v>
      </c>
      <c r="G1064" s="20" t="n">
        <f aca="false">IF(D1064&gt;=13,(1+Assumptions!B46)^(D1064-12),1)</f>
        <v>1.07132554250583</v>
      </c>
      <c r="H1064" s="21" t="n">
        <f aca="false">H1063*(1+IF(C1064=1,Assumptions!B22,Assumptions!B23))</f>
        <v>23.336426064414</v>
      </c>
      <c r="I1064" s="16" t="n">
        <f aca="false">ROUND(H1064*F1064,0)</f>
        <v>23</v>
      </c>
      <c r="J1064" s="22" t="n">
        <f aca="false">I1064*Assumptions!B24</f>
        <v>13800</v>
      </c>
      <c r="K1064" s="21" t="n">
        <f aca="false">K1063*(1+Assumptions!B30)</f>
        <v>18.5943392016115</v>
      </c>
      <c r="L1064" s="16" t="n">
        <f aca="false">ROUND(K1064*F1064,0)</f>
        <v>19</v>
      </c>
      <c r="M1064" s="22" t="n">
        <f aca="false">L1064*Assumptions!B31</f>
        <v>5700</v>
      </c>
      <c r="N1064" s="22" t="n">
        <f aca="false">J1064+M1064</f>
        <v>19500</v>
      </c>
      <c r="O1064" s="22" t="n">
        <f aca="false">IF(DAY(B1064)=1,Assumptions!B38*G1064,0)</f>
        <v>0</v>
      </c>
      <c r="P1064" s="22" t="n">
        <f aca="false">IF(DAY(B1064)=1,Assumptions!B39*G1064,0)</f>
        <v>0</v>
      </c>
      <c r="Q1064" s="22" t="n">
        <f aca="false">IF(DAY(B1064)=1,Assumptions!B40*G1064,0)</f>
        <v>0</v>
      </c>
      <c r="R1064" s="22" t="n">
        <f aca="false">IF(DAY(B1064)=1,Assumptions!B41*G1064,0)</f>
        <v>0</v>
      </c>
      <c r="S1064" s="22" t="n">
        <f aca="false">IF(AND(DAY(B1064)=1,D1064&gt;=13),Assumptions!B42*G1064,0)</f>
        <v>0</v>
      </c>
      <c r="T1064" s="22" t="n">
        <f aca="false">IF(DAY(B1064)=1,Assumptions!B43*G1064,0)</f>
        <v>0</v>
      </c>
      <c r="U1064" s="22" t="n">
        <f aca="false">SUM(O1064:T1064)</f>
        <v>0</v>
      </c>
      <c r="V1064" s="22" t="n">
        <f aca="false">N1064-U1064</f>
        <v>19500</v>
      </c>
      <c r="W1064" s="22" t="n">
        <f aca="false">W1063+V1064</f>
        <v>-1684767.61489174</v>
      </c>
      <c r="X1064" s="23" t="str">
        <f aca="false">IF(W1064&gt;=0,"YES","No")</f>
        <v>No</v>
      </c>
    </row>
    <row r="1065" customFormat="false" ht="15" hidden="false" customHeight="false" outlineLevel="0" collapsed="false">
      <c r="A1065" s="16" t="n">
        <v>1064</v>
      </c>
      <c r="B1065" s="17" t="n">
        <f aca="false">B1064+1</f>
        <v>47086</v>
      </c>
      <c r="C1065" s="18" t="n">
        <f aca="false">MIN(ROUNDUP(A1065/365,0),5)</f>
        <v>3</v>
      </c>
      <c r="D1065" s="18" t="n">
        <f aca="false">DATEDIF(Assumptions!B5,B1065,"m")+1</f>
        <v>35</v>
      </c>
      <c r="E1065" s="18" t="str">
        <f aca="false">TEXT(B1065,"ddd")</f>
        <v>Wed</v>
      </c>
      <c r="F1065" s="19" t="n">
        <f aca="false">IF(WEEKDAY(B1065,2)&gt;=6,Assumptions!B34,Assumptions!B35)</f>
        <v>1</v>
      </c>
      <c r="G1065" s="20" t="n">
        <f aca="false">IF(D1065&gt;=13,(1+Assumptions!B46)^(D1065-12),1)</f>
        <v>1.07132554250583</v>
      </c>
      <c r="H1065" s="21" t="n">
        <f aca="false">H1064*(1+IF(C1065=1,Assumptions!B22,Assumptions!B23))</f>
        <v>23.3402500108496</v>
      </c>
      <c r="I1065" s="16" t="n">
        <f aca="false">ROUND(H1065*F1065,0)</f>
        <v>23</v>
      </c>
      <c r="J1065" s="22" t="n">
        <f aca="false">I1065*Assumptions!B24</f>
        <v>13800</v>
      </c>
      <c r="K1065" s="21" t="n">
        <f aca="false">K1064*(1+Assumptions!B30)</f>
        <v>18.600418376063</v>
      </c>
      <c r="L1065" s="16" t="n">
        <f aca="false">ROUND(K1065*F1065,0)</f>
        <v>19</v>
      </c>
      <c r="M1065" s="22" t="n">
        <f aca="false">L1065*Assumptions!B31</f>
        <v>5700</v>
      </c>
      <c r="N1065" s="22" t="n">
        <f aca="false">J1065+M1065</f>
        <v>19500</v>
      </c>
      <c r="O1065" s="22" t="n">
        <f aca="false">IF(DAY(B1065)=1,Assumptions!B38*G1065,0)</f>
        <v>0</v>
      </c>
      <c r="P1065" s="22" t="n">
        <f aca="false">IF(DAY(B1065)=1,Assumptions!B39*G1065,0)</f>
        <v>0</v>
      </c>
      <c r="Q1065" s="22" t="n">
        <f aca="false">IF(DAY(B1065)=1,Assumptions!B40*G1065,0)</f>
        <v>0</v>
      </c>
      <c r="R1065" s="22" t="n">
        <f aca="false">IF(DAY(B1065)=1,Assumptions!B41*G1065,0)</f>
        <v>0</v>
      </c>
      <c r="S1065" s="22" t="n">
        <f aca="false">IF(AND(DAY(B1065)=1,D1065&gt;=13),Assumptions!B42*G1065,0)</f>
        <v>0</v>
      </c>
      <c r="T1065" s="22" t="n">
        <f aca="false">IF(DAY(B1065)=1,Assumptions!B43*G1065,0)</f>
        <v>0</v>
      </c>
      <c r="U1065" s="22" t="n">
        <f aca="false">SUM(O1065:T1065)</f>
        <v>0</v>
      </c>
      <c r="V1065" s="22" t="n">
        <f aca="false">N1065-U1065</f>
        <v>19500</v>
      </c>
      <c r="W1065" s="22" t="n">
        <f aca="false">W1064+V1065</f>
        <v>-1665267.61489174</v>
      </c>
      <c r="X1065" s="23" t="str">
        <f aca="false">IF(W1065&gt;=0,"YES","No")</f>
        <v>No</v>
      </c>
    </row>
    <row r="1066" customFormat="false" ht="15" hidden="false" customHeight="false" outlineLevel="0" collapsed="false">
      <c r="A1066" s="16" t="n">
        <v>1065</v>
      </c>
      <c r="B1066" s="17" t="n">
        <f aca="false">B1065+1</f>
        <v>47087</v>
      </c>
      <c r="C1066" s="18" t="n">
        <f aca="false">MIN(ROUNDUP(A1066/365,0),5)</f>
        <v>3</v>
      </c>
      <c r="D1066" s="18" t="n">
        <f aca="false">DATEDIF(Assumptions!B5,B1066,"m")+1</f>
        <v>35</v>
      </c>
      <c r="E1066" s="18" t="str">
        <f aca="false">TEXT(B1066,"ddd")</f>
        <v>Thu</v>
      </c>
      <c r="F1066" s="19" t="n">
        <f aca="false">IF(WEEKDAY(B1066,2)&gt;=6,Assumptions!B34,Assumptions!B35)</f>
        <v>1</v>
      </c>
      <c r="G1066" s="20" t="n">
        <f aca="false">IF(D1066&gt;=13,(1+Assumptions!B46)^(D1066-12),1)</f>
        <v>1.07132554250583</v>
      </c>
      <c r="H1066" s="21" t="n">
        <f aca="false">H1065*(1+IF(C1066=1,Assumptions!B22,Assumptions!B23))</f>
        <v>23.3440745838836</v>
      </c>
      <c r="I1066" s="16" t="n">
        <f aca="false">ROUND(H1066*F1066,0)</f>
        <v>23</v>
      </c>
      <c r="J1066" s="22" t="n">
        <f aca="false">I1066*Assumptions!B24</f>
        <v>13800</v>
      </c>
      <c r="K1066" s="21" t="n">
        <f aca="false">K1065*(1+Assumptions!B30)</f>
        <v>18.6064995380205</v>
      </c>
      <c r="L1066" s="16" t="n">
        <f aca="false">ROUND(K1066*F1066,0)</f>
        <v>19</v>
      </c>
      <c r="M1066" s="22" t="n">
        <f aca="false">L1066*Assumptions!B31</f>
        <v>5700</v>
      </c>
      <c r="N1066" s="22" t="n">
        <f aca="false">J1066+M1066</f>
        <v>19500</v>
      </c>
      <c r="O1066" s="22" t="n">
        <f aca="false">IF(DAY(B1066)=1,Assumptions!B38*G1066,0)</f>
        <v>0</v>
      </c>
      <c r="P1066" s="22" t="n">
        <f aca="false">IF(DAY(B1066)=1,Assumptions!B39*G1066,0)</f>
        <v>0</v>
      </c>
      <c r="Q1066" s="22" t="n">
        <f aca="false">IF(DAY(B1066)=1,Assumptions!B40*G1066,0)</f>
        <v>0</v>
      </c>
      <c r="R1066" s="22" t="n">
        <f aca="false">IF(DAY(B1066)=1,Assumptions!B41*G1066,0)</f>
        <v>0</v>
      </c>
      <c r="S1066" s="22" t="n">
        <f aca="false">IF(AND(DAY(B1066)=1,D1066&gt;=13),Assumptions!B42*G1066,0)</f>
        <v>0</v>
      </c>
      <c r="T1066" s="22" t="n">
        <f aca="false">IF(DAY(B1066)=1,Assumptions!B43*G1066,0)</f>
        <v>0</v>
      </c>
      <c r="U1066" s="22" t="n">
        <f aca="false">SUM(O1066:T1066)</f>
        <v>0</v>
      </c>
      <c r="V1066" s="22" t="n">
        <f aca="false">N1066-U1066</f>
        <v>19500</v>
      </c>
      <c r="W1066" s="22" t="n">
        <f aca="false">W1065+V1066</f>
        <v>-1645767.61489174</v>
      </c>
      <c r="X1066" s="23" t="str">
        <f aca="false">IF(W1066&gt;=0,"YES","No")</f>
        <v>No</v>
      </c>
    </row>
    <row r="1067" customFormat="false" ht="15" hidden="false" customHeight="false" outlineLevel="0" collapsed="false">
      <c r="A1067" s="16" t="n">
        <v>1066</v>
      </c>
      <c r="B1067" s="17" t="n">
        <f aca="false">B1066+1</f>
        <v>47088</v>
      </c>
      <c r="C1067" s="18" t="n">
        <f aca="false">MIN(ROUNDUP(A1067/365,0),5)</f>
        <v>3</v>
      </c>
      <c r="D1067" s="18" t="n">
        <f aca="false">DATEDIF(Assumptions!B5,B1067,"m")+1</f>
        <v>36</v>
      </c>
      <c r="E1067" s="18" t="str">
        <f aca="false">TEXT(B1067,"ddd")</f>
        <v>Fri</v>
      </c>
      <c r="F1067" s="19" t="n">
        <f aca="false">IF(WEEKDAY(B1067,2)&gt;=6,Assumptions!B34,Assumptions!B35)</f>
        <v>1</v>
      </c>
      <c r="G1067" s="20" t="n">
        <f aca="false">IF(D1067&gt;=13,(1+Assumptions!B46)^(D1067-12),1)</f>
        <v>1.07453951913335</v>
      </c>
      <c r="H1067" s="21" t="n">
        <f aca="false">H1066*(1+IF(C1067=1,Assumptions!B22,Assumptions!B23))</f>
        <v>23.3478997836187</v>
      </c>
      <c r="I1067" s="16" t="n">
        <f aca="false">ROUND(H1067*F1067,0)</f>
        <v>23</v>
      </c>
      <c r="J1067" s="22" t="n">
        <f aca="false">I1067*Assumptions!B24</f>
        <v>13800</v>
      </c>
      <c r="K1067" s="21" t="n">
        <f aca="false">K1066*(1+Assumptions!B30)</f>
        <v>18.6125826881339</v>
      </c>
      <c r="L1067" s="16" t="n">
        <f aca="false">ROUND(K1067*F1067,0)</f>
        <v>19</v>
      </c>
      <c r="M1067" s="22" t="n">
        <f aca="false">L1067*Assumptions!B31</f>
        <v>5700</v>
      </c>
      <c r="N1067" s="22" t="n">
        <f aca="false">J1067+M1067</f>
        <v>19500</v>
      </c>
      <c r="O1067" s="22" t="n">
        <f aca="false">IF(DAY(B1067)=1,Assumptions!B38*G1067,0)</f>
        <v>161180.927870003</v>
      </c>
      <c r="P1067" s="22" t="n">
        <f aca="false">IF(DAY(B1067)=1,Assumptions!B39*G1067,0)</f>
        <v>42981.5807653341</v>
      </c>
      <c r="Q1067" s="22" t="n">
        <f aca="false">IF(DAY(B1067)=1,Assumptions!B40*G1067,0)</f>
        <v>32236.1855740005</v>
      </c>
      <c r="R1067" s="22" t="n">
        <f aca="false">IF(DAY(B1067)=1,Assumptions!B41*G1067,0)</f>
        <v>21490.790382667</v>
      </c>
      <c r="S1067" s="22" t="n">
        <f aca="false">IF(AND(DAY(B1067)=1,D1067&gt;=13),Assumptions!B42*G1067,0)</f>
        <v>161180.927870003</v>
      </c>
      <c r="T1067" s="22" t="n">
        <f aca="false">IF(DAY(B1067)=1,Assumptions!B43*G1067,0)</f>
        <v>21490.790382667</v>
      </c>
      <c r="U1067" s="22" t="n">
        <f aca="false">SUM(O1067:T1067)</f>
        <v>440561.202844674</v>
      </c>
      <c r="V1067" s="22" t="n">
        <f aca="false">N1067-U1067</f>
        <v>-421061.202844674</v>
      </c>
      <c r="W1067" s="22" t="n">
        <f aca="false">W1066+V1067</f>
        <v>-2066828.81773641</v>
      </c>
      <c r="X1067" s="23" t="str">
        <f aca="false">IF(W1067&gt;=0,"YES","No")</f>
        <v>No</v>
      </c>
    </row>
    <row r="1068" customFormat="false" ht="15" hidden="false" customHeight="false" outlineLevel="0" collapsed="false">
      <c r="A1068" s="16" t="n">
        <v>1067</v>
      </c>
      <c r="B1068" s="17" t="n">
        <f aca="false">B1067+1</f>
        <v>47089</v>
      </c>
      <c r="C1068" s="18" t="n">
        <f aca="false">MIN(ROUNDUP(A1068/365,0),5)</f>
        <v>3</v>
      </c>
      <c r="D1068" s="18" t="n">
        <f aca="false">DATEDIF(Assumptions!B5,B1068,"m")+1</f>
        <v>36</v>
      </c>
      <c r="E1068" s="18" t="str">
        <f aca="false">TEXT(B1068,"ddd")</f>
        <v>Sat</v>
      </c>
      <c r="F1068" s="19" t="n">
        <f aca="false">IF(WEEKDAY(B1068,2)&gt;=6,Assumptions!B34,Assumptions!B35)</f>
        <v>0.6</v>
      </c>
      <c r="G1068" s="20" t="n">
        <f aca="false">IF(D1068&gt;=13,(1+Assumptions!B46)^(D1068-12),1)</f>
        <v>1.07453951913335</v>
      </c>
      <c r="H1068" s="21" t="n">
        <f aca="false">H1067*(1+IF(C1068=1,Assumptions!B22,Assumptions!B23))</f>
        <v>23.3517256101575</v>
      </c>
      <c r="I1068" s="16" t="n">
        <f aca="false">ROUND(H1068*F1068,0)</f>
        <v>14</v>
      </c>
      <c r="J1068" s="22" t="n">
        <f aca="false">I1068*Assumptions!B24</f>
        <v>8400</v>
      </c>
      <c r="K1068" s="21" t="n">
        <f aca="false">K1067*(1+Assumptions!B30)</f>
        <v>18.6186678270532</v>
      </c>
      <c r="L1068" s="16" t="n">
        <f aca="false">ROUND(K1068*F1068,0)</f>
        <v>11</v>
      </c>
      <c r="M1068" s="22" t="n">
        <f aca="false">L1068*Assumptions!B31</f>
        <v>3300</v>
      </c>
      <c r="N1068" s="22" t="n">
        <f aca="false">J1068+M1068</f>
        <v>11700</v>
      </c>
      <c r="O1068" s="22" t="n">
        <f aca="false">IF(DAY(B1068)=1,Assumptions!B38*G1068,0)</f>
        <v>0</v>
      </c>
      <c r="P1068" s="22" t="n">
        <f aca="false">IF(DAY(B1068)=1,Assumptions!B39*G1068,0)</f>
        <v>0</v>
      </c>
      <c r="Q1068" s="22" t="n">
        <f aca="false">IF(DAY(B1068)=1,Assumptions!B40*G1068,0)</f>
        <v>0</v>
      </c>
      <c r="R1068" s="22" t="n">
        <f aca="false">IF(DAY(B1068)=1,Assumptions!B41*G1068,0)</f>
        <v>0</v>
      </c>
      <c r="S1068" s="22" t="n">
        <f aca="false">IF(AND(DAY(B1068)=1,D1068&gt;=13),Assumptions!B42*G1068,0)</f>
        <v>0</v>
      </c>
      <c r="T1068" s="22" t="n">
        <f aca="false">IF(DAY(B1068)=1,Assumptions!B43*G1068,0)</f>
        <v>0</v>
      </c>
      <c r="U1068" s="22" t="n">
        <f aca="false">SUM(O1068:T1068)</f>
        <v>0</v>
      </c>
      <c r="V1068" s="22" t="n">
        <f aca="false">N1068-U1068</f>
        <v>11700</v>
      </c>
      <c r="W1068" s="22" t="n">
        <f aca="false">W1067+V1068</f>
        <v>-2055128.81773641</v>
      </c>
      <c r="X1068" s="23" t="str">
        <f aca="false">IF(W1068&gt;=0,"YES","No")</f>
        <v>No</v>
      </c>
    </row>
    <row r="1069" customFormat="false" ht="15" hidden="false" customHeight="false" outlineLevel="0" collapsed="false">
      <c r="A1069" s="16" t="n">
        <v>1068</v>
      </c>
      <c r="B1069" s="17" t="n">
        <f aca="false">B1068+1</f>
        <v>47090</v>
      </c>
      <c r="C1069" s="18" t="n">
        <f aca="false">MIN(ROUNDUP(A1069/365,0),5)</f>
        <v>3</v>
      </c>
      <c r="D1069" s="18" t="n">
        <f aca="false">DATEDIF(Assumptions!B5,B1069,"m")+1</f>
        <v>36</v>
      </c>
      <c r="E1069" s="18" t="str">
        <f aca="false">TEXT(B1069,"ddd")</f>
        <v>Sun</v>
      </c>
      <c r="F1069" s="19" t="n">
        <f aca="false">IF(WEEKDAY(B1069,2)&gt;=6,Assumptions!B34,Assumptions!B35)</f>
        <v>0.6</v>
      </c>
      <c r="G1069" s="20" t="n">
        <f aca="false">IF(D1069&gt;=13,(1+Assumptions!B46)^(D1069-12),1)</f>
        <v>1.07453951913335</v>
      </c>
      <c r="H1069" s="21" t="n">
        <f aca="false">H1068*(1+IF(C1069=1,Assumptions!B22,Assumptions!B23))</f>
        <v>23.3555520636027</v>
      </c>
      <c r="I1069" s="16" t="n">
        <f aca="false">ROUND(H1069*F1069,0)</f>
        <v>14</v>
      </c>
      <c r="J1069" s="22" t="n">
        <f aca="false">I1069*Assumptions!B24</f>
        <v>8400</v>
      </c>
      <c r="K1069" s="21" t="n">
        <f aca="false">K1068*(1+Assumptions!B30)</f>
        <v>18.6247549554285</v>
      </c>
      <c r="L1069" s="16" t="n">
        <f aca="false">ROUND(K1069*F1069,0)</f>
        <v>11</v>
      </c>
      <c r="M1069" s="22" t="n">
        <f aca="false">L1069*Assumptions!B31</f>
        <v>3300</v>
      </c>
      <c r="N1069" s="22" t="n">
        <f aca="false">J1069+M1069</f>
        <v>11700</v>
      </c>
      <c r="O1069" s="22" t="n">
        <f aca="false">IF(DAY(B1069)=1,Assumptions!B38*G1069,0)</f>
        <v>0</v>
      </c>
      <c r="P1069" s="22" t="n">
        <f aca="false">IF(DAY(B1069)=1,Assumptions!B39*G1069,0)</f>
        <v>0</v>
      </c>
      <c r="Q1069" s="22" t="n">
        <f aca="false">IF(DAY(B1069)=1,Assumptions!B40*G1069,0)</f>
        <v>0</v>
      </c>
      <c r="R1069" s="22" t="n">
        <f aca="false">IF(DAY(B1069)=1,Assumptions!B41*G1069,0)</f>
        <v>0</v>
      </c>
      <c r="S1069" s="22" t="n">
        <f aca="false">IF(AND(DAY(B1069)=1,D1069&gt;=13),Assumptions!B42*G1069,0)</f>
        <v>0</v>
      </c>
      <c r="T1069" s="22" t="n">
        <f aca="false">IF(DAY(B1069)=1,Assumptions!B43*G1069,0)</f>
        <v>0</v>
      </c>
      <c r="U1069" s="22" t="n">
        <f aca="false">SUM(O1069:T1069)</f>
        <v>0</v>
      </c>
      <c r="V1069" s="22" t="n">
        <f aca="false">N1069-U1069</f>
        <v>11700</v>
      </c>
      <c r="W1069" s="22" t="n">
        <f aca="false">W1068+V1069</f>
        <v>-2043428.81773641</v>
      </c>
      <c r="X1069" s="23" t="str">
        <f aca="false">IF(W1069&gt;=0,"YES","No")</f>
        <v>No</v>
      </c>
    </row>
    <row r="1070" customFormat="false" ht="15" hidden="false" customHeight="false" outlineLevel="0" collapsed="false">
      <c r="A1070" s="16" t="n">
        <v>1069</v>
      </c>
      <c r="B1070" s="17" t="n">
        <f aca="false">B1069+1</f>
        <v>47091</v>
      </c>
      <c r="C1070" s="18" t="n">
        <f aca="false">MIN(ROUNDUP(A1070/365,0),5)</f>
        <v>3</v>
      </c>
      <c r="D1070" s="18" t="n">
        <f aca="false">DATEDIF(Assumptions!B5,B1070,"m")+1</f>
        <v>36</v>
      </c>
      <c r="E1070" s="18" t="str">
        <f aca="false">TEXT(B1070,"ddd")</f>
        <v>Mon</v>
      </c>
      <c r="F1070" s="19" t="n">
        <f aca="false">IF(WEEKDAY(B1070,2)&gt;=6,Assumptions!B34,Assumptions!B35)</f>
        <v>1</v>
      </c>
      <c r="G1070" s="20" t="n">
        <f aca="false">IF(D1070&gt;=13,(1+Assumptions!B46)^(D1070-12),1)</f>
        <v>1.07453951913335</v>
      </c>
      <c r="H1070" s="21" t="n">
        <f aca="false">H1069*(1+IF(C1070=1,Assumptions!B22,Assumptions!B23))</f>
        <v>23.359379144057</v>
      </c>
      <c r="I1070" s="16" t="n">
        <f aca="false">ROUND(H1070*F1070,0)</f>
        <v>23</v>
      </c>
      <c r="J1070" s="22" t="n">
        <f aca="false">I1070*Assumptions!B24</f>
        <v>13800</v>
      </c>
      <c r="K1070" s="21" t="n">
        <f aca="false">K1069*(1+Assumptions!B30)</f>
        <v>18.6308440739103</v>
      </c>
      <c r="L1070" s="16" t="n">
        <f aca="false">ROUND(K1070*F1070,0)</f>
        <v>19</v>
      </c>
      <c r="M1070" s="22" t="n">
        <f aca="false">L1070*Assumptions!B31</f>
        <v>5700</v>
      </c>
      <c r="N1070" s="22" t="n">
        <f aca="false">J1070+M1070</f>
        <v>19500</v>
      </c>
      <c r="O1070" s="22" t="n">
        <f aca="false">IF(DAY(B1070)=1,Assumptions!B38*G1070,0)</f>
        <v>0</v>
      </c>
      <c r="P1070" s="22" t="n">
        <f aca="false">IF(DAY(B1070)=1,Assumptions!B39*G1070,0)</f>
        <v>0</v>
      </c>
      <c r="Q1070" s="22" t="n">
        <f aca="false">IF(DAY(B1070)=1,Assumptions!B40*G1070,0)</f>
        <v>0</v>
      </c>
      <c r="R1070" s="22" t="n">
        <f aca="false">IF(DAY(B1070)=1,Assumptions!B41*G1070,0)</f>
        <v>0</v>
      </c>
      <c r="S1070" s="22" t="n">
        <f aca="false">IF(AND(DAY(B1070)=1,D1070&gt;=13),Assumptions!B42*G1070,0)</f>
        <v>0</v>
      </c>
      <c r="T1070" s="22" t="n">
        <f aca="false">IF(DAY(B1070)=1,Assumptions!B43*G1070,0)</f>
        <v>0</v>
      </c>
      <c r="U1070" s="22" t="n">
        <f aca="false">SUM(O1070:T1070)</f>
        <v>0</v>
      </c>
      <c r="V1070" s="22" t="n">
        <f aca="false">N1070-U1070</f>
        <v>19500</v>
      </c>
      <c r="W1070" s="22" t="n">
        <f aca="false">W1069+V1070</f>
        <v>-2023928.81773641</v>
      </c>
      <c r="X1070" s="23" t="str">
        <f aca="false">IF(W1070&gt;=0,"YES","No")</f>
        <v>No</v>
      </c>
    </row>
    <row r="1071" customFormat="false" ht="15" hidden="false" customHeight="false" outlineLevel="0" collapsed="false">
      <c r="A1071" s="16" t="n">
        <v>1070</v>
      </c>
      <c r="B1071" s="17" t="n">
        <f aca="false">B1070+1</f>
        <v>47092</v>
      </c>
      <c r="C1071" s="18" t="n">
        <f aca="false">MIN(ROUNDUP(A1071/365,0),5)</f>
        <v>3</v>
      </c>
      <c r="D1071" s="18" t="n">
        <f aca="false">DATEDIF(Assumptions!B5,B1071,"m")+1</f>
        <v>36</v>
      </c>
      <c r="E1071" s="18" t="str">
        <f aca="false">TEXT(B1071,"ddd")</f>
        <v>Tue</v>
      </c>
      <c r="F1071" s="19" t="n">
        <f aca="false">IF(WEEKDAY(B1071,2)&gt;=6,Assumptions!B34,Assumptions!B35)</f>
        <v>1</v>
      </c>
      <c r="G1071" s="20" t="n">
        <f aca="false">IF(D1071&gt;=13,(1+Assumptions!B46)^(D1071-12),1)</f>
        <v>1.07453951913335</v>
      </c>
      <c r="H1071" s="21" t="n">
        <f aca="false">H1070*(1+IF(C1071=1,Assumptions!B22,Assumptions!B23))</f>
        <v>23.3632068516233</v>
      </c>
      <c r="I1071" s="16" t="n">
        <f aca="false">ROUND(H1071*F1071,0)</f>
        <v>23</v>
      </c>
      <c r="J1071" s="22" t="n">
        <f aca="false">I1071*Assumptions!B24</f>
        <v>13800</v>
      </c>
      <c r="K1071" s="21" t="n">
        <f aca="false">K1070*(1+Assumptions!B30)</f>
        <v>18.6369351831493</v>
      </c>
      <c r="L1071" s="16" t="n">
        <f aca="false">ROUND(K1071*F1071,0)</f>
        <v>19</v>
      </c>
      <c r="M1071" s="22" t="n">
        <f aca="false">L1071*Assumptions!B31</f>
        <v>5700</v>
      </c>
      <c r="N1071" s="22" t="n">
        <f aca="false">J1071+M1071</f>
        <v>19500</v>
      </c>
      <c r="O1071" s="22" t="n">
        <f aca="false">IF(DAY(B1071)=1,Assumptions!B38*G1071,0)</f>
        <v>0</v>
      </c>
      <c r="P1071" s="22" t="n">
        <f aca="false">IF(DAY(B1071)=1,Assumptions!B39*G1071,0)</f>
        <v>0</v>
      </c>
      <c r="Q1071" s="22" t="n">
        <f aca="false">IF(DAY(B1071)=1,Assumptions!B40*G1071,0)</f>
        <v>0</v>
      </c>
      <c r="R1071" s="22" t="n">
        <f aca="false">IF(DAY(B1071)=1,Assumptions!B41*G1071,0)</f>
        <v>0</v>
      </c>
      <c r="S1071" s="22" t="n">
        <f aca="false">IF(AND(DAY(B1071)=1,D1071&gt;=13),Assumptions!B42*G1071,0)</f>
        <v>0</v>
      </c>
      <c r="T1071" s="22" t="n">
        <f aca="false">IF(DAY(B1071)=1,Assumptions!B43*G1071,0)</f>
        <v>0</v>
      </c>
      <c r="U1071" s="22" t="n">
        <f aca="false">SUM(O1071:T1071)</f>
        <v>0</v>
      </c>
      <c r="V1071" s="22" t="n">
        <f aca="false">N1071-U1071</f>
        <v>19500</v>
      </c>
      <c r="W1071" s="22" t="n">
        <f aca="false">W1070+V1071</f>
        <v>-2004428.81773641</v>
      </c>
      <c r="X1071" s="23" t="str">
        <f aca="false">IF(W1071&gt;=0,"YES","No")</f>
        <v>No</v>
      </c>
    </row>
    <row r="1072" customFormat="false" ht="15" hidden="false" customHeight="false" outlineLevel="0" collapsed="false">
      <c r="A1072" s="16" t="n">
        <v>1071</v>
      </c>
      <c r="B1072" s="17" t="n">
        <f aca="false">B1071+1</f>
        <v>47093</v>
      </c>
      <c r="C1072" s="18" t="n">
        <f aca="false">MIN(ROUNDUP(A1072/365,0),5)</f>
        <v>3</v>
      </c>
      <c r="D1072" s="18" t="n">
        <f aca="false">DATEDIF(Assumptions!B5,B1072,"m")+1</f>
        <v>36</v>
      </c>
      <c r="E1072" s="18" t="str">
        <f aca="false">TEXT(B1072,"ddd")</f>
        <v>Wed</v>
      </c>
      <c r="F1072" s="19" t="n">
        <f aca="false">IF(WEEKDAY(B1072,2)&gt;=6,Assumptions!B34,Assumptions!B35)</f>
        <v>1</v>
      </c>
      <c r="G1072" s="20" t="n">
        <f aca="false">IF(D1072&gt;=13,(1+Assumptions!B46)^(D1072-12),1)</f>
        <v>1.07453951913335</v>
      </c>
      <c r="H1072" s="21" t="n">
        <f aca="false">H1071*(1+IF(C1072=1,Assumptions!B22,Assumptions!B23))</f>
        <v>23.3670351864043</v>
      </c>
      <c r="I1072" s="16" t="n">
        <f aca="false">ROUND(H1072*F1072,0)</f>
        <v>23</v>
      </c>
      <c r="J1072" s="22" t="n">
        <f aca="false">I1072*Assumptions!B24</f>
        <v>13800</v>
      </c>
      <c r="K1072" s="21" t="n">
        <f aca="false">K1071*(1+Assumptions!B30)</f>
        <v>18.6430282837963</v>
      </c>
      <c r="L1072" s="16" t="n">
        <f aca="false">ROUND(K1072*F1072,0)</f>
        <v>19</v>
      </c>
      <c r="M1072" s="22" t="n">
        <f aca="false">L1072*Assumptions!B31</f>
        <v>5700</v>
      </c>
      <c r="N1072" s="22" t="n">
        <f aca="false">J1072+M1072</f>
        <v>19500</v>
      </c>
      <c r="O1072" s="22" t="n">
        <f aca="false">IF(DAY(B1072)=1,Assumptions!B38*G1072,0)</f>
        <v>0</v>
      </c>
      <c r="P1072" s="22" t="n">
        <f aca="false">IF(DAY(B1072)=1,Assumptions!B39*G1072,0)</f>
        <v>0</v>
      </c>
      <c r="Q1072" s="22" t="n">
        <f aca="false">IF(DAY(B1072)=1,Assumptions!B40*G1072,0)</f>
        <v>0</v>
      </c>
      <c r="R1072" s="22" t="n">
        <f aca="false">IF(DAY(B1072)=1,Assumptions!B41*G1072,0)</f>
        <v>0</v>
      </c>
      <c r="S1072" s="22" t="n">
        <f aca="false">IF(AND(DAY(B1072)=1,D1072&gt;=13),Assumptions!B42*G1072,0)</f>
        <v>0</v>
      </c>
      <c r="T1072" s="22" t="n">
        <f aca="false">IF(DAY(B1072)=1,Assumptions!B43*G1072,0)</f>
        <v>0</v>
      </c>
      <c r="U1072" s="22" t="n">
        <f aca="false">SUM(O1072:T1072)</f>
        <v>0</v>
      </c>
      <c r="V1072" s="22" t="n">
        <f aca="false">N1072-U1072</f>
        <v>19500</v>
      </c>
      <c r="W1072" s="22" t="n">
        <f aca="false">W1071+V1072</f>
        <v>-1984928.81773641</v>
      </c>
      <c r="X1072" s="23" t="str">
        <f aca="false">IF(W1072&gt;=0,"YES","No")</f>
        <v>No</v>
      </c>
    </row>
    <row r="1073" customFormat="false" ht="15" hidden="false" customHeight="false" outlineLevel="0" collapsed="false">
      <c r="A1073" s="16" t="n">
        <v>1072</v>
      </c>
      <c r="B1073" s="17" t="n">
        <f aca="false">B1072+1</f>
        <v>47094</v>
      </c>
      <c r="C1073" s="18" t="n">
        <f aca="false">MIN(ROUNDUP(A1073/365,0),5)</f>
        <v>3</v>
      </c>
      <c r="D1073" s="18" t="n">
        <f aca="false">DATEDIF(Assumptions!B5,B1073,"m")+1</f>
        <v>36</v>
      </c>
      <c r="E1073" s="18" t="str">
        <f aca="false">TEXT(B1073,"ddd")</f>
        <v>Thu</v>
      </c>
      <c r="F1073" s="19" t="n">
        <f aca="false">IF(WEEKDAY(B1073,2)&gt;=6,Assumptions!B34,Assumptions!B35)</f>
        <v>1</v>
      </c>
      <c r="G1073" s="20" t="n">
        <f aca="false">IF(D1073&gt;=13,(1+Assumptions!B46)^(D1073-12),1)</f>
        <v>1.07453951913335</v>
      </c>
      <c r="H1073" s="21" t="n">
        <f aca="false">H1072*(1+IF(C1073=1,Assumptions!B22,Assumptions!B23))</f>
        <v>23.3708641485026</v>
      </c>
      <c r="I1073" s="16" t="n">
        <f aca="false">ROUND(H1073*F1073,0)</f>
        <v>23</v>
      </c>
      <c r="J1073" s="22" t="n">
        <f aca="false">I1073*Assumptions!B24</f>
        <v>13800</v>
      </c>
      <c r="K1073" s="21" t="n">
        <f aca="false">K1072*(1+Assumptions!B30)</f>
        <v>18.6491233765023</v>
      </c>
      <c r="L1073" s="16" t="n">
        <f aca="false">ROUND(K1073*F1073,0)</f>
        <v>19</v>
      </c>
      <c r="M1073" s="22" t="n">
        <f aca="false">L1073*Assumptions!B31</f>
        <v>5700</v>
      </c>
      <c r="N1073" s="22" t="n">
        <f aca="false">J1073+M1073</f>
        <v>19500</v>
      </c>
      <c r="O1073" s="22" t="n">
        <f aca="false">IF(DAY(B1073)=1,Assumptions!B38*G1073,0)</f>
        <v>0</v>
      </c>
      <c r="P1073" s="22" t="n">
        <f aca="false">IF(DAY(B1073)=1,Assumptions!B39*G1073,0)</f>
        <v>0</v>
      </c>
      <c r="Q1073" s="22" t="n">
        <f aca="false">IF(DAY(B1073)=1,Assumptions!B40*G1073,0)</f>
        <v>0</v>
      </c>
      <c r="R1073" s="22" t="n">
        <f aca="false">IF(DAY(B1073)=1,Assumptions!B41*G1073,0)</f>
        <v>0</v>
      </c>
      <c r="S1073" s="22" t="n">
        <f aca="false">IF(AND(DAY(B1073)=1,D1073&gt;=13),Assumptions!B42*G1073,0)</f>
        <v>0</v>
      </c>
      <c r="T1073" s="22" t="n">
        <f aca="false">IF(DAY(B1073)=1,Assumptions!B43*G1073,0)</f>
        <v>0</v>
      </c>
      <c r="U1073" s="22" t="n">
        <f aca="false">SUM(O1073:T1073)</f>
        <v>0</v>
      </c>
      <c r="V1073" s="22" t="n">
        <f aca="false">N1073-U1073</f>
        <v>19500</v>
      </c>
      <c r="W1073" s="22" t="n">
        <f aca="false">W1072+V1073</f>
        <v>-1965428.81773641</v>
      </c>
      <c r="X1073" s="23" t="str">
        <f aca="false">IF(W1073&gt;=0,"YES","No")</f>
        <v>No</v>
      </c>
    </row>
    <row r="1074" customFormat="false" ht="15" hidden="false" customHeight="false" outlineLevel="0" collapsed="false">
      <c r="A1074" s="16" t="n">
        <v>1073</v>
      </c>
      <c r="B1074" s="17" t="n">
        <f aca="false">B1073+1</f>
        <v>47095</v>
      </c>
      <c r="C1074" s="18" t="n">
        <f aca="false">MIN(ROUNDUP(A1074/365,0),5)</f>
        <v>3</v>
      </c>
      <c r="D1074" s="18" t="n">
        <f aca="false">DATEDIF(Assumptions!B5,B1074,"m")+1</f>
        <v>36</v>
      </c>
      <c r="E1074" s="18" t="str">
        <f aca="false">TEXT(B1074,"ddd")</f>
        <v>Fri</v>
      </c>
      <c r="F1074" s="19" t="n">
        <f aca="false">IF(WEEKDAY(B1074,2)&gt;=6,Assumptions!B34,Assumptions!B35)</f>
        <v>1</v>
      </c>
      <c r="G1074" s="20" t="n">
        <f aca="false">IF(D1074&gt;=13,(1+Assumptions!B46)^(D1074-12),1)</f>
        <v>1.07453951913335</v>
      </c>
      <c r="H1074" s="21" t="n">
        <f aca="false">H1073*(1+IF(C1074=1,Assumptions!B22,Assumptions!B23))</f>
        <v>23.3746937380213</v>
      </c>
      <c r="I1074" s="16" t="n">
        <f aca="false">ROUND(H1074*F1074,0)</f>
        <v>23</v>
      </c>
      <c r="J1074" s="22" t="n">
        <f aca="false">I1074*Assumptions!B24</f>
        <v>13800</v>
      </c>
      <c r="K1074" s="21" t="n">
        <f aca="false">K1073*(1+Assumptions!B30)</f>
        <v>18.6552204619186</v>
      </c>
      <c r="L1074" s="16" t="n">
        <f aca="false">ROUND(K1074*F1074,0)</f>
        <v>19</v>
      </c>
      <c r="M1074" s="22" t="n">
        <f aca="false">L1074*Assumptions!B31</f>
        <v>5700</v>
      </c>
      <c r="N1074" s="22" t="n">
        <f aca="false">J1074+M1074</f>
        <v>19500</v>
      </c>
      <c r="O1074" s="22" t="n">
        <f aca="false">IF(DAY(B1074)=1,Assumptions!B38*G1074,0)</f>
        <v>0</v>
      </c>
      <c r="P1074" s="22" t="n">
        <f aca="false">IF(DAY(B1074)=1,Assumptions!B39*G1074,0)</f>
        <v>0</v>
      </c>
      <c r="Q1074" s="22" t="n">
        <f aca="false">IF(DAY(B1074)=1,Assumptions!B40*G1074,0)</f>
        <v>0</v>
      </c>
      <c r="R1074" s="22" t="n">
        <f aca="false">IF(DAY(B1074)=1,Assumptions!B41*G1074,0)</f>
        <v>0</v>
      </c>
      <c r="S1074" s="22" t="n">
        <f aca="false">IF(AND(DAY(B1074)=1,D1074&gt;=13),Assumptions!B42*G1074,0)</f>
        <v>0</v>
      </c>
      <c r="T1074" s="22" t="n">
        <f aca="false">IF(DAY(B1074)=1,Assumptions!B43*G1074,0)</f>
        <v>0</v>
      </c>
      <c r="U1074" s="22" t="n">
        <f aca="false">SUM(O1074:T1074)</f>
        <v>0</v>
      </c>
      <c r="V1074" s="22" t="n">
        <f aca="false">N1074-U1074</f>
        <v>19500</v>
      </c>
      <c r="W1074" s="22" t="n">
        <f aca="false">W1073+V1074</f>
        <v>-1945928.81773641</v>
      </c>
      <c r="X1074" s="23" t="str">
        <f aca="false">IF(W1074&gt;=0,"YES","No")</f>
        <v>No</v>
      </c>
    </row>
    <row r="1075" customFormat="false" ht="15" hidden="false" customHeight="false" outlineLevel="0" collapsed="false">
      <c r="A1075" s="16" t="n">
        <v>1074</v>
      </c>
      <c r="B1075" s="17" t="n">
        <f aca="false">B1074+1</f>
        <v>47096</v>
      </c>
      <c r="C1075" s="18" t="n">
        <f aca="false">MIN(ROUNDUP(A1075/365,0),5)</f>
        <v>3</v>
      </c>
      <c r="D1075" s="18" t="n">
        <f aca="false">DATEDIF(Assumptions!B5,B1075,"m")+1</f>
        <v>36</v>
      </c>
      <c r="E1075" s="18" t="str">
        <f aca="false">TEXT(B1075,"ddd")</f>
        <v>Sat</v>
      </c>
      <c r="F1075" s="19" t="n">
        <f aca="false">IF(WEEKDAY(B1075,2)&gt;=6,Assumptions!B34,Assumptions!B35)</f>
        <v>0.6</v>
      </c>
      <c r="G1075" s="20" t="n">
        <f aca="false">IF(D1075&gt;=13,(1+Assumptions!B46)^(D1075-12),1)</f>
        <v>1.07453951913335</v>
      </c>
      <c r="H1075" s="21" t="n">
        <f aca="false">H1074*(1+IF(C1075=1,Assumptions!B22,Assumptions!B23))</f>
        <v>23.378523955063</v>
      </c>
      <c r="I1075" s="16" t="n">
        <f aca="false">ROUND(H1075*F1075,0)</f>
        <v>14</v>
      </c>
      <c r="J1075" s="22" t="n">
        <f aca="false">I1075*Assumptions!B24</f>
        <v>8400</v>
      </c>
      <c r="K1075" s="21" t="n">
        <f aca="false">K1074*(1+Assumptions!B30)</f>
        <v>18.6613195406968</v>
      </c>
      <c r="L1075" s="16" t="n">
        <f aca="false">ROUND(K1075*F1075,0)</f>
        <v>11</v>
      </c>
      <c r="M1075" s="22" t="n">
        <f aca="false">L1075*Assumptions!B31</f>
        <v>3300</v>
      </c>
      <c r="N1075" s="22" t="n">
        <f aca="false">J1075+M1075</f>
        <v>11700</v>
      </c>
      <c r="O1075" s="22" t="n">
        <f aca="false">IF(DAY(B1075)=1,Assumptions!B38*G1075,0)</f>
        <v>0</v>
      </c>
      <c r="P1075" s="22" t="n">
        <f aca="false">IF(DAY(B1075)=1,Assumptions!B39*G1075,0)</f>
        <v>0</v>
      </c>
      <c r="Q1075" s="22" t="n">
        <f aca="false">IF(DAY(B1075)=1,Assumptions!B40*G1075,0)</f>
        <v>0</v>
      </c>
      <c r="R1075" s="22" t="n">
        <f aca="false">IF(DAY(B1075)=1,Assumptions!B41*G1075,0)</f>
        <v>0</v>
      </c>
      <c r="S1075" s="22" t="n">
        <f aca="false">IF(AND(DAY(B1075)=1,D1075&gt;=13),Assumptions!B42*G1075,0)</f>
        <v>0</v>
      </c>
      <c r="T1075" s="22" t="n">
        <f aca="false">IF(DAY(B1075)=1,Assumptions!B43*G1075,0)</f>
        <v>0</v>
      </c>
      <c r="U1075" s="22" t="n">
        <f aca="false">SUM(O1075:T1075)</f>
        <v>0</v>
      </c>
      <c r="V1075" s="22" t="n">
        <f aca="false">N1075-U1075</f>
        <v>11700</v>
      </c>
      <c r="W1075" s="22" t="n">
        <f aca="false">W1074+V1075</f>
        <v>-1934228.81773641</v>
      </c>
      <c r="X1075" s="23" t="str">
        <f aca="false">IF(W1075&gt;=0,"YES","No")</f>
        <v>No</v>
      </c>
    </row>
    <row r="1076" customFormat="false" ht="15" hidden="false" customHeight="false" outlineLevel="0" collapsed="false">
      <c r="A1076" s="16" t="n">
        <v>1075</v>
      </c>
      <c r="B1076" s="17" t="n">
        <f aca="false">B1075+1</f>
        <v>47097</v>
      </c>
      <c r="C1076" s="18" t="n">
        <f aca="false">MIN(ROUNDUP(A1076/365,0),5)</f>
        <v>3</v>
      </c>
      <c r="D1076" s="18" t="n">
        <f aca="false">DATEDIF(Assumptions!B5,B1076,"m")+1</f>
        <v>36</v>
      </c>
      <c r="E1076" s="18" t="str">
        <f aca="false">TEXT(B1076,"ddd")</f>
        <v>Sun</v>
      </c>
      <c r="F1076" s="19" t="n">
        <f aca="false">IF(WEEKDAY(B1076,2)&gt;=6,Assumptions!B34,Assumptions!B35)</f>
        <v>0.6</v>
      </c>
      <c r="G1076" s="20" t="n">
        <f aca="false">IF(D1076&gt;=13,(1+Assumptions!B46)^(D1076-12),1)</f>
        <v>1.07453951913335</v>
      </c>
      <c r="H1076" s="21" t="n">
        <f aca="false">H1075*(1+IF(C1076=1,Assumptions!B22,Assumptions!B23))</f>
        <v>23.3823547997305</v>
      </c>
      <c r="I1076" s="16" t="n">
        <f aca="false">ROUND(H1076*F1076,0)</f>
        <v>14</v>
      </c>
      <c r="J1076" s="22" t="n">
        <f aca="false">I1076*Assumptions!B24</f>
        <v>8400</v>
      </c>
      <c r="K1076" s="21" t="n">
        <f aca="false">K1075*(1+Assumptions!B30)</f>
        <v>18.6674206134885</v>
      </c>
      <c r="L1076" s="16" t="n">
        <f aca="false">ROUND(K1076*F1076,0)</f>
        <v>11</v>
      </c>
      <c r="M1076" s="22" t="n">
        <f aca="false">L1076*Assumptions!B31</f>
        <v>3300</v>
      </c>
      <c r="N1076" s="22" t="n">
        <f aca="false">J1076+M1076</f>
        <v>11700</v>
      </c>
      <c r="O1076" s="22" t="n">
        <f aca="false">IF(DAY(B1076)=1,Assumptions!B38*G1076,0)</f>
        <v>0</v>
      </c>
      <c r="P1076" s="22" t="n">
        <f aca="false">IF(DAY(B1076)=1,Assumptions!B39*G1076,0)</f>
        <v>0</v>
      </c>
      <c r="Q1076" s="22" t="n">
        <f aca="false">IF(DAY(B1076)=1,Assumptions!B40*G1076,0)</f>
        <v>0</v>
      </c>
      <c r="R1076" s="22" t="n">
        <f aca="false">IF(DAY(B1076)=1,Assumptions!B41*G1076,0)</f>
        <v>0</v>
      </c>
      <c r="S1076" s="22" t="n">
        <f aca="false">IF(AND(DAY(B1076)=1,D1076&gt;=13),Assumptions!B42*G1076,0)</f>
        <v>0</v>
      </c>
      <c r="T1076" s="22" t="n">
        <f aca="false">IF(DAY(B1076)=1,Assumptions!B43*G1076,0)</f>
        <v>0</v>
      </c>
      <c r="U1076" s="22" t="n">
        <f aca="false">SUM(O1076:T1076)</f>
        <v>0</v>
      </c>
      <c r="V1076" s="22" t="n">
        <f aca="false">N1076-U1076</f>
        <v>11700</v>
      </c>
      <c r="W1076" s="22" t="n">
        <f aca="false">W1075+V1076</f>
        <v>-1922528.81773641</v>
      </c>
      <c r="X1076" s="23" t="str">
        <f aca="false">IF(W1076&gt;=0,"YES","No")</f>
        <v>No</v>
      </c>
    </row>
    <row r="1077" customFormat="false" ht="15" hidden="false" customHeight="false" outlineLevel="0" collapsed="false">
      <c r="A1077" s="16" t="n">
        <v>1076</v>
      </c>
      <c r="B1077" s="17" t="n">
        <f aca="false">B1076+1</f>
        <v>47098</v>
      </c>
      <c r="C1077" s="18" t="n">
        <f aca="false">MIN(ROUNDUP(A1077/365,0),5)</f>
        <v>3</v>
      </c>
      <c r="D1077" s="18" t="n">
        <f aca="false">DATEDIF(Assumptions!B5,B1077,"m")+1</f>
        <v>36</v>
      </c>
      <c r="E1077" s="18" t="str">
        <f aca="false">TEXT(B1077,"ddd")</f>
        <v>Mon</v>
      </c>
      <c r="F1077" s="19" t="n">
        <f aca="false">IF(WEEKDAY(B1077,2)&gt;=6,Assumptions!B34,Assumptions!B35)</f>
        <v>1</v>
      </c>
      <c r="G1077" s="20" t="n">
        <f aca="false">IF(D1077&gt;=13,(1+Assumptions!B46)^(D1077-12),1)</f>
        <v>1.07453951913335</v>
      </c>
      <c r="H1077" s="21" t="n">
        <f aca="false">H1076*(1+IF(C1077=1,Assumptions!B22,Assumptions!B23))</f>
        <v>23.3861862721268</v>
      </c>
      <c r="I1077" s="16" t="n">
        <f aca="false">ROUND(H1077*F1077,0)</f>
        <v>23</v>
      </c>
      <c r="J1077" s="22" t="n">
        <f aca="false">I1077*Assumptions!B24</f>
        <v>13800</v>
      </c>
      <c r="K1077" s="21" t="n">
        <f aca="false">K1076*(1+Assumptions!B30)</f>
        <v>18.6735236809456</v>
      </c>
      <c r="L1077" s="16" t="n">
        <f aca="false">ROUND(K1077*F1077,0)</f>
        <v>19</v>
      </c>
      <c r="M1077" s="22" t="n">
        <f aca="false">L1077*Assumptions!B31</f>
        <v>5700</v>
      </c>
      <c r="N1077" s="22" t="n">
        <f aca="false">J1077+M1077</f>
        <v>19500</v>
      </c>
      <c r="O1077" s="22" t="n">
        <f aca="false">IF(DAY(B1077)=1,Assumptions!B38*G1077,0)</f>
        <v>0</v>
      </c>
      <c r="P1077" s="22" t="n">
        <f aca="false">IF(DAY(B1077)=1,Assumptions!B39*G1077,0)</f>
        <v>0</v>
      </c>
      <c r="Q1077" s="22" t="n">
        <f aca="false">IF(DAY(B1077)=1,Assumptions!B40*G1077,0)</f>
        <v>0</v>
      </c>
      <c r="R1077" s="22" t="n">
        <f aca="false">IF(DAY(B1077)=1,Assumptions!B41*G1077,0)</f>
        <v>0</v>
      </c>
      <c r="S1077" s="22" t="n">
        <f aca="false">IF(AND(DAY(B1077)=1,D1077&gt;=13),Assumptions!B42*G1077,0)</f>
        <v>0</v>
      </c>
      <c r="T1077" s="22" t="n">
        <f aca="false">IF(DAY(B1077)=1,Assumptions!B43*G1077,0)</f>
        <v>0</v>
      </c>
      <c r="U1077" s="22" t="n">
        <f aca="false">SUM(O1077:T1077)</f>
        <v>0</v>
      </c>
      <c r="V1077" s="22" t="n">
        <f aca="false">N1077-U1077</f>
        <v>19500</v>
      </c>
      <c r="W1077" s="22" t="n">
        <f aca="false">W1076+V1077</f>
        <v>-1903028.81773641</v>
      </c>
      <c r="X1077" s="23" t="str">
        <f aca="false">IF(W1077&gt;=0,"YES","No")</f>
        <v>No</v>
      </c>
    </row>
    <row r="1078" customFormat="false" ht="15" hidden="false" customHeight="false" outlineLevel="0" collapsed="false">
      <c r="A1078" s="16" t="n">
        <v>1077</v>
      </c>
      <c r="B1078" s="17" t="n">
        <f aca="false">B1077+1</f>
        <v>47099</v>
      </c>
      <c r="C1078" s="18" t="n">
        <f aca="false">MIN(ROUNDUP(A1078/365,0),5)</f>
        <v>3</v>
      </c>
      <c r="D1078" s="18" t="n">
        <f aca="false">DATEDIF(Assumptions!B5,B1078,"m")+1</f>
        <v>36</v>
      </c>
      <c r="E1078" s="18" t="str">
        <f aca="false">TEXT(B1078,"ddd")</f>
        <v>Tue</v>
      </c>
      <c r="F1078" s="19" t="n">
        <f aca="false">IF(WEEKDAY(B1078,2)&gt;=6,Assumptions!B34,Assumptions!B35)</f>
        <v>1</v>
      </c>
      <c r="G1078" s="20" t="n">
        <f aca="false">IF(D1078&gt;=13,(1+Assumptions!B46)^(D1078-12),1)</f>
        <v>1.07453951913335</v>
      </c>
      <c r="H1078" s="21" t="n">
        <f aca="false">H1077*(1+IF(C1078=1,Assumptions!B22,Assumptions!B23))</f>
        <v>23.3900183723546</v>
      </c>
      <c r="I1078" s="16" t="n">
        <f aca="false">ROUND(H1078*F1078,0)</f>
        <v>23</v>
      </c>
      <c r="J1078" s="22" t="n">
        <f aca="false">I1078*Assumptions!B24</f>
        <v>13800</v>
      </c>
      <c r="K1078" s="21" t="n">
        <f aca="false">K1077*(1+Assumptions!B30)</f>
        <v>18.6796287437203</v>
      </c>
      <c r="L1078" s="16" t="n">
        <f aca="false">ROUND(K1078*F1078,0)</f>
        <v>19</v>
      </c>
      <c r="M1078" s="22" t="n">
        <f aca="false">L1078*Assumptions!B31</f>
        <v>5700</v>
      </c>
      <c r="N1078" s="22" t="n">
        <f aca="false">J1078+M1078</f>
        <v>19500</v>
      </c>
      <c r="O1078" s="22" t="n">
        <f aca="false">IF(DAY(B1078)=1,Assumptions!B38*G1078,0)</f>
        <v>0</v>
      </c>
      <c r="P1078" s="22" t="n">
        <f aca="false">IF(DAY(B1078)=1,Assumptions!B39*G1078,0)</f>
        <v>0</v>
      </c>
      <c r="Q1078" s="22" t="n">
        <f aca="false">IF(DAY(B1078)=1,Assumptions!B40*G1078,0)</f>
        <v>0</v>
      </c>
      <c r="R1078" s="22" t="n">
        <f aca="false">IF(DAY(B1078)=1,Assumptions!B41*G1078,0)</f>
        <v>0</v>
      </c>
      <c r="S1078" s="22" t="n">
        <f aca="false">IF(AND(DAY(B1078)=1,D1078&gt;=13),Assumptions!B42*G1078,0)</f>
        <v>0</v>
      </c>
      <c r="T1078" s="22" t="n">
        <f aca="false">IF(DAY(B1078)=1,Assumptions!B43*G1078,0)</f>
        <v>0</v>
      </c>
      <c r="U1078" s="22" t="n">
        <f aca="false">SUM(O1078:T1078)</f>
        <v>0</v>
      </c>
      <c r="V1078" s="22" t="n">
        <f aca="false">N1078-U1078</f>
        <v>19500</v>
      </c>
      <c r="W1078" s="22" t="n">
        <f aca="false">W1077+V1078</f>
        <v>-1883528.81773641</v>
      </c>
      <c r="X1078" s="23" t="str">
        <f aca="false">IF(W1078&gt;=0,"YES","No")</f>
        <v>No</v>
      </c>
    </row>
    <row r="1079" customFormat="false" ht="15" hidden="false" customHeight="false" outlineLevel="0" collapsed="false">
      <c r="A1079" s="16" t="n">
        <v>1078</v>
      </c>
      <c r="B1079" s="17" t="n">
        <f aca="false">B1078+1</f>
        <v>47100</v>
      </c>
      <c r="C1079" s="18" t="n">
        <f aca="false">MIN(ROUNDUP(A1079/365,0),5)</f>
        <v>3</v>
      </c>
      <c r="D1079" s="18" t="n">
        <f aca="false">DATEDIF(Assumptions!B5,B1079,"m")+1</f>
        <v>36</v>
      </c>
      <c r="E1079" s="18" t="str">
        <f aca="false">TEXT(B1079,"ddd")</f>
        <v>Wed</v>
      </c>
      <c r="F1079" s="19" t="n">
        <f aca="false">IF(WEEKDAY(B1079,2)&gt;=6,Assumptions!B34,Assumptions!B35)</f>
        <v>1</v>
      </c>
      <c r="G1079" s="20" t="n">
        <f aca="false">IF(D1079&gt;=13,(1+Assumptions!B46)^(D1079-12),1)</f>
        <v>1.07453951913335</v>
      </c>
      <c r="H1079" s="21" t="n">
        <f aca="false">H1078*(1+IF(C1079=1,Assumptions!B22,Assumptions!B23))</f>
        <v>23.3938511005169</v>
      </c>
      <c r="I1079" s="16" t="n">
        <f aca="false">ROUND(H1079*F1079,0)</f>
        <v>23</v>
      </c>
      <c r="J1079" s="22" t="n">
        <f aca="false">I1079*Assumptions!B24</f>
        <v>13800</v>
      </c>
      <c r="K1079" s="21" t="n">
        <f aca="false">K1078*(1+Assumptions!B30)</f>
        <v>18.685735802465</v>
      </c>
      <c r="L1079" s="16" t="n">
        <f aca="false">ROUND(K1079*F1079,0)</f>
        <v>19</v>
      </c>
      <c r="M1079" s="22" t="n">
        <f aca="false">L1079*Assumptions!B31</f>
        <v>5700</v>
      </c>
      <c r="N1079" s="22" t="n">
        <f aca="false">J1079+M1079</f>
        <v>19500</v>
      </c>
      <c r="O1079" s="22" t="n">
        <f aca="false">IF(DAY(B1079)=1,Assumptions!B38*G1079,0)</f>
        <v>0</v>
      </c>
      <c r="P1079" s="22" t="n">
        <f aca="false">IF(DAY(B1079)=1,Assumptions!B39*G1079,0)</f>
        <v>0</v>
      </c>
      <c r="Q1079" s="22" t="n">
        <f aca="false">IF(DAY(B1079)=1,Assumptions!B40*G1079,0)</f>
        <v>0</v>
      </c>
      <c r="R1079" s="22" t="n">
        <f aca="false">IF(DAY(B1079)=1,Assumptions!B41*G1079,0)</f>
        <v>0</v>
      </c>
      <c r="S1079" s="22" t="n">
        <f aca="false">IF(AND(DAY(B1079)=1,D1079&gt;=13),Assumptions!B42*G1079,0)</f>
        <v>0</v>
      </c>
      <c r="T1079" s="22" t="n">
        <f aca="false">IF(DAY(B1079)=1,Assumptions!B43*G1079,0)</f>
        <v>0</v>
      </c>
      <c r="U1079" s="22" t="n">
        <f aca="false">SUM(O1079:T1079)</f>
        <v>0</v>
      </c>
      <c r="V1079" s="22" t="n">
        <f aca="false">N1079-U1079</f>
        <v>19500</v>
      </c>
      <c r="W1079" s="22" t="n">
        <f aca="false">W1078+V1079</f>
        <v>-1864028.81773641</v>
      </c>
      <c r="X1079" s="23" t="str">
        <f aca="false">IF(W1079&gt;=0,"YES","No")</f>
        <v>No</v>
      </c>
    </row>
    <row r="1080" customFormat="false" ht="15" hidden="false" customHeight="false" outlineLevel="0" collapsed="false">
      <c r="A1080" s="16" t="n">
        <v>1079</v>
      </c>
      <c r="B1080" s="17" t="n">
        <f aca="false">B1079+1</f>
        <v>47101</v>
      </c>
      <c r="C1080" s="18" t="n">
        <f aca="false">MIN(ROUNDUP(A1080/365,0),5)</f>
        <v>3</v>
      </c>
      <c r="D1080" s="18" t="n">
        <f aca="false">DATEDIF(Assumptions!B5,B1080,"m")+1</f>
        <v>36</v>
      </c>
      <c r="E1080" s="18" t="str">
        <f aca="false">TEXT(B1080,"ddd")</f>
        <v>Thu</v>
      </c>
      <c r="F1080" s="19" t="n">
        <f aca="false">IF(WEEKDAY(B1080,2)&gt;=6,Assumptions!B34,Assumptions!B35)</f>
        <v>1</v>
      </c>
      <c r="G1080" s="20" t="n">
        <f aca="false">IF(D1080&gt;=13,(1+Assumptions!B46)^(D1080-12),1)</f>
        <v>1.07453951913335</v>
      </c>
      <c r="H1080" s="21" t="n">
        <f aca="false">H1079*(1+IF(C1080=1,Assumptions!B22,Assumptions!B23))</f>
        <v>23.3976844567166</v>
      </c>
      <c r="I1080" s="16" t="n">
        <f aca="false">ROUND(H1080*F1080,0)</f>
        <v>23</v>
      </c>
      <c r="J1080" s="22" t="n">
        <f aca="false">I1080*Assumptions!B24</f>
        <v>13800</v>
      </c>
      <c r="K1080" s="21" t="n">
        <f aca="false">K1079*(1+Assumptions!B30)</f>
        <v>18.6918448578321</v>
      </c>
      <c r="L1080" s="16" t="n">
        <f aca="false">ROUND(K1080*F1080,0)</f>
        <v>19</v>
      </c>
      <c r="M1080" s="22" t="n">
        <f aca="false">L1080*Assumptions!B31</f>
        <v>5700</v>
      </c>
      <c r="N1080" s="22" t="n">
        <f aca="false">J1080+M1080</f>
        <v>19500</v>
      </c>
      <c r="O1080" s="22" t="n">
        <f aca="false">IF(DAY(B1080)=1,Assumptions!B38*G1080,0)</f>
        <v>0</v>
      </c>
      <c r="P1080" s="22" t="n">
        <f aca="false">IF(DAY(B1080)=1,Assumptions!B39*G1080,0)</f>
        <v>0</v>
      </c>
      <c r="Q1080" s="22" t="n">
        <f aca="false">IF(DAY(B1080)=1,Assumptions!B40*G1080,0)</f>
        <v>0</v>
      </c>
      <c r="R1080" s="22" t="n">
        <f aca="false">IF(DAY(B1080)=1,Assumptions!B41*G1080,0)</f>
        <v>0</v>
      </c>
      <c r="S1080" s="22" t="n">
        <f aca="false">IF(AND(DAY(B1080)=1,D1080&gt;=13),Assumptions!B42*G1080,0)</f>
        <v>0</v>
      </c>
      <c r="T1080" s="22" t="n">
        <f aca="false">IF(DAY(B1080)=1,Assumptions!B43*G1080,0)</f>
        <v>0</v>
      </c>
      <c r="U1080" s="22" t="n">
        <f aca="false">SUM(O1080:T1080)</f>
        <v>0</v>
      </c>
      <c r="V1080" s="22" t="n">
        <f aca="false">N1080-U1080</f>
        <v>19500</v>
      </c>
      <c r="W1080" s="22" t="n">
        <f aca="false">W1079+V1080</f>
        <v>-1844528.81773641</v>
      </c>
      <c r="X1080" s="23" t="str">
        <f aca="false">IF(W1080&gt;=0,"YES","No")</f>
        <v>No</v>
      </c>
    </row>
    <row r="1081" customFormat="false" ht="15" hidden="false" customHeight="false" outlineLevel="0" collapsed="false">
      <c r="A1081" s="16" t="n">
        <v>1080</v>
      </c>
      <c r="B1081" s="17" t="n">
        <f aca="false">B1080+1</f>
        <v>47102</v>
      </c>
      <c r="C1081" s="18" t="n">
        <f aca="false">MIN(ROUNDUP(A1081/365,0),5)</f>
        <v>3</v>
      </c>
      <c r="D1081" s="18" t="n">
        <f aca="false">DATEDIF(Assumptions!B5,B1081,"m")+1</f>
        <v>36</v>
      </c>
      <c r="E1081" s="18" t="str">
        <f aca="false">TEXT(B1081,"ddd")</f>
        <v>Fri</v>
      </c>
      <c r="F1081" s="19" t="n">
        <f aca="false">IF(WEEKDAY(B1081,2)&gt;=6,Assumptions!B34,Assumptions!B35)</f>
        <v>1</v>
      </c>
      <c r="G1081" s="20" t="n">
        <f aca="false">IF(D1081&gt;=13,(1+Assumptions!B46)^(D1081-12),1)</f>
        <v>1.07453951913335</v>
      </c>
      <c r="H1081" s="21" t="n">
        <f aca="false">H1080*(1+IF(C1081=1,Assumptions!B22,Assumptions!B23))</f>
        <v>23.4015184410565</v>
      </c>
      <c r="I1081" s="16" t="n">
        <f aca="false">ROUND(H1081*F1081,0)</f>
        <v>23</v>
      </c>
      <c r="J1081" s="22" t="n">
        <f aca="false">I1081*Assumptions!B24</f>
        <v>13800</v>
      </c>
      <c r="K1081" s="21" t="n">
        <f aca="false">K1080*(1+Assumptions!B30)</f>
        <v>18.6979559104744</v>
      </c>
      <c r="L1081" s="16" t="n">
        <f aca="false">ROUND(K1081*F1081,0)</f>
        <v>19</v>
      </c>
      <c r="M1081" s="22" t="n">
        <f aca="false">L1081*Assumptions!B31</f>
        <v>5700</v>
      </c>
      <c r="N1081" s="22" t="n">
        <f aca="false">J1081+M1081</f>
        <v>19500</v>
      </c>
      <c r="O1081" s="22" t="n">
        <f aca="false">IF(DAY(B1081)=1,Assumptions!B38*G1081,0)</f>
        <v>0</v>
      </c>
      <c r="P1081" s="22" t="n">
        <f aca="false">IF(DAY(B1081)=1,Assumptions!B39*G1081,0)</f>
        <v>0</v>
      </c>
      <c r="Q1081" s="22" t="n">
        <f aca="false">IF(DAY(B1081)=1,Assumptions!B40*G1081,0)</f>
        <v>0</v>
      </c>
      <c r="R1081" s="22" t="n">
        <f aca="false">IF(DAY(B1081)=1,Assumptions!B41*G1081,0)</f>
        <v>0</v>
      </c>
      <c r="S1081" s="22" t="n">
        <f aca="false">IF(AND(DAY(B1081)=1,D1081&gt;=13),Assumptions!B42*G1081,0)</f>
        <v>0</v>
      </c>
      <c r="T1081" s="22" t="n">
        <f aca="false">IF(DAY(B1081)=1,Assumptions!B43*G1081,0)</f>
        <v>0</v>
      </c>
      <c r="U1081" s="22" t="n">
        <f aca="false">SUM(O1081:T1081)</f>
        <v>0</v>
      </c>
      <c r="V1081" s="22" t="n">
        <f aca="false">N1081-U1081</f>
        <v>19500</v>
      </c>
      <c r="W1081" s="22" t="n">
        <f aca="false">W1080+V1081</f>
        <v>-1825028.81773641</v>
      </c>
      <c r="X1081" s="23" t="str">
        <f aca="false">IF(W1081&gt;=0,"YES","No")</f>
        <v>No</v>
      </c>
    </row>
    <row r="1082" customFormat="false" ht="15" hidden="false" customHeight="false" outlineLevel="0" collapsed="false">
      <c r="A1082" s="16" t="n">
        <v>1081</v>
      </c>
      <c r="B1082" s="17" t="n">
        <f aca="false">B1081+1</f>
        <v>47103</v>
      </c>
      <c r="C1082" s="18" t="n">
        <f aca="false">MIN(ROUNDUP(A1082/365,0),5)</f>
        <v>3</v>
      </c>
      <c r="D1082" s="18" t="n">
        <f aca="false">DATEDIF(Assumptions!B5,B1082,"m")+1</f>
        <v>36</v>
      </c>
      <c r="E1082" s="18" t="str">
        <f aca="false">TEXT(B1082,"ddd")</f>
        <v>Sat</v>
      </c>
      <c r="F1082" s="19" t="n">
        <f aca="false">IF(WEEKDAY(B1082,2)&gt;=6,Assumptions!B34,Assumptions!B35)</f>
        <v>0.6</v>
      </c>
      <c r="G1082" s="20" t="n">
        <f aca="false">IF(D1082&gt;=13,(1+Assumptions!B46)^(D1082-12),1)</f>
        <v>1.07453951913335</v>
      </c>
      <c r="H1082" s="21" t="n">
        <f aca="false">H1081*(1+IF(C1082=1,Assumptions!B22,Assumptions!B23))</f>
        <v>23.4053530536396</v>
      </c>
      <c r="I1082" s="16" t="n">
        <f aca="false">ROUND(H1082*F1082,0)</f>
        <v>14</v>
      </c>
      <c r="J1082" s="22" t="n">
        <f aca="false">I1082*Assumptions!B24</f>
        <v>8400</v>
      </c>
      <c r="K1082" s="21" t="n">
        <f aca="false">K1081*(1+Assumptions!B30)</f>
        <v>18.704068961045</v>
      </c>
      <c r="L1082" s="16" t="n">
        <f aca="false">ROUND(K1082*F1082,0)</f>
        <v>11</v>
      </c>
      <c r="M1082" s="22" t="n">
        <f aca="false">L1082*Assumptions!B31</f>
        <v>3300</v>
      </c>
      <c r="N1082" s="22" t="n">
        <f aca="false">J1082+M1082</f>
        <v>11700</v>
      </c>
      <c r="O1082" s="22" t="n">
        <f aca="false">IF(DAY(B1082)=1,Assumptions!B38*G1082,0)</f>
        <v>0</v>
      </c>
      <c r="P1082" s="22" t="n">
        <f aca="false">IF(DAY(B1082)=1,Assumptions!B39*G1082,0)</f>
        <v>0</v>
      </c>
      <c r="Q1082" s="22" t="n">
        <f aca="false">IF(DAY(B1082)=1,Assumptions!B40*G1082,0)</f>
        <v>0</v>
      </c>
      <c r="R1082" s="22" t="n">
        <f aca="false">IF(DAY(B1082)=1,Assumptions!B41*G1082,0)</f>
        <v>0</v>
      </c>
      <c r="S1082" s="22" t="n">
        <f aca="false">IF(AND(DAY(B1082)=1,D1082&gt;=13),Assumptions!B42*G1082,0)</f>
        <v>0</v>
      </c>
      <c r="T1082" s="22" t="n">
        <f aca="false">IF(DAY(B1082)=1,Assumptions!B43*G1082,0)</f>
        <v>0</v>
      </c>
      <c r="U1082" s="22" t="n">
        <f aca="false">SUM(O1082:T1082)</f>
        <v>0</v>
      </c>
      <c r="V1082" s="22" t="n">
        <f aca="false">N1082-U1082</f>
        <v>11700</v>
      </c>
      <c r="W1082" s="22" t="n">
        <f aca="false">W1081+V1082</f>
        <v>-1813328.81773641</v>
      </c>
      <c r="X1082" s="23" t="str">
        <f aca="false">IF(W1082&gt;=0,"YES","No")</f>
        <v>No</v>
      </c>
    </row>
    <row r="1083" customFormat="false" ht="15" hidden="false" customHeight="false" outlineLevel="0" collapsed="false">
      <c r="A1083" s="16" t="n">
        <v>1082</v>
      </c>
      <c r="B1083" s="17" t="n">
        <f aca="false">B1082+1</f>
        <v>47104</v>
      </c>
      <c r="C1083" s="18" t="n">
        <f aca="false">MIN(ROUNDUP(A1083/365,0),5)</f>
        <v>3</v>
      </c>
      <c r="D1083" s="18" t="n">
        <f aca="false">DATEDIF(Assumptions!B5,B1083,"m")+1</f>
        <v>36</v>
      </c>
      <c r="E1083" s="18" t="str">
        <f aca="false">TEXT(B1083,"ddd")</f>
        <v>Sun</v>
      </c>
      <c r="F1083" s="19" t="n">
        <f aca="false">IF(WEEKDAY(B1083,2)&gt;=6,Assumptions!B34,Assumptions!B35)</f>
        <v>0.6</v>
      </c>
      <c r="G1083" s="20" t="n">
        <f aca="false">IF(D1083&gt;=13,(1+Assumptions!B46)^(D1083-12),1)</f>
        <v>1.07453951913335</v>
      </c>
      <c r="H1083" s="21" t="n">
        <f aca="false">H1082*(1+IF(C1083=1,Assumptions!B22,Assumptions!B23))</f>
        <v>23.4091882945688</v>
      </c>
      <c r="I1083" s="16" t="n">
        <f aca="false">ROUND(H1083*F1083,0)</f>
        <v>14</v>
      </c>
      <c r="J1083" s="22" t="n">
        <f aca="false">I1083*Assumptions!B24</f>
        <v>8400</v>
      </c>
      <c r="K1083" s="21" t="n">
        <f aca="false">K1082*(1+Assumptions!B30)</f>
        <v>18.710184010197</v>
      </c>
      <c r="L1083" s="16" t="n">
        <f aca="false">ROUND(K1083*F1083,0)</f>
        <v>11</v>
      </c>
      <c r="M1083" s="22" t="n">
        <f aca="false">L1083*Assumptions!B31</f>
        <v>3300</v>
      </c>
      <c r="N1083" s="22" t="n">
        <f aca="false">J1083+M1083</f>
        <v>11700</v>
      </c>
      <c r="O1083" s="22" t="n">
        <f aca="false">IF(DAY(B1083)=1,Assumptions!B38*G1083,0)</f>
        <v>0</v>
      </c>
      <c r="P1083" s="22" t="n">
        <f aca="false">IF(DAY(B1083)=1,Assumptions!B39*G1083,0)</f>
        <v>0</v>
      </c>
      <c r="Q1083" s="22" t="n">
        <f aca="false">IF(DAY(B1083)=1,Assumptions!B40*G1083,0)</f>
        <v>0</v>
      </c>
      <c r="R1083" s="22" t="n">
        <f aca="false">IF(DAY(B1083)=1,Assumptions!B41*G1083,0)</f>
        <v>0</v>
      </c>
      <c r="S1083" s="22" t="n">
        <f aca="false">IF(AND(DAY(B1083)=1,D1083&gt;=13),Assumptions!B42*G1083,0)</f>
        <v>0</v>
      </c>
      <c r="T1083" s="22" t="n">
        <f aca="false">IF(DAY(B1083)=1,Assumptions!B43*G1083,0)</f>
        <v>0</v>
      </c>
      <c r="U1083" s="22" t="n">
        <f aca="false">SUM(O1083:T1083)</f>
        <v>0</v>
      </c>
      <c r="V1083" s="22" t="n">
        <f aca="false">N1083-U1083</f>
        <v>11700</v>
      </c>
      <c r="W1083" s="22" t="n">
        <f aca="false">W1082+V1083</f>
        <v>-1801628.81773641</v>
      </c>
      <c r="X1083" s="23" t="str">
        <f aca="false">IF(W1083&gt;=0,"YES","No")</f>
        <v>No</v>
      </c>
    </row>
    <row r="1084" customFormat="false" ht="15" hidden="false" customHeight="false" outlineLevel="0" collapsed="false">
      <c r="A1084" s="16" t="n">
        <v>1083</v>
      </c>
      <c r="B1084" s="17" t="n">
        <f aca="false">B1083+1</f>
        <v>47105</v>
      </c>
      <c r="C1084" s="18" t="n">
        <f aca="false">MIN(ROUNDUP(A1084/365,0),5)</f>
        <v>3</v>
      </c>
      <c r="D1084" s="18" t="n">
        <f aca="false">DATEDIF(Assumptions!B5,B1084,"m")+1</f>
        <v>36</v>
      </c>
      <c r="E1084" s="18" t="str">
        <f aca="false">TEXT(B1084,"ddd")</f>
        <v>Mon</v>
      </c>
      <c r="F1084" s="19" t="n">
        <f aca="false">IF(WEEKDAY(B1084,2)&gt;=6,Assumptions!B34,Assumptions!B35)</f>
        <v>1</v>
      </c>
      <c r="G1084" s="20" t="n">
        <f aca="false">IF(D1084&gt;=13,(1+Assumptions!B46)^(D1084-12),1)</f>
        <v>1.07453951913335</v>
      </c>
      <c r="H1084" s="21" t="n">
        <f aca="false">H1083*(1+IF(C1084=1,Assumptions!B22,Assumptions!B23))</f>
        <v>23.4130241639471</v>
      </c>
      <c r="I1084" s="16" t="n">
        <f aca="false">ROUND(H1084*F1084,0)</f>
        <v>23</v>
      </c>
      <c r="J1084" s="22" t="n">
        <f aca="false">I1084*Assumptions!B24</f>
        <v>13800</v>
      </c>
      <c r="K1084" s="21" t="n">
        <f aca="false">K1083*(1+Assumptions!B30)</f>
        <v>18.7163010585838</v>
      </c>
      <c r="L1084" s="16" t="n">
        <f aca="false">ROUND(K1084*F1084,0)</f>
        <v>19</v>
      </c>
      <c r="M1084" s="22" t="n">
        <f aca="false">L1084*Assumptions!B31</f>
        <v>5700</v>
      </c>
      <c r="N1084" s="22" t="n">
        <f aca="false">J1084+M1084</f>
        <v>19500</v>
      </c>
      <c r="O1084" s="22" t="n">
        <f aca="false">IF(DAY(B1084)=1,Assumptions!B38*G1084,0)</f>
        <v>0</v>
      </c>
      <c r="P1084" s="22" t="n">
        <f aca="false">IF(DAY(B1084)=1,Assumptions!B39*G1084,0)</f>
        <v>0</v>
      </c>
      <c r="Q1084" s="22" t="n">
        <f aca="false">IF(DAY(B1084)=1,Assumptions!B40*G1084,0)</f>
        <v>0</v>
      </c>
      <c r="R1084" s="22" t="n">
        <f aca="false">IF(DAY(B1084)=1,Assumptions!B41*G1084,0)</f>
        <v>0</v>
      </c>
      <c r="S1084" s="22" t="n">
        <f aca="false">IF(AND(DAY(B1084)=1,D1084&gt;=13),Assumptions!B42*G1084,0)</f>
        <v>0</v>
      </c>
      <c r="T1084" s="22" t="n">
        <f aca="false">IF(DAY(B1084)=1,Assumptions!B43*G1084,0)</f>
        <v>0</v>
      </c>
      <c r="U1084" s="22" t="n">
        <f aca="false">SUM(O1084:T1084)</f>
        <v>0</v>
      </c>
      <c r="V1084" s="22" t="n">
        <f aca="false">N1084-U1084</f>
        <v>19500</v>
      </c>
      <c r="W1084" s="22" t="n">
        <f aca="false">W1083+V1084</f>
        <v>-1782128.81773641</v>
      </c>
      <c r="X1084" s="23" t="str">
        <f aca="false">IF(W1084&gt;=0,"YES","No")</f>
        <v>No</v>
      </c>
    </row>
    <row r="1085" customFormat="false" ht="15" hidden="false" customHeight="false" outlineLevel="0" collapsed="false">
      <c r="A1085" s="16" t="n">
        <v>1084</v>
      </c>
      <c r="B1085" s="17" t="n">
        <f aca="false">B1084+1</f>
        <v>47106</v>
      </c>
      <c r="C1085" s="18" t="n">
        <f aca="false">MIN(ROUNDUP(A1085/365,0),5)</f>
        <v>3</v>
      </c>
      <c r="D1085" s="18" t="n">
        <f aca="false">DATEDIF(Assumptions!B5,B1085,"m")+1</f>
        <v>36</v>
      </c>
      <c r="E1085" s="18" t="str">
        <f aca="false">TEXT(B1085,"ddd")</f>
        <v>Tue</v>
      </c>
      <c r="F1085" s="19" t="n">
        <f aca="false">IF(WEEKDAY(B1085,2)&gt;=6,Assumptions!B34,Assumptions!B35)</f>
        <v>1</v>
      </c>
      <c r="G1085" s="20" t="n">
        <f aca="false">IF(D1085&gt;=13,(1+Assumptions!B46)^(D1085-12),1)</f>
        <v>1.07453951913335</v>
      </c>
      <c r="H1085" s="21" t="n">
        <f aca="false">H1084*(1+IF(C1085=1,Assumptions!B22,Assumptions!B23))</f>
        <v>23.4168606618776</v>
      </c>
      <c r="I1085" s="16" t="n">
        <f aca="false">ROUND(H1085*F1085,0)</f>
        <v>23</v>
      </c>
      <c r="J1085" s="22" t="n">
        <f aca="false">I1085*Assumptions!B24</f>
        <v>13800</v>
      </c>
      <c r="K1085" s="21" t="n">
        <f aca="false">K1084*(1+Assumptions!B30)</f>
        <v>18.7224201068591</v>
      </c>
      <c r="L1085" s="16" t="n">
        <f aca="false">ROUND(K1085*F1085,0)</f>
        <v>19</v>
      </c>
      <c r="M1085" s="22" t="n">
        <f aca="false">L1085*Assumptions!B31</f>
        <v>5700</v>
      </c>
      <c r="N1085" s="22" t="n">
        <f aca="false">J1085+M1085</f>
        <v>19500</v>
      </c>
      <c r="O1085" s="22" t="n">
        <f aca="false">IF(DAY(B1085)=1,Assumptions!B38*G1085,0)</f>
        <v>0</v>
      </c>
      <c r="P1085" s="22" t="n">
        <f aca="false">IF(DAY(B1085)=1,Assumptions!B39*G1085,0)</f>
        <v>0</v>
      </c>
      <c r="Q1085" s="22" t="n">
        <f aca="false">IF(DAY(B1085)=1,Assumptions!B40*G1085,0)</f>
        <v>0</v>
      </c>
      <c r="R1085" s="22" t="n">
        <f aca="false">IF(DAY(B1085)=1,Assumptions!B41*G1085,0)</f>
        <v>0</v>
      </c>
      <c r="S1085" s="22" t="n">
        <f aca="false">IF(AND(DAY(B1085)=1,D1085&gt;=13),Assumptions!B42*G1085,0)</f>
        <v>0</v>
      </c>
      <c r="T1085" s="22" t="n">
        <f aca="false">IF(DAY(B1085)=1,Assumptions!B43*G1085,0)</f>
        <v>0</v>
      </c>
      <c r="U1085" s="22" t="n">
        <f aca="false">SUM(O1085:T1085)</f>
        <v>0</v>
      </c>
      <c r="V1085" s="22" t="n">
        <f aca="false">N1085-U1085</f>
        <v>19500</v>
      </c>
      <c r="W1085" s="22" t="n">
        <f aca="false">W1084+V1085</f>
        <v>-1762628.81773641</v>
      </c>
      <c r="X1085" s="23" t="str">
        <f aca="false">IF(W1085&gt;=0,"YES","No")</f>
        <v>No</v>
      </c>
    </row>
    <row r="1086" customFormat="false" ht="15" hidden="false" customHeight="false" outlineLevel="0" collapsed="false">
      <c r="A1086" s="16" t="n">
        <v>1085</v>
      </c>
      <c r="B1086" s="17" t="n">
        <f aca="false">B1085+1</f>
        <v>47107</v>
      </c>
      <c r="C1086" s="18" t="n">
        <f aca="false">MIN(ROUNDUP(A1086/365,0),5)</f>
        <v>3</v>
      </c>
      <c r="D1086" s="18" t="n">
        <f aca="false">DATEDIF(Assumptions!B5,B1086,"m")+1</f>
        <v>36</v>
      </c>
      <c r="E1086" s="18" t="str">
        <f aca="false">TEXT(B1086,"ddd")</f>
        <v>Wed</v>
      </c>
      <c r="F1086" s="19" t="n">
        <f aca="false">IF(WEEKDAY(B1086,2)&gt;=6,Assumptions!B34,Assumptions!B35)</f>
        <v>1</v>
      </c>
      <c r="G1086" s="20" t="n">
        <f aca="false">IF(D1086&gt;=13,(1+Assumptions!B46)^(D1086-12),1)</f>
        <v>1.07453951913335</v>
      </c>
      <c r="H1086" s="21" t="n">
        <f aca="false">H1085*(1+IF(C1086=1,Assumptions!B22,Assumptions!B23))</f>
        <v>23.420697788463</v>
      </c>
      <c r="I1086" s="16" t="n">
        <f aca="false">ROUND(H1086*F1086,0)</f>
        <v>23</v>
      </c>
      <c r="J1086" s="22" t="n">
        <f aca="false">I1086*Assumptions!B24</f>
        <v>13800</v>
      </c>
      <c r="K1086" s="21" t="n">
        <f aca="false">K1085*(1+Assumptions!B30)</f>
        <v>18.7285411556766</v>
      </c>
      <c r="L1086" s="16" t="n">
        <f aca="false">ROUND(K1086*F1086,0)</f>
        <v>19</v>
      </c>
      <c r="M1086" s="22" t="n">
        <f aca="false">L1086*Assumptions!B31</f>
        <v>5700</v>
      </c>
      <c r="N1086" s="22" t="n">
        <f aca="false">J1086+M1086</f>
        <v>19500</v>
      </c>
      <c r="O1086" s="22" t="n">
        <f aca="false">IF(DAY(B1086)=1,Assumptions!B38*G1086,0)</f>
        <v>0</v>
      </c>
      <c r="P1086" s="22" t="n">
        <f aca="false">IF(DAY(B1086)=1,Assumptions!B39*G1086,0)</f>
        <v>0</v>
      </c>
      <c r="Q1086" s="22" t="n">
        <f aca="false">IF(DAY(B1086)=1,Assumptions!B40*G1086,0)</f>
        <v>0</v>
      </c>
      <c r="R1086" s="22" t="n">
        <f aca="false">IF(DAY(B1086)=1,Assumptions!B41*G1086,0)</f>
        <v>0</v>
      </c>
      <c r="S1086" s="22" t="n">
        <f aca="false">IF(AND(DAY(B1086)=1,D1086&gt;=13),Assumptions!B42*G1086,0)</f>
        <v>0</v>
      </c>
      <c r="T1086" s="22" t="n">
        <f aca="false">IF(DAY(B1086)=1,Assumptions!B43*G1086,0)</f>
        <v>0</v>
      </c>
      <c r="U1086" s="22" t="n">
        <f aca="false">SUM(O1086:T1086)</f>
        <v>0</v>
      </c>
      <c r="V1086" s="22" t="n">
        <f aca="false">N1086-U1086</f>
        <v>19500</v>
      </c>
      <c r="W1086" s="22" t="n">
        <f aca="false">W1085+V1086</f>
        <v>-1743128.81773641</v>
      </c>
      <c r="X1086" s="23" t="str">
        <f aca="false">IF(W1086&gt;=0,"YES","No")</f>
        <v>No</v>
      </c>
    </row>
    <row r="1087" customFormat="false" ht="15" hidden="false" customHeight="false" outlineLevel="0" collapsed="false">
      <c r="A1087" s="16" t="n">
        <v>1086</v>
      </c>
      <c r="B1087" s="17" t="n">
        <f aca="false">B1086+1</f>
        <v>47108</v>
      </c>
      <c r="C1087" s="18" t="n">
        <f aca="false">MIN(ROUNDUP(A1087/365,0),5)</f>
        <v>3</v>
      </c>
      <c r="D1087" s="18" t="n">
        <f aca="false">DATEDIF(Assumptions!B5,B1087,"m")+1</f>
        <v>36</v>
      </c>
      <c r="E1087" s="18" t="str">
        <f aca="false">TEXT(B1087,"ddd")</f>
        <v>Thu</v>
      </c>
      <c r="F1087" s="19" t="n">
        <f aca="false">IF(WEEKDAY(B1087,2)&gt;=6,Assumptions!B34,Assumptions!B35)</f>
        <v>1</v>
      </c>
      <c r="G1087" s="20" t="n">
        <f aca="false">IF(D1087&gt;=13,(1+Assumptions!B46)^(D1087-12),1)</f>
        <v>1.07453951913335</v>
      </c>
      <c r="H1087" s="21" t="n">
        <f aca="false">H1086*(1+IF(C1087=1,Assumptions!B22,Assumptions!B23))</f>
        <v>23.4245355438066</v>
      </c>
      <c r="I1087" s="16" t="n">
        <f aca="false">ROUND(H1087*F1087,0)</f>
        <v>23</v>
      </c>
      <c r="J1087" s="22" t="n">
        <f aca="false">I1087*Assumptions!B24</f>
        <v>13800</v>
      </c>
      <c r="K1087" s="21" t="n">
        <f aca="false">K1086*(1+Assumptions!B30)</f>
        <v>18.7346642056905</v>
      </c>
      <c r="L1087" s="16" t="n">
        <f aca="false">ROUND(K1087*F1087,0)</f>
        <v>19</v>
      </c>
      <c r="M1087" s="22" t="n">
        <f aca="false">L1087*Assumptions!B31</f>
        <v>5700</v>
      </c>
      <c r="N1087" s="22" t="n">
        <f aca="false">J1087+M1087</f>
        <v>19500</v>
      </c>
      <c r="O1087" s="22" t="n">
        <f aca="false">IF(DAY(B1087)=1,Assumptions!B38*G1087,0)</f>
        <v>0</v>
      </c>
      <c r="P1087" s="22" t="n">
        <f aca="false">IF(DAY(B1087)=1,Assumptions!B39*G1087,0)</f>
        <v>0</v>
      </c>
      <c r="Q1087" s="22" t="n">
        <f aca="false">IF(DAY(B1087)=1,Assumptions!B40*G1087,0)</f>
        <v>0</v>
      </c>
      <c r="R1087" s="22" t="n">
        <f aca="false">IF(DAY(B1087)=1,Assumptions!B41*G1087,0)</f>
        <v>0</v>
      </c>
      <c r="S1087" s="22" t="n">
        <f aca="false">IF(AND(DAY(B1087)=1,D1087&gt;=13),Assumptions!B42*G1087,0)</f>
        <v>0</v>
      </c>
      <c r="T1087" s="22" t="n">
        <f aca="false">IF(DAY(B1087)=1,Assumptions!B43*G1087,0)</f>
        <v>0</v>
      </c>
      <c r="U1087" s="22" t="n">
        <f aca="false">SUM(O1087:T1087)</f>
        <v>0</v>
      </c>
      <c r="V1087" s="22" t="n">
        <f aca="false">N1087-U1087</f>
        <v>19500</v>
      </c>
      <c r="W1087" s="22" t="n">
        <f aca="false">W1086+V1087</f>
        <v>-1723628.81773641</v>
      </c>
      <c r="X1087" s="23" t="str">
        <f aca="false">IF(W1087&gt;=0,"YES","No")</f>
        <v>No</v>
      </c>
    </row>
    <row r="1088" customFormat="false" ht="15" hidden="false" customHeight="false" outlineLevel="0" collapsed="false">
      <c r="A1088" s="16" t="n">
        <v>1087</v>
      </c>
      <c r="B1088" s="17" t="n">
        <f aca="false">B1087+1</f>
        <v>47109</v>
      </c>
      <c r="C1088" s="18" t="n">
        <f aca="false">MIN(ROUNDUP(A1088/365,0),5)</f>
        <v>3</v>
      </c>
      <c r="D1088" s="18" t="n">
        <f aca="false">DATEDIF(Assumptions!B5,B1088,"m")+1</f>
        <v>36</v>
      </c>
      <c r="E1088" s="18" t="str">
        <f aca="false">TEXT(B1088,"ddd")</f>
        <v>Fri</v>
      </c>
      <c r="F1088" s="19" t="n">
        <f aca="false">IF(WEEKDAY(B1088,2)&gt;=6,Assumptions!B34,Assumptions!B35)</f>
        <v>1</v>
      </c>
      <c r="G1088" s="20" t="n">
        <f aca="false">IF(D1088&gt;=13,(1+Assumptions!B46)^(D1088-12),1)</f>
        <v>1.07453951913335</v>
      </c>
      <c r="H1088" s="21" t="n">
        <f aca="false">H1087*(1+IF(C1088=1,Assumptions!B22,Assumptions!B23))</f>
        <v>23.4283739280113</v>
      </c>
      <c r="I1088" s="16" t="n">
        <f aca="false">ROUND(H1088*F1088,0)</f>
        <v>23</v>
      </c>
      <c r="J1088" s="22" t="n">
        <f aca="false">I1088*Assumptions!B24</f>
        <v>13800</v>
      </c>
      <c r="K1088" s="21" t="n">
        <f aca="false">K1087*(1+Assumptions!B30)</f>
        <v>18.740789257555</v>
      </c>
      <c r="L1088" s="16" t="n">
        <f aca="false">ROUND(K1088*F1088,0)</f>
        <v>19</v>
      </c>
      <c r="M1088" s="22" t="n">
        <f aca="false">L1088*Assumptions!B31</f>
        <v>5700</v>
      </c>
      <c r="N1088" s="22" t="n">
        <f aca="false">J1088+M1088</f>
        <v>19500</v>
      </c>
      <c r="O1088" s="22" t="n">
        <f aca="false">IF(DAY(B1088)=1,Assumptions!B38*G1088,0)</f>
        <v>0</v>
      </c>
      <c r="P1088" s="22" t="n">
        <f aca="false">IF(DAY(B1088)=1,Assumptions!B39*G1088,0)</f>
        <v>0</v>
      </c>
      <c r="Q1088" s="22" t="n">
        <f aca="false">IF(DAY(B1088)=1,Assumptions!B40*G1088,0)</f>
        <v>0</v>
      </c>
      <c r="R1088" s="22" t="n">
        <f aca="false">IF(DAY(B1088)=1,Assumptions!B41*G1088,0)</f>
        <v>0</v>
      </c>
      <c r="S1088" s="22" t="n">
        <f aca="false">IF(AND(DAY(B1088)=1,D1088&gt;=13),Assumptions!B42*G1088,0)</f>
        <v>0</v>
      </c>
      <c r="T1088" s="22" t="n">
        <f aca="false">IF(DAY(B1088)=1,Assumptions!B43*G1088,0)</f>
        <v>0</v>
      </c>
      <c r="U1088" s="22" t="n">
        <f aca="false">SUM(O1088:T1088)</f>
        <v>0</v>
      </c>
      <c r="V1088" s="22" t="n">
        <f aca="false">N1088-U1088</f>
        <v>19500</v>
      </c>
      <c r="W1088" s="22" t="n">
        <f aca="false">W1087+V1088</f>
        <v>-1704128.81773641</v>
      </c>
      <c r="X1088" s="23" t="str">
        <f aca="false">IF(W1088&gt;=0,"YES","No")</f>
        <v>No</v>
      </c>
    </row>
    <row r="1089" customFormat="false" ht="15" hidden="false" customHeight="false" outlineLevel="0" collapsed="false">
      <c r="A1089" s="16" t="n">
        <v>1088</v>
      </c>
      <c r="B1089" s="17" t="n">
        <f aca="false">B1088+1</f>
        <v>47110</v>
      </c>
      <c r="C1089" s="18" t="n">
        <f aca="false">MIN(ROUNDUP(A1089/365,0),5)</f>
        <v>3</v>
      </c>
      <c r="D1089" s="18" t="n">
        <f aca="false">DATEDIF(Assumptions!B5,B1089,"m")+1</f>
        <v>36</v>
      </c>
      <c r="E1089" s="18" t="str">
        <f aca="false">TEXT(B1089,"ddd")</f>
        <v>Sat</v>
      </c>
      <c r="F1089" s="19" t="n">
        <f aca="false">IF(WEEKDAY(B1089,2)&gt;=6,Assumptions!B34,Assumptions!B35)</f>
        <v>0.6</v>
      </c>
      <c r="G1089" s="20" t="n">
        <f aca="false">IF(D1089&gt;=13,(1+Assumptions!B46)^(D1089-12),1)</f>
        <v>1.07453951913335</v>
      </c>
      <c r="H1089" s="21" t="n">
        <f aca="false">H1088*(1+IF(C1089=1,Assumptions!B22,Assumptions!B23))</f>
        <v>23.4322129411801</v>
      </c>
      <c r="I1089" s="16" t="n">
        <f aca="false">ROUND(H1089*F1089,0)</f>
        <v>14</v>
      </c>
      <c r="J1089" s="22" t="n">
        <f aca="false">I1089*Assumptions!B24</f>
        <v>8400</v>
      </c>
      <c r="K1089" s="21" t="n">
        <f aca="false">K1088*(1+Assumptions!B30)</f>
        <v>18.7469163119246</v>
      </c>
      <c r="L1089" s="16" t="n">
        <f aca="false">ROUND(K1089*F1089,0)</f>
        <v>11</v>
      </c>
      <c r="M1089" s="22" t="n">
        <f aca="false">L1089*Assumptions!B31</f>
        <v>3300</v>
      </c>
      <c r="N1089" s="22" t="n">
        <f aca="false">J1089+M1089</f>
        <v>11700</v>
      </c>
      <c r="O1089" s="22" t="n">
        <f aca="false">IF(DAY(B1089)=1,Assumptions!B38*G1089,0)</f>
        <v>0</v>
      </c>
      <c r="P1089" s="22" t="n">
        <f aca="false">IF(DAY(B1089)=1,Assumptions!B39*G1089,0)</f>
        <v>0</v>
      </c>
      <c r="Q1089" s="22" t="n">
        <f aca="false">IF(DAY(B1089)=1,Assumptions!B40*G1089,0)</f>
        <v>0</v>
      </c>
      <c r="R1089" s="22" t="n">
        <f aca="false">IF(DAY(B1089)=1,Assumptions!B41*G1089,0)</f>
        <v>0</v>
      </c>
      <c r="S1089" s="22" t="n">
        <f aca="false">IF(AND(DAY(B1089)=1,D1089&gt;=13),Assumptions!B42*G1089,0)</f>
        <v>0</v>
      </c>
      <c r="T1089" s="22" t="n">
        <f aca="false">IF(DAY(B1089)=1,Assumptions!B43*G1089,0)</f>
        <v>0</v>
      </c>
      <c r="U1089" s="22" t="n">
        <f aca="false">SUM(O1089:T1089)</f>
        <v>0</v>
      </c>
      <c r="V1089" s="22" t="n">
        <f aca="false">N1089-U1089</f>
        <v>11700</v>
      </c>
      <c r="W1089" s="22" t="n">
        <f aca="false">W1088+V1089</f>
        <v>-1692428.81773641</v>
      </c>
      <c r="X1089" s="23" t="str">
        <f aca="false">IF(W1089&gt;=0,"YES","No")</f>
        <v>No</v>
      </c>
    </row>
    <row r="1090" customFormat="false" ht="15" hidden="false" customHeight="false" outlineLevel="0" collapsed="false">
      <c r="A1090" s="16" t="n">
        <v>1089</v>
      </c>
      <c r="B1090" s="17" t="n">
        <f aca="false">B1089+1</f>
        <v>47111</v>
      </c>
      <c r="C1090" s="18" t="n">
        <f aca="false">MIN(ROUNDUP(A1090/365,0),5)</f>
        <v>3</v>
      </c>
      <c r="D1090" s="18" t="n">
        <f aca="false">DATEDIF(Assumptions!B5,B1090,"m")+1</f>
        <v>36</v>
      </c>
      <c r="E1090" s="18" t="str">
        <f aca="false">TEXT(B1090,"ddd")</f>
        <v>Sun</v>
      </c>
      <c r="F1090" s="19" t="n">
        <f aca="false">IF(WEEKDAY(B1090,2)&gt;=6,Assumptions!B34,Assumptions!B35)</f>
        <v>0.6</v>
      </c>
      <c r="G1090" s="20" t="n">
        <f aca="false">IF(D1090&gt;=13,(1+Assumptions!B46)^(D1090-12),1)</f>
        <v>1.07453951913335</v>
      </c>
      <c r="H1090" s="21" t="n">
        <f aca="false">H1089*(1+IF(C1090=1,Assumptions!B22,Assumptions!B23))</f>
        <v>23.4360525834162</v>
      </c>
      <c r="I1090" s="16" t="n">
        <f aca="false">ROUND(H1090*F1090,0)</f>
        <v>14</v>
      </c>
      <c r="J1090" s="22" t="n">
        <f aca="false">I1090*Assumptions!B24</f>
        <v>8400</v>
      </c>
      <c r="K1090" s="21" t="n">
        <f aca="false">K1089*(1+Assumptions!B30)</f>
        <v>18.753045369454</v>
      </c>
      <c r="L1090" s="16" t="n">
        <f aca="false">ROUND(K1090*F1090,0)</f>
        <v>11</v>
      </c>
      <c r="M1090" s="22" t="n">
        <f aca="false">L1090*Assumptions!B31</f>
        <v>3300</v>
      </c>
      <c r="N1090" s="22" t="n">
        <f aca="false">J1090+M1090</f>
        <v>11700</v>
      </c>
      <c r="O1090" s="22" t="n">
        <f aca="false">IF(DAY(B1090)=1,Assumptions!B38*G1090,0)</f>
        <v>0</v>
      </c>
      <c r="P1090" s="22" t="n">
        <f aca="false">IF(DAY(B1090)=1,Assumptions!B39*G1090,0)</f>
        <v>0</v>
      </c>
      <c r="Q1090" s="22" t="n">
        <f aca="false">IF(DAY(B1090)=1,Assumptions!B40*G1090,0)</f>
        <v>0</v>
      </c>
      <c r="R1090" s="22" t="n">
        <f aca="false">IF(DAY(B1090)=1,Assumptions!B41*G1090,0)</f>
        <v>0</v>
      </c>
      <c r="S1090" s="22" t="n">
        <f aca="false">IF(AND(DAY(B1090)=1,D1090&gt;=13),Assumptions!B42*G1090,0)</f>
        <v>0</v>
      </c>
      <c r="T1090" s="22" t="n">
        <f aca="false">IF(DAY(B1090)=1,Assumptions!B43*G1090,0)</f>
        <v>0</v>
      </c>
      <c r="U1090" s="22" t="n">
        <f aca="false">SUM(O1090:T1090)</f>
        <v>0</v>
      </c>
      <c r="V1090" s="22" t="n">
        <f aca="false">N1090-U1090</f>
        <v>11700</v>
      </c>
      <c r="W1090" s="22" t="n">
        <f aca="false">W1089+V1090</f>
        <v>-1680728.81773641</v>
      </c>
      <c r="X1090" s="23" t="str">
        <f aca="false">IF(W1090&gt;=0,"YES","No")</f>
        <v>No</v>
      </c>
    </row>
    <row r="1091" customFormat="false" ht="15" hidden="false" customHeight="false" outlineLevel="0" collapsed="false">
      <c r="A1091" s="16" t="n">
        <v>1090</v>
      </c>
      <c r="B1091" s="17" t="n">
        <f aca="false">B1090+1</f>
        <v>47112</v>
      </c>
      <c r="C1091" s="18" t="n">
        <f aca="false">MIN(ROUNDUP(A1091/365,0),5)</f>
        <v>3</v>
      </c>
      <c r="D1091" s="18" t="n">
        <f aca="false">DATEDIF(Assumptions!B5,B1091,"m")+1</f>
        <v>36</v>
      </c>
      <c r="E1091" s="18" t="str">
        <f aca="false">TEXT(B1091,"ddd")</f>
        <v>Mon</v>
      </c>
      <c r="F1091" s="19" t="n">
        <f aca="false">IF(WEEKDAY(B1091,2)&gt;=6,Assumptions!B34,Assumptions!B35)</f>
        <v>1</v>
      </c>
      <c r="G1091" s="20" t="n">
        <f aca="false">IF(D1091&gt;=13,(1+Assumptions!B46)^(D1091-12),1)</f>
        <v>1.07453951913335</v>
      </c>
      <c r="H1091" s="21" t="n">
        <f aca="false">H1090*(1+IF(C1091=1,Assumptions!B22,Assumptions!B23))</f>
        <v>23.4398928548225</v>
      </c>
      <c r="I1091" s="16" t="n">
        <f aca="false">ROUND(H1091*F1091,0)</f>
        <v>23</v>
      </c>
      <c r="J1091" s="22" t="n">
        <f aca="false">I1091*Assumptions!B24</f>
        <v>13800</v>
      </c>
      <c r="K1091" s="21" t="n">
        <f aca="false">K1090*(1+Assumptions!B30)</f>
        <v>18.7591764307981</v>
      </c>
      <c r="L1091" s="16" t="n">
        <f aca="false">ROUND(K1091*F1091,0)</f>
        <v>19</v>
      </c>
      <c r="M1091" s="22" t="n">
        <f aca="false">L1091*Assumptions!B31</f>
        <v>5700</v>
      </c>
      <c r="N1091" s="22" t="n">
        <f aca="false">J1091+M1091</f>
        <v>19500</v>
      </c>
      <c r="O1091" s="22" t="n">
        <f aca="false">IF(DAY(B1091)=1,Assumptions!B38*G1091,0)</f>
        <v>0</v>
      </c>
      <c r="P1091" s="22" t="n">
        <f aca="false">IF(DAY(B1091)=1,Assumptions!B39*G1091,0)</f>
        <v>0</v>
      </c>
      <c r="Q1091" s="22" t="n">
        <f aca="false">IF(DAY(B1091)=1,Assumptions!B40*G1091,0)</f>
        <v>0</v>
      </c>
      <c r="R1091" s="22" t="n">
        <f aca="false">IF(DAY(B1091)=1,Assumptions!B41*G1091,0)</f>
        <v>0</v>
      </c>
      <c r="S1091" s="22" t="n">
        <f aca="false">IF(AND(DAY(B1091)=1,D1091&gt;=13),Assumptions!B42*G1091,0)</f>
        <v>0</v>
      </c>
      <c r="T1091" s="22" t="n">
        <f aca="false">IF(DAY(B1091)=1,Assumptions!B43*G1091,0)</f>
        <v>0</v>
      </c>
      <c r="U1091" s="22" t="n">
        <f aca="false">SUM(O1091:T1091)</f>
        <v>0</v>
      </c>
      <c r="V1091" s="22" t="n">
        <f aca="false">N1091-U1091</f>
        <v>19500</v>
      </c>
      <c r="W1091" s="22" t="n">
        <f aca="false">W1090+V1091</f>
        <v>-1661228.81773641</v>
      </c>
      <c r="X1091" s="23" t="str">
        <f aca="false">IF(W1091&gt;=0,"YES","No")</f>
        <v>No</v>
      </c>
    </row>
    <row r="1092" customFormat="false" ht="15" hidden="false" customHeight="false" outlineLevel="0" collapsed="false">
      <c r="A1092" s="16" t="n">
        <v>1091</v>
      </c>
      <c r="B1092" s="17" t="n">
        <f aca="false">B1091+1</f>
        <v>47113</v>
      </c>
      <c r="C1092" s="18" t="n">
        <f aca="false">MIN(ROUNDUP(A1092/365,0),5)</f>
        <v>3</v>
      </c>
      <c r="D1092" s="18" t="n">
        <f aca="false">DATEDIF(Assumptions!B5,B1092,"m")+1</f>
        <v>36</v>
      </c>
      <c r="E1092" s="18" t="str">
        <f aca="false">TEXT(B1092,"ddd")</f>
        <v>Tue</v>
      </c>
      <c r="F1092" s="19" t="n">
        <f aca="false">IF(WEEKDAY(B1092,2)&gt;=6,Assumptions!B34,Assumptions!B35)</f>
        <v>1</v>
      </c>
      <c r="G1092" s="20" t="n">
        <f aca="false">IF(D1092&gt;=13,(1+Assumptions!B46)^(D1092-12),1)</f>
        <v>1.07453951913335</v>
      </c>
      <c r="H1092" s="21" t="n">
        <f aca="false">H1091*(1+IF(C1092=1,Assumptions!B22,Assumptions!B23))</f>
        <v>23.4437337555023</v>
      </c>
      <c r="I1092" s="16" t="n">
        <f aca="false">ROUND(H1092*F1092,0)</f>
        <v>23</v>
      </c>
      <c r="J1092" s="22" t="n">
        <f aca="false">I1092*Assumptions!B24</f>
        <v>13800</v>
      </c>
      <c r="K1092" s="21" t="n">
        <f aca="false">K1091*(1+Assumptions!B30)</f>
        <v>18.7653094966119</v>
      </c>
      <c r="L1092" s="16" t="n">
        <f aca="false">ROUND(K1092*F1092,0)</f>
        <v>19</v>
      </c>
      <c r="M1092" s="22" t="n">
        <f aca="false">L1092*Assumptions!B31</f>
        <v>5700</v>
      </c>
      <c r="N1092" s="22" t="n">
        <f aca="false">J1092+M1092</f>
        <v>19500</v>
      </c>
      <c r="O1092" s="22" t="n">
        <f aca="false">IF(DAY(B1092)=1,Assumptions!B38*G1092,0)</f>
        <v>0</v>
      </c>
      <c r="P1092" s="22" t="n">
        <f aca="false">IF(DAY(B1092)=1,Assumptions!B39*G1092,0)</f>
        <v>0</v>
      </c>
      <c r="Q1092" s="22" t="n">
        <f aca="false">IF(DAY(B1092)=1,Assumptions!B40*G1092,0)</f>
        <v>0</v>
      </c>
      <c r="R1092" s="22" t="n">
        <f aca="false">IF(DAY(B1092)=1,Assumptions!B41*G1092,0)</f>
        <v>0</v>
      </c>
      <c r="S1092" s="22" t="n">
        <f aca="false">IF(AND(DAY(B1092)=1,D1092&gt;=13),Assumptions!B42*G1092,0)</f>
        <v>0</v>
      </c>
      <c r="T1092" s="22" t="n">
        <f aca="false">IF(DAY(B1092)=1,Assumptions!B43*G1092,0)</f>
        <v>0</v>
      </c>
      <c r="U1092" s="22" t="n">
        <f aca="false">SUM(O1092:T1092)</f>
        <v>0</v>
      </c>
      <c r="V1092" s="22" t="n">
        <f aca="false">N1092-U1092</f>
        <v>19500</v>
      </c>
      <c r="W1092" s="22" t="n">
        <f aca="false">W1091+V1092</f>
        <v>-1641728.81773641</v>
      </c>
      <c r="X1092" s="23" t="str">
        <f aca="false">IF(W1092&gt;=0,"YES","No")</f>
        <v>No</v>
      </c>
    </row>
    <row r="1093" customFormat="false" ht="15" hidden="false" customHeight="false" outlineLevel="0" collapsed="false">
      <c r="A1093" s="16" t="n">
        <v>1092</v>
      </c>
      <c r="B1093" s="17" t="n">
        <f aca="false">B1092+1</f>
        <v>47114</v>
      </c>
      <c r="C1093" s="18" t="n">
        <f aca="false">MIN(ROUNDUP(A1093/365,0),5)</f>
        <v>3</v>
      </c>
      <c r="D1093" s="18" t="n">
        <f aca="false">DATEDIF(Assumptions!B5,B1093,"m")+1</f>
        <v>36</v>
      </c>
      <c r="E1093" s="18" t="str">
        <f aca="false">TEXT(B1093,"ddd")</f>
        <v>Wed</v>
      </c>
      <c r="F1093" s="19" t="n">
        <f aca="false">IF(WEEKDAY(B1093,2)&gt;=6,Assumptions!B34,Assumptions!B35)</f>
        <v>1</v>
      </c>
      <c r="G1093" s="20" t="n">
        <f aca="false">IF(D1093&gt;=13,(1+Assumptions!B46)^(D1093-12),1)</f>
        <v>1.07453951913335</v>
      </c>
      <c r="H1093" s="21" t="n">
        <f aca="false">H1092*(1+IF(C1093=1,Assumptions!B22,Assumptions!B23))</f>
        <v>23.4475752855586</v>
      </c>
      <c r="I1093" s="16" t="n">
        <f aca="false">ROUND(H1093*F1093,0)</f>
        <v>23</v>
      </c>
      <c r="J1093" s="22" t="n">
        <f aca="false">I1093*Assumptions!B24</f>
        <v>13800</v>
      </c>
      <c r="K1093" s="21" t="n">
        <f aca="false">K1092*(1+Assumptions!B30)</f>
        <v>18.7714445675509</v>
      </c>
      <c r="L1093" s="16" t="n">
        <f aca="false">ROUND(K1093*F1093,0)</f>
        <v>19</v>
      </c>
      <c r="M1093" s="22" t="n">
        <f aca="false">L1093*Assumptions!B31</f>
        <v>5700</v>
      </c>
      <c r="N1093" s="22" t="n">
        <f aca="false">J1093+M1093</f>
        <v>19500</v>
      </c>
      <c r="O1093" s="22" t="n">
        <f aca="false">IF(DAY(B1093)=1,Assumptions!B38*G1093,0)</f>
        <v>0</v>
      </c>
      <c r="P1093" s="22" t="n">
        <f aca="false">IF(DAY(B1093)=1,Assumptions!B39*G1093,0)</f>
        <v>0</v>
      </c>
      <c r="Q1093" s="22" t="n">
        <f aca="false">IF(DAY(B1093)=1,Assumptions!B40*G1093,0)</f>
        <v>0</v>
      </c>
      <c r="R1093" s="22" t="n">
        <f aca="false">IF(DAY(B1093)=1,Assumptions!B41*G1093,0)</f>
        <v>0</v>
      </c>
      <c r="S1093" s="22" t="n">
        <f aca="false">IF(AND(DAY(B1093)=1,D1093&gt;=13),Assumptions!B42*G1093,0)</f>
        <v>0</v>
      </c>
      <c r="T1093" s="22" t="n">
        <f aca="false">IF(DAY(B1093)=1,Assumptions!B43*G1093,0)</f>
        <v>0</v>
      </c>
      <c r="U1093" s="22" t="n">
        <f aca="false">SUM(O1093:T1093)</f>
        <v>0</v>
      </c>
      <c r="V1093" s="22" t="n">
        <f aca="false">N1093-U1093</f>
        <v>19500</v>
      </c>
      <c r="W1093" s="22" t="n">
        <f aca="false">W1092+V1093</f>
        <v>-1622228.81773641</v>
      </c>
      <c r="X1093" s="23" t="str">
        <f aca="false">IF(W1093&gt;=0,"YES","No")</f>
        <v>No</v>
      </c>
    </row>
    <row r="1094" customFormat="false" ht="15" hidden="false" customHeight="false" outlineLevel="0" collapsed="false">
      <c r="A1094" s="16" t="n">
        <v>1093</v>
      </c>
      <c r="B1094" s="17" t="n">
        <f aca="false">B1093+1</f>
        <v>47115</v>
      </c>
      <c r="C1094" s="18" t="n">
        <f aca="false">MIN(ROUNDUP(A1094/365,0),5)</f>
        <v>3</v>
      </c>
      <c r="D1094" s="18" t="n">
        <f aca="false">DATEDIF(Assumptions!B5,B1094,"m")+1</f>
        <v>36</v>
      </c>
      <c r="E1094" s="18" t="str">
        <f aca="false">TEXT(B1094,"ddd")</f>
        <v>Thu</v>
      </c>
      <c r="F1094" s="19" t="n">
        <f aca="false">IF(WEEKDAY(B1094,2)&gt;=6,Assumptions!B34,Assumptions!B35)</f>
        <v>1</v>
      </c>
      <c r="G1094" s="20" t="n">
        <f aca="false">IF(D1094&gt;=13,(1+Assumptions!B46)^(D1094-12),1)</f>
        <v>1.07453951913335</v>
      </c>
      <c r="H1094" s="21" t="n">
        <f aca="false">H1093*(1+IF(C1094=1,Assumptions!B22,Assumptions!B23))</f>
        <v>23.4514174450945</v>
      </c>
      <c r="I1094" s="16" t="n">
        <f aca="false">ROUND(H1094*F1094,0)</f>
        <v>23</v>
      </c>
      <c r="J1094" s="22" t="n">
        <f aca="false">I1094*Assumptions!B24</f>
        <v>13800</v>
      </c>
      <c r="K1094" s="21" t="n">
        <f aca="false">K1093*(1+Assumptions!B30)</f>
        <v>18.7775816442706</v>
      </c>
      <c r="L1094" s="16" t="n">
        <f aca="false">ROUND(K1094*F1094,0)</f>
        <v>19</v>
      </c>
      <c r="M1094" s="22" t="n">
        <f aca="false">L1094*Assumptions!B31</f>
        <v>5700</v>
      </c>
      <c r="N1094" s="22" t="n">
        <f aca="false">J1094+M1094</f>
        <v>19500</v>
      </c>
      <c r="O1094" s="22" t="n">
        <f aca="false">IF(DAY(B1094)=1,Assumptions!B38*G1094,0)</f>
        <v>0</v>
      </c>
      <c r="P1094" s="22" t="n">
        <f aca="false">IF(DAY(B1094)=1,Assumptions!B39*G1094,0)</f>
        <v>0</v>
      </c>
      <c r="Q1094" s="22" t="n">
        <f aca="false">IF(DAY(B1094)=1,Assumptions!B40*G1094,0)</f>
        <v>0</v>
      </c>
      <c r="R1094" s="22" t="n">
        <f aca="false">IF(DAY(B1094)=1,Assumptions!B41*G1094,0)</f>
        <v>0</v>
      </c>
      <c r="S1094" s="22" t="n">
        <f aca="false">IF(AND(DAY(B1094)=1,D1094&gt;=13),Assumptions!B42*G1094,0)</f>
        <v>0</v>
      </c>
      <c r="T1094" s="22" t="n">
        <f aca="false">IF(DAY(B1094)=1,Assumptions!B43*G1094,0)</f>
        <v>0</v>
      </c>
      <c r="U1094" s="22" t="n">
        <f aca="false">SUM(O1094:T1094)</f>
        <v>0</v>
      </c>
      <c r="V1094" s="22" t="n">
        <f aca="false">N1094-U1094</f>
        <v>19500</v>
      </c>
      <c r="W1094" s="22" t="n">
        <f aca="false">W1093+V1094</f>
        <v>-1602728.81773641</v>
      </c>
      <c r="X1094" s="23" t="str">
        <f aca="false">IF(W1094&gt;=0,"YES","No")</f>
        <v>No</v>
      </c>
    </row>
    <row r="1095" customFormat="false" ht="15" hidden="false" customHeight="false" outlineLevel="0" collapsed="false">
      <c r="A1095" s="16" t="n">
        <v>1094</v>
      </c>
      <c r="B1095" s="17" t="n">
        <f aca="false">B1094+1</f>
        <v>47116</v>
      </c>
      <c r="C1095" s="18" t="n">
        <f aca="false">MIN(ROUNDUP(A1095/365,0),5)</f>
        <v>3</v>
      </c>
      <c r="D1095" s="18" t="n">
        <f aca="false">DATEDIF(Assumptions!B5,B1095,"m")+1</f>
        <v>36</v>
      </c>
      <c r="E1095" s="18" t="str">
        <f aca="false">TEXT(B1095,"ddd")</f>
        <v>Fri</v>
      </c>
      <c r="F1095" s="19" t="n">
        <f aca="false">IF(WEEKDAY(B1095,2)&gt;=6,Assumptions!B34,Assumptions!B35)</f>
        <v>1</v>
      </c>
      <c r="G1095" s="20" t="n">
        <f aca="false">IF(D1095&gt;=13,(1+Assumptions!B46)^(D1095-12),1)</f>
        <v>1.07453951913335</v>
      </c>
      <c r="H1095" s="21" t="n">
        <f aca="false">H1094*(1+IF(C1095=1,Assumptions!B22,Assumptions!B23))</f>
        <v>23.4552602342132</v>
      </c>
      <c r="I1095" s="16" t="n">
        <f aca="false">ROUND(H1095*F1095,0)</f>
        <v>23</v>
      </c>
      <c r="J1095" s="22" t="n">
        <f aca="false">I1095*Assumptions!B24</f>
        <v>13800</v>
      </c>
      <c r="K1095" s="21" t="n">
        <f aca="false">K1094*(1+Assumptions!B30)</f>
        <v>18.7837207274268</v>
      </c>
      <c r="L1095" s="16" t="n">
        <f aca="false">ROUND(K1095*F1095,0)</f>
        <v>19</v>
      </c>
      <c r="M1095" s="22" t="n">
        <f aca="false">L1095*Assumptions!B31</f>
        <v>5700</v>
      </c>
      <c r="N1095" s="22" t="n">
        <f aca="false">J1095+M1095</f>
        <v>19500</v>
      </c>
      <c r="O1095" s="22" t="n">
        <f aca="false">IF(DAY(B1095)=1,Assumptions!B38*G1095,0)</f>
        <v>0</v>
      </c>
      <c r="P1095" s="22" t="n">
        <f aca="false">IF(DAY(B1095)=1,Assumptions!B39*G1095,0)</f>
        <v>0</v>
      </c>
      <c r="Q1095" s="22" t="n">
        <f aca="false">IF(DAY(B1095)=1,Assumptions!B40*G1095,0)</f>
        <v>0</v>
      </c>
      <c r="R1095" s="22" t="n">
        <f aca="false">IF(DAY(B1095)=1,Assumptions!B41*G1095,0)</f>
        <v>0</v>
      </c>
      <c r="S1095" s="22" t="n">
        <f aca="false">IF(AND(DAY(B1095)=1,D1095&gt;=13),Assumptions!B42*G1095,0)</f>
        <v>0</v>
      </c>
      <c r="T1095" s="22" t="n">
        <f aca="false">IF(DAY(B1095)=1,Assumptions!B43*G1095,0)</f>
        <v>0</v>
      </c>
      <c r="U1095" s="22" t="n">
        <f aca="false">SUM(O1095:T1095)</f>
        <v>0</v>
      </c>
      <c r="V1095" s="22" t="n">
        <f aca="false">N1095-U1095</f>
        <v>19500</v>
      </c>
      <c r="W1095" s="22" t="n">
        <f aca="false">W1094+V1095</f>
        <v>-1583228.81773641</v>
      </c>
      <c r="X1095" s="23" t="str">
        <f aca="false">IF(W1095&gt;=0,"YES","No")</f>
        <v>No</v>
      </c>
    </row>
    <row r="1096" customFormat="false" ht="15" hidden="false" customHeight="false" outlineLevel="0" collapsed="false">
      <c r="A1096" s="16" t="n">
        <v>1095</v>
      </c>
      <c r="B1096" s="17" t="n">
        <f aca="false">B1095+1</f>
        <v>47117</v>
      </c>
      <c r="C1096" s="18" t="n">
        <f aca="false">MIN(ROUNDUP(A1096/365,0),5)</f>
        <v>3</v>
      </c>
      <c r="D1096" s="18" t="n">
        <f aca="false">DATEDIF(Assumptions!B5,B1096,"m")+1</f>
        <v>36</v>
      </c>
      <c r="E1096" s="18" t="str">
        <f aca="false">TEXT(B1096,"ddd")</f>
        <v>Sat</v>
      </c>
      <c r="F1096" s="19" t="n">
        <f aca="false">IF(WEEKDAY(B1096,2)&gt;=6,Assumptions!B34,Assumptions!B35)</f>
        <v>0.6</v>
      </c>
      <c r="G1096" s="20" t="n">
        <f aca="false">IF(D1096&gt;=13,(1+Assumptions!B46)^(D1096-12),1)</f>
        <v>1.07453951913335</v>
      </c>
      <c r="H1096" s="21" t="n">
        <f aca="false">H1095*(1+IF(C1096=1,Assumptions!B22,Assumptions!B23))</f>
        <v>23.4591036530179</v>
      </c>
      <c r="I1096" s="16" t="n">
        <f aca="false">ROUND(H1096*F1096,0)</f>
        <v>14</v>
      </c>
      <c r="J1096" s="22" t="n">
        <f aca="false">I1096*Assumptions!B24</f>
        <v>8400</v>
      </c>
      <c r="K1096" s="21" t="n">
        <f aca="false">K1095*(1+Assumptions!B30)</f>
        <v>18.7898618176753</v>
      </c>
      <c r="L1096" s="16" t="n">
        <f aca="false">ROUND(K1096*F1096,0)</f>
        <v>11</v>
      </c>
      <c r="M1096" s="22" t="n">
        <f aca="false">L1096*Assumptions!B31</f>
        <v>3300</v>
      </c>
      <c r="N1096" s="22" t="n">
        <f aca="false">J1096+M1096</f>
        <v>11700</v>
      </c>
      <c r="O1096" s="22" t="n">
        <f aca="false">IF(DAY(B1096)=1,Assumptions!B38*G1096,0)</f>
        <v>0</v>
      </c>
      <c r="P1096" s="22" t="n">
        <f aca="false">IF(DAY(B1096)=1,Assumptions!B39*G1096,0)</f>
        <v>0</v>
      </c>
      <c r="Q1096" s="22" t="n">
        <f aca="false">IF(DAY(B1096)=1,Assumptions!B40*G1096,0)</f>
        <v>0</v>
      </c>
      <c r="R1096" s="22" t="n">
        <f aca="false">IF(DAY(B1096)=1,Assumptions!B41*G1096,0)</f>
        <v>0</v>
      </c>
      <c r="S1096" s="22" t="n">
        <f aca="false">IF(AND(DAY(B1096)=1,D1096&gt;=13),Assumptions!B42*G1096,0)</f>
        <v>0</v>
      </c>
      <c r="T1096" s="22" t="n">
        <f aca="false">IF(DAY(B1096)=1,Assumptions!B43*G1096,0)</f>
        <v>0</v>
      </c>
      <c r="U1096" s="22" t="n">
        <f aca="false">SUM(O1096:T1096)</f>
        <v>0</v>
      </c>
      <c r="V1096" s="22" t="n">
        <f aca="false">N1096-U1096</f>
        <v>11700</v>
      </c>
      <c r="W1096" s="22" t="n">
        <f aca="false">W1095+V1096</f>
        <v>-1571528.81773641</v>
      </c>
      <c r="X1096" s="23" t="str">
        <f aca="false">IF(W1096&gt;=0,"YES","No")</f>
        <v>No</v>
      </c>
    </row>
    <row r="1097" customFormat="false" ht="15" hidden="false" customHeight="false" outlineLevel="0" collapsed="false">
      <c r="A1097" s="16" t="n">
        <v>1096</v>
      </c>
      <c r="B1097" s="17" t="n">
        <f aca="false">B1096+1</f>
        <v>47118</v>
      </c>
      <c r="C1097" s="18" t="n">
        <f aca="false">MIN(ROUNDUP(A1097/365,0),5)</f>
        <v>4</v>
      </c>
      <c r="D1097" s="18" t="n">
        <f aca="false">DATEDIF(Assumptions!B5,B1097,"m")+1</f>
        <v>36</v>
      </c>
      <c r="E1097" s="18" t="str">
        <f aca="false">TEXT(B1097,"ddd")</f>
        <v>Sun</v>
      </c>
      <c r="F1097" s="19" t="n">
        <f aca="false">IF(WEEKDAY(B1097,2)&gt;=6,Assumptions!B34,Assumptions!B35)</f>
        <v>0.6</v>
      </c>
      <c r="G1097" s="20" t="n">
        <f aca="false">IF(D1097&gt;=13,(1+Assumptions!B46)^(D1097-12),1)</f>
        <v>1.07453951913335</v>
      </c>
      <c r="H1097" s="21" t="n">
        <f aca="false">H1096*(1+IF(C1097=1,Assumptions!B22,Assumptions!B23))</f>
        <v>23.4629477016117</v>
      </c>
      <c r="I1097" s="16" t="n">
        <f aca="false">ROUND(H1097*F1097,0)</f>
        <v>14</v>
      </c>
      <c r="J1097" s="22" t="n">
        <f aca="false">I1097*Assumptions!B24</f>
        <v>8400</v>
      </c>
      <c r="K1097" s="21" t="n">
        <f aca="false">K1096*(1+Assumptions!B30)</f>
        <v>18.7960049156725</v>
      </c>
      <c r="L1097" s="16" t="n">
        <f aca="false">ROUND(K1097*F1097,0)</f>
        <v>11</v>
      </c>
      <c r="M1097" s="22" t="n">
        <f aca="false">L1097*Assumptions!B31</f>
        <v>3300</v>
      </c>
      <c r="N1097" s="22" t="n">
        <f aca="false">J1097+M1097</f>
        <v>11700</v>
      </c>
      <c r="O1097" s="22" t="n">
        <f aca="false">IF(DAY(B1097)=1,Assumptions!B38*G1097,0)</f>
        <v>0</v>
      </c>
      <c r="P1097" s="22" t="n">
        <f aca="false">IF(DAY(B1097)=1,Assumptions!B39*G1097,0)</f>
        <v>0</v>
      </c>
      <c r="Q1097" s="22" t="n">
        <f aca="false">IF(DAY(B1097)=1,Assumptions!B40*G1097,0)</f>
        <v>0</v>
      </c>
      <c r="R1097" s="22" t="n">
        <f aca="false">IF(DAY(B1097)=1,Assumptions!B41*G1097,0)</f>
        <v>0</v>
      </c>
      <c r="S1097" s="22" t="n">
        <f aca="false">IF(AND(DAY(B1097)=1,D1097&gt;=13),Assumptions!B42*G1097,0)</f>
        <v>0</v>
      </c>
      <c r="T1097" s="22" t="n">
        <f aca="false">IF(DAY(B1097)=1,Assumptions!B43*G1097,0)</f>
        <v>0</v>
      </c>
      <c r="U1097" s="22" t="n">
        <f aca="false">SUM(O1097:T1097)</f>
        <v>0</v>
      </c>
      <c r="V1097" s="22" t="n">
        <f aca="false">N1097-U1097</f>
        <v>11700</v>
      </c>
      <c r="W1097" s="22" t="n">
        <f aca="false">W1096+V1097</f>
        <v>-1559828.81773641</v>
      </c>
      <c r="X1097" s="23" t="str">
        <f aca="false">IF(W1097&gt;=0,"YES","No")</f>
        <v>No</v>
      </c>
    </row>
    <row r="1098" customFormat="false" ht="15" hidden="false" customHeight="false" outlineLevel="0" collapsed="false">
      <c r="A1098" s="16" t="n">
        <v>1097</v>
      </c>
      <c r="B1098" s="17" t="n">
        <f aca="false">B1097+1</f>
        <v>47119</v>
      </c>
      <c r="C1098" s="18" t="n">
        <f aca="false">MIN(ROUNDUP(A1098/365,0),5)</f>
        <v>4</v>
      </c>
      <c r="D1098" s="18" t="n">
        <f aca="false">DATEDIF(Assumptions!B5,B1098,"m")+1</f>
        <v>37</v>
      </c>
      <c r="E1098" s="18" t="str">
        <f aca="false">TEXT(B1098,"ddd")</f>
        <v>Mon</v>
      </c>
      <c r="F1098" s="19" t="n">
        <f aca="false">IF(WEEKDAY(B1098,2)&gt;=6,Assumptions!B34,Assumptions!B35)</f>
        <v>1</v>
      </c>
      <c r="G1098" s="20" t="n">
        <f aca="false">IF(D1098&gt;=13,(1+Assumptions!B46)^(D1098-12),1)</f>
        <v>1.07776313769075</v>
      </c>
      <c r="H1098" s="21" t="n">
        <f aca="false">H1097*(1+IF(C1098=1,Assumptions!B22,Assumptions!B23))</f>
        <v>23.4667923800978</v>
      </c>
      <c r="I1098" s="16" t="n">
        <f aca="false">ROUND(H1098*F1098,0)</f>
        <v>23</v>
      </c>
      <c r="J1098" s="22" t="n">
        <f aca="false">I1098*Assumptions!B24</f>
        <v>13800</v>
      </c>
      <c r="K1098" s="21" t="n">
        <f aca="false">K1097*(1+Assumptions!B30)</f>
        <v>18.8021500220748</v>
      </c>
      <c r="L1098" s="16" t="n">
        <f aca="false">ROUND(K1098*F1098,0)</f>
        <v>19</v>
      </c>
      <c r="M1098" s="22" t="n">
        <f aca="false">L1098*Assumptions!B31</f>
        <v>5700</v>
      </c>
      <c r="N1098" s="22" t="n">
        <f aca="false">J1098+M1098</f>
        <v>19500</v>
      </c>
      <c r="O1098" s="22" t="n">
        <f aca="false">IF(DAY(B1098)=1,Assumptions!B38*G1098,0)</f>
        <v>161664.470653613</v>
      </c>
      <c r="P1098" s="22" t="n">
        <f aca="false">IF(DAY(B1098)=1,Assumptions!B39*G1098,0)</f>
        <v>43110.5255076301</v>
      </c>
      <c r="Q1098" s="22" t="n">
        <f aca="false">IF(DAY(B1098)=1,Assumptions!B40*G1098,0)</f>
        <v>32332.8941307225</v>
      </c>
      <c r="R1098" s="22" t="n">
        <f aca="false">IF(DAY(B1098)=1,Assumptions!B41*G1098,0)</f>
        <v>21555.262753815</v>
      </c>
      <c r="S1098" s="22" t="n">
        <f aca="false">IF(AND(DAY(B1098)=1,D1098&gt;=13),Assumptions!B42*G1098,0)</f>
        <v>161664.470653613</v>
      </c>
      <c r="T1098" s="22" t="n">
        <f aca="false">IF(DAY(B1098)=1,Assumptions!B43*G1098,0)</f>
        <v>21555.262753815</v>
      </c>
      <c r="U1098" s="22" t="n">
        <f aca="false">SUM(O1098:T1098)</f>
        <v>441882.886453208</v>
      </c>
      <c r="V1098" s="22" t="n">
        <f aca="false">N1098-U1098</f>
        <v>-422382.886453208</v>
      </c>
      <c r="W1098" s="22" t="n">
        <f aca="false">W1097+V1098</f>
        <v>-1982211.70418962</v>
      </c>
      <c r="X1098" s="23" t="str">
        <f aca="false">IF(W1098&gt;=0,"YES","No")</f>
        <v>No</v>
      </c>
    </row>
    <row r="1099" customFormat="false" ht="15" hidden="false" customHeight="false" outlineLevel="0" collapsed="false">
      <c r="A1099" s="16" t="n">
        <v>1098</v>
      </c>
      <c r="B1099" s="17" t="n">
        <f aca="false">B1098+1</f>
        <v>47120</v>
      </c>
      <c r="C1099" s="18" t="n">
        <f aca="false">MIN(ROUNDUP(A1099/365,0),5)</f>
        <v>4</v>
      </c>
      <c r="D1099" s="18" t="n">
        <f aca="false">DATEDIF(Assumptions!B5,B1099,"m")+1</f>
        <v>37</v>
      </c>
      <c r="E1099" s="18" t="str">
        <f aca="false">TEXT(B1099,"ddd")</f>
        <v>Tue</v>
      </c>
      <c r="F1099" s="19" t="n">
        <f aca="false">IF(WEEKDAY(B1099,2)&gt;=6,Assumptions!B34,Assumptions!B35)</f>
        <v>1</v>
      </c>
      <c r="G1099" s="20" t="n">
        <f aca="false">IF(D1099&gt;=13,(1+Assumptions!B46)^(D1099-12),1)</f>
        <v>1.07776313769075</v>
      </c>
      <c r="H1099" s="21" t="n">
        <f aca="false">H1098*(1+IF(C1099=1,Assumptions!B22,Assumptions!B23))</f>
        <v>23.4706376885795</v>
      </c>
      <c r="I1099" s="16" t="n">
        <f aca="false">ROUND(H1099*F1099,0)</f>
        <v>23</v>
      </c>
      <c r="J1099" s="22" t="n">
        <f aca="false">I1099*Assumptions!B24</f>
        <v>13800</v>
      </c>
      <c r="K1099" s="21" t="n">
        <f aca="false">K1098*(1+Assumptions!B30)</f>
        <v>18.8082971375387</v>
      </c>
      <c r="L1099" s="16" t="n">
        <f aca="false">ROUND(K1099*F1099,0)</f>
        <v>19</v>
      </c>
      <c r="M1099" s="22" t="n">
        <f aca="false">L1099*Assumptions!B31</f>
        <v>5700</v>
      </c>
      <c r="N1099" s="22" t="n">
        <f aca="false">J1099+M1099</f>
        <v>19500</v>
      </c>
      <c r="O1099" s="22" t="n">
        <f aca="false">IF(DAY(B1099)=1,Assumptions!B38*G1099,0)</f>
        <v>0</v>
      </c>
      <c r="P1099" s="22" t="n">
        <f aca="false">IF(DAY(B1099)=1,Assumptions!B39*G1099,0)</f>
        <v>0</v>
      </c>
      <c r="Q1099" s="22" t="n">
        <f aca="false">IF(DAY(B1099)=1,Assumptions!B40*G1099,0)</f>
        <v>0</v>
      </c>
      <c r="R1099" s="22" t="n">
        <f aca="false">IF(DAY(B1099)=1,Assumptions!B41*G1099,0)</f>
        <v>0</v>
      </c>
      <c r="S1099" s="22" t="n">
        <f aca="false">IF(AND(DAY(B1099)=1,D1099&gt;=13),Assumptions!B42*G1099,0)</f>
        <v>0</v>
      </c>
      <c r="T1099" s="22" t="n">
        <f aca="false">IF(DAY(B1099)=1,Assumptions!B43*G1099,0)</f>
        <v>0</v>
      </c>
      <c r="U1099" s="22" t="n">
        <f aca="false">SUM(O1099:T1099)</f>
        <v>0</v>
      </c>
      <c r="V1099" s="22" t="n">
        <f aca="false">N1099-U1099</f>
        <v>19500</v>
      </c>
      <c r="W1099" s="22" t="n">
        <f aca="false">W1098+V1099</f>
        <v>-1962711.70418962</v>
      </c>
      <c r="X1099" s="23" t="str">
        <f aca="false">IF(W1099&gt;=0,"YES","No")</f>
        <v>No</v>
      </c>
    </row>
    <row r="1100" customFormat="false" ht="15" hidden="false" customHeight="false" outlineLevel="0" collapsed="false">
      <c r="A1100" s="16" t="n">
        <v>1099</v>
      </c>
      <c r="B1100" s="17" t="n">
        <f aca="false">B1099+1</f>
        <v>47121</v>
      </c>
      <c r="C1100" s="18" t="n">
        <f aca="false">MIN(ROUNDUP(A1100/365,0),5)</f>
        <v>4</v>
      </c>
      <c r="D1100" s="18" t="n">
        <f aca="false">DATEDIF(Assumptions!B5,B1100,"m")+1</f>
        <v>37</v>
      </c>
      <c r="E1100" s="18" t="str">
        <f aca="false">TEXT(B1100,"ddd")</f>
        <v>Wed</v>
      </c>
      <c r="F1100" s="19" t="n">
        <f aca="false">IF(WEEKDAY(B1100,2)&gt;=6,Assumptions!B34,Assumptions!B35)</f>
        <v>1</v>
      </c>
      <c r="G1100" s="20" t="n">
        <f aca="false">IF(D1100&gt;=13,(1+Assumptions!B46)^(D1100-12),1)</f>
        <v>1.07776313769075</v>
      </c>
      <c r="H1100" s="21" t="n">
        <f aca="false">H1099*(1+IF(C1100=1,Assumptions!B22,Assumptions!B23))</f>
        <v>23.4744836271599</v>
      </c>
      <c r="I1100" s="16" t="n">
        <f aca="false">ROUND(H1100*F1100,0)</f>
        <v>23</v>
      </c>
      <c r="J1100" s="22" t="n">
        <f aca="false">I1100*Assumptions!B24</f>
        <v>13800</v>
      </c>
      <c r="K1100" s="21" t="n">
        <f aca="false">K1099*(1+Assumptions!B30)</f>
        <v>18.814446262721</v>
      </c>
      <c r="L1100" s="16" t="n">
        <f aca="false">ROUND(K1100*F1100,0)</f>
        <v>19</v>
      </c>
      <c r="M1100" s="22" t="n">
        <f aca="false">L1100*Assumptions!B31</f>
        <v>5700</v>
      </c>
      <c r="N1100" s="22" t="n">
        <f aca="false">J1100+M1100</f>
        <v>19500</v>
      </c>
      <c r="O1100" s="22" t="n">
        <f aca="false">IF(DAY(B1100)=1,Assumptions!B38*G1100,0)</f>
        <v>0</v>
      </c>
      <c r="P1100" s="22" t="n">
        <f aca="false">IF(DAY(B1100)=1,Assumptions!B39*G1100,0)</f>
        <v>0</v>
      </c>
      <c r="Q1100" s="22" t="n">
        <f aca="false">IF(DAY(B1100)=1,Assumptions!B40*G1100,0)</f>
        <v>0</v>
      </c>
      <c r="R1100" s="22" t="n">
        <f aca="false">IF(DAY(B1100)=1,Assumptions!B41*G1100,0)</f>
        <v>0</v>
      </c>
      <c r="S1100" s="22" t="n">
        <f aca="false">IF(AND(DAY(B1100)=1,D1100&gt;=13),Assumptions!B42*G1100,0)</f>
        <v>0</v>
      </c>
      <c r="T1100" s="22" t="n">
        <f aca="false">IF(DAY(B1100)=1,Assumptions!B43*G1100,0)</f>
        <v>0</v>
      </c>
      <c r="U1100" s="22" t="n">
        <f aca="false">SUM(O1100:T1100)</f>
        <v>0</v>
      </c>
      <c r="V1100" s="22" t="n">
        <f aca="false">N1100-U1100</f>
        <v>19500</v>
      </c>
      <c r="W1100" s="22" t="n">
        <f aca="false">W1099+V1100</f>
        <v>-1943211.70418962</v>
      </c>
      <c r="X1100" s="23" t="str">
        <f aca="false">IF(W1100&gt;=0,"YES","No")</f>
        <v>No</v>
      </c>
    </row>
    <row r="1101" customFormat="false" ht="15" hidden="false" customHeight="false" outlineLevel="0" collapsed="false">
      <c r="A1101" s="16" t="n">
        <v>1100</v>
      </c>
      <c r="B1101" s="17" t="n">
        <f aca="false">B1100+1</f>
        <v>47122</v>
      </c>
      <c r="C1101" s="18" t="n">
        <f aca="false">MIN(ROUNDUP(A1101/365,0),5)</f>
        <v>4</v>
      </c>
      <c r="D1101" s="18" t="n">
        <f aca="false">DATEDIF(Assumptions!B5,B1101,"m")+1</f>
        <v>37</v>
      </c>
      <c r="E1101" s="18" t="str">
        <f aca="false">TEXT(B1101,"ddd")</f>
        <v>Thu</v>
      </c>
      <c r="F1101" s="19" t="n">
        <f aca="false">IF(WEEKDAY(B1101,2)&gt;=6,Assumptions!B34,Assumptions!B35)</f>
        <v>1</v>
      </c>
      <c r="G1101" s="20" t="n">
        <f aca="false">IF(D1101&gt;=13,(1+Assumptions!B46)^(D1101-12),1)</f>
        <v>1.07776313769075</v>
      </c>
      <c r="H1101" s="21" t="n">
        <f aca="false">H1100*(1+IF(C1101=1,Assumptions!B22,Assumptions!B23))</f>
        <v>23.4783301959424</v>
      </c>
      <c r="I1101" s="16" t="n">
        <f aca="false">ROUND(H1101*F1101,0)</f>
        <v>23</v>
      </c>
      <c r="J1101" s="22" t="n">
        <f aca="false">I1101*Assumptions!B24</f>
        <v>13800</v>
      </c>
      <c r="K1101" s="21" t="n">
        <f aca="false">K1100*(1+Assumptions!B30)</f>
        <v>18.8205973982789</v>
      </c>
      <c r="L1101" s="16" t="n">
        <f aca="false">ROUND(K1101*F1101,0)</f>
        <v>19</v>
      </c>
      <c r="M1101" s="22" t="n">
        <f aca="false">L1101*Assumptions!B31</f>
        <v>5700</v>
      </c>
      <c r="N1101" s="22" t="n">
        <f aca="false">J1101+M1101</f>
        <v>19500</v>
      </c>
      <c r="O1101" s="22" t="n">
        <f aca="false">IF(DAY(B1101)=1,Assumptions!B38*G1101,0)</f>
        <v>0</v>
      </c>
      <c r="P1101" s="22" t="n">
        <f aca="false">IF(DAY(B1101)=1,Assumptions!B39*G1101,0)</f>
        <v>0</v>
      </c>
      <c r="Q1101" s="22" t="n">
        <f aca="false">IF(DAY(B1101)=1,Assumptions!B40*G1101,0)</f>
        <v>0</v>
      </c>
      <c r="R1101" s="22" t="n">
        <f aca="false">IF(DAY(B1101)=1,Assumptions!B41*G1101,0)</f>
        <v>0</v>
      </c>
      <c r="S1101" s="22" t="n">
        <f aca="false">IF(AND(DAY(B1101)=1,D1101&gt;=13),Assumptions!B42*G1101,0)</f>
        <v>0</v>
      </c>
      <c r="T1101" s="22" t="n">
        <f aca="false">IF(DAY(B1101)=1,Assumptions!B43*G1101,0)</f>
        <v>0</v>
      </c>
      <c r="U1101" s="22" t="n">
        <f aca="false">SUM(O1101:T1101)</f>
        <v>0</v>
      </c>
      <c r="V1101" s="22" t="n">
        <f aca="false">N1101-U1101</f>
        <v>19500</v>
      </c>
      <c r="W1101" s="22" t="n">
        <f aca="false">W1100+V1101</f>
        <v>-1923711.70418962</v>
      </c>
      <c r="X1101" s="23" t="str">
        <f aca="false">IF(W1101&gt;=0,"YES","No")</f>
        <v>No</v>
      </c>
    </row>
    <row r="1102" customFormat="false" ht="15" hidden="false" customHeight="false" outlineLevel="0" collapsed="false">
      <c r="A1102" s="16" t="n">
        <v>1101</v>
      </c>
      <c r="B1102" s="17" t="n">
        <f aca="false">B1101+1</f>
        <v>47123</v>
      </c>
      <c r="C1102" s="18" t="n">
        <f aca="false">MIN(ROUNDUP(A1102/365,0),5)</f>
        <v>4</v>
      </c>
      <c r="D1102" s="18" t="n">
        <f aca="false">DATEDIF(Assumptions!B5,B1102,"m")+1</f>
        <v>37</v>
      </c>
      <c r="E1102" s="18" t="str">
        <f aca="false">TEXT(B1102,"ddd")</f>
        <v>Fri</v>
      </c>
      <c r="F1102" s="19" t="n">
        <f aca="false">IF(WEEKDAY(B1102,2)&gt;=6,Assumptions!B34,Assumptions!B35)</f>
        <v>1</v>
      </c>
      <c r="G1102" s="20" t="n">
        <f aca="false">IF(D1102&gt;=13,(1+Assumptions!B46)^(D1102-12),1)</f>
        <v>1.07776313769075</v>
      </c>
      <c r="H1102" s="21" t="n">
        <f aca="false">H1101*(1+IF(C1102=1,Assumptions!B22,Assumptions!B23))</f>
        <v>23.4821773950303</v>
      </c>
      <c r="I1102" s="16" t="n">
        <f aca="false">ROUND(H1102*F1102,0)</f>
        <v>23</v>
      </c>
      <c r="J1102" s="22" t="n">
        <f aca="false">I1102*Assumptions!B24</f>
        <v>13800</v>
      </c>
      <c r="K1102" s="21" t="n">
        <f aca="false">K1101*(1+Assumptions!B30)</f>
        <v>18.8267505448697</v>
      </c>
      <c r="L1102" s="16" t="n">
        <f aca="false">ROUND(K1102*F1102,0)</f>
        <v>19</v>
      </c>
      <c r="M1102" s="22" t="n">
        <f aca="false">L1102*Assumptions!B31</f>
        <v>5700</v>
      </c>
      <c r="N1102" s="22" t="n">
        <f aca="false">J1102+M1102</f>
        <v>19500</v>
      </c>
      <c r="O1102" s="22" t="n">
        <f aca="false">IF(DAY(B1102)=1,Assumptions!B38*G1102,0)</f>
        <v>0</v>
      </c>
      <c r="P1102" s="22" t="n">
        <f aca="false">IF(DAY(B1102)=1,Assumptions!B39*G1102,0)</f>
        <v>0</v>
      </c>
      <c r="Q1102" s="22" t="n">
        <f aca="false">IF(DAY(B1102)=1,Assumptions!B40*G1102,0)</f>
        <v>0</v>
      </c>
      <c r="R1102" s="22" t="n">
        <f aca="false">IF(DAY(B1102)=1,Assumptions!B41*G1102,0)</f>
        <v>0</v>
      </c>
      <c r="S1102" s="22" t="n">
        <f aca="false">IF(AND(DAY(B1102)=1,D1102&gt;=13),Assumptions!B42*G1102,0)</f>
        <v>0</v>
      </c>
      <c r="T1102" s="22" t="n">
        <f aca="false">IF(DAY(B1102)=1,Assumptions!B43*G1102,0)</f>
        <v>0</v>
      </c>
      <c r="U1102" s="22" t="n">
        <f aca="false">SUM(O1102:T1102)</f>
        <v>0</v>
      </c>
      <c r="V1102" s="22" t="n">
        <f aca="false">N1102-U1102</f>
        <v>19500</v>
      </c>
      <c r="W1102" s="22" t="n">
        <f aca="false">W1101+V1102</f>
        <v>-1904211.70418962</v>
      </c>
      <c r="X1102" s="23" t="str">
        <f aca="false">IF(W1102&gt;=0,"YES","No")</f>
        <v>No</v>
      </c>
    </row>
    <row r="1103" customFormat="false" ht="15" hidden="false" customHeight="false" outlineLevel="0" collapsed="false">
      <c r="A1103" s="16" t="n">
        <v>1102</v>
      </c>
      <c r="B1103" s="17" t="n">
        <f aca="false">B1102+1</f>
        <v>47124</v>
      </c>
      <c r="C1103" s="18" t="n">
        <f aca="false">MIN(ROUNDUP(A1103/365,0),5)</f>
        <v>4</v>
      </c>
      <c r="D1103" s="18" t="n">
        <f aca="false">DATEDIF(Assumptions!B5,B1103,"m")+1</f>
        <v>37</v>
      </c>
      <c r="E1103" s="18" t="str">
        <f aca="false">TEXT(B1103,"ddd")</f>
        <v>Sat</v>
      </c>
      <c r="F1103" s="19" t="n">
        <f aca="false">IF(WEEKDAY(B1103,2)&gt;=6,Assumptions!B34,Assumptions!B35)</f>
        <v>0.6</v>
      </c>
      <c r="G1103" s="20" t="n">
        <f aca="false">IF(D1103&gt;=13,(1+Assumptions!B46)^(D1103-12),1)</f>
        <v>1.07776313769075</v>
      </c>
      <c r="H1103" s="21" t="n">
        <f aca="false">H1102*(1+IF(C1103=1,Assumptions!B22,Assumptions!B23))</f>
        <v>23.4860252245266</v>
      </c>
      <c r="I1103" s="16" t="n">
        <f aca="false">ROUND(H1103*F1103,0)</f>
        <v>14</v>
      </c>
      <c r="J1103" s="22" t="n">
        <f aca="false">I1103*Assumptions!B24</f>
        <v>8400</v>
      </c>
      <c r="K1103" s="21" t="n">
        <f aca="false">K1102*(1+Assumptions!B30)</f>
        <v>18.8329057031507</v>
      </c>
      <c r="L1103" s="16" t="n">
        <f aca="false">ROUND(K1103*F1103,0)</f>
        <v>11</v>
      </c>
      <c r="M1103" s="22" t="n">
        <f aca="false">L1103*Assumptions!B31</f>
        <v>3300</v>
      </c>
      <c r="N1103" s="22" t="n">
        <f aca="false">J1103+M1103</f>
        <v>11700</v>
      </c>
      <c r="O1103" s="22" t="n">
        <f aca="false">IF(DAY(B1103)=1,Assumptions!B38*G1103,0)</f>
        <v>0</v>
      </c>
      <c r="P1103" s="22" t="n">
        <f aca="false">IF(DAY(B1103)=1,Assumptions!B39*G1103,0)</f>
        <v>0</v>
      </c>
      <c r="Q1103" s="22" t="n">
        <f aca="false">IF(DAY(B1103)=1,Assumptions!B40*G1103,0)</f>
        <v>0</v>
      </c>
      <c r="R1103" s="22" t="n">
        <f aca="false">IF(DAY(B1103)=1,Assumptions!B41*G1103,0)</f>
        <v>0</v>
      </c>
      <c r="S1103" s="22" t="n">
        <f aca="false">IF(AND(DAY(B1103)=1,D1103&gt;=13),Assumptions!B42*G1103,0)</f>
        <v>0</v>
      </c>
      <c r="T1103" s="22" t="n">
        <f aca="false">IF(DAY(B1103)=1,Assumptions!B43*G1103,0)</f>
        <v>0</v>
      </c>
      <c r="U1103" s="22" t="n">
        <f aca="false">SUM(O1103:T1103)</f>
        <v>0</v>
      </c>
      <c r="V1103" s="22" t="n">
        <f aca="false">N1103-U1103</f>
        <v>11700</v>
      </c>
      <c r="W1103" s="22" t="n">
        <f aca="false">W1102+V1103</f>
        <v>-1892511.70418962</v>
      </c>
      <c r="X1103" s="23" t="str">
        <f aca="false">IF(W1103&gt;=0,"YES","No")</f>
        <v>No</v>
      </c>
    </row>
    <row r="1104" customFormat="false" ht="15" hidden="false" customHeight="false" outlineLevel="0" collapsed="false">
      <c r="A1104" s="16" t="n">
        <v>1103</v>
      </c>
      <c r="B1104" s="17" t="n">
        <f aca="false">B1103+1</f>
        <v>47125</v>
      </c>
      <c r="C1104" s="18" t="n">
        <f aca="false">MIN(ROUNDUP(A1104/365,0),5)</f>
        <v>4</v>
      </c>
      <c r="D1104" s="18" t="n">
        <f aca="false">DATEDIF(Assumptions!B5,B1104,"m")+1</f>
        <v>37</v>
      </c>
      <c r="E1104" s="18" t="str">
        <f aca="false">TEXT(B1104,"ddd")</f>
        <v>Sun</v>
      </c>
      <c r="F1104" s="19" t="n">
        <f aca="false">IF(WEEKDAY(B1104,2)&gt;=6,Assumptions!B34,Assumptions!B35)</f>
        <v>0.6</v>
      </c>
      <c r="G1104" s="20" t="n">
        <f aca="false">IF(D1104&gt;=13,(1+Assumptions!B46)^(D1104-12),1)</f>
        <v>1.07776313769075</v>
      </c>
      <c r="H1104" s="21" t="n">
        <f aca="false">H1103*(1+IF(C1104=1,Assumptions!B22,Assumptions!B23))</f>
        <v>23.4898736845349</v>
      </c>
      <c r="I1104" s="16" t="n">
        <f aca="false">ROUND(H1104*F1104,0)</f>
        <v>14</v>
      </c>
      <c r="J1104" s="22" t="n">
        <f aca="false">I1104*Assumptions!B24</f>
        <v>8400</v>
      </c>
      <c r="K1104" s="21" t="n">
        <f aca="false">K1103*(1+Assumptions!B30)</f>
        <v>18.8390628737797</v>
      </c>
      <c r="L1104" s="16" t="n">
        <f aca="false">ROUND(K1104*F1104,0)</f>
        <v>11</v>
      </c>
      <c r="M1104" s="22" t="n">
        <f aca="false">L1104*Assumptions!B31</f>
        <v>3300</v>
      </c>
      <c r="N1104" s="22" t="n">
        <f aca="false">J1104+M1104</f>
        <v>11700</v>
      </c>
      <c r="O1104" s="22" t="n">
        <f aca="false">IF(DAY(B1104)=1,Assumptions!B38*G1104,0)</f>
        <v>0</v>
      </c>
      <c r="P1104" s="22" t="n">
        <f aca="false">IF(DAY(B1104)=1,Assumptions!B39*G1104,0)</f>
        <v>0</v>
      </c>
      <c r="Q1104" s="22" t="n">
        <f aca="false">IF(DAY(B1104)=1,Assumptions!B40*G1104,0)</f>
        <v>0</v>
      </c>
      <c r="R1104" s="22" t="n">
        <f aca="false">IF(DAY(B1104)=1,Assumptions!B41*G1104,0)</f>
        <v>0</v>
      </c>
      <c r="S1104" s="22" t="n">
        <f aca="false">IF(AND(DAY(B1104)=1,D1104&gt;=13),Assumptions!B42*G1104,0)</f>
        <v>0</v>
      </c>
      <c r="T1104" s="22" t="n">
        <f aca="false">IF(DAY(B1104)=1,Assumptions!B43*G1104,0)</f>
        <v>0</v>
      </c>
      <c r="U1104" s="22" t="n">
        <f aca="false">SUM(O1104:T1104)</f>
        <v>0</v>
      </c>
      <c r="V1104" s="22" t="n">
        <f aca="false">N1104-U1104</f>
        <v>11700</v>
      </c>
      <c r="W1104" s="22" t="n">
        <f aca="false">W1103+V1104</f>
        <v>-1880811.70418962</v>
      </c>
      <c r="X1104" s="23" t="str">
        <f aca="false">IF(W1104&gt;=0,"YES","No")</f>
        <v>No</v>
      </c>
    </row>
    <row r="1105" customFormat="false" ht="15" hidden="false" customHeight="false" outlineLevel="0" collapsed="false">
      <c r="A1105" s="16" t="n">
        <v>1104</v>
      </c>
      <c r="B1105" s="17" t="n">
        <f aca="false">B1104+1</f>
        <v>47126</v>
      </c>
      <c r="C1105" s="18" t="n">
        <f aca="false">MIN(ROUNDUP(A1105/365,0),5)</f>
        <v>4</v>
      </c>
      <c r="D1105" s="18" t="n">
        <f aca="false">DATEDIF(Assumptions!B5,B1105,"m")+1</f>
        <v>37</v>
      </c>
      <c r="E1105" s="18" t="str">
        <f aca="false">TEXT(B1105,"ddd")</f>
        <v>Mon</v>
      </c>
      <c r="F1105" s="19" t="n">
        <f aca="false">IF(WEEKDAY(B1105,2)&gt;=6,Assumptions!B34,Assumptions!B35)</f>
        <v>1</v>
      </c>
      <c r="G1105" s="20" t="n">
        <f aca="false">IF(D1105&gt;=13,(1+Assumptions!B46)^(D1105-12),1)</f>
        <v>1.07776313769075</v>
      </c>
      <c r="H1105" s="21" t="n">
        <f aca="false">H1104*(1+IF(C1105=1,Assumptions!B22,Assumptions!B23))</f>
        <v>23.4937227751584</v>
      </c>
      <c r="I1105" s="16" t="n">
        <f aca="false">ROUND(H1105*F1105,0)</f>
        <v>23</v>
      </c>
      <c r="J1105" s="22" t="n">
        <f aca="false">I1105*Assumptions!B24</f>
        <v>13800</v>
      </c>
      <c r="K1105" s="21" t="n">
        <f aca="false">K1104*(1+Assumptions!B30)</f>
        <v>18.8452220574145</v>
      </c>
      <c r="L1105" s="16" t="n">
        <f aca="false">ROUND(K1105*F1105,0)</f>
        <v>19</v>
      </c>
      <c r="M1105" s="22" t="n">
        <f aca="false">L1105*Assumptions!B31</f>
        <v>5700</v>
      </c>
      <c r="N1105" s="22" t="n">
        <f aca="false">J1105+M1105</f>
        <v>19500</v>
      </c>
      <c r="O1105" s="22" t="n">
        <f aca="false">IF(DAY(B1105)=1,Assumptions!B38*G1105,0)</f>
        <v>0</v>
      </c>
      <c r="P1105" s="22" t="n">
        <f aca="false">IF(DAY(B1105)=1,Assumptions!B39*G1105,0)</f>
        <v>0</v>
      </c>
      <c r="Q1105" s="22" t="n">
        <f aca="false">IF(DAY(B1105)=1,Assumptions!B40*G1105,0)</f>
        <v>0</v>
      </c>
      <c r="R1105" s="22" t="n">
        <f aca="false">IF(DAY(B1105)=1,Assumptions!B41*G1105,0)</f>
        <v>0</v>
      </c>
      <c r="S1105" s="22" t="n">
        <f aca="false">IF(AND(DAY(B1105)=1,D1105&gt;=13),Assumptions!B42*G1105,0)</f>
        <v>0</v>
      </c>
      <c r="T1105" s="22" t="n">
        <f aca="false">IF(DAY(B1105)=1,Assumptions!B43*G1105,0)</f>
        <v>0</v>
      </c>
      <c r="U1105" s="22" t="n">
        <f aca="false">SUM(O1105:T1105)</f>
        <v>0</v>
      </c>
      <c r="V1105" s="22" t="n">
        <f aca="false">N1105-U1105</f>
        <v>19500</v>
      </c>
      <c r="W1105" s="22" t="n">
        <f aca="false">W1104+V1105</f>
        <v>-1861311.70418962</v>
      </c>
      <c r="X1105" s="23" t="str">
        <f aca="false">IF(W1105&gt;=0,"YES","No")</f>
        <v>No</v>
      </c>
    </row>
    <row r="1106" customFormat="false" ht="15" hidden="false" customHeight="false" outlineLevel="0" collapsed="false">
      <c r="A1106" s="16" t="n">
        <v>1105</v>
      </c>
      <c r="B1106" s="17" t="n">
        <f aca="false">B1105+1</f>
        <v>47127</v>
      </c>
      <c r="C1106" s="18" t="n">
        <f aca="false">MIN(ROUNDUP(A1106/365,0),5)</f>
        <v>4</v>
      </c>
      <c r="D1106" s="18" t="n">
        <f aca="false">DATEDIF(Assumptions!B5,B1106,"m")+1</f>
        <v>37</v>
      </c>
      <c r="E1106" s="18" t="str">
        <f aca="false">TEXT(B1106,"ddd")</f>
        <v>Tue</v>
      </c>
      <c r="F1106" s="19" t="n">
        <f aca="false">IF(WEEKDAY(B1106,2)&gt;=6,Assumptions!B34,Assumptions!B35)</f>
        <v>1</v>
      </c>
      <c r="G1106" s="20" t="n">
        <f aca="false">IF(D1106&gt;=13,(1+Assumptions!B46)^(D1106-12),1)</f>
        <v>1.07776313769075</v>
      </c>
      <c r="H1106" s="21" t="n">
        <f aca="false">H1105*(1+IF(C1106=1,Assumptions!B22,Assumptions!B23))</f>
        <v>23.4975724965004</v>
      </c>
      <c r="I1106" s="16" t="n">
        <f aca="false">ROUND(H1106*F1106,0)</f>
        <v>23</v>
      </c>
      <c r="J1106" s="22" t="n">
        <f aca="false">I1106*Assumptions!B24</f>
        <v>13800</v>
      </c>
      <c r="K1106" s="21" t="n">
        <f aca="false">K1105*(1+Assumptions!B30)</f>
        <v>18.8513832547134</v>
      </c>
      <c r="L1106" s="16" t="n">
        <f aca="false">ROUND(K1106*F1106,0)</f>
        <v>19</v>
      </c>
      <c r="M1106" s="22" t="n">
        <f aca="false">L1106*Assumptions!B31</f>
        <v>5700</v>
      </c>
      <c r="N1106" s="22" t="n">
        <f aca="false">J1106+M1106</f>
        <v>19500</v>
      </c>
      <c r="O1106" s="22" t="n">
        <f aca="false">IF(DAY(B1106)=1,Assumptions!B38*G1106,0)</f>
        <v>0</v>
      </c>
      <c r="P1106" s="22" t="n">
        <f aca="false">IF(DAY(B1106)=1,Assumptions!B39*G1106,0)</f>
        <v>0</v>
      </c>
      <c r="Q1106" s="22" t="n">
        <f aca="false">IF(DAY(B1106)=1,Assumptions!B40*G1106,0)</f>
        <v>0</v>
      </c>
      <c r="R1106" s="22" t="n">
        <f aca="false">IF(DAY(B1106)=1,Assumptions!B41*G1106,0)</f>
        <v>0</v>
      </c>
      <c r="S1106" s="22" t="n">
        <f aca="false">IF(AND(DAY(B1106)=1,D1106&gt;=13),Assumptions!B42*G1106,0)</f>
        <v>0</v>
      </c>
      <c r="T1106" s="22" t="n">
        <f aca="false">IF(DAY(B1106)=1,Assumptions!B43*G1106,0)</f>
        <v>0</v>
      </c>
      <c r="U1106" s="22" t="n">
        <f aca="false">SUM(O1106:T1106)</f>
        <v>0</v>
      </c>
      <c r="V1106" s="22" t="n">
        <f aca="false">N1106-U1106</f>
        <v>19500</v>
      </c>
      <c r="W1106" s="22" t="n">
        <f aca="false">W1105+V1106</f>
        <v>-1841811.70418962</v>
      </c>
      <c r="X1106" s="23" t="str">
        <f aca="false">IF(W1106&gt;=0,"YES","No")</f>
        <v>No</v>
      </c>
    </row>
    <row r="1107" customFormat="false" ht="15" hidden="false" customHeight="false" outlineLevel="0" collapsed="false">
      <c r="A1107" s="16" t="n">
        <v>1106</v>
      </c>
      <c r="B1107" s="17" t="n">
        <f aca="false">B1106+1</f>
        <v>47128</v>
      </c>
      <c r="C1107" s="18" t="n">
        <f aca="false">MIN(ROUNDUP(A1107/365,0),5)</f>
        <v>4</v>
      </c>
      <c r="D1107" s="18" t="n">
        <f aca="false">DATEDIF(Assumptions!B5,B1107,"m")+1</f>
        <v>37</v>
      </c>
      <c r="E1107" s="18" t="str">
        <f aca="false">TEXT(B1107,"ddd")</f>
        <v>Wed</v>
      </c>
      <c r="F1107" s="19" t="n">
        <f aca="false">IF(WEEKDAY(B1107,2)&gt;=6,Assumptions!B34,Assumptions!B35)</f>
        <v>1</v>
      </c>
      <c r="G1107" s="20" t="n">
        <f aca="false">IF(D1107&gt;=13,(1+Assumptions!B46)^(D1107-12),1)</f>
        <v>1.07776313769075</v>
      </c>
      <c r="H1107" s="21" t="n">
        <f aca="false">H1106*(1+IF(C1107=1,Assumptions!B22,Assumptions!B23))</f>
        <v>23.5014228486642</v>
      </c>
      <c r="I1107" s="16" t="n">
        <f aca="false">ROUND(H1107*F1107,0)</f>
        <v>24</v>
      </c>
      <c r="J1107" s="22" t="n">
        <f aca="false">I1107*Assumptions!B24</f>
        <v>14400</v>
      </c>
      <c r="K1107" s="21" t="n">
        <f aca="false">K1106*(1+Assumptions!B30)</f>
        <v>18.8575464663347</v>
      </c>
      <c r="L1107" s="16" t="n">
        <f aca="false">ROUND(K1107*F1107,0)</f>
        <v>19</v>
      </c>
      <c r="M1107" s="22" t="n">
        <f aca="false">L1107*Assumptions!B31</f>
        <v>5700</v>
      </c>
      <c r="N1107" s="22" t="n">
        <f aca="false">J1107+M1107</f>
        <v>20100</v>
      </c>
      <c r="O1107" s="22" t="n">
        <f aca="false">IF(DAY(B1107)=1,Assumptions!B38*G1107,0)</f>
        <v>0</v>
      </c>
      <c r="P1107" s="22" t="n">
        <f aca="false">IF(DAY(B1107)=1,Assumptions!B39*G1107,0)</f>
        <v>0</v>
      </c>
      <c r="Q1107" s="22" t="n">
        <f aca="false">IF(DAY(B1107)=1,Assumptions!B40*G1107,0)</f>
        <v>0</v>
      </c>
      <c r="R1107" s="22" t="n">
        <f aca="false">IF(DAY(B1107)=1,Assumptions!B41*G1107,0)</f>
        <v>0</v>
      </c>
      <c r="S1107" s="22" t="n">
        <f aca="false">IF(AND(DAY(B1107)=1,D1107&gt;=13),Assumptions!B42*G1107,0)</f>
        <v>0</v>
      </c>
      <c r="T1107" s="22" t="n">
        <f aca="false">IF(DAY(B1107)=1,Assumptions!B43*G1107,0)</f>
        <v>0</v>
      </c>
      <c r="U1107" s="22" t="n">
        <f aca="false">SUM(O1107:T1107)</f>
        <v>0</v>
      </c>
      <c r="V1107" s="22" t="n">
        <f aca="false">N1107-U1107</f>
        <v>20100</v>
      </c>
      <c r="W1107" s="22" t="n">
        <f aca="false">W1106+V1107</f>
        <v>-1821711.70418962</v>
      </c>
      <c r="X1107" s="23" t="str">
        <f aca="false">IF(W1107&gt;=0,"YES","No")</f>
        <v>No</v>
      </c>
    </row>
    <row r="1108" customFormat="false" ht="15" hidden="false" customHeight="false" outlineLevel="0" collapsed="false">
      <c r="A1108" s="16" t="n">
        <v>1107</v>
      </c>
      <c r="B1108" s="17" t="n">
        <f aca="false">B1107+1</f>
        <v>47129</v>
      </c>
      <c r="C1108" s="18" t="n">
        <f aca="false">MIN(ROUNDUP(A1108/365,0),5)</f>
        <v>4</v>
      </c>
      <c r="D1108" s="18" t="n">
        <f aca="false">DATEDIF(Assumptions!B5,B1108,"m")+1</f>
        <v>37</v>
      </c>
      <c r="E1108" s="18" t="str">
        <f aca="false">TEXT(B1108,"ddd")</f>
        <v>Thu</v>
      </c>
      <c r="F1108" s="19" t="n">
        <f aca="false">IF(WEEKDAY(B1108,2)&gt;=6,Assumptions!B34,Assumptions!B35)</f>
        <v>1</v>
      </c>
      <c r="G1108" s="20" t="n">
        <f aca="false">IF(D1108&gt;=13,(1+Assumptions!B46)^(D1108-12),1)</f>
        <v>1.07776313769075</v>
      </c>
      <c r="H1108" s="21" t="n">
        <f aca="false">H1107*(1+IF(C1108=1,Assumptions!B22,Assumptions!B23))</f>
        <v>23.5052738317533</v>
      </c>
      <c r="I1108" s="16" t="n">
        <f aca="false">ROUND(H1108*F1108,0)</f>
        <v>24</v>
      </c>
      <c r="J1108" s="22" t="n">
        <f aca="false">I1108*Assumptions!B24</f>
        <v>14400</v>
      </c>
      <c r="K1108" s="21" t="n">
        <f aca="false">K1107*(1+Assumptions!B30)</f>
        <v>18.8637116929369</v>
      </c>
      <c r="L1108" s="16" t="n">
        <f aca="false">ROUND(K1108*F1108,0)</f>
        <v>19</v>
      </c>
      <c r="M1108" s="22" t="n">
        <f aca="false">L1108*Assumptions!B31</f>
        <v>5700</v>
      </c>
      <c r="N1108" s="22" t="n">
        <f aca="false">J1108+M1108</f>
        <v>20100</v>
      </c>
      <c r="O1108" s="22" t="n">
        <f aca="false">IF(DAY(B1108)=1,Assumptions!B38*G1108,0)</f>
        <v>0</v>
      </c>
      <c r="P1108" s="22" t="n">
        <f aca="false">IF(DAY(B1108)=1,Assumptions!B39*G1108,0)</f>
        <v>0</v>
      </c>
      <c r="Q1108" s="22" t="n">
        <f aca="false">IF(DAY(B1108)=1,Assumptions!B40*G1108,0)</f>
        <v>0</v>
      </c>
      <c r="R1108" s="22" t="n">
        <f aca="false">IF(DAY(B1108)=1,Assumptions!B41*G1108,0)</f>
        <v>0</v>
      </c>
      <c r="S1108" s="22" t="n">
        <f aca="false">IF(AND(DAY(B1108)=1,D1108&gt;=13),Assumptions!B42*G1108,0)</f>
        <v>0</v>
      </c>
      <c r="T1108" s="22" t="n">
        <f aca="false">IF(DAY(B1108)=1,Assumptions!B43*G1108,0)</f>
        <v>0</v>
      </c>
      <c r="U1108" s="22" t="n">
        <f aca="false">SUM(O1108:T1108)</f>
        <v>0</v>
      </c>
      <c r="V1108" s="22" t="n">
        <f aca="false">N1108-U1108</f>
        <v>20100</v>
      </c>
      <c r="W1108" s="22" t="n">
        <f aca="false">W1107+V1108</f>
        <v>-1801611.70418962</v>
      </c>
      <c r="X1108" s="23" t="str">
        <f aca="false">IF(W1108&gt;=0,"YES","No")</f>
        <v>No</v>
      </c>
    </row>
    <row r="1109" customFormat="false" ht="15" hidden="false" customHeight="false" outlineLevel="0" collapsed="false">
      <c r="A1109" s="16" t="n">
        <v>1108</v>
      </c>
      <c r="B1109" s="17" t="n">
        <f aca="false">B1108+1</f>
        <v>47130</v>
      </c>
      <c r="C1109" s="18" t="n">
        <f aca="false">MIN(ROUNDUP(A1109/365,0),5)</f>
        <v>4</v>
      </c>
      <c r="D1109" s="18" t="n">
        <f aca="false">DATEDIF(Assumptions!B5,B1109,"m")+1</f>
        <v>37</v>
      </c>
      <c r="E1109" s="18" t="str">
        <f aca="false">TEXT(B1109,"ddd")</f>
        <v>Fri</v>
      </c>
      <c r="F1109" s="19" t="n">
        <f aca="false">IF(WEEKDAY(B1109,2)&gt;=6,Assumptions!B34,Assumptions!B35)</f>
        <v>1</v>
      </c>
      <c r="G1109" s="20" t="n">
        <f aca="false">IF(D1109&gt;=13,(1+Assumptions!B46)^(D1109-12),1)</f>
        <v>1.07776313769075</v>
      </c>
      <c r="H1109" s="21" t="n">
        <f aca="false">H1108*(1+IF(C1109=1,Assumptions!B22,Assumptions!B23))</f>
        <v>23.5091254458711</v>
      </c>
      <c r="I1109" s="16" t="n">
        <f aca="false">ROUND(H1109*F1109,0)</f>
        <v>24</v>
      </c>
      <c r="J1109" s="22" t="n">
        <f aca="false">I1109*Assumptions!B24</f>
        <v>14400</v>
      </c>
      <c r="K1109" s="21" t="n">
        <f aca="false">K1108*(1+Assumptions!B30)</f>
        <v>18.8698789351787</v>
      </c>
      <c r="L1109" s="16" t="n">
        <f aca="false">ROUND(K1109*F1109,0)</f>
        <v>19</v>
      </c>
      <c r="M1109" s="22" t="n">
        <f aca="false">L1109*Assumptions!B31</f>
        <v>5700</v>
      </c>
      <c r="N1109" s="22" t="n">
        <f aca="false">J1109+M1109</f>
        <v>20100</v>
      </c>
      <c r="O1109" s="22" t="n">
        <f aca="false">IF(DAY(B1109)=1,Assumptions!B38*G1109,0)</f>
        <v>0</v>
      </c>
      <c r="P1109" s="22" t="n">
        <f aca="false">IF(DAY(B1109)=1,Assumptions!B39*G1109,0)</f>
        <v>0</v>
      </c>
      <c r="Q1109" s="22" t="n">
        <f aca="false">IF(DAY(B1109)=1,Assumptions!B40*G1109,0)</f>
        <v>0</v>
      </c>
      <c r="R1109" s="22" t="n">
        <f aca="false">IF(DAY(B1109)=1,Assumptions!B41*G1109,0)</f>
        <v>0</v>
      </c>
      <c r="S1109" s="22" t="n">
        <f aca="false">IF(AND(DAY(B1109)=1,D1109&gt;=13),Assumptions!B42*G1109,0)</f>
        <v>0</v>
      </c>
      <c r="T1109" s="22" t="n">
        <f aca="false">IF(DAY(B1109)=1,Assumptions!B43*G1109,0)</f>
        <v>0</v>
      </c>
      <c r="U1109" s="22" t="n">
        <f aca="false">SUM(O1109:T1109)</f>
        <v>0</v>
      </c>
      <c r="V1109" s="22" t="n">
        <f aca="false">N1109-U1109</f>
        <v>20100</v>
      </c>
      <c r="W1109" s="22" t="n">
        <f aca="false">W1108+V1109</f>
        <v>-1781511.70418962</v>
      </c>
      <c r="X1109" s="23" t="str">
        <f aca="false">IF(W1109&gt;=0,"YES","No")</f>
        <v>No</v>
      </c>
    </row>
    <row r="1110" customFormat="false" ht="15" hidden="false" customHeight="false" outlineLevel="0" collapsed="false">
      <c r="A1110" s="16" t="n">
        <v>1109</v>
      </c>
      <c r="B1110" s="17" t="n">
        <f aca="false">B1109+1</f>
        <v>47131</v>
      </c>
      <c r="C1110" s="18" t="n">
        <f aca="false">MIN(ROUNDUP(A1110/365,0),5)</f>
        <v>4</v>
      </c>
      <c r="D1110" s="18" t="n">
        <f aca="false">DATEDIF(Assumptions!B5,B1110,"m")+1</f>
        <v>37</v>
      </c>
      <c r="E1110" s="18" t="str">
        <f aca="false">TEXT(B1110,"ddd")</f>
        <v>Sat</v>
      </c>
      <c r="F1110" s="19" t="n">
        <f aca="false">IF(WEEKDAY(B1110,2)&gt;=6,Assumptions!B34,Assumptions!B35)</f>
        <v>0.6</v>
      </c>
      <c r="G1110" s="20" t="n">
        <f aca="false">IF(D1110&gt;=13,(1+Assumptions!B46)^(D1110-12),1)</f>
        <v>1.07776313769075</v>
      </c>
      <c r="H1110" s="21" t="n">
        <f aca="false">H1109*(1+IF(C1110=1,Assumptions!B22,Assumptions!B23))</f>
        <v>23.5129776911209</v>
      </c>
      <c r="I1110" s="16" t="n">
        <f aca="false">ROUND(H1110*F1110,0)</f>
        <v>14</v>
      </c>
      <c r="J1110" s="22" t="n">
        <f aca="false">I1110*Assumptions!B24</f>
        <v>8400</v>
      </c>
      <c r="K1110" s="21" t="n">
        <f aca="false">K1109*(1+Assumptions!B30)</f>
        <v>18.8760481937192</v>
      </c>
      <c r="L1110" s="16" t="n">
        <f aca="false">ROUND(K1110*F1110,0)</f>
        <v>11</v>
      </c>
      <c r="M1110" s="22" t="n">
        <f aca="false">L1110*Assumptions!B31</f>
        <v>3300</v>
      </c>
      <c r="N1110" s="22" t="n">
        <f aca="false">J1110+M1110</f>
        <v>11700</v>
      </c>
      <c r="O1110" s="22" t="n">
        <f aca="false">IF(DAY(B1110)=1,Assumptions!B38*G1110,0)</f>
        <v>0</v>
      </c>
      <c r="P1110" s="22" t="n">
        <f aca="false">IF(DAY(B1110)=1,Assumptions!B39*G1110,0)</f>
        <v>0</v>
      </c>
      <c r="Q1110" s="22" t="n">
        <f aca="false">IF(DAY(B1110)=1,Assumptions!B40*G1110,0)</f>
        <v>0</v>
      </c>
      <c r="R1110" s="22" t="n">
        <f aca="false">IF(DAY(B1110)=1,Assumptions!B41*G1110,0)</f>
        <v>0</v>
      </c>
      <c r="S1110" s="22" t="n">
        <f aca="false">IF(AND(DAY(B1110)=1,D1110&gt;=13),Assumptions!B42*G1110,0)</f>
        <v>0</v>
      </c>
      <c r="T1110" s="22" t="n">
        <f aca="false">IF(DAY(B1110)=1,Assumptions!B43*G1110,0)</f>
        <v>0</v>
      </c>
      <c r="U1110" s="22" t="n">
        <f aca="false">SUM(O1110:T1110)</f>
        <v>0</v>
      </c>
      <c r="V1110" s="22" t="n">
        <f aca="false">N1110-U1110</f>
        <v>11700</v>
      </c>
      <c r="W1110" s="22" t="n">
        <f aca="false">W1109+V1110</f>
        <v>-1769811.70418962</v>
      </c>
      <c r="X1110" s="23" t="str">
        <f aca="false">IF(W1110&gt;=0,"YES","No")</f>
        <v>No</v>
      </c>
    </row>
    <row r="1111" customFormat="false" ht="15" hidden="false" customHeight="false" outlineLevel="0" collapsed="false">
      <c r="A1111" s="16" t="n">
        <v>1110</v>
      </c>
      <c r="B1111" s="17" t="n">
        <f aca="false">B1110+1</f>
        <v>47132</v>
      </c>
      <c r="C1111" s="18" t="n">
        <f aca="false">MIN(ROUNDUP(A1111/365,0),5)</f>
        <v>4</v>
      </c>
      <c r="D1111" s="18" t="n">
        <f aca="false">DATEDIF(Assumptions!B5,B1111,"m")+1</f>
        <v>37</v>
      </c>
      <c r="E1111" s="18" t="str">
        <f aca="false">TEXT(B1111,"ddd")</f>
        <v>Sun</v>
      </c>
      <c r="F1111" s="19" t="n">
        <f aca="false">IF(WEEKDAY(B1111,2)&gt;=6,Assumptions!B34,Assumptions!B35)</f>
        <v>0.6</v>
      </c>
      <c r="G1111" s="20" t="n">
        <f aca="false">IF(D1111&gt;=13,(1+Assumptions!B46)^(D1111-12),1)</f>
        <v>1.07776313769075</v>
      </c>
      <c r="H1111" s="21" t="n">
        <f aca="false">H1110*(1+IF(C1111=1,Assumptions!B22,Assumptions!B23))</f>
        <v>23.5168305676061</v>
      </c>
      <c r="I1111" s="16" t="n">
        <f aca="false">ROUND(H1111*F1111,0)</f>
        <v>14</v>
      </c>
      <c r="J1111" s="22" t="n">
        <f aca="false">I1111*Assumptions!B24</f>
        <v>8400</v>
      </c>
      <c r="K1111" s="21" t="n">
        <f aca="false">K1110*(1+Assumptions!B30)</f>
        <v>18.8822194692177</v>
      </c>
      <c r="L1111" s="16" t="n">
        <f aca="false">ROUND(K1111*F1111,0)</f>
        <v>11</v>
      </c>
      <c r="M1111" s="22" t="n">
        <f aca="false">L1111*Assumptions!B31</f>
        <v>3300</v>
      </c>
      <c r="N1111" s="22" t="n">
        <f aca="false">J1111+M1111</f>
        <v>11700</v>
      </c>
      <c r="O1111" s="22" t="n">
        <f aca="false">IF(DAY(B1111)=1,Assumptions!B38*G1111,0)</f>
        <v>0</v>
      </c>
      <c r="P1111" s="22" t="n">
        <f aca="false">IF(DAY(B1111)=1,Assumptions!B39*G1111,0)</f>
        <v>0</v>
      </c>
      <c r="Q1111" s="22" t="n">
        <f aca="false">IF(DAY(B1111)=1,Assumptions!B40*G1111,0)</f>
        <v>0</v>
      </c>
      <c r="R1111" s="22" t="n">
        <f aca="false">IF(DAY(B1111)=1,Assumptions!B41*G1111,0)</f>
        <v>0</v>
      </c>
      <c r="S1111" s="22" t="n">
        <f aca="false">IF(AND(DAY(B1111)=1,D1111&gt;=13),Assumptions!B42*G1111,0)</f>
        <v>0</v>
      </c>
      <c r="T1111" s="22" t="n">
        <f aca="false">IF(DAY(B1111)=1,Assumptions!B43*G1111,0)</f>
        <v>0</v>
      </c>
      <c r="U1111" s="22" t="n">
        <f aca="false">SUM(O1111:T1111)</f>
        <v>0</v>
      </c>
      <c r="V1111" s="22" t="n">
        <f aca="false">N1111-U1111</f>
        <v>11700</v>
      </c>
      <c r="W1111" s="22" t="n">
        <f aca="false">W1110+V1111</f>
        <v>-1758111.70418962</v>
      </c>
      <c r="X1111" s="23" t="str">
        <f aca="false">IF(W1111&gt;=0,"YES","No")</f>
        <v>No</v>
      </c>
    </row>
    <row r="1112" customFormat="false" ht="15" hidden="false" customHeight="false" outlineLevel="0" collapsed="false">
      <c r="A1112" s="16" t="n">
        <v>1111</v>
      </c>
      <c r="B1112" s="17" t="n">
        <f aca="false">B1111+1</f>
        <v>47133</v>
      </c>
      <c r="C1112" s="18" t="n">
        <f aca="false">MIN(ROUNDUP(A1112/365,0),5)</f>
        <v>4</v>
      </c>
      <c r="D1112" s="18" t="n">
        <f aca="false">DATEDIF(Assumptions!B5,B1112,"m")+1</f>
        <v>37</v>
      </c>
      <c r="E1112" s="18" t="str">
        <f aca="false">TEXT(B1112,"ddd")</f>
        <v>Mon</v>
      </c>
      <c r="F1112" s="19" t="n">
        <f aca="false">IF(WEEKDAY(B1112,2)&gt;=6,Assumptions!B34,Assumptions!B35)</f>
        <v>1</v>
      </c>
      <c r="G1112" s="20" t="n">
        <f aca="false">IF(D1112&gt;=13,(1+Assumptions!B46)^(D1112-12),1)</f>
        <v>1.07776313769075</v>
      </c>
      <c r="H1112" s="21" t="n">
        <f aca="false">H1111*(1+IF(C1112=1,Assumptions!B22,Assumptions!B23))</f>
        <v>23.5206840754303</v>
      </c>
      <c r="I1112" s="16" t="n">
        <f aca="false">ROUND(H1112*F1112,0)</f>
        <v>24</v>
      </c>
      <c r="J1112" s="22" t="n">
        <f aca="false">I1112*Assumptions!B24</f>
        <v>14400</v>
      </c>
      <c r="K1112" s="21" t="n">
        <f aca="false">K1111*(1+Assumptions!B30)</f>
        <v>18.8883927623334</v>
      </c>
      <c r="L1112" s="16" t="n">
        <f aca="false">ROUND(K1112*F1112,0)</f>
        <v>19</v>
      </c>
      <c r="M1112" s="22" t="n">
        <f aca="false">L1112*Assumptions!B31</f>
        <v>5700</v>
      </c>
      <c r="N1112" s="22" t="n">
        <f aca="false">J1112+M1112</f>
        <v>20100</v>
      </c>
      <c r="O1112" s="22" t="n">
        <f aca="false">IF(DAY(B1112)=1,Assumptions!B38*G1112,0)</f>
        <v>0</v>
      </c>
      <c r="P1112" s="22" t="n">
        <f aca="false">IF(DAY(B1112)=1,Assumptions!B39*G1112,0)</f>
        <v>0</v>
      </c>
      <c r="Q1112" s="22" t="n">
        <f aca="false">IF(DAY(B1112)=1,Assumptions!B40*G1112,0)</f>
        <v>0</v>
      </c>
      <c r="R1112" s="22" t="n">
        <f aca="false">IF(DAY(B1112)=1,Assumptions!B41*G1112,0)</f>
        <v>0</v>
      </c>
      <c r="S1112" s="22" t="n">
        <f aca="false">IF(AND(DAY(B1112)=1,D1112&gt;=13),Assumptions!B42*G1112,0)</f>
        <v>0</v>
      </c>
      <c r="T1112" s="22" t="n">
        <f aca="false">IF(DAY(B1112)=1,Assumptions!B43*G1112,0)</f>
        <v>0</v>
      </c>
      <c r="U1112" s="22" t="n">
        <f aca="false">SUM(O1112:T1112)</f>
        <v>0</v>
      </c>
      <c r="V1112" s="22" t="n">
        <f aca="false">N1112-U1112</f>
        <v>20100</v>
      </c>
      <c r="W1112" s="22" t="n">
        <f aca="false">W1111+V1112</f>
        <v>-1738011.70418962</v>
      </c>
      <c r="X1112" s="23" t="str">
        <f aca="false">IF(W1112&gt;=0,"YES","No")</f>
        <v>No</v>
      </c>
    </row>
    <row r="1113" customFormat="false" ht="15" hidden="false" customHeight="false" outlineLevel="0" collapsed="false">
      <c r="A1113" s="16" t="n">
        <v>1112</v>
      </c>
      <c r="B1113" s="17" t="n">
        <f aca="false">B1112+1</f>
        <v>47134</v>
      </c>
      <c r="C1113" s="18" t="n">
        <f aca="false">MIN(ROUNDUP(A1113/365,0),5)</f>
        <v>4</v>
      </c>
      <c r="D1113" s="18" t="n">
        <f aca="false">DATEDIF(Assumptions!B5,B1113,"m")+1</f>
        <v>37</v>
      </c>
      <c r="E1113" s="18" t="str">
        <f aca="false">TEXT(B1113,"ddd")</f>
        <v>Tue</v>
      </c>
      <c r="F1113" s="19" t="n">
        <f aca="false">IF(WEEKDAY(B1113,2)&gt;=6,Assumptions!B34,Assumptions!B35)</f>
        <v>1</v>
      </c>
      <c r="G1113" s="20" t="n">
        <f aca="false">IF(D1113&gt;=13,(1+Assumptions!B46)^(D1113-12),1)</f>
        <v>1.07776313769075</v>
      </c>
      <c r="H1113" s="21" t="n">
        <f aca="false">H1112*(1+IF(C1113=1,Assumptions!B22,Assumptions!B23))</f>
        <v>23.5245382146967</v>
      </c>
      <c r="I1113" s="16" t="n">
        <f aca="false">ROUND(H1113*F1113,0)</f>
        <v>24</v>
      </c>
      <c r="J1113" s="22" t="n">
        <f aca="false">I1113*Assumptions!B24</f>
        <v>14400</v>
      </c>
      <c r="K1113" s="21" t="n">
        <f aca="false">K1112*(1+Assumptions!B30)</f>
        <v>18.894568073726</v>
      </c>
      <c r="L1113" s="16" t="n">
        <f aca="false">ROUND(K1113*F1113,0)</f>
        <v>19</v>
      </c>
      <c r="M1113" s="22" t="n">
        <f aca="false">L1113*Assumptions!B31</f>
        <v>5700</v>
      </c>
      <c r="N1113" s="22" t="n">
        <f aca="false">J1113+M1113</f>
        <v>20100</v>
      </c>
      <c r="O1113" s="22" t="n">
        <f aca="false">IF(DAY(B1113)=1,Assumptions!B38*G1113,0)</f>
        <v>0</v>
      </c>
      <c r="P1113" s="22" t="n">
        <f aca="false">IF(DAY(B1113)=1,Assumptions!B39*G1113,0)</f>
        <v>0</v>
      </c>
      <c r="Q1113" s="22" t="n">
        <f aca="false">IF(DAY(B1113)=1,Assumptions!B40*G1113,0)</f>
        <v>0</v>
      </c>
      <c r="R1113" s="22" t="n">
        <f aca="false">IF(DAY(B1113)=1,Assumptions!B41*G1113,0)</f>
        <v>0</v>
      </c>
      <c r="S1113" s="22" t="n">
        <f aca="false">IF(AND(DAY(B1113)=1,D1113&gt;=13),Assumptions!B42*G1113,0)</f>
        <v>0</v>
      </c>
      <c r="T1113" s="22" t="n">
        <f aca="false">IF(DAY(B1113)=1,Assumptions!B43*G1113,0)</f>
        <v>0</v>
      </c>
      <c r="U1113" s="22" t="n">
        <f aca="false">SUM(O1113:T1113)</f>
        <v>0</v>
      </c>
      <c r="V1113" s="22" t="n">
        <f aca="false">N1113-U1113</f>
        <v>20100</v>
      </c>
      <c r="W1113" s="22" t="n">
        <f aca="false">W1112+V1113</f>
        <v>-1717911.70418962</v>
      </c>
      <c r="X1113" s="23" t="str">
        <f aca="false">IF(W1113&gt;=0,"YES","No")</f>
        <v>No</v>
      </c>
    </row>
    <row r="1114" customFormat="false" ht="15" hidden="false" customHeight="false" outlineLevel="0" collapsed="false">
      <c r="A1114" s="16" t="n">
        <v>1113</v>
      </c>
      <c r="B1114" s="17" t="n">
        <f aca="false">B1113+1</f>
        <v>47135</v>
      </c>
      <c r="C1114" s="18" t="n">
        <f aca="false">MIN(ROUNDUP(A1114/365,0),5)</f>
        <v>4</v>
      </c>
      <c r="D1114" s="18" t="n">
        <f aca="false">DATEDIF(Assumptions!B5,B1114,"m")+1</f>
        <v>37</v>
      </c>
      <c r="E1114" s="18" t="str">
        <f aca="false">TEXT(B1114,"ddd")</f>
        <v>Wed</v>
      </c>
      <c r="F1114" s="19" t="n">
        <f aca="false">IF(WEEKDAY(B1114,2)&gt;=6,Assumptions!B34,Assumptions!B35)</f>
        <v>1</v>
      </c>
      <c r="G1114" s="20" t="n">
        <f aca="false">IF(D1114&gt;=13,(1+Assumptions!B46)^(D1114-12),1)</f>
        <v>1.07776313769075</v>
      </c>
      <c r="H1114" s="21" t="n">
        <f aca="false">H1113*(1+IF(C1114=1,Assumptions!B22,Assumptions!B23))</f>
        <v>23.528392985509</v>
      </c>
      <c r="I1114" s="16" t="n">
        <f aca="false">ROUND(H1114*F1114,0)</f>
        <v>24</v>
      </c>
      <c r="J1114" s="22" t="n">
        <f aca="false">I1114*Assumptions!B24</f>
        <v>14400</v>
      </c>
      <c r="K1114" s="21" t="n">
        <f aca="false">K1113*(1+Assumptions!B30)</f>
        <v>18.9007454040554</v>
      </c>
      <c r="L1114" s="16" t="n">
        <f aca="false">ROUND(K1114*F1114,0)</f>
        <v>19</v>
      </c>
      <c r="M1114" s="22" t="n">
        <f aca="false">L1114*Assumptions!B31</f>
        <v>5700</v>
      </c>
      <c r="N1114" s="22" t="n">
        <f aca="false">J1114+M1114</f>
        <v>20100</v>
      </c>
      <c r="O1114" s="22" t="n">
        <f aca="false">IF(DAY(B1114)=1,Assumptions!B38*G1114,0)</f>
        <v>0</v>
      </c>
      <c r="P1114" s="22" t="n">
        <f aca="false">IF(DAY(B1114)=1,Assumptions!B39*G1114,0)</f>
        <v>0</v>
      </c>
      <c r="Q1114" s="22" t="n">
        <f aca="false">IF(DAY(B1114)=1,Assumptions!B40*G1114,0)</f>
        <v>0</v>
      </c>
      <c r="R1114" s="22" t="n">
        <f aca="false">IF(DAY(B1114)=1,Assumptions!B41*G1114,0)</f>
        <v>0</v>
      </c>
      <c r="S1114" s="22" t="n">
        <f aca="false">IF(AND(DAY(B1114)=1,D1114&gt;=13),Assumptions!B42*G1114,0)</f>
        <v>0</v>
      </c>
      <c r="T1114" s="22" t="n">
        <f aca="false">IF(DAY(B1114)=1,Assumptions!B43*G1114,0)</f>
        <v>0</v>
      </c>
      <c r="U1114" s="22" t="n">
        <f aca="false">SUM(O1114:T1114)</f>
        <v>0</v>
      </c>
      <c r="V1114" s="22" t="n">
        <f aca="false">N1114-U1114</f>
        <v>20100</v>
      </c>
      <c r="W1114" s="22" t="n">
        <f aca="false">W1113+V1114</f>
        <v>-1697811.70418962</v>
      </c>
      <c r="X1114" s="23" t="str">
        <f aca="false">IF(W1114&gt;=0,"YES","No")</f>
        <v>No</v>
      </c>
    </row>
    <row r="1115" customFormat="false" ht="15" hidden="false" customHeight="false" outlineLevel="0" collapsed="false">
      <c r="A1115" s="16" t="n">
        <v>1114</v>
      </c>
      <c r="B1115" s="17" t="n">
        <f aca="false">B1114+1</f>
        <v>47136</v>
      </c>
      <c r="C1115" s="18" t="n">
        <f aca="false">MIN(ROUNDUP(A1115/365,0),5)</f>
        <v>4</v>
      </c>
      <c r="D1115" s="18" t="n">
        <f aca="false">DATEDIF(Assumptions!B5,B1115,"m")+1</f>
        <v>37</v>
      </c>
      <c r="E1115" s="18" t="str">
        <f aca="false">TEXT(B1115,"ddd")</f>
        <v>Thu</v>
      </c>
      <c r="F1115" s="19" t="n">
        <f aca="false">IF(WEEKDAY(B1115,2)&gt;=6,Assumptions!B34,Assumptions!B35)</f>
        <v>1</v>
      </c>
      <c r="G1115" s="20" t="n">
        <f aca="false">IF(D1115&gt;=13,(1+Assumptions!B46)^(D1115-12),1)</f>
        <v>1.07776313769075</v>
      </c>
      <c r="H1115" s="21" t="n">
        <f aca="false">H1114*(1+IF(C1115=1,Assumptions!B22,Assumptions!B23))</f>
        <v>23.5322483879706</v>
      </c>
      <c r="I1115" s="16" t="n">
        <f aca="false">ROUND(H1115*F1115,0)</f>
        <v>24</v>
      </c>
      <c r="J1115" s="22" t="n">
        <f aca="false">I1115*Assumptions!B24</f>
        <v>14400</v>
      </c>
      <c r="K1115" s="21" t="n">
        <f aca="false">K1114*(1+Assumptions!B30)</f>
        <v>18.9069247539817</v>
      </c>
      <c r="L1115" s="16" t="n">
        <f aca="false">ROUND(K1115*F1115,0)</f>
        <v>19</v>
      </c>
      <c r="M1115" s="22" t="n">
        <f aca="false">L1115*Assumptions!B31</f>
        <v>5700</v>
      </c>
      <c r="N1115" s="22" t="n">
        <f aca="false">J1115+M1115</f>
        <v>20100</v>
      </c>
      <c r="O1115" s="22" t="n">
        <f aca="false">IF(DAY(B1115)=1,Assumptions!B38*G1115,0)</f>
        <v>0</v>
      </c>
      <c r="P1115" s="22" t="n">
        <f aca="false">IF(DAY(B1115)=1,Assumptions!B39*G1115,0)</f>
        <v>0</v>
      </c>
      <c r="Q1115" s="22" t="n">
        <f aca="false">IF(DAY(B1115)=1,Assumptions!B40*G1115,0)</f>
        <v>0</v>
      </c>
      <c r="R1115" s="22" t="n">
        <f aca="false">IF(DAY(B1115)=1,Assumptions!B41*G1115,0)</f>
        <v>0</v>
      </c>
      <c r="S1115" s="22" t="n">
        <f aca="false">IF(AND(DAY(B1115)=1,D1115&gt;=13),Assumptions!B42*G1115,0)</f>
        <v>0</v>
      </c>
      <c r="T1115" s="22" t="n">
        <f aca="false">IF(DAY(B1115)=1,Assumptions!B43*G1115,0)</f>
        <v>0</v>
      </c>
      <c r="U1115" s="22" t="n">
        <f aca="false">SUM(O1115:T1115)</f>
        <v>0</v>
      </c>
      <c r="V1115" s="22" t="n">
        <f aca="false">N1115-U1115</f>
        <v>20100</v>
      </c>
      <c r="W1115" s="22" t="n">
        <f aca="false">W1114+V1115</f>
        <v>-1677711.70418962</v>
      </c>
      <c r="X1115" s="23" t="str">
        <f aca="false">IF(W1115&gt;=0,"YES","No")</f>
        <v>No</v>
      </c>
    </row>
    <row r="1116" customFormat="false" ht="15" hidden="false" customHeight="false" outlineLevel="0" collapsed="false">
      <c r="A1116" s="16" t="n">
        <v>1115</v>
      </c>
      <c r="B1116" s="17" t="n">
        <f aca="false">B1115+1</f>
        <v>47137</v>
      </c>
      <c r="C1116" s="18" t="n">
        <f aca="false">MIN(ROUNDUP(A1116/365,0),5)</f>
        <v>4</v>
      </c>
      <c r="D1116" s="18" t="n">
        <f aca="false">DATEDIF(Assumptions!B5,B1116,"m")+1</f>
        <v>37</v>
      </c>
      <c r="E1116" s="18" t="str">
        <f aca="false">TEXT(B1116,"ddd")</f>
        <v>Fri</v>
      </c>
      <c r="F1116" s="19" t="n">
        <f aca="false">IF(WEEKDAY(B1116,2)&gt;=6,Assumptions!B34,Assumptions!B35)</f>
        <v>1</v>
      </c>
      <c r="G1116" s="20" t="n">
        <f aca="false">IF(D1116&gt;=13,(1+Assumptions!B46)^(D1116-12),1)</f>
        <v>1.07776313769075</v>
      </c>
      <c r="H1116" s="21" t="n">
        <f aca="false">H1115*(1+IF(C1116=1,Assumptions!B22,Assumptions!B23))</f>
        <v>23.536104422185</v>
      </c>
      <c r="I1116" s="16" t="n">
        <f aca="false">ROUND(H1116*F1116,0)</f>
        <v>24</v>
      </c>
      <c r="J1116" s="22" t="n">
        <f aca="false">I1116*Assumptions!B24</f>
        <v>14400</v>
      </c>
      <c r="K1116" s="21" t="n">
        <f aca="false">K1115*(1+Assumptions!B30)</f>
        <v>18.913106124165</v>
      </c>
      <c r="L1116" s="16" t="n">
        <f aca="false">ROUND(K1116*F1116,0)</f>
        <v>19</v>
      </c>
      <c r="M1116" s="22" t="n">
        <f aca="false">L1116*Assumptions!B31</f>
        <v>5700</v>
      </c>
      <c r="N1116" s="22" t="n">
        <f aca="false">J1116+M1116</f>
        <v>20100</v>
      </c>
      <c r="O1116" s="22" t="n">
        <f aca="false">IF(DAY(B1116)=1,Assumptions!B38*G1116,0)</f>
        <v>0</v>
      </c>
      <c r="P1116" s="22" t="n">
        <f aca="false">IF(DAY(B1116)=1,Assumptions!B39*G1116,0)</f>
        <v>0</v>
      </c>
      <c r="Q1116" s="22" t="n">
        <f aca="false">IF(DAY(B1116)=1,Assumptions!B40*G1116,0)</f>
        <v>0</v>
      </c>
      <c r="R1116" s="22" t="n">
        <f aca="false">IF(DAY(B1116)=1,Assumptions!B41*G1116,0)</f>
        <v>0</v>
      </c>
      <c r="S1116" s="22" t="n">
        <f aca="false">IF(AND(DAY(B1116)=1,D1116&gt;=13),Assumptions!B42*G1116,0)</f>
        <v>0</v>
      </c>
      <c r="T1116" s="22" t="n">
        <f aca="false">IF(DAY(B1116)=1,Assumptions!B43*G1116,0)</f>
        <v>0</v>
      </c>
      <c r="U1116" s="22" t="n">
        <f aca="false">SUM(O1116:T1116)</f>
        <v>0</v>
      </c>
      <c r="V1116" s="22" t="n">
        <f aca="false">N1116-U1116</f>
        <v>20100</v>
      </c>
      <c r="W1116" s="22" t="n">
        <f aca="false">W1115+V1116</f>
        <v>-1657611.70418962</v>
      </c>
      <c r="X1116" s="23" t="str">
        <f aca="false">IF(W1116&gt;=0,"YES","No")</f>
        <v>No</v>
      </c>
    </row>
    <row r="1117" customFormat="false" ht="15" hidden="false" customHeight="false" outlineLevel="0" collapsed="false">
      <c r="A1117" s="16" t="n">
        <v>1116</v>
      </c>
      <c r="B1117" s="17" t="n">
        <f aca="false">B1116+1</f>
        <v>47138</v>
      </c>
      <c r="C1117" s="18" t="n">
        <f aca="false">MIN(ROUNDUP(A1117/365,0),5)</f>
        <v>4</v>
      </c>
      <c r="D1117" s="18" t="n">
        <f aca="false">DATEDIF(Assumptions!B5,B1117,"m")+1</f>
        <v>37</v>
      </c>
      <c r="E1117" s="18" t="str">
        <f aca="false">TEXT(B1117,"ddd")</f>
        <v>Sat</v>
      </c>
      <c r="F1117" s="19" t="n">
        <f aca="false">IF(WEEKDAY(B1117,2)&gt;=6,Assumptions!B34,Assumptions!B35)</f>
        <v>0.6</v>
      </c>
      <c r="G1117" s="20" t="n">
        <f aca="false">IF(D1117&gt;=13,(1+Assumptions!B46)^(D1117-12),1)</f>
        <v>1.07776313769075</v>
      </c>
      <c r="H1117" s="21" t="n">
        <f aca="false">H1116*(1+IF(C1117=1,Assumptions!B22,Assumptions!B23))</f>
        <v>23.5399610882557</v>
      </c>
      <c r="I1117" s="16" t="n">
        <f aca="false">ROUND(H1117*F1117,0)</f>
        <v>14</v>
      </c>
      <c r="J1117" s="22" t="n">
        <f aca="false">I1117*Assumptions!B24</f>
        <v>8400</v>
      </c>
      <c r="K1117" s="21" t="n">
        <f aca="false">K1116*(1+Assumptions!B30)</f>
        <v>18.919289515266</v>
      </c>
      <c r="L1117" s="16" t="n">
        <f aca="false">ROUND(K1117*F1117,0)</f>
        <v>11</v>
      </c>
      <c r="M1117" s="22" t="n">
        <f aca="false">L1117*Assumptions!B31</f>
        <v>3300</v>
      </c>
      <c r="N1117" s="22" t="n">
        <f aca="false">J1117+M1117</f>
        <v>11700</v>
      </c>
      <c r="O1117" s="22" t="n">
        <f aca="false">IF(DAY(B1117)=1,Assumptions!B38*G1117,0)</f>
        <v>0</v>
      </c>
      <c r="P1117" s="22" t="n">
        <f aca="false">IF(DAY(B1117)=1,Assumptions!B39*G1117,0)</f>
        <v>0</v>
      </c>
      <c r="Q1117" s="22" t="n">
        <f aca="false">IF(DAY(B1117)=1,Assumptions!B40*G1117,0)</f>
        <v>0</v>
      </c>
      <c r="R1117" s="22" t="n">
        <f aca="false">IF(DAY(B1117)=1,Assumptions!B41*G1117,0)</f>
        <v>0</v>
      </c>
      <c r="S1117" s="22" t="n">
        <f aca="false">IF(AND(DAY(B1117)=1,D1117&gt;=13),Assumptions!B42*G1117,0)</f>
        <v>0</v>
      </c>
      <c r="T1117" s="22" t="n">
        <f aca="false">IF(DAY(B1117)=1,Assumptions!B43*G1117,0)</f>
        <v>0</v>
      </c>
      <c r="U1117" s="22" t="n">
        <f aca="false">SUM(O1117:T1117)</f>
        <v>0</v>
      </c>
      <c r="V1117" s="22" t="n">
        <f aca="false">N1117-U1117</f>
        <v>11700</v>
      </c>
      <c r="W1117" s="22" t="n">
        <f aca="false">W1116+V1117</f>
        <v>-1645911.70418962</v>
      </c>
      <c r="X1117" s="23" t="str">
        <f aca="false">IF(W1117&gt;=0,"YES","No")</f>
        <v>No</v>
      </c>
    </row>
    <row r="1118" customFormat="false" ht="15" hidden="false" customHeight="false" outlineLevel="0" collapsed="false">
      <c r="A1118" s="16" t="n">
        <v>1117</v>
      </c>
      <c r="B1118" s="17" t="n">
        <f aca="false">B1117+1</f>
        <v>47139</v>
      </c>
      <c r="C1118" s="18" t="n">
        <f aca="false">MIN(ROUNDUP(A1118/365,0),5)</f>
        <v>4</v>
      </c>
      <c r="D1118" s="18" t="n">
        <f aca="false">DATEDIF(Assumptions!B5,B1118,"m")+1</f>
        <v>37</v>
      </c>
      <c r="E1118" s="18" t="str">
        <f aca="false">TEXT(B1118,"ddd")</f>
        <v>Sun</v>
      </c>
      <c r="F1118" s="19" t="n">
        <f aca="false">IF(WEEKDAY(B1118,2)&gt;=6,Assumptions!B34,Assumptions!B35)</f>
        <v>0.6</v>
      </c>
      <c r="G1118" s="20" t="n">
        <f aca="false">IF(D1118&gt;=13,(1+Assumptions!B46)^(D1118-12),1)</f>
        <v>1.07776313769075</v>
      </c>
      <c r="H1118" s="21" t="n">
        <f aca="false">H1117*(1+IF(C1118=1,Assumptions!B22,Assumptions!B23))</f>
        <v>23.5438183862863</v>
      </c>
      <c r="I1118" s="16" t="n">
        <f aca="false">ROUND(H1118*F1118,0)</f>
        <v>14</v>
      </c>
      <c r="J1118" s="22" t="n">
        <f aca="false">I1118*Assumptions!B24</f>
        <v>8400</v>
      </c>
      <c r="K1118" s="21" t="n">
        <f aca="false">K1117*(1+Assumptions!B30)</f>
        <v>18.9254749279453</v>
      </c>
      <c r="L1118" s="16" t="n">
        <f aca="false">ROUND(K1118*F1118,0)</f>
        <v>11</v>
      </c>
      <c r="M1118" s="22" t="n">
        <f aca="false">L1118*Assumptions!B31</f>
        <v>3300</v>
      </c>
      <c r="N1118" s="22" t="n">
        <f aca="false">J1118+M1118</f>
        <v>11700</v>
      </c>
      <c r="O1118" s="22" t="n">
        <f aca="false">IF(DAY(B1118)=1,Assumptions!B38*G1118,0)</f>
        <v>0</v>
      </c>
      <c r="P1118" s="22" t="n">
        <f aca="false">IF(DAY(B1118)=1,Assumptions!B39*G1118,0)</f>
        <v>0</v>
      </c>
      <c r="Q1118" s="22" t="n">
        <f aca="false">IF(DAY(B1118)=1,Assumptions!B40*G1118,0)</f>
        <v>0</v>
      </c>
      <c r="R1118" s="22" t="n">
        <f aca="false">IF(DAY(B1118)=1,Assumptions!B41*G1118,0)</f>
        <v>0</v>
      </c>
      <c r="S1118" s="22" t="n">
        <f aca="false">IF(AND(DAY(B1118)=1,D1118&gt;=13),Assumptions!B42*G1118,0)</f>
        <v>0</v>
      </c>
      <c r="T1118" s="22" t="n">
        <f aca="false">IF(DAY(B1118)=1,Assumptions!B43*G1118,0)</f>
        <v>0</v>
      </c>
      <c r="U1118" s="22" t="n">
        <f aca="false">SUM(O1118:T1118)</f>
        <v>0</v>
      </c>
      <c r="V1118" s="22" t="n">
        <f aca="false">N1118-U1118</f>
        <v>11700</v>
      </c>
      <c r="W1118" s="22" t="n">
        <f aca="false">W1117+V1118</f>
        <v>-1634211.70418962</v>
      </c>
      <c r="X1118" s="23" t="str">
        <f aca="false">IF(W1118&gt;=0,"YES","No")</f>
        <v>No</v>
      </c>
    </row>
    <row r="1119" customFormat="false" ht="15" hidden="false" customHeight="false" outlineLevel="0" collapsed="false">
      <c r="A1119" s="16" t="n">
        <v>1118</v>
      </c>
      <c r="B1119" s="17" t="n">
        <f aca="false">B1118+1</f>
        <v>47140</v>
      </c>
      <c r="C1119" s="18" t="n">
        <f aca="false">MIN(ROUNDUP(A1119/365,0),5)</f>
        <v>4</v>
      </c>
      <c r="D1119" s="18" t="n">
        <f aca="false">DATEDIF(Assumptions!B5,B1119,"m")+1</f>
        <v>37</v>
      </c>
      <c r="E1119" s="18" t="str">
        <f aca="false">TEXT(B1119,"ddd")</f>
        <v>Mon</v>
      </c>
      <c r="F1119" s="19" t="n">
        <f aca="false">IF(WEEKDAY(B1119,2)&gt;=6,Assumptions!B34,Assumptions!B35)</f>
        <v>1</v>
      </c>
      <c r="G1119" s="20" t="n">
        <f aca="false">IF(D1119&gt;=13,(1+Assumptions!B46)^(D1119-12),1)</f>
        <v>1.07776313769075</v>
      </c>
      <c r="H1119" s="21" t="n">
        <f aca="false">H1118*(1+IF(C1119=1,Assumptions!B22,Assumptions!B23))</f>
        <v>23.5476763163802</v>
      </c>
      <c r="I1119" s="16" t="n">
        <f aca="false">ROUND(H1119*F1119,0)</f>
        <v>24</v>
      </c>
      <c r="J1119" s="22" t="n">
        <f aca="false">I1119*Assumptions!B24</f>
        <v>14400</v>
      </c>
      <c r="K1119" s="21" t="n">
        <f aca="false">K1118*(1+Assumptions!B30)</f>
        <v>18.9316623628639</v>
      </c>
      <c r="L1119" s="16" t="n">
        <f aca="false">ROUND(K1119*F1119,0)</f>
        <v>19</v>
      </c>
      <c r="M1119" s="22" t="n">
        <f aca="false">L1119*Assumptions!B31</f>
        <v>5700</v>
      </c>
      <c r="N1119" s="22" t="n">
        <f aca="false">J1119+M1119</f>
        <v>20100</v>
      </c>
      <c r="O1119" s="22" t="n">
        <f aca="false">IF(DAY(B1119)=1,Assumptions!B38*G1119,0)</f>
        <v>0</v>
      </c>
      <c r="P1119" s="22" t="n">
        <f aca="false">IF(DAY(B1119)=1,Assumptions!B39*G1119,0)</f>
        <v>0</v>
      </c>
      <c r="Q1119" s="22" t="n">
        <f aca="false">IF(DAY(B1119)=1,Assumptions!B40*G1119,0)</f>
        <v>0</v>
      </c>
      <c r="R1119" s="22" t="n">
        <f aca="false">IF(DAY(B1119)=1,Assumptions!B41*G1119,0)</f>
        <v>0</v>
      </c>
      <c r="S1119" s="22" t="n">
        <f aca="false">IF(AND(DAY(B1119)=1,D1119&gt;=13),Assumptions!B42*G1119,0)</f>
        <v>0</v>
      </c>
      <c r="T1119" s="22" t="n">
        <f aca="false">IF(DAY(B1119)=1,Assumptions!B43*G1119,0)</f>
        <v>0</v>
      </c>
      <c r="U1119" s="22" t="n">
        <f aca="false">SUM(O1119:T1119)</f>
        <v>0</v>
      </c>
      <c r="V1119" s="22" t="n">
        <f aca="false">N1119-U1119</f>
        <v>20100</v>
      </c>
      <c r="W1119" s="22" t="n">
        <f aca="false">W1118+V1119</f>
        <v>-1614111.70418962</v>
      </c>
      <c r="X1119" s="23" t="str">
        <f aca="false">IF(W1119&gt;=0,"YES","No")</f>
        <v>No</v>
      </c>
    </row>
    <row r="1120" customFormat="false" ht="15" hidden="false" customHeight="false" outlineLevel="0" collapsed="false">
      <c r="A1120" s="16" t="n">
        <v>1119</v>
      </c>
      <c r="B1120" s="17" t="n">
        <f aca="false">B1119+1</f>
        <v>47141</v>
      </c>
      <c r="C1120" s="18" t="n">
        <f aca="false">MIN(ROUNDUP(A1120/365,0),5)</f>
        <v>4</v>
      </c>
      <c r="D1120" s="18" t="n">
        <f aca="false">DATEDIF(Assumptions!B5,B1120,"m")+1</f>
        <v>37</v>
      </c>
      <c r="E1120" s="18" t="str">
        <f aca="false">TEXT(B1120,"ddd")</f>
        <v>Tue</v>
      </c>
      <c r="F1120" s="19" t="n">
        <f aca="false">IF(WEEKDAY(B1120,2)&gt;=6,Assumptions!B34,Assumptions!B35)</f>
        <v>1</v>
      </c>
      <c r="G1120" s="20" t="n">
        <f aca="false">IF(D1120&gt;=13,(1+Assumptions!B46)^(D1120-12),1)</f>
        <v>1.07776313769075</v>
      </c>
      <c r="H1120" s="21" t="n">
        <f aca="false">H1119*(1+IF(C1120=1,Assumptions!B22,Assumptions!B23))</f>
        <v>23.5515348786412</v>
      </c>
      <c r="I1120" s="16" t="n">
        <f aca="false">ROUND(H1120*F1120,0)</f>
        <v>24</v>
      </c>
      <c r="J1120" s="22" t="n">
        <f aca="false">I1120*Assumptions!B24</f>
        <v>14400</v>
      </c>
      <c r="K1120" s="21" t="n">
        <f aca="false">K1119*(1+Assumptions!B30)</f>
        <v>18.9378518206829</v>
      </c>
      <c r="L1120" s="16" t="n">
        <f aca="false">ROUND(K1120*F1120,0)</f>
        <v>19</v>
      </c>
      <c r="M1120" s="22" t="n">
        <f aca="false">L1120*Assumptions!B31</f>
        <v>5700</v>
      </c>
      <c r="N1120" s="22" t="n">
        <f aca="false">J1120+M1120</f>
        <v>20100</v>
      </c>
      <c r="O1120" s="22" t="n">
        <f aca="false">IF(DAY(B1120)=1,Assumptions!B38*G1120,0)</f>
        <v>0</v>
      </c>
      <c r="P1120" s="22" t="n">
        <f aca="false">IF(DAY(B1120)=1,Assumptions!B39*G1120,0)</f>
        <v>0</v>
      </c>
      <c r="Q1120" s="22" t="n">
        <f aca="false">IF(DAY(B1120)=1,Assumptions!B40*G1120,0)</f>
        <v>0</v>
      </c>
      <c r="R1120" s="22" t="n">
        <f aca="false">IF(DAY(B1120)=1,Assumptions!B41*G1120,0)</f>
        <v>0</v>
      </c>
      <c r="S1120" s="22" t="n">
        <f aca="false">IF(AND(DAY(B1120)=1,D1120&gt;=13),Assumptions!B42*G1120,0)</f>
        <v>0</v>
      </c>
      <c r="T1120" s="22" t="n">
        <f aca="false">IF(DAY(B1120)=1,Assumptions!B43*G1120,0)</f>
        <v>0</v>
      </c>
      <c r="U1120" s="22" t="n">
        <f aca="false">SUM(O1120:T1120)</f>
        <v>0</v>
      </c>
      <c r="V1120" s="22" t="n">
        <f aca="false">N1120-U1120</f>
        <v>20100</v>
      </c>
      <c r="W1120" s="22" t="n">
        <f aca="false">W1119+V1120</f>
        <v>-1594011.70418962</v>
      </c>
      <c r="X1120" s="23" t="str">
        <f aca="false">IF(W1120&gt;=0,"YES","No")</f>
        <v>No</v>
      </c>
    </row>
    <row r="1121" customFormat="false" ht="15" hidden="false" customHeight="false" outlineLevel="0" collapsed="false">
      <c r="A1121" s="16" t="n">
        <v>1120</v>
      </c>
      <c r="B1121" s="17" t="n">
        <f aca="false">B1120+1</f>
        <v>47142</v>
      </c>
      <c r="C1121" s="18" t="n">
        <f aca="false">MIN(ROUNDUP(A1121/365,0),5)</f>
        <v>4</v>
      </c>
      <c r="D1121" s="18" t="n">
        <f aca="false">DATEDIF(Assumptions!B5,B1121,"m")+1</f>
        <v>37</v>
      </c>
      <c r="E1121" s="18" t="str">
        <f aca="false">TEXT(B1121,"ddd")</f>
        <v>Wed</v>
      </c>
      <c r="F1121" s="19" t="n">
        <f aca="false">IF(WEEKDAY(B1121,2)&gt;=6,Assumptions!B34,Assumptions!B35)</f>
        <v>1</v>
      </c>
      <c r="G1121" s="20" t="n">
        <f aca="false">IF(D1121&gt;=13,(1+Assumptions!B46)^(D1121-12),1)</f>
        <v>1.07776313769075</v>
      </c>
      <c r="H1121" s="21" t="n">
        <f aca="false">H1120*(1+IF(C1121=1,Assumptions!B22,Assumptions!B23))</f>
        <v>23.5553940731727</v>
      </c>
      <c r="I1121" s="16" t="n">
        <f aca="false">ROUND(H1121*F1121,0)</f>
        <v>24</v>
      </c>
      <c r="J1121" s="22" t="n">
        <f aca="false">I1121*Assumptions!B24</f>
        <v>14400</v>
      </c>
      <c r="K1121" s="21" t="n">
        <f aca="false">K1120*(1+Assumptions!B30)</f>
        <v>18.9440433020636</v>
      </c>
      <c r="L1121" s="16" t="n">
        <f aca="false">ROUND(K1121*F1121,0)</f>
        <v>19</v>
      </c>
      <c r="M1121" s="22" t="n">
        <f aca="false">L1121*Assumptions!B31</f>
        <v>5700</v>
      </c>
      <c r="N1121" s="22" t="n">
        <f aca="false">J1121+M1121</f>
        <v>20100</v>
      </c>
      <c r="O1121" s="22" t="n">
        <f aca="false">IF(DAY(B1121)=1,Assumptions!B38*G1121,0)</f>
        <v>0</v>
      </c>
      <c r="P1121" s="22" t="n">
        <f aca="false">IF(DAY(B1121)=1,Assumptions!B39*G1121,0)</f>
        <v>0</v>
      </c>
      <c r="Q1121" s="22" t="n">
        <f aca="false">IF(DAY(B1121)=1,Assumptions!B40*G1121,0)</f>
        <v>0</v>
      </c>
      <c r="R1121" s="22" t="n">
        <f aca="false">IF(DAY(B1121)=1,Assumptions!B41*G1121,0)</f>
        <v>0</v>
      </c>
      <c r="S1121" s="22" t="n">
        <f aca="false">IF(AND(DAY(B1121)=1,D1121&gt;=13),Assumptions!B42*G1121,0)</f>
        <v>0</v>
      </c>
      <c r="T1121" s="22" t="n">
        <f aca="false">IF(DAY(B1121)=1,Assumptions!B43*G1121,0)</f>
        <v>0</v>
      </c>
      <c r="U1121" s="22" t="n">
        <f aca="false">SUM(O1121:T1121)</f>
        <v>0</v>
      </c>
      <c r="V1121" s="22" t="n">
        <f aca="false">N1121-U1121</f>
        <v>20100</v>
      </c>
      <c r="W1121" s="22" t="n">
        <f aca="false">W1120+V1121</f>
        <v>-1573911.70418962</v>
      </c>
      <c r="X1121" s="23" t="str">
        <f aca="false">IF(W1121&gt;=0,"YES","No")</f>
        <v>No</v>
      </c>
    </row>
    <row r="1122" customFormat="false" ht="15" hidden="false" customHeight="false" outlineLevel="0" collapsed="false">
      <c r="A1122" s="16" t="n">
        <v>1121</v>
      </c>
      <c r="B1122" s="17" t="n">
        <f aca="false">B1121+1</f>
        <v>47143</v>
      </c>
      <c r="C1122" s="18" t="n">
        <f aca="false">MIN(ROUNDUP(A1122/365,0),5)</f>
        <v>4</v>
      </c>
      <c r="D1122" s="18" t="n">
        <f aca="false">DATEDIF(Assumptions!B5,B1122,"m")+1</f>
        <v>37</v>
      </c>
      <c r="E1122" s="18" t="str">
        <f aca="false">TEXT(B1122,"ddd")</f>
        <v>Thu</v>
      </c>
      <c r="F1122" s="19" t="n">
        <f aca="false">IF(WEEKDAY(B1122,2)&gt;=6,Assumptions!B34,Assumptions!B35)</f>
        <v>1</v>
      </c>
      <c r="G1122" s="20" t="n">
        <f aca="false">IF(D1122&gt;=13,(1+Assumptions!B46)^(D1122-12),1)</f>
        <v>1.07776313769075</v>
      </c>
      <c r="H1122" s="21" t="n">
        <f aca="false">H1121*(1+IF(C1122=1,Assumptions!B22,Assumptions!B23))</f>
        <v>23.5592539000784</v>
      </c>
      <c r="I1122" s="16" t="n">
        <f aca="false">ROUND(H1122*F1122,0)</f>
        <v>24</v>
      </c>
      <c r="J1122" s="22" t="n">
        <f aca="false">I1122*Assumptions!B24</f>
        <v>14400</v>
      </c>
      <c r="K1122" s="21" t="n">
        <f aca="false">K1121*(1+Assumptions!B30)</f>
        <v>18.9502368076677</v>
      </c>
      <c r="L1122" s="16" t="n">
        <f aca="false">ROUND(K1122*F1122,0)</f>
        <v>19</v>
      </c>
      <c r="M1122" s="22" t="n">
        <f aca="false">L1122*Assumptions!B31</f>
        <v>5700</v>
      </c>
      <c r="N1122" s="22" t="n">
        <f aca="false">J1122+M1122</f>
        <v>20100</v>
      </c>
      <c r="O1122" s="22" t="n">
        <f aca="false">IF(DAY(B1122)=1,Assumptions!B38*G1122,0)</f>
        <v>0</v>
      </c>
      <c r="P1122" s="22" t="n">
        <f aca="false">IF(DAY(B1122)=1,Assumptions!B39*G1122,0)</f>
        <v>0</v>
      </c>
      <c r="Q1122" s="22" t="n">
        <f aca="false">IF(DAY(B1122)=1,Assumptions!B40*G1122,0)</f>
        <v>0</v>
      </c>
      <c r="R1122" s="22" t="n">
        <f aca="false">IF(DAY(B1122)=1,Assumptions!B41*G1122,0)</f>
        <v>0</v>
      </c>
      <c r="S1122" s="22" t="n">
        <f aca="false">IF(AND(DAY(B1122)=1,D1122&gt;=13),Assumptions!B42*G1122,0)</f>
        <v>0</v>
      </c>
      <c r="T1122" s="22" t="n">
        <f aca="false">IF(DAY(B1122)=1,Assumptions!B43*G1122,0)</f>
        <v>0</v>
      </c>
      <c r="U1122" s="22" t="n">
        <f aca="false">SUM(O1122:T1122)</f>
        <v>0</v>
      </c>
      <c r="V1122" s="22" t="n">
        <f aca="false">N1122-U1122</f>
        <v>20100</v>
      </c>
      <c r="W1122" s="22" t="n">
        <f aca="false">W1121+V1122</f>
        <v>-1553811.70418962</v>
      </c>
      <c r="X1122" s="23" t="str">
        <f aca="false">IF(W1122&gt;=0,"YES","No")</f>
        <v>No</v>
      </c>
    </row>
    <row r="1123" customFormat="false" ht="15" hidden="false" customHeight="false" outlineLevel="0" collapsed="false">
      <c r="A1123" s="16" t="n">
        <v>1122</v>
      </c>
      <c r="B1123" s="17" t="n">
        <f aca="false">B1122+1</f>
        <v>47144</v>
      </c>
      <c r="C1123" s="18" t="n">
        <f aca="false">MIN(ROUNDUP(A1123/365,0),5)</f>
        <v>4</v>
      </c>
      <c r="D1123" s="18" t="n">
        <f aca="false">DATEDIF(Assumptions!B5,B1123,"m")+1</f>
        <v>37</v>
      </c>
      <c r="E1123" s="18" t="str">
        <f aca="false">TEXT(B1123,"ddd")</f>
        <v>Fri</v>
      </c>
      <c r="F1123" s="19" t="n">
        <f aca="false">IF(WEEKDAY(B1123,2)&gt;=6,Assumptions!B34,Assumptions!B35)</f>
        <v>1</v>
      </c>
      <c r="G1123" s="20" t="n">
        <f aca="false">IF(D1123&gt;=13,(1+Assumptions!B46)^(D1123-12),1)</f>
        <v>1.07776313769075</v>
      </c>
      <c r="H1123" s="21" t="n">
        <f aca="false">H1122*(1+IF(C1123=1,Assumptions!B22,Assumptions!B23))</f>
        <v>23.5631143594619</v>
      </c>
      <c r="I1123" s="16" t="n">
        <f aca="false">ROUND(H1123*F1123,0)</f>
        <v>24</v>
      </c>
      <c r="J1123" s="22" t="n">
        <f aca="false">I1123*Assumptions!B24</f>
        <v>14400</v>
      </c>
      <c r="K1123" s="21" t="n">
        <f aca="false">K1122*(1+Assumptions!B30)</f>
        <v>18.9564323381569</v>
      </c>
      <c r="L1123" s="16" t="n">
        <f aca="false">ROUND(K1123*F1123,0)</f>
        <v>19</v>
      </c>
      <c r="M1123" s="22" t="n">
        <f aca="false">L1123*Assumptions!B31</f>
        <v>5700</v>
      </c>
      <c r="N1123" s="22" t="n">
        <f aca="false">J1123+M1123</f>
        <v>20100</v>
      </c>
      <c r="O1123" s="22" t="n">
        <f aca="false">IF(DAY(B1123)=1,Assumptions!B38*G1123,0)</f>
        <v>0</v>
      </c>
      <c r="P1123" s="22" t="n">
        <f aca="false">IF(DAY(B1123)=1,Assumptions!B39*G1123,0)</f>
        <v>0</v>
      </c>
      <c r="Q1123" s="22" t="n">
        <f aca="false">IF(DAY(B1123)=1,Assumptions!B40*G1123,0)</f>
        <v>0</v>
      </c>
      <c r="R1123" s="22" t="n">
        <f aca="false">IF(DAY(B1123)=1,Assumptions!B41*G1123,0)</f>
        <v>0</v>
      </c>
      <c r="S1123" s="22" t="n">
        <f aca="false">IF(AND(DAY(B1123)=1,D1123&gt;=13),Assumptions!B42*G1123,0)</f>
        <v>0</v>
      </c>
      <c r="T1123" s="22" t="n">
        <f aca="false">IF(DAY(B1123)=1,Assumptions!B43*G1123,0)</f>
        <v>0</v>
      </c>
      <c r="U1123" s="22" t="n">
        <f aca="false">SUM(O1123:T1123)</f>
        <v>0</v>
      </c>
      <c r="V1123" s="22" t="n">
        <f aca="false">N1123-U1123</f>
        <v>20100</v>
      </c>
      <c r="W1123" s="22" t="n">
        <f aca="false">W1122+V1123</f>
        <v>-1533711.70418962</v>
      </c>
      <c r="X1123" s="23" t="str">
        <f aca="false">IF(W1123&gt;=0,"YES","No")</f>
        <v>No</v>
      </c>
    </row>
    <row r="1124" customFormat="false" ht="15" hidden="false" customHeight="false" outlineLevel="0" collapsed="false">
      <c r="A1124" s="16" t="n">
        <v>1123</v>
      </c>
      <c r="B1124" s="17" t="n">
        <f aca="false">B1123+1</f>
        <v>47145</v>
      </c>
      <c r="C1124" s="18" t="n">
        <f aca="false">MIN(ROUNDUP(A1124/365,0),5)</f>
        <v>4</v>
      </c>
      <c r="D1124" s="18" t="n">
        <f aca="false">DATEDIF(Assumptions!B5,B1124,"m")+1</f>
        <v>37</v>
      </c>
      <c r="E1124" s="18" t="str">
        <f aca="false">TEXT(B1124,"ddd")</f>
        <v>Sat</v>
      </c>
      <c r="F1124" s="19" t="n">
        <f aca="false">IF(WEEKDAY(B1124,2)&gt;=6,Assumptions!B34,Assumptions!B35)</f>
        <v>0.6</v>
      </c>
      <c r="G1124" s="20" t="n">
        <f aca="false">IF(D1124&gt;=13,(1+Assumptions!B46)^(D1124-12),1)</f>
        <v>1.07776313769075</v>
      </c>
      <c r="H1124" s="21" t="n">
        <f aca="false">H1123*(1+IF(C1124=1,Assumptions!B22,Assumptions!B23))</f>
        <v>23.5669754514268</v>
      </c>
      <c r="I1124" s="16" t="n">
        <f aca="false">ROUND(H1124*F1124,0)</f>
        <v>14</v>
      </c>
      <c r="J1124" s="22" t="n">
        <f aca="false">I1124*Assumptions!B24</f>
        <v>8400</v>
      </c>
      <c r="K1124" s="21" t="n">
        <f aca="false">K1123*(1+Assumptions!B30)</f>
        <v>18.9626298941933</v>
      </c>
      <c r="L1124" s="16" t="n">
        <f aca="false">ROUND(K1124*F1124,0)</f>
        <v>11</v>
      </c>
      <c r="M1124" s="22" t="n">
        <f aca="false">L1124*Assumptions!B31</f>
        <v>3300</v>
      </c>
      <c r="N1124" s="22" t="n">
        <f aca="false">J1124+M1124</f>
        <v>11700</v>
      </c>
      <c r="O1124" s="22" t="n">
        <f aca="false">IF(DAY(B1124)=1,Assumptions!B38*G1124,0)</f>
        <v>0</v>
      </c>
      <c r="P1124" s="22" t="n">
        <f aca="false">IF(DAY(B1124)=1,Assumptions!B39*G1124,0)</f>
        <v>0</v>
      </c>
      <c r="Q1124" s="22" t="n">
        <f aca="false">IF(DAY(B1124)=1,Assumptions!B40*G1124,0)</f>
        <v>0</v>
      </c>
      <c r="R1124" s="22" t="n">
        <f aca="false">IF(DAY(B1124)=1,Assumptions!B41*G1124,0)</f>
        <v>0</v>
      </c>
      <c r="S1124" s="22" t="n">
        <f aca="false">IF(AND(DAY(B1124)=1,D1124&gt;=13),Assumptions!B42*G1124,0)</f>
        <v>0</v>
      </c>
      <c r="T1124" s="22" t="n">
        <f aca="false">IF(DAY(B1124)=1,Assumptions!B43*G1124,0)</f>
        <v>0</v>
      </c>
      <c r="U1124" s="22" t="n">
        <f aca="false">SUM(O1124:T1124)</f>
        <v>0</v>
      </c>
      <c r="V1124" s="22" t="n">
        <f aca="false">N1124-U1124</f>
        <v>11700</v>
      </c>
      <c r="W1124" s="22" t="n">
        <f aca="false">W1123+V1124</f>
        <v>-1522011.70418962</v>
      </c>
      <c r="X1124" s="23" t="str">
        <f aca="false">IF(W1124&gt;=0,"YES","No")</f>
        <v>No</v>
      </c>
    </row>
    <row r="1125" customFormat="false" ht="15" hidden="false" customHeight="false" outlineLevel="0" collapsed="false">
      <c r="A1125" s="16" t="n">
        <v>1124</v>
      </c>
      <c r="B1125" s="17" t="n">
        <f aca="false">B1124+1</f>
        <v>47146</v>
      </c>
      <c r="C1125" s="18" t="n">
        <f aca="false">MIN(ROUNDUP(A1125/365,0),5)</f>
        <v>4</v>
      </c>
      <c r="D1125" s="18" t="n">
        <f aca="false">DATEDIF(Assumptions!B5,B1125,"m")+1</f>
        <v>37</v>
      </c>
      <c r="E1125" s="18" t="str">
        <f aca="false">TEXT(B1125,"ddd")</f>
        <v>Sun</v>
      </c>
      <c r="F1125" s="19" t="n">
        <f aca="false">IF(WEEKDAY(B1125,2)&gt;=6,Assumptions!B34,Assumptions!B35)</f>
        <v>0.6</v>
      </c>
      <c r="G1125" s="20" t="n">
        <f aca="false">IF(D1125&gt;=13,(1+Assumptions!B46)^(D1125-12),1)</f>
        <v>1.07776313769075</v>
      </c>
      <c r="H1125" s="21" t="n">
        <f aca="false">H1124*(1+IF(C1125=1,Assumptions!B22,Assumptions!B23))</f>
        <v>23.5708371760768</v>
      </c>
      <c r="I1125" s="16" t="n">
        <f aca="false">ROUND(H1125*F1125,0)</f>
        <v>14</v>
      </c>
      <c r="J1125" s="22" t="n">
        <f aca="false">I1125*Assumptions!B24</f>
        <v>8400</v>
      </c>
      <c r="K1125" s="21" t="n">
        <f aca="false">K1124*(1+Assumptions!B30)</f>
        <v>18.968829476439</v>
      </c>
      <c r="L1125" s="16" t="n">
        <f aca="false">ROUND(K1125*F1125,0)</f>
        <v>11</v>
      </c>
      <c r="M1125" s="22" t="n">
        <f aca="false">L1125*Assumptions!B31</f>
        <v>3300</v>
      </c>
      <c r="N1125" s="22" t="n">
        <f aca="false">J1125+M1125</f>
        <v>11700</v>
      </c>
      <c r="O1125" s="22" t="n">
        <f aca="false">IF(DAY(B1125)=1,Assumptions!B38*G1125,0)</f>
        <v>0</v>
      </c>
      <c r="P1125" s="22" t="n">
        <f aca="false">IF(DAY(B1125)=1,Assumptions!B39*G1125,0)</f>
        <v>0</v>
      </c>
      <c r="Q1125" s="22" t="n">
        <f aca="false">IF(DAY(B1125)=1,Assumptions!B40*G1125,0)</f>
        <v>0</v>
      </c>
      <c r="R1125" s="22" t="n">
        <f aca="false">IF(DAY(B1125)=1,Assumptions!B41*G1125,0)</f>
        <v>0</v>
      </c>
      <c r="S1125" s="22" t="n">
        <f aca="false">IF(AND(DAY(B1125)=1,D1125&gt;=13),Assumptions!B42*G1125,0)</f>
        <v>0</v>
      </c>
      <c r="T1125" s="22" t="n">
        <f aca="false">IF(DAY(B1125)=1,Assumptions!B43*G1125,0)</f>
        <v>0</v>
      </c>
      <c r="U1125" s="22" t="n">
        <f aca="false">SUM(O1125:T1125)</f>
        <v>0</v>
      </c>
      <c r="V1125" s="22" t="n">
        <f aca="false">N1125-U1125</f>
        <v>11700</v>
      </c>
      <c r="W1125" s="22" t="n">
        <f aca="false">W1124+V1125</f>
        <v>-1510311.70418962</v>
      </c>
      <c r="X1125" s="23" t="str">
        <f aca="false">IF(W1125&gt;=0,"YES","No")</f>
        <v>No</v>
      </c>
    </row>
    <row r="1126" customFormat="false" ht="15" hidden="false" customHeight="false" outlineLevel="0" collapsed="false">
      <c r="A1126" s="16" t="n">
        <v>1125</v>
      </c>
      <c r="B1126" s="17" t="n">
        <f aca="false">B1125+1</f>
        <v>47147</v>
      </c>
      <c r="C1126" s="18" t="n">
        <f aca="false">MIN(ROUNDUP(A1126/365,0),5)</f>
        <v>4</v>
      </c>
      <c r="D1126" s="18" t="n">
        <f aca="false">DATEDIF(Assumptions!B5,B1126,"m")+1</f>
        <v>37</v>
      </c>
      <c r="E1126" s="18" t="str">
        <f aca="false">TEXT(B1126,"ddd")</f>
        <v>Mon</v>
      </c>
      <c r="F1126" s="19" t="n">
        <f aca="false">IF(WEEKDAY(B1126,2)&gt;=6,Assumptions!B34,Assumptions!B35)</f>
        <v>1</v>
      </c>
      <c r="G1126" s="20" t="n">
        <f aca="false">IF(D1126&gt;=13,(1+Assumptions!B46)^(D1126-12),1)</f>
        <v>1.07776313769075</v>
      </c>
      <c r="H1126" s="21" t="n">
        <f aca="false">H1125*(1+IF(C1126=1,Assumptions!B22,Assumptions!B23))</f>
        <v>23.5746995335156</v>
      </c>
      <c r="I1126" s="16" t="n">
        <f aca="false">ROUND(H1126*F1126,0)</f>
        <v>24</v>
      </c>
      <c r="J1126" s="22" t="n">
        <f aca="false">I1126*Assumptions!B24</f>
        <v>14400</v>
      </c>
      <c r="K1126" s="21" t="n">
        <f aca="false">K1125*(1+Assumptions!B30)</f>
        <v>18.9750310855566</v>
      </c>
      <c r="L1126" s="16" t="n">
        <f aca="false">ROUND(K1126*F1126,0)</f>
        <v>19</v>
      </c>
      <c r="M1126" s="22" t="n">
        <f aca="false">L1126*Assumptions!B31</f>
        <v>5700</v>
      </c>
      <c r="N1126" s="22" t="n">
        <f aca="false">J1126+M1126</f>
        <v>20100</v>
      </c>
      <c r="O1126" s="22" t="n">
        <f aca="false">IF(DAY(B1126)=1,Assumptions!B38*G1126,0)</f>
        <v>0</v>
      </c>
      <c r="P1126" s="22" t="n">
        <f aca="false">IF(DAY(B1126)=1,Assumptions!B39*G1126,0)</f>
        <v>0</v>
      </c>
      <c r="Q1126" s="22" t="n">
        <f aca="false">IF(DAY(B1126)=1,Assumptions!B40*G1126,0)</f>
        <v>0</v>
      </c>
      <c r="R1126" s="22" t="n">
        <f aca="false">IF(DAY(B1126)=1,Assumptions!B41*G1126,0)</f>
        <v>0</v>
      </c>
      <c r="S1126" s="22" t="n">
        <f aca="false">IF(AND(DAY(B1126)=1,D1126&gt;=13),Assumptions!B42*G1126,0)</f>
        <v>0</v>
      </c>
      <c r="T1126" s="22" t="n">
        <f aca="false">IF(DAY(B1126)=1,Assumptions!B43*G1126,0)</f>
        <v>0</v>
      </c>
      <c r="U1126" s="22" t="n">
        <f aca="false">SUM(O1126:T1126)</f>
        <v>0</v>
      </c>
      <c r="V1126" s="22" t="n">
        <f aca="false">N1126-U1126</f>
        <v>20100</v>
      </c>
      <c r="W1126" s="22" t="n">
        <f aca="false">W1125+V1126</f>
        <v>-1490211.70418962</v>
      </c>
      <c r="X1126" s="23" t="str">
        <f aca="false">IF(W1126&gt;=0,"YES","No")</f>
        <v>No</v>
      </c>
    </row>
    <row r="1127" customFormat="false" ht="15" hidden="false" customHeight="false" outlineLevel="0" collapsed="false">
      <c r="A1127" s="16" t="n">
        <v>1126</v>
      </c>
      <c r="B1127" s="17" t="n">
        <f aca="false">B1126+1</f>
        <v>47148</v>
      </c>
      <c r="C1127" s="18" t="n">
        <f aca="false">MIN(ROUNDUP(A1127/365,0),5)</f>
        <v>4</v>
      </c>
      <c r="D1127" s="18" t="n">
        <f aca="false">DATEDIF(Assumptions!B5,B1127,"m")+1</f>
        <v>37</v>
      </c>
      <c r="E1127" s="18" t="str">
        <f aca="false">TEXT(B1127,"ddd")</f>
        <v>Tue</v>
      </c>
      <c r="F1127" s="19" t="n">
        <f aca="false">IF(WEEKDAY(B1127,2)&gt;=6,Assumptions!B34,Assumptions!B35)</f>
        <v>1</v>
      </c>
      <c r="G1127" s="20" t="n">
        <f aca="false">IF(D1127&gt;=13,(1+Assumptions!B46)^(D1127-12),1)</f>
        <v>1.07776313769075</v>
      </c>
      <c r="H1127" s="21" t="n">
        <f aca="false">H1126*(1+IF(C1127=1,Assumptions!B22,Assumptions!B23))</f>
        <v>23.5785625238469</v>
      </c>
      <c r="I1127" s="16" t="n">
        <f aca="false">ROUND(H1127*F1127,0)</f>
        <v>24</v>
      </c>
      <c r="J1127" s="22" t="n">
        <f aca="false">I1127*Assumptions!B24</f>
        <v>14400</v>
      </c>
      <c r="K1127" s="21" t="n">
        <f aca="false">K1126*(1+Assumptions!B30)</f>
        <v>18.9812347222086</v>
      </c>
      <c r="L1127" s="16" t="n">
        <f aca="false">ROUND(K1127*F1127,0)</f>
        <v>19</v>
      </c>
      <c r="M1127" s="22" t="n">
        <f aca="false">L1127*Assumptions!B31</f>
        <v>5700</v>
      </c>
      <c r="N1127" s="22" t="n">
        <f aca="false">J1127+M1127</f>
        <v>20100</v>
      </c>
      <c r="O1127" s="22" t="n">
        <f aca="false">IF(DAY(B1127)=1,Assumptions!B38*G1127,0)</f>
        <v>0</v>
      </c>
      <c r="P1127" s="22" t="n">
        <f aca="false">IF(DAY(B1127)=1,Assumptions!B39*G1127,0)</f>
        <v>0</v>
      </c>
      <c r="Q1127" s="22" t="n">
        <f aca="false">IF(DAY(B1127)=1,Assumptions!B40*G1127,0)</f>
        <v>0</v>
      </c>
      <c r="R1127" s="22" t="n">
        <f aca="false">IF(DAY(B1127)=1,Assumptions!B41*G1127,0)</f>
        <v>0</v>
      </c>
      <c r="S1127" s="22" t="n">
        <f aca="false">IF(AND(DAY(B1127)=1,D1127&gt;=13),Assumptions!B42*G1127,0)</f>
        <v>0</v>
      </c>
      <c r="T1127" s="22" t="n">
        <f aca="false">IF(DAY(B1127)=1,Assumptions!B43*G1127,0)</f>
        <v>0</v>
      </c>
      <c r="U1127" s="22" t="n">
        <f aca="false">SUM(O1127:T1127)</f>
        <v>0</v>
      </c>
      <c r="V1127" s="22" t="n">
        <f aca="false">N1127-U1127</f>
        <v>20100</v>
      </c>
      <c r="W1127" s="22" t="n">
        <f aca="false">W1126+V1127</f>
        <v>-1470111.70418962</v>
      </c>
      <c r="X1127" s="23" t="str">
        <f aca="false">IF(W1127&gt;=0,"YES","No")</f>
        <v>No</v>
      </c>
    </row>
    <row r="1128" customFormat="false" ht="15" hidden="false" customHeight="false" outlineLevel="0" collapsed="false">
      <c r="A1128" s="16" t="n">
        <v>1127</v>
      </c>
      <c r="B1128" s="17" t="n">
        <f aca="false">B1127+1</f>
        <v>47149</v>
      </c>
      <c r="C1128" s="18" t="n">
        <f aca="false">MIN(ROUNDUP(A1128/365,0),5)</f>
        <v>4</v>
      </c>
      <c r="D1128" s="18" t="n">
        <f aca="false">DATEDIF(Assumptions!B5,B1128,"m")+1</f>
        <v>37</v>
      </c>
      <c r="E1128" s="18" t="str">
        <f aca="false">TEXT(B1128,"ddd")</f>
        <v>Wed</v>
      </c>
      <c r="F1128" s="19" t="n">
        <f aca="false">IF(WEEKDAY(B1128,2)&gt;=6,Assumptions!B34,Assumptions!B35)</f>
        <v>1</v>
      </c>
      <c r="G1128" s="20" t="n">
        <f aca="false">IF(D1128&gt;=13,(1+Assumptions!B46)^(D1128-12),1)</f>
        <v>1.07776313769075</v>
      </c>
      <c r="H1128" s="21" t="n">
        <f aca="false">H1127*(1+IF(C1128=1,Assumptions!B22,Assumptions!B23))</f>
        <v>23.5824261471743</v>
      </c>
      <c r="I1128" s="16" t="n">
        <f aca="false">ROUND(H1128*F1128,0)</f>
        <v>24</v>
      </c>
      <c r="J1128" s="22" t="n">
        <f aca="false">I1128*Assumptions!B24</f>
        <v>14400</v>
      </c>
      <c r="K1128" s="21" t="n">
        <f aca="false">K1127*(1+Assumptions!B30)</f>
        <v>18.987440387058</v>
      </c>
      <c r="L1128" s="16" t="n">
        <f aca="false">ROUND(K1128*F1128,0)</f>
        <v>19</v>
      </c>
      <c r="M1128" s="22" t="n">
        <f aca="false">L1128*Assumptions!B31</f>
        <v>5700</v>
      </c>
      <c r="N1128" s="22" t="n">
        <f aca="false">J1128+M1128</f>
        <v>20100</v>
      </c>
      <c r="O1128" s="22" t="n">
        <f aca="false">IF(DAY(B1128)=1,Assumptions!B38*G1128,0)</f>
        <v>0</v>
      </c>
      <c r="P1128" s="22" t="n">
        <f aca="false">IF(DAY(B1128)=1,Assumptions!B39*G1128,0)</f>
        <v>0</v>
      </c>
      <c r="Q1128" s="22" t="n">
        <f aca="false">IF(DAY(B1128)=1,Assumptions!B40*G1128,0)</f>
        <v>0</v>
      </c>
      <c r="R1128" s="22" t="n">
        <f aca="false">IF(DAY(B1128)=1,Assumptions!B41*G1128,0)</f>
        <v>0</v>
      </c>
      <c r="S1128" s="22" t="n">
        <f aca="false">IF(AND(DAY(B1128)=1,D1128&gt;=13),Assumptions!B42*G1128,0)</f>
        <v>0</v>
      </c>
      <c r="T1128" s="22" t="n">
        <f aca="false">IF(DAY(B1128)=1,Assumptions!B43*G1128,0)</f>
        <v>0</v>
      </c>
      <c r="U1128" s="22" t="n">
        <f aca="false">SUM(O1128:T1128)</f>
        <v>0</v>
      </c>
      <c r="V1128" s="22" t="n">
        <f aca="false">N1128-U1128</f>
        <v>20100</v>
      </c>
      <c r="W1128" s="22" t="n">
        <f aca="false">W1127+V1128</f>
        <v>-1450011.70418962</v>
      </c>
      <c r="X1128" s="23" t="str">
        <f aca="false">IF(W1128&gt;=0,"YES","No")</f>
        <v>No</v>
      </c>
    </row>
    <row r="1129" customFormat="false" ht="15" hidden="false" customHeight="false" outlineLevel="0" collapsed="false">
      <c r="A1129" s="16" t="n">
        <v>1128</v>
      </c>
      <c r="B1129" s="17" t="n">
        <f aca="false">B1128+1</f>
        <v>47150</v>
      </c>
      <c r="C1129" s="18" t="n">
        <f aca="false">MIN(ROUNDUP(A1129/365,0),5)</f>
        <v>4</v>
      </c>
      <c r="D1129" s="18" t="n">
        <f aca="false">DATEDIF(Assumptions!B5,B1129,"m")+1</f>
        <v>38</v>
      </c>
      <c r="E1129" s="18" t="str">
        <f aca="false">TEXT(B1129,"ddd")</f>
        <v>Thu</v>
      </c>
      <c r="F1129" s="19" t="n">
        <f aca="false">IF(WEEKDAY(B1129,2)&gt;=6,Assumptions!B34,Assumptions!B35)</f>
        <v>1</v>
      </c>
      <c r="G1129" s="20" t="n">
        <f aca="false">IF(D1129&gt;=13,(1+Assumptions!B46)^(D1129-12),1)</f>
        <v>1.08099642710382</v>
      </c>
      <c r="H1129" s="21" t="n">
        <f aca="false">H1128*(1+IF(C1129=1,Assumptions!B22,Assumptions!B23))</f>
        <v>23.5862904036015</v>
      </c>
      <c r="I1129" s="16" t="n">
        <f aca="false">ROUND(H1129*F1129,0)</f>
        <v>24</v>
      </c>
      <c r="J1129" s="22" t="n">
        <f aca="false">I1129*Assumptions!B24</f>
        <v>14400</v>
      </c>
      <c r="K1129" s="21" t="n">
        <f aca="false">K1128*(1+Assumptions!B30)</f>
        <v>18.9936480807678</v>
      </c>
      <c r="L1129" s="16" t="n">
        <f aca="false">ROUND(K1129*F1129,0)</f>
        <v>19</v>
      </c>
      <c r="M1129" s="22" t="n">
        <f aca="false">L1129*Assumptions!B31</f>
        <v>5700</v>
      </c>
      <c r="N1129" s="22" t="n">
        <f aca="false">J1129+M1129</f>
        <v>20100</v>
      </c>
      <c r="O1129" s="22" t="n">
        <f aca="false">IF(DAY(B1129)=1,Assumptions!B38*G1129,0)</f>
        <v>162149.464065574</v>
      </c>
      <c r="P1129" s="22" t="n">
        <f aca="false">IF(DAY(B1129)=1,Assumptions!B39*G1129,0)</f>
        <v>43239.8570841529</v>
      </c>
      <c r="Q1129" s="22" t="n">
        <f aca="false">IF(DAY(B1129)=1,Assumptions!B40*G1129,0)</f>
        <v>32429.8928131147</v>
      </c>
      <c r="R1129" s="22" t="n">
        <f aca="false">IF(DAY(B1129)=1,Assumptions!B41*G1129,0)</f>
        <v>21619.9285420765</v>
      </c>
      <c r="S1129" s="22" t="n">
        <f aca="false">IF(AND(DAY(B1129)=1,D1129&gt;=13),Assumptions!B42*G1129,0)</f>
        <v>162149.464065574</v>
      </c>
      <c r="T1129" s="22" t="n">
        <f aca="false">IF(DAY(B1129)=1,Assumptions!B43*G1129,0)</f>
        <v>21619.9285420765</v>
      </c>
      <c r="U1129" s="22" t="n">
        <f aca="false">SUM(O1129:T1129)</f>
        <v>443208.535112568</v>
      </c>
      <c r="V1129" s="22" t="n">
        <f aca="false">N1129-U1129</f>
        <v>-423108.535112568</v>
      </c>
      <c r="W1129" s="22" t="n">
        <f aca="false">W1128+V1129</f>
        <v>-1873120.23930219</v>
      </c>
      <c r="X1129" s="23" t="str">
        <f aca="false">IF(W1129&gt;=0,"YES","No")</f>
        <v>No</v>
      </c>
    </row>
    <row r="1130" customFormat="false" ht="15" hidden="false" customHeight="false" outlineLevel="0" collapsed="false">
      <c r="A1130" s="16" t="n">
        <v>1129</v>
      </c>
      <c r="B1130" s="17" t="n">
        <f aca="false">B1129+1</f>
        <v>47151</v>
      </c>
      <c r="C1130" s="18" t="n">
        <f aca="false">MIN(ROUNDUP(A1130/365,0),5)</f>
        <v>4</v>
      </c>
      <c r="D1130" s="18" t="n">
        <f aca="false">DATEDIF(Assumptions!B5,B1130,"m")+1</f>
        <v>38</v>
      </c>
      <c r="E1130" s="18" t="str">
        <f aca="false">TEXT(B1130,"ddd")</f>
        <v>Fri</v>
      </c>
      <c r="F1130" s="19" t="n">
        <f aca="false">IF(WEEKDAY(B1130,2)&gt;=6,Assumptions!B34,Assumptions!B35)</f>
        <v>1</v>
      </c>
      <c r="G1130" s="20" t="n">
        <f aca="false">IF(D1130&gt;=13,(1+Assumptions!B46)^(D1130-12),1)</f>
        <v>1.08099642710382</v>
      </c>
      <c r="H1130" s="21" t="n">
        <f aca="false">H1129*(1+IF(C1130=1,Assumptions!B22,Assumptions!B23))</f>
        <v>23.5901552932325</v>
      </c>
      <c r="I1130" s="16" t="n">
        <f aca="false">ROUND(H1130*F1130,0)</f>
        <v>24</v>
      </c>
      <c r="J1130" s="22" t="n">
        <f aca="false">I1130*Assumptions!B24</f>
        <v>14400</v>
      </c>
      <c r="K1130" s="21" t="n">
        <f aca="false">K1129*(1+Assumptions!B30)</f>
        <v>18.9998578040014</v>
      </c>
      <c r="L1130" s="16" t="n">
        <f aca="false">ROUND(K1130*F1130,0)</f>
        <v>19</v>
      </c>
      <c r="M1130" s="22" t="n">
        <f aca="false">L1130*Assumptions!B31</f>
        <v>5700</v>
      </c>
      <c r="N1130" s="22" t="n">
        <f aca="false">J1130+M1130</f>
        <v>20100</v>
      </c>
      <c r="O1130" s="22" t="n">
        <f aca="false">IF(DAY(B1130)=1,Assumptions!B38*G1130,0)</f>
        <v>0</v>
      </c>
      <c r="P1130" s="22" t="n">
        <f aca="false">IF(DAY(B1130)=1,Assumptions!B39*G1130,0)</f>
        <v>0</v>
      </c>
      <c r="Q1130" s="22" t="n">
        <f aca="false">IF(DAY(B1130)=1,Assumptions!B40*G1130,0)</f>
        <v>0</v>
      </c>
      <c r="R1130" s="22" t="n">
        <f aca="false">IF(DAY(B1130)=1,Assumptions!B41*G1130,0)</f>
        <v>0</v>
      </c>
      <c r="S1130" s="22" t="n">
        <f aca="false">IF(AND(DAY(B1130)=1,D1130&gt;=13),Assumptions!B42*G1130,0)</f>
        <v>0</v>
      </c>
      <c r="T1130" s="22" t="n">
        <f aca="false">IF(DAY(B1130)=1,Assumptions!B43*G1130,0)</f>
        <v>0</v>
      </c>
      <c r="U1130" s="22" t="n">
        <f aca="false">SUM(O1130:T1130)</f>
        <v>0</v>
      </c>
      <c r="V1130" s="22" t="n">
        <f aca="false">N1130-U1130</f>
        <v>20100</v>
      </c>
      <c r="W1130" s="22" t="n">
        <f aca="false">W1129+V1130</f>
        <v>-1853020.23930219</v>
      </c>
      <c r="X1130" s="23" t="str">
        <f aca="false">IF(W1130&gt;=0,"YES","No")</f>
        <v>No</v>
      </c>
    </row>
    <row r="1131" customFormat="false" ht="15" hidden="false" customHeight="false" outlineLevel="0" collapsed="false">
      <c r="A1131" s="16" t="n">
        <v>1130</v>
      </c>
      <c r="B1131" s="17" t="n">
        <f aca="false">B1130+1</f>
        <v>47152</v>
      </c>
      <c r="C1131" s="18" t="n">
        <f aca="false">MIN(ROUNDUP(A1131/365,0),5)</f>
        <v>4</v>
      </c>
      <c r="D1131" s="18" t="n">
        <f aca="false">DATEDIF(Assumptions!B5,B1131,"m")+1</f>
        <v>38</v>
      </c>
      <c r="E1131" s="18" t="str">
        <f aca="false">TEXT(B1131,"ddd")</f>
        <v>Sat</v>
      </c>
      <c r="F1131" s="19" t="n">
        <f aca="false">IF(WEEKDAY(B1131,2)&gt;=6,Assumptions!B34,Assumptions!B35)</f>
        <v>0.6</v>
      </c>
      <c r="G1131" s="20" t="n">
        <f aca="false">IF(D1131&gt;=13,(1+Assumptions!B46)^(D1131-12),1)</f>
        <v>1.08099642710382</v>
      </c>
      <c r="H1131" s="21" t="n">
        <f aca="false">H1130*(1+IF(C1131=1,Assumptions!B22,Assumptions!B23))</f>
        <v>23.5940208161707</v>
      </c>
      <c r="I1131" s="16" t="n">
        <f aca="false">ROUND(H1131*F1131,0)</f>
        <v>14</v>
      </c>
      <c r="J1131" s="22" t="n">
        <f aca="false">I1131*Assumptions!B24</f>
        <v>8400</v>
      </c>
      <c r="K1131" s="21" t="n">
        <f aca="false">K1130*(1+Assumptions!B30)</f>
        <v>19.0060695574222</v>
      </c>
      <c r="L1131" s="16" t="n">
        <f aca="false">ROUND(K1131*F1131,0)</f>
        <v>11</v>
      </c>
      <c r="M1131" s="22" t="n">
        <f aca="false">L1131*Assumptions!B31</f>
        <v>3300</v>
      </c>
      <c r="N1131" s="22" t="n">
        <f aca="false">J1131+M1131</f>
        <v>11700</v>
      </c>
      <c r="O1131" s="22" t="n">
        <f aca="false">IF(DAY(B1131)=1,Assumptions!B38*G1131,0)</f>
        <v>0</v>
      </c>
      <c r="P1131" s="22" t="n">
        <f aca="false">IF(DAY(B1131)=1,Assumptions!B39*G1131,0)</f>
        <v>0</v>
      </c>
      <c r="Q1131" s="22" t="n">
        <f aca="false">IF(DAY(B1131)=1,Assumptions!B40*G1131,0)</f>
        <v>0</v>
      </c>
      <c r="R1131" s="22" t="n">
        <f aca="false">IF(DAY(B1131)=1,Assumptions!B41*G1131,0)</f>
        <v>0</v>
      </c>
      <c r="S1131" s="22" t="n">
        <f aca="false">IF(AND(DAY(B1131)=1,D1131&gt;=13),Assumptions!B42*G1131,0)</f>
        <v>0</v>
      </c>
      <c r="T1131" s="22" t="n">
        <f aca="false">IF(DAY(B1131)=1,Assumptions!B43*G1131,0)</f>
        <v>0</v>
      </c>
      <c r="U1131" s="22" t="n">
        <f aca="false">SUM(O1131:T1131)</f>
        <v>0</v>
      </c>
      <c r="V1131" s="22" t="n">
        <f aca="false">N1131-U1131</f>
        <v>11700</v>
      </c>
      <c r="W1131" s="22" t="n">
        <f aca="false">W1130+V1131</f>
        <v>-1841320.23930219</v>
      </c>
      <c r="X1131" s="23" t="str">
        <f aca="false">IF(W1131&gt;=0,"YES","No")</f>
        <v>No</v>
      </c>
    </row>
    <row r="1132" customFormat="false" ht="15" hidden="false" customHeight="false" outlineLevel="0" collapsed="false">
      <c r="A1132" s="16" t="n">
        <v>1131</v>
      </c>
      <c r="B1132" s="17" t="n">
        <f aca="false">B1131+1</f>
        <v>47153</v>
      </c>
      <c r="C1132" s="18" t="n">
        <f aca="false">MIN(ROUNDUP(A1132/365,0),5)</f>
        <v>4</v>
      </c>
      <c r="D1132" s="18" t="n">
        <f aca="false">DATEDIF(Assumptions!B5,B1132,"m")+1</f>
        <v>38</v>
      </c>
      <c r="E1132" s="18" t="str">
        <f aca="false">TEXT(B1132,"ddd")</f>
        <v>Sun</v>
      </c>
      <c r="F1132" s="19" t="n">
        <f aca="false">IF(WEEKDAY(B1132,2)&gt;=6,Assumptions!B34,Assumptions!B35)</f>
        <v>0.6</v>
      </c>
      <c r="G1132" s="20" t="n">
        <f aca="false">IF(D1132&gt;=13,(1+Assumptions!B46)^(D1132-12),1)</f>
        <v>1.08099642710382</v>
      </c>
      <c r="H1132" s="21" t="n">
        <f aca="false">H1131*(1+IF(C1132=1,Assumptions!B22,Assumptions!B23))</f>
        <v>23.5978869725202</v>
      </c>
      <c r="I1132" s="16" t="n">
        <f aca="false">ROUND(H1132*F1132,0)</f>
        <v>14</v>
      </c>
      <c r="J1132" s="22" t="n">
        <f aca="false">I1132*Assumptions!B24</f>
        <v>8400</v>
      </c>
      <c r="K1132" s="21" t="n">
        <f aca="false">K1131*(1+Assumptions!B30)</f>
        <v>19.012283341694</v>
      </c>
      <c r="L1132" s="16" t="n">
        <f aca="false">ROUND(K1132*F1132,0)</f>
        <v>11</v>
      </c>
      <c r="M1132" s="22" t="n">
        <f aca="false">L1132*Assumptions!B31</f>
        <v>3300</v>
      </c>
      <c r="N1132" s="22" t="n">
        <f aca="false">J1132+M1132</f>
        <v>11700</v>
      </c>
      <c r="O1132" s="22" t="n">
        <f aca="false">IF(DAY(B1132)=1,Assumptions!B38*G1132,0)</f>
        <v>0</v>
      </c>
      <c r="P1132" s="22" t="n">
        <f aca="false">IF(DAY(B1132)=1,Assumptions!B39*G1132,0)</f>
        <v>0</v>
      </c>
      <c r="Q1132" s="22" t="n">
        <f aca="false">IF(DAY(B1132)=1,Assumptions!B40*G1132,0)</f>
        <v>0</v>
      </c>
      <c r="R1132" s="22" t="n">
        <f aca="false">IF(DAY(B1132)=1,Assumptions!B41*G1132,0)</f>
        <v>0</v>
      </c>
      <c r="S1132" s="22" t="n">
        <f aca="false">IF(AND(DAY(B1132)=1,D1132&gt;=13),Assumptions!B42*G1132,0)</f>
        <v>0</v>
      </c>
      <c r="T1132" s="22" t="n">
        <f aca="false">IF(DAY(B1132)=1,Assumptions!B43*G1132,0)</f>
        <v>0</v>
      </c>
      <c r="U1132" s="22" t="n">
        <f aca="false">SUM(O1132:T1132)</f>
        <v>0</v>
      </c>
      <c r="V1132" s="22" t="n">
        <f aca="false">N1132-U1132</f>
        <v>11700</v>
      </c>
      <c r="W1132" s="22" t="n">
        <f aca="false">W1131+V1132</f>
        <v>-1829620.23930219</v>
      </c>
      <c r="X1132" s="23" t="str">
        <f aca="false">IF(W1132&gt;=0,"YES","No")</f>
        <v>No</v>
      </c>
    </row>
    <row r="1133" customFormat="false" ht="15" hidden="false" customHeight="false" outlineLevel="0" collapsed="false">
      <c r="A1133" s="16" t="n">
        <v>1132</v>
      </c>
      <c r="B1133" s="17" t="n">
        <f aca="false">B1132+1</f>
        <v>47154</v>
      </c>
      <c r="C1133" s="18" t="n">
        <f aca="false">MIN(ROUNDUP(A1133/365,0),5)</f>
        <v>4</v>
      </c>
      <c r="D1133" s="18" t="n">
        <f aca="false">DATEDIF(Assumptions!B5,B1133,"m")+1</f>
        <v>38</v>
      </c>
      <c r="E1133" s="18" t="str">
        <f aca="false">TEXT(B1133,"ddd")</f>
        <v>Mon</v>
      </c>
      <c r="F1133" s="19" t="n">
        <f aca="false">IF(WEEKDAY(B1133,2)&gt;=6,Assumptions!B34,Assumptions!B35)</f>
        <v>1</v>
      </c>
      <c r="G1133" s="20" t="n">
        <f aca="false">IF(D1133&gt;=13,(1+Assumptions!B46)^(D1133-12),1)</f>
        <v>1.08099642710382</v>
      </c>
      <c r="H1133" s="21" t="n">
        <f aca="false">H1132*(1+IF(C1133=1,Assumptions!B22,Assumptions!B23))</f>
        <v>23.6017537623846</v>
      </c>
      <c r="I1133" s="16" t="n">
        <f aca="false">ROUND(H1133*F1133,0)</f>
        <v>24</v>
      </c>
      <c r="J1133" s="22" t="n">
        <f aca="false">I1133*Assumptions!B24</f>
        <v>14400</v>
      </c>
      <c r="K1133" s="21" t="n">
        <f aca="false">K1132*(1+Assumptions!B30)</f>
        <v>19.0184991574809</v>
      </c>
      <c r="L1133" s="16" t="n">
        <f aca="false">ROUND(K1133*F1133,0)</f>
        <v>19</v>
      </c>
      <c r="M1133" s="22" t="n">
        <f aca="false">L1133*Assumptions!B31</f>
        <v>5700</v>
      </c>
      <c r="N1133" s="22" t="n">
        <f aca="false">J1133+M1133</f>
        <v>20100</v>
      </c>
      <c r="O1133" s="22" t="n">
        <f aca="false">IF(DAY(B1133)=1,Assumptions!B38*G1133,0)</f>
        <v>0</v>
      </c>
      <c r="P1133" s="22" t="n">
        <f aca="false">IF(DAY(B1133)=1,Assumptions!B39*G1133,0)</f>
        <v>0</v>
      </c>
      <c r="Q1133" s="22" t="n">
        <f aca="false">IF(DAY(B1133)=1,Assumptions!B40*G1133,0)</f>
        <v>0</v>
      </c>
      <c r="R1133" s="22" t="n">
        <f aca="false">IF(DAY(B1133)=1,Assumptions!B41*G1133,0)</f>
        <v>0</v>
      </c>
      <c r="S1133" s="22" t="n">
        <f aca="false">IF(AND(DAY(B1133)=1,D1133&gt;=13),Assumptions!B42*G1133,0)</f>
        <v>0</v>
      </c>
      <c r="T1133" s="22" t="n">
        <f aca="false">IF(DAY(B1133)=1,Assumptions!B43*G1133,0)</f>
        <v>0</v>
      </c>
      <c r="U1133" s="22" t="n">
        <f aca="false">SUM(O1133:T1133)</f>
        <v>0</v>
      </c>
      <c r="V1133" s="22" t="n">
        <f aca="false">N1133-U1133</f>
        <v>20100</v>
      </c>
      <c r="W1133" s="22" t="n">
        <f aca="false">W1132+V1133</f>
        <v>-1809520.23930219</v>
      </c>
      <c r="X1133" s="23" t="str">
        <f aca="false">IF(W1133&gt;=0,"YES","No")</f>
        <v>No</v>
      </c>
    </row>
    <row r="1134" customFormat="false" ht="15" hidden="false" customHeight="false" outlineLevel="0" collapsed="false">
      <c r="A1134" s="16" t="n">
        <v>1133</v>
      </c>
      <c r="B1134" s="17" t="n">
        <f aca="false">B1133+1</f>
        <v>47155</v>
      </c>
      <c r="C1134" s="18" t="n">
        <f aca="false">MIN(ROUNDUP(A1134/365,0),5)</f>
        <v>4</v>
      </c>
      <c r="D1134" s="18" t="n">
        <f aca="false">DATEDIF(Assumptions!B5,B1134,"m")+1</f>
        <v>38</v>
      </c>
      <c r="E1134" s="18" t="str">
        <f aca="false">TEXT(B1134,"ddd")</f>
        <v>Tue</v>
      </c>
      <c r="F1134" s="19" t="n">
        <f aca="false">IF(WEEKDAY(B1134,2)&gt;=6,Assumptions!B34,Assumptions!B35)</f>
        <v>1</v>
      </c>
      <c r="G1134" s="20" t="n">
        <f aca="false">IF(D1134&gt;=13,(1+Assumptions!B46)^(D1134-12),1)</f>
        <v>1.08099642710382</v>
      </c>
      <c r="H1134" s="21" t="n">
        <f aca="false">H1133*(1+IF(C1134=1,Assumptions!B22,Assumptions!B23))</f>
        <v>23.6056211858678</v>
      </c>
      <c r="I1134" s="16" t="n">
        <f aca="false">ROUND(H1134*F1134,0)</f>
        <v>24</v>
      </c>
      <c r="J1134" s="22" t="n">
        <f aca="false">I1134*Assumptions!B24</f>
        <v>14400</v>
      </c>
      <c r="K1134" s="21" t="n">
        <f aca="false">K1133*(1+Assumptions!B30)</f>
        <v>19.0247170054468</v>
      </c>
      <c r="L1134" s="16" t="n">
        <f aca="false">ROUND(K1134*F1134,0)</f>
        <v>19</v>
      </c>
      <c r="M1134" s="22" t="n">
        <f aca="false">L1134*Assumptions!B31</f>
        <v>5700</v>
      </c>
      <c r="N1134" s="22" t="n">
        <f aca="false">J1134+M1134</f>
        <v>20100</v>
      </c>
      <c r="O1134" s="22" t="n">
        <f aca="false">IF(DAY(B1134)=1,Assumptions!B38*G1134,0)</f>
        <v>0</v>
      </c>
      <c r="P1134" s="22" t="n">
        <f aca="false">IF(DAY(B1134)=1,Assumptions!B39*G1134,0)</f>
        <v>0</v>
      </c>
      <c r="Q1134" s="22" t="n">
        <f aca="false">IF(DAY(B1134)=1,Assumptions!B40*G1134,0)</f>
        <v>0</v>
      </c>
      <c r="R1134" s="22" t="n">
        <f aca="false">IF(DAY(B1134)=1,Assumptions!B41*G1134,0)</f>
        <v>0</v>
      </c>
      <c r="S1134" s="22" t="n">
        <f aca="false">IF(AND(DAY(B1134)=1,D1134&gt;=13),Assumptions!B42*G1134,0)</f>
        <v>0</v>
      </c>
      <c r="T1134" s="22" t="n">
        <f aca="false">IF(DAY(B1134)=1,Assumptions!B43*G1134,0)</f>
        <v>0</v>
      </c>
      <c r="U1134" s="22" t="n">
        <f aca="false">SUM(O1134:T1134)</f>
        <v>0</v>
      </c>
      <c r="V1134" s="22" t="n">
        <f aca="false">N1134-U1134</f>
        <v>20100</v>
      </c>
      <c r="W1134" s="22" t="n">
        <f aca="false">W1133+V1134</f>
        <v>-1789420.23930219</v>
      </c>
      <c r="X1134" s="23" t="str">
        <f aca="false">IF(W1134&gt;=0,"YES","No")</f>
        <v>No</v>
      </c>
    </row>
    <row r="1135" customFormat="false" ht="15" hidden="false" customHeight="false" outlineLevel="0" collapsed="false">
      <c r="A1135" s="16" t="n">
        <v>1134</v>
      </c>
      <c r="B1135" s="17" t="n">
        <f aca="false">B1134+1</f>
        <v>47156</v>
      </c>
      <c r="C1135" s="18" t="n">
        <f aca="false">MIN(ROUNDUP(A1135/365,0),5)</f>
        <v>4</v>
      </c>
      <c r="D1135" s="18" t="n">
        <f aca="false">DATEDIF(Assumptions!B5,B1135,"m")+1</f>
        <v>38</v>
      </c>
      <c r="E1135" s="18" t="str">
        <f aca="false">TEXT(B1135,"ddd")</f>
        <v>Wed</v>
      </c>
      <c r="F1135" s="19" t="n">
        <f aca="false">IF(WEEKDAY(B1135,2)&gt;=6,Assumptions!B34,Assumptions!B35)</f>
        <v>1</v>
      </c>
      <c r="G1135" s="20" t="n">
        <f aca="false">IF(D1135&gt;=13,(1+Assumptions!B46)^(D1135-12),1)</f>
        <v>1.08099642710382</v>
      </c>
      <c r="H1135" s="21" t="n">
        <f aca="false">H1134*(1+IF(C1135=1,Assumptions!B22,Assumptions!B23))</f>
        <v>23.6094892430735</v>
      </c>
      <c r="I1135" s="16" t="n">
        <f aca="false">ROUND(H1135*F1135,0)</f>
        <v>24</v>
      </c>
      <c r="J1135" s="22" t="n">
        <f aca="false">I1135*Assumptions!B24</f>
        <v>14400</v>
      </c>
      <c r="K1135" s="21" t="n">
        <f aca="false">K1134*(1+Assumptions!B30)</f>
        <v>19.0309368862564</v>
      </c>
      <c r="L1135" s="16" t="n">
        <f aca="false">ROUND(K1135*F1135,0)</f>
        <v>19</v>
      </c>
      <c r="M1135" s="22" t="n">
        <f aca="false">L1135*Assumptions!B31</f>
        <v>5700</v>
      </c>
      <c r="N1135" s="22" t="n">
        <f aca="false">J1135+M1135</f>
        <v>20100</v>
      </c>
      <c r="O1135" s="22" t="n">
        <f aca="false">IF(DAY(B1135)=1,Assumptions!B38*G1135,0)</f>
        <v>0</v>
      </c>
      <c r="P1135" s="22" t="n">
        <f aca="false">IF(DAY(B1135)=1,Assumptions!B39*G1135,0)</f>
        <v>0</v>
      </c>
      <c r="Q1135" s="22" t="n">
        <f aca="false">IF(DAY(B1135)=1,Assumptions!B40*G1135,0)</f>
        <v>0</v>
      </c>
      <c r="R1135" s="22" t="n">
        <f aca="false">IF(DAY(B1135)=1,Assumptions!B41*G1135,0)</f>
        <v>0</v>
      </c>
      <c r="S1135" s="22" t="n">
        <f aca="false">IF(AND(DAY(B1135)=1,D1135&gt;=13),Assumptions!B42*G1135,0)</f>
        <v>0</v>
      </c>
      <c r="T1135" s="22" t="n">
        <f aca="false">IF(DAY(B1135)=1,Assumptions!B43*G1135,0)</f>
        <v>0</v>
      </c>
      <c r="U1135" s="22" t="n">
        <f aca="false">SUM(O1135:T1135)</f>
        <v>0</v>
      </c>
      <c r="V1135" s="22" t="n">
        <f aca="false">N1135-U1135</f>
        <v>20100</v>
      </c>
      <c r="W1135" s="22" t="n">
        <f aca="false">W1134+V1135</f>
        <v>-1769320.23930219</v>
      </c>
      <c r="X1135" s="23" t="str">
        <f aca="false">IF(W1135&gt;=0,"YES","No")</f>
        <v>No</v>
      </c>
    </row>
    <row r="1136" customFormat="false" ht="15" hidden="false" customHeight="false" outlineLevel="0" collapsed="false">
      <c r="A1136" s="16" t="n">
        <v>1135</v>
      </c>
      <c r="B1136" s="17" t="n">
        <f aca="false">B1135+1</f>
        <v>47157</v>
      </c>
      <c r="C1136" s="18" t="n">
        <f aca="false">MIN(ROUNDUP(A1136/365,0),5)</f>
        <v>4</v>
      </c>
      <c r="D1136" s="18" t="n">
        <f aca="false">DATEDIF(Assumptions!B5,B1136,"m")+1</f>
        <v>38</v>
      </c>
      <c r="E1136" s="18" t="str">
        <f aca="false">TEXT(B1136,"ddd")</f>
        <v>Thu</v>
      </c>
      <c r="F1136" s="19" t="n">
        <f aca="false">IF(WEEKDAY(B1136,2)&gt;=6,Assumptions!B34,Assumptions!B35)</f>
        <v>1</v>
      </c>
      <c r="G1136" s="20" t="n">
        <f aca="false">IF(D1136&gt;=13,(1+Assumptions!B46)^(D1136-12),1)</f>
        <v>1.08099642710382</v>
      </c>
      <c r="H1136" s="21" t="n">
        <f aca="false">H1135*(1+IF(C1136=1,Assumptions!B22,Assumptions!B23))</f>
        <v>23.6133579341057</v>
      </c>
      <c r="I1136" s="16" t="n">
        <f aca="false">ROUND(H1136*F1136,0)</f>
        <v>24</v>
      </c>
      <c r="J1136" s="22" t="n">
        <f aca="false">I1136*Assumptions!B24</f>
        <v>14400</v>
      </c>
      <c r="K1136" s="21" t="n">
        <f aca="false">K1135*(1+Assumptions!B30)</f>
        <v>19.0371588005741</v>
      </c>
      <c r="L1136" s="16" t="n">
        <f aca="false">ROUND(K1136*F1136,0)</f>
        <v>19</v>
      </c>
      <c r="M1136" s="22" t="n">
        <f aca="false">L1136*Assumptions!B31</f>
        <v>5700</v>
      </c>
      <c r="N1136" s="22" t="n">
        <f aca="false">J1136+M1136</f>
        <v>20100</v>
      </c>
      <c r="O1136" s="22" t="n">
        <f aca="false">IF(DAY(B1136)=1,Assumptions!B38*G1136,0)</f>
        <v>0</v>
      </c>
      <c r="P1136" s="22" t="n">
        <f aca="false">IF(DAY(B1136)=1,Assumptions!B39*G1136,0)</f>
        <v>0</v>
      </c>
      <c r="Q1136" s="22" t="n">
        <f aca="false">IF(DAY(B1136)=1,Assumptions!B40*G1136,0)</f>
        <v>0</v>
      </c>
      <c r="R1136" s="22" t="n">
        <f aca="false">IF(DAY(B1136)=1,Assumptions!B41*G1136,0)</f>
        <v>0</v>
      </c>
      <c r="S1136" s="22" t="n">
        <f aca="false">IF(AND(DAY(B1136)=1,D1136&gt;=13),Assumptions!B42*G1136,0)</f>
        <v>0</v>
      </c>
      <c r="T1136" s="22" t="n">
        <f aca="false">IF(DAY(B1136)=1,Assumptions!B43*G1136,0)</f>
        <v>0</v>
      </c>
      <c r="U1136" s="22" t="n">
        <f aca="false">SUM(O1136:T1136)</f>
        <v>0</v>
      </c>
      <c r="V1136" s="22" t="n">
        <f aca="false">N1136-U1136</f>
        <v>20100</v>
      </c>
      <c r="W1136" s="22" t="n">
        <f aca="false">W1135+V1136</f>
        <v>-1749220.23930219</v>
      </c>
      <c r="X1136" s="23" t="str">
        <f aca="false">IF(W1136&gt;=0,"YES","No")</f>
        <v>No</v>
      </c>
    </row>
    <row r="1137" customFormat="false" ht="15" hidden="false" customHeight="false" outlineLevel="0" collapsed="false">
      <c r="A1137" s="16" t="n">
        <v>1136</v>
      </c>
      <c r="B1137" s="17" t="n">
        <f aca="false">B1136+1</f>
        <v>47158</v>
      </c>
      <c r="C1137" s="18" t="n">
        <f aca="false">MIN(ROUNDUP(A1137/365,0),5)</f>
        <v>4</v>
      </c>
      <c r="D1137" s="18" t="n">
        <f aca="false">DATEDIF(Assumptions!B5,B1137,"m")+1</f>
        <v>38</v>
      </c>
      <c r="E1137" s="18" t="str">
        <f aca="false">TEXT(B1137,"ddd")</f>
        <v>Fri</v>
      </c>
      <c r="F1137" s="19" t="n">
        <f aca="false">IF(WEEKDAY(B1137,2)&gt;=6,Assumptions!B34,Assumptions!B35)</f>
        <v>1</v>
      </c>
      <c r="G1137" s="20" t="n">
        <f aca="false">IF(D1137&gt;=13,(1+Assumptions!B46)^(D1137-12),1)</f>
        <v>1.08099642710382</v>
      </c>
      <c r="H1137" s="21" t="n">
        <f aca="false">H1136*(1+IF(C1137=1,Assumptions!B22,Assumptions!B23))</f>
        <v>23.6172272590681</v>
      </c>
      <c r="I1137" s="16" t="n">
        <f aca="false">ROUND(H1137*F1137,0)</f>
        <v>24</v>
      </c>
      <c r="J1137" s="22" t="n">
        <f aca="false">I1137*Assumptions!B24</f>
        <v>14400</v>
      </c>
      <c r="K1137" s="21" t="n">
        <f aca="false">K1136*(1+Assumptions!B30)</f>
        <v>19.0433827490647</v>
      </c>
      <c r="L1137" s="16" t="n">
        <f aca="false">ROUND(K1137*F1137,0)</f>
        <v>19</v>
      </c>
      <c r="M1137" s="22" t="n">
        <f aca="false">L1137*Assumptions!B31</f>
        <v>5700</v>
      </c>
      <c r="N1137" s="22" t="n">
        <f aca="false">J1137+M1137</f>
        <v>20100</v>
      </c>
      <c r="O1137" s="22" t="n">
        <f aca="false">IF(DAY(B1137)=1,Assumptions!B38*G1137,0)</f>
        <v>0</v>
      </c>
      <c r="P1137" s="22" t="n">
        <f aca="false">IF(DAY(B1137)=1,Assumptions!B39*G1137,0)</f>
        <v>0</v>
      </c>
      <c r="Q1137" s="22" t="n">
        <f aca="false">IF(DAY(B1137)=1,Assumptions!B40*G1137,0)</f>
        <v>0</v>
      </c>
      <c r="R1137" s="22" t="n">
        <f aca="false">IF(DAY(B1137)=1,Assumptions!B41*G1137,0)</f>
        <v>0</v>
      </c>
      <c r="S1137" s="22" t="n">
        <f aca="false">IF(AND(DAY(B1137)=1,D1137&gt;=13),Assumptions!B42*G1137,0)</f>
        <v>0</v>
      </c>
      <c r="T1137" s="22" t="n">
        <f aca="false">IF(DAY(B1137)=1,Assumptions!B43*G1137,0)</f>
        <v>0</v>
      </c>
      <c r="U1137" s="22" t="n">
        <f aca="false">SUM(O1137:T1137)</f>
        <v>0</v>
      </c>
      <c r="V1137" s="22" t="n">
        <f aca="false">N1137-U1137</f>
        <v>20100</v>
      </c>
      <c r="W1137" s="22" t="n">
        <f aca="false">W1136+V1137</f>
        <v>-1729120.23930219</v>
      </c>
      <c r="X1137" s="23" t="str">
        <f aca="false">IF(W1137&gt;=0,"YES","No")</f>
        <v>No</v>
      </c>
    </row>
    <row r="1138" customFormat="false" ht="15" hidden="false" customHeight="false" outlineLevel="0" collapsed="false">
      <c r="A1138" s="16" t="n">
        <v>1137</v>
      </c>
      <c r="B1138" s="17" t="n">
        <f aca="false">B1137+1</f>
        <v>47159</v>
      </c>
      <c r="C1138" s="18" t="n">
        <f aca="false">MIN(ROUNDUP(A1138/365,0),5)</f>
        <v>4</v>
      </c>
      <c r="D1138" s="18" t="n">
        <f aca="false">DATEDIF(Assumptions!B5,B1138,"m")+1</f>
        <v>38</v>
      </c>
      <c r="E1138" s="18" t="str">
        <f aca="false">TEXT(B1138,"ddd")</f>
        <v>Sat</v>
      </c>
      <c r="F1138" s="19" t="n">
        <f aca="false">IF(WEEKDAY(B1138,2)&gt;=6,Assumptions!B34,Assumptions!B35)</f>
        <v>0.6</v>
      </c>
      <c r="G1138" s="20" t="n">
        <f aca="false">IF(D1138&gt;=13,(1+Assumptions!B46)^(D1138-12),1)</f>
        <v>1.08099642710382</v>
      </c>
      <c r="H1138" s="21" t="n">
        <f aca="false">H1137*(1+IF(C1138=1,Assumptions!B22,Assumptions!B23))</f>
        <v>23.6210972180647</v>
      </c>
      <c r="I1138" s="16" t="n">
        <f aca="false">ROUND(H1138*F1138,0)</f>
        <v>14</v>
      </c>
      <c r="J1138" s="22" t="n">
        <f aca="false">I1138*Assumptions!B24</f>
        <v>8400</v>
      </c>
      <c r="K1138" s="21" t="n">
        <f aca="false">K1137*(1+Assumptions!B30)</f>
        <v>19.0496087323935</v>
      </c>
      <c r="L1138" s="16" t="n">
        <f aca="false">ROUND(K1138*F1138,0)</f>
        <v>11</v>
      </c>
      <c r="M1138" s="22" t="n">
        <f aca="false">L1138*Assumptions!B31</f>
        <v>3300</v>
      </c>
      <c r="N1138" s="22" t="n">
        <f aca="false">J1138+M1138</f>
        <v>11700</v>
      </c>
      <c r="O1138" s="22" t="n">
        <f aca="false">IF(DAY(B1138)=1,Assumptions!B38*G1138,0)</f>
        <v>0</v>
      </c>
      <c r="P1138" s="22" t="n">
        <f aca="false">IF(DAY(B1138)=1,Assumptions!B39*G1138,0)</f>
        <v>0</v>
      </c>
      <c r="Q1138" s="22" t="n">
        <f aca="false">IF(DAY(B1138)=1,Assumptions!B40*G1138,0)</f>
        <v>0</v>
      </c>
      <c r="R1138" s="22" t="n">
        <f aca="false">IF(DAY(B1138)=1,Assumptions!B41*G1138,0)</f>
        <v>0</v>
      </c>
      <c r="S1138" s="22" t="n">
        <f aca="false">IF(AND(DAY(B1138)=1,D1138&gt;=13),Assumptions!B42*G1138,0)</f>
        <v>0</v>
      </c>
      <c r="T1138" s="22" t="n">
        <f aca="false">IF(DAY(B1138)=1,Assumptions!B43*G1138,0)</f>
        <v>0</v>
      </c>
      <c r="U1138" s="22" t="n">
        <f aca="false">SUM(O1138:T1138)</f>
        <v>0</v>
      </c>
      <c r="V1138" s="22" t="n">
        <f aca="false">N1138-U1138</f>
        <v>11700</v>
      </c>
      <c r="W1138" s="22" t="n">
        <f aca="false">W1137+V1138</f>
        <v>-1717420.23930219</v>
      </c>
      <c r="X1138" s="23" t="str">
        <f aca="false">IF(W1138&gt;=0,"YES","No")</f>
        <v>No</v>
      </c>
    </row>
    <row r="1139" customFormat="false" ht="15" hidden="false" customHeight="false" outlineLevel="0" collapsed="false">
      <c r="A1139" s="16" t="n">
        <v>1138</v>
      </c>
      <c r="B1139" s="17" t="n">
        <f aca="false">B1138+1</f>
        <v>47160</v>
      </c>
      <c r="C1139" s="18" t="n">
        <f aca="false">MIN(ROUNDUP(A1139/365,0),5)</f>
        <v>4</v>
      </c>
      <c r="D1139" s="18" t="n">
        <f aca="false">DATEDIF(Assumptions!B5,B1139,"m")+1</f>
        <v>38</v>
      </c>
      <c r="E1139" s="18" t="str">
        <f aca="false">TEXT(B1139,"ddd")</f>
        <v>Sun</v>
      </c>
      <c r="F1139" s="19" t="n">
        <f aca="false">IF(WEEKDAY(B1139,2)&gt;=6,Assumptions!B34,Assumptions!B35)</f>
        <v>0.6</v>
      </c>
      <c r="G1139" s="20" t="n">
        <f aca="false">IF(D1139&gt;=13,(1+Assumptions!B46)^(D1139-12),1)</f>
        <v>1.08099642710382</v>
      </c>
      <c r="H1139" s="21" t="n">
        <f aca="false">H1138*(1+IF(C1139=1,Assumptions!B22,Assumptions!B23))</f>
        <v>23.6249678111994</v>
      </c>
      <c r="I1139" s="16" t="n">
        <f aca="false">ROUND(H1139*F1139,0)</f>
        <v>14</v>
      </c>
      <c r="J1139" s="22" t="n">
        <f aca="false">I1139*Assumptions!B24</f>
        <v>8400</v>
      </c>
      <c r="K1139" s="21" t="n">
        <f aca="false">K1138*(1+Assumptions!B30)</f>
        <v>19.0558367512255</v>
      </c>
      <c r="L1139" s="16" t="n">
        <f aca="false">ROUND(K1139*F1139,0)</f>
        <v>11</v>
      </c>
      <c r="M1139" s="22" t="n">
        <f aca="false">L1139*Assumptions!B31</f>
        <v>3300</v>
      </c>
      <c r="N1139" s="22" t="n">
        <f aca="false">J1139+M1139</f>
        <v>11700</v>
      </c>
      <c r="O1139" s="22" t="n">
        <f aca="false">IF(DAY(B1139)=1,Assumptions!B38*G1139,0)</f>
        <v>0</v>
      </c>
      <c r="P1139" s="22" t="n">
        <f aca="false">IF(DAY(B1139)=1,Assumptions!B39*G1139,0)</f>
        <v>0</v>
      </c>
      <c r="Q1139" s="22" t="n">
        <f aca="false">IF(DAY(B1139)=1,Assumptions!B40*G1139,0)</f>
        <v>0</v>
      </c>
      <c r="R1139" s="22" t="n">
        <f aca="false">IF(DAY(B1139)=1,Assumptions!B41*G1139,0)</f>
        <v>0</v>
      </c>
      <c r="S1139" s="22" t="n">
        <f aca="false">IF(AND(DAY(B1139)=1,D1139&gt;=13),Assumptions!B42*G1139,0)</f>
        <v>0</v>
      </c>
      <c r="T1139" s="22" t="n">
        <f aca="false">IF(DAY(B1139)=1,Assumptions!B43*G1139,0)</f>
        <v>0</v>
      </c>
      <c r="U1139" s="22" t="n">
        <f aca="false">SUM(O1139:T1139)</f>
        <v>0</v>
      </c>
      <c r="V1139" s="22" t="n">
        <f aca="false">N1139-U1139</f>
        <v>11700</v>
      </c>
      <c r="W1139" s="22" t="n">
        <f aca="false">W1138+V1139</f>
        <v>-1705720.23930219</v>
      </c>
      <c r="X1139" s="23" t="str">
        <f aca="false">IF(W1139&gt;=0,"YES","No")</f>
        <v>No</v>
      </c>
    </row>
    <row r="1140" customFormat="false" ht="15" hidden="false" customHeight="false" outlineLevel="0" collapsed="false">
      <c r="A1140" s="16" t="n">
        <v>1139</v>
      </c>
      <c r="B1140" s="17" t="n">
        <f aca="false">B1139+1</f>
        <v>47161</v>
      </c>
      <c r="C1140" s="18" t="n">
        <f aca="false">MIN(ROUNDUP(A1140/365,0),5)</f>
        <v>4</v>
      </c>
      <c r="D1140" s="18" t="n">
        <f aca="false">DATEDIF(Assumptions!B5,B1140,"m")+1</f>
        <v>38</v>
      </c>
      <c r="E1140" s="18" t="str">
        <f aca="false">TEXT(B1140,"ddd")</f>
        <v>Mon</v>
      </c>
      <c r="F1140" s="19" t="n">
        <f aca="false">IF(WEEKDAY(B1140,2)&gt;=6,Assumptions!B34,Assumptions!B35)</f>
        <v>1</v>
      </c>
      <c r="G1140" s="20" t="n">
        <f aca="false">IF(D1140&gt;=13,(1+Assumptions!B46)^(D1140-12),1)</f>
        <v>1.08099642710382</v>
      </c>
      <c r="H1140" s="21" t="n">
        <f aca="false">H1139*(1+IF(C1140=1,Assumptions!B22,Assumptions!B23))</f>
        <v>23.6288390385761</v>
      </c>
      <c r="I1140" s="16" t="n">
        <f aca="false">ROUND(H1140*F1140,0)</f>
        <v>24</v>
      </c>
      <c r="J1140" s="22" t="n">
        <f aca="false">I1140*Assumptions!B24</f>
        <v>14400</v>
      </c>
      <c r="K1140" s="21" t="n">
        <f aca="false">K1139*(1+Assumptions!B30)</f>
        <v>19.0620668062263</v>
      </c>
      <c r="L1140" s="16" t="n">
        <f aca="false">ROUND(K1140*F1140,0)</f>
        <v>19</v>
      </c>
      <c r="M1140" s="22" t="n">
        <f aca="false">L1140*Assumptions!B31</f>
        <v>5700</v>
      </c>
      <c r="N1140" s="22" t="n">
        <f aca="false">J1140+M1140</f>
        <v>20100</v>
      </c>
      <c r="O1140" s="22" t="n">
        <f aca="false">IF(DAY(B1140)=1,Assumptions!B38*G1140,0)</f>
        <v>0</v>
      </c>
      <c r="P1140" s="22" t="n">
        <f aca="false">IF(DAY(B1140)=1,Assumptions!B39*G1140,0)</f>
        <v>0</v>
      </c>
      <c r="Q1140" s="22" t="n">
        <f aca="false">IF(DAY(B1140)=1,Assumptions!B40*G1140,0)</f>
        <v>0</v>
      </c>
      <c r="R1140" s="22" t="n">
        <f aca="false">IF(DAY(B1140)=1,Assumptions!B41*G1140,0)</f>
        <v>0</v>
      </c>
      <c r="S1140" s="22" t="n">
        <f aca="false">IF(AND(DAY(B1140)=1,D1140&gt;=13),Assumptions!B42*G1140,0)</f>
        <v>0</v>
      </c>
      <c r="T1140" s="22" t="n">
        <f aca="false">IF(DAY(B1140)=1,Assumptions!B43*G1140,0)</f>
        <v>0</v>
      </c>
      <c r="U1140" s="22" t="n">
        <f aca="false">SUM(O1140:T1140)</f>
        <v>0</v>
      </c>
      <c r="V1140" s="22" t="n">
        <f aca="false">N1140-U1140</f>
        <v>20100</v>
      </c>
      <c r="W1140" s="22" t="n">
        <f aca="false">W1139+V1140</f>
        <v>-1685620.23930219</v>
      </c>
      <c r="X1140" s="23" t="str">
        <f aca="false">IF(W1140&gt;=0,"YES","No")</f>
        <v>No</v>
      </c>
    </row>
    <row r="1141" customFormat="false" ht="15" hidden="false" customHeight="false" outlineLevel="0" collapsed="false">
      <c r="A1141" s="16" t="n">
        <v>1140</v>
      </c>
      <c r="B1141" s="17" t="n">
        <f aca="false">B1140+1</f>
        <v>47162</v>
      </c>
      <c r="C1141" s="18" t="n">
        <f aca="false">MIN(ROUNDUP(A1141/365,0),5)</f>
        <v>4</v>
      </c>
      <c r="D1141" s="18" t="n">
        <f aca="false">DATEDIF(Assumptions!B5,B1141,"m")+1</f>
        <v>38</v>
      </c>
      <c r="E1141" s="18" t="str">
        <f aca="false">TEXT(B1141,"ddd")</f>
        <v>Tue</v>
      </c>
      <c r="F1141" s="19" t="n">
        <f aca="false">IF(WEEKDAY(B1141,2)&gt;=6,Assumptions!B34,Assumptions!B35)</f>
        <v>1</v>
      </c>
      <c r="G1141" s="20" t="n">
        <f aca="false">IF(D1141&gt;=13,(1+Assumptions!B46)^(D1141-12),1)</f>
        <v>1.08099642710382</v>
      </c>
      <c r="H1141" s="21" t="n">
        <f aca="false">H1140*(1+IF(C1141=1,Assumptions!B22,Assumptions!B23))</f>
        <v>23.6327109002986</v>
      </c>
      <c r="I1141" s="16" t="n">
        <f aca="false">ROUND(H1141*F1141,0)</f>
        <v>24</v>
      </c>
      <c r="J1141" s="22" t="n">
        <f aca="false">I1141*Assumptions!B24</f>
        <v>14400</v>
      </c>
      <c r="K1141" s="21" t="n">
        <f aca="false">K1140*(1+Assumptions!B30)</f>
        <v>19.0682988980615</v>
      </c>
      <c r="L1141" s="16" t="n">
        <f aca="false">ROUND(K1141*F1141,0)</f>
        <v>19</v>
      </c>
      <c r="M1141" s="22" t="n">
        <f aca="false">L1141*Assumptions!B31</f>
        <v>5700</v>
      </c>
      <c r="N1141" s="22" t="n">
        <f aca="false">J1141+M1141</f>
        <v>20100</v>
      </c>
      <c r="O1141" s="22" t="n">
        <f aca="false">IF(DAY(B1141)=1,Assumptions!B38*G1141,0)</f>
        <v>0</v>
      </c>
      <c r="P1141" s="22" t="n">
        <f aca="false">IF(DAY(B1141)=1,Assumptions!B39*G1141,0)</f>
        <v>0</v>
      </c>
      <c r="Q1141" s="22" t="n">
        <f aca="false">IF(DAY(B1141)=1,Assumptions!B40*G1141,0)</f>
        <v>0</v>
      </c>
      <c r="R1141" s="22" t="n">
        <f aca="false">IF(DAY(B1141)=1,Assumptions!B41*G1141,0)</f>
        <v>0</v>
      </c>
      <c r="S1141" s="22" t="n">
        <f aca="false">IF(AND(DAY(B1141)=1,D1141&gt;=13),Assumptions!B42*G1141,0)</f>
        <v>0</v>
      </c>
      <c r="T1141" s="22" t="n">
        <f aca="false">IF(DAY(B1141)=1,Assumptions!B43*G1141,0)</f>
        <v>0</v>
      </c>
      <c r="U1141" s="22" t="n">
        <f aca="false">SUM(O1141:T1141)</f>
        <v>0</v>
      </c>
      <c r="V1141" s="22" t="n">
        <f aca="false">N1141-U1141</f>
        <v>20100</v>
      </c>
      <c r="W1141" s="22" t="n">
        <f aca="false">W1140+V1141</f>
        <v>-1665520.23930219</v>
      </c>
      <c r="X1141" s="23" t="str">
        <f aca="false">IF(W1141&gt;=0,"YES","No")</f>
        <v>No</v>
      </c>
    </row>
    <row r="1142" customFormat="false" ht="15" hidden="false" customHeight="false" outlineLevel="0" collapsed="false">
      <c r="A1142" s="16" t="n">
        <v>1141</v>
      </c>
      <c r="B1142" s="17" t="n">
        <f aca="false">B1141+1</f>
        <v>47163</v>
      </c>
      <c r="C1142" s="18" t="n">
        <f aca="false">MIN(ROUNDUP(A1142/365,0),5)</f>
        <v>4</v>
      </c>
      <c r="D1142" s="18" t="n">
        <f aca="false">DATEDIF(Assumptions!B5,B1142,"m")+1</f>
        <v>38</v>
      </c>
      <c r="E1142" s="18" t="str">
        <f aca="false">TEXT(B1142,"ddd")</f>
        <v>Wed</v>
      </c>
      <c r="F1142" s="19" t="n">
        <f aca="false">IF(WEEKDAY(B1142,2)&gt;=6,Assumptions!B34,Assumptions!B35)</f>
        <v>1</v>
      </c>
      <c r="G1142" s="20" t="n">
        <f aca="false">IF(D1142&gt;=13,(1+Assumptions!B46)^(D1142-12),1)</f>
        <v>1.08099642710382</v>
      </c>
      <c r="H1142" s="21" t="n">
        <f aca="false">H1141*(1+IF(C1142=1,Assumptions!B22,Assumptions!B23))</f>
        <v>23.636583396471</v>
      </c>
      <c r="I1142" s="16" t="n">
        <f aca="false">ROUND(H1142*F1142,0)</f>
        <v>24</v>
      </c>
      <c r="J1142" s="22" t="n">
        <f aca="false">I1142*Assumptions!B24</f>
        <v>14400</v>
      </c>
      <c r="K1142" s="21" t="n">
        <f aca="false">K1141*(1+Assumptions!B30)</f>
        <v>19.0745330273972</v>
      </c>
      <c r="L1142" s="16" t="n">
        <f aca="false">ROUND(K1142*F1142,0)</f>
        <v>19</v>
      </c>
      <c r="M1142" s="22" t="n">
        <f aca="false">L1142*Assumptions!B31</f>
        <v>5700</v>
      </c>
      <c r="N1142" s="22" t="n">
        <f aca="false">J1142+M1142</f>
        <v>20100</v>
      </c>
      <c r="O1142" s="22" t="n">
        <f aca="false">IF(DAY(B1142)=1,Assumptions!B38*G1142,0)</f>
        <v>0</v>
      </c>
      <c r="P1142" s="22" t="n">
        <f aca="false">IF(DAY(B1142)=1,Assumptions!B39*G1142,0)</f>
        <v>0</v>
      </c>
      <c r="Q1142" s="22" t="n">
        <f aca="false">IF(DAY(B1142)=1,Assumptions!B40*G1142,0)</f>
        <v>0</v>
      </c>
      <c r="R1142" s="22" t="n">
        <f aca="false">IF(DAY(B1142)=1,Assumptions!B41*G1142,0)</f>
        <v>0</v>
      </c>
      <c r="S1142" s="22" t="n">
        <f aca="false">IF(AND(DAY(B1142)=1,D1142&gt;=13),Assumptions!B42*G1142,0)</f>
        <v>0</v>
      </c>
      <c r="T1142" s="22" t="n">
        <f aca="false">IF(DAY(B1142)=1,Assumptions!B43*G1142,0)</f>
        <v>0</v>
      </c>
      <c r="U1142" s="22" t="n">
        <f aca="false">SUM(O1142:T1142)</f>
        <v>0</v>
      </c>
      <c r="V1142" s="22" t="n">
        <f aca="false">N1142-U1142</f>
        <v>20100</v>
      </c>
      <c r="W1142" s="22" t="n">
        <f aca="false">W1141+V1142</f>
        <v>-1645420.23930219</v>
      </c>
      <c r="X1142" s="23" t="str">
        <f aca="false">IF(W1142&gt;=0,"YES","No")</f>
        <v>No</v>
      </c>
    </row>
    <row r="1143" customFormat="false" ht="15" hidden="false" customHeight="false" outlineLevel="0" collapsed="false">
      <c r="A1143" s="16" t="n">
        <v>1142</v>
      </c>
      <c r="B1143" s="17" t="n">
        <f aca="false">B1142+1</f>
        <v>47164</v>
      </c>
      <c r="C1143" s="18" t="n">
        <f aca="false">MIN(ROUNDUP(A1143/365,0),5)</f>
        <v>4</v>
      </c>
      <c r="D1143" s="18" t="n">
        <f aca="false">DATEDIF(Assumptions!B5,B1143,"m")+1</f>
        <v>38</v>
      </c>
      <c r="E1143" s="18" t="str">
        <f aca="false">TEXT(B1143,"ddd")</f>
        <v>Thu</v>
      </c>
      <c r="F1143" s="19" t="n">
        <f aca="false">IF(WEEKDAY(B1143,2)&gt;=6,Assumptions!B34,Assumptions!B35)</f>
        <v>1</v>
      </c>
      <c r="G1143" s="20" t="n">
        <f aca="false">IF(D1143&gt;=13,(1+Assumptions!B46)^(D1143-12),1)</f>
        <v>1.08099642710382</v>
      </c>
      <c r="H1143" s="21" t="n">
        <f aca="false">H1142*(1+IF(C1143=1,Assumptions!B22,Assumptions!B23))</f>
        <v>23.6404565271972</v>
      </c>
      <c r="I1143" s="16" t="n">
        <f aca="false">ROUND(H1143*F1143,0)</f>
        <v>24</v>
      </c>
      <c r="J1143" s="22" t="n">
        <f aca="false">I1143*Assumptions!B24</f>
        <v>14400</v>
      </c>
      <c r="K1143" s="21" t="n">
        <f aca="false">K1142*(1+Assumptions!B30)</f>
        <v>19.0807691948994</v>
      </c>
      <c r="L1143" s="16" t="n">
        <f aca="false">ROUND(K1143*F1143,0)</f>
        <v>19</v>
      </c>
      <c r="M1143" s="22" t="n">
        <f aca="false">L1143*Assumptions!B31</f>
        <v>5700</v>
      </c>
      <c r="N1143" s="22" t="n">
        <f aca="false">J1143+M1143</f>
        <v>20100</v>
      </c>
      <c r="O1143" s="22" t="n">
        <f aca="false">IF(DAY(B1143)=1,Assumptions!B38*G1143,0)</f>
        <v>0</v>
      </c>
      <c r="P1143" s="22" t="n">
        <f aca="false">IF(DAY(B1143)=1,Assumptions!B39*G1143,0)</f>
        <v>0</v>
      </c>
      <c r="Q1143" s="22" t="n">
        <f aca="false">IF(DAY(B1143)=1,Assumptions!B40*G1143,0)</f>
        <v>0</v>
      </c>
      <c r="R1143" s="22" t="n">
        <f aca="false">IF(DAY(B1143)=1,Assumptions!B41*G1143,0)</f>
        <v>0</v>
      </c>
      <c r="S1143" s="22" t="n">
        <f aca="false">IF(AND(DAY(B1143)=1,D1143&gt;=13),Assumptions!B42*G1143,0)</f>
        <v>0</v>
      </c>
      <c r="T1143" s="22" t="n">
        <f aca="false">IF(DAY(B1143)=1,Assumptions!B43*G1143,0)</f>
        <v>0</v>
      </c>
      <c r="U1143" s="22" t="n">
        <f aca="false">SUM(O1143:T1143)</f>
        <v>0</v>
      </c>
      <c r="V1143" s="22" t="n">
        <f aca="false">N1143-U1143</f>
        <v>20100</v>
      </c>
      <c r="W1143" s="22" t="n">
        <f aca="false">W1142+V1143</f>
        <v>-1625320.23930219</v>
      </c>
      <c r="X1143" s="23" t="str">
        <f aca="false">IF(W1143&gt;=0,"YES","No")</f>
        <v>No</v>
      </c>
    </row>
    <row r="1144" customFormat="false" ht="15" hidden="false" customHeight="false" outlineLevel="0" collapsed="false">
      <c r="A1144" s="16" t="n">
        <v>1143</v>
      </c>
      <c r="B1144" s="17" t="n">
        <f aca="false">B1143+1</f>
        <v>47165</v>
      </c>
      <c r="C1144" s="18" t="n">
        <f aca="false">MIN(ROUNDUP(A1144/365,0),5)</f>
        <v>4</v>
      </c>
      <c r="D1144" s="18" t="n">
        <f aca="false">DATEDIF(Assumptions!B5,B1144,"m")+1</f>
        <v>38</v>
      </c>
      <c r="E1144" s="18" t="str">
        <f aca="false">TEXT(B1144,"ddd")</f>
        <v>Fri</v>
      </c>
      <c r="F1144" s="19" t="n">
        <f aca="false">IF(WEEKDAY(B1144,2)&gt;=6,Assumptions!B34,Assumptions!B35)</f>
        <v>1</v>
      </c>
      <c r="G1144" s="20" t="n">
        <f aca="false">IF(D1144&gt;=13,(1+Assumptions!B46)^(D1144-12),1)</f>
        <v>1.08099642710382</v>
      </c>
      <c r="H1144" s="21" t="n">
        <f aca="false">H1143*(1+IF(C1144=1,Assumptions!B22,Assumptions!B23))</f>
        <v>23.6443302925812</v>
      </c>
      <c r="I1144" s="16" t="n">
        <f aca="false">ROUND(H1144*F1144,0)</f>
        <v>24</v>
      </c>
      <c r="J1144" s="22" t="n">
        <f aca="false">I1144*Assumptions!B24</f>
        <v>14400</v>
      </c>
      <c r="K1144" s="21" t="n">
        <f aca="false">K1143*(1+Assumptions!B30)</f>
        <v>19.0870074012345</v>
      </c>
      <c r="L1144" s="16" t="n">
        <f aca="false">ROUND(K1144*F1144,0)</f>
        <v>19</v>
      </c>
      <c r="M1144" s="22" t="n">
        <f aca="false">L1144*Assumptions!B31</f>
        <v>5700</v>
      </c>
      <c r="N1144" s="22" t="n">
        <f aca="false">J1144+M1144</f>
        <v>20100</v>
      </c>
      <c r="O1144" s="22" t="n">
        <f aca="false">IF(DAY(B1144)=1,Assumptions!B38*G1144,0)</f>
        <v>0</v>
      </c>
      <c r="P1144" s="22" t="n">
        <f aca="false">IF(DAY(B1144)=1,Assumptions!B39*G1144,0)</f>
        <v>0</v>
      </c>
      <c r="Q1144" s="22" t="n">
        <f aca="false">IF(DAY(B1144)=1,Assumptions!B40*G1144,0)</f>
        <v>0</v>
      </c>
      <c r="R1144" s="22" t="n">
        <f aca="false">IF(DAY(B1144)=1,Assumptions!B41*G1144,0)</f>
        <v>0</v>
      </c>
      <c r="S1144" s="22" t="n">
        <f aca="false">IF(AND(DAY(B1144)=1,D1144&gt;=13),Assumptions!B42*G1144,0)</f>
        <v>0</v>
      </c>
      <c r="T1144" s="22" t="n">
        <f aca="false">IF(DAY(B1144)=1,Assumptions!B43*G1144,0)</f>
        <v>0</v>
      </c>
      <c r="U1144" s="22" t="n">
        <f aca="false">SUM(O1144:T1144)</f>
        <v>0</v>
      </c>
      <c r="V1144" s="22" t="n">
        <f aca="false">N1144-U1144</f>
        <v>20100</v>
      </c>
      <c r="W1144" s="22" t="n">
        <f aca="false">W1143+V1144</f>
        <v>-1605220.23930219</v>
      </c>
      <c r="X1144" s="23" t="str">
        <f aca="false">IF(W1144&gt;=0,"YES","No")</f>
        <v>No</v>
      </c>
    </row>
    <row r="1145" customFormat="false" ht="15" hidden="false" customHeight="false" outlineLevel="0" collapsed="false">
      <c r="A1145" s="16" t="n">
        <v>1144</v>
      </c>
      <c r="B1145" s="17" t="n">
        <f aca="false">B1144+1</f>
        <v>47166</v>
      </c>
      <c r="C1145" s="18" t="n">
        <f aca="false">MIN(ROUNDUP(A1145/365,0),5)</f>
        <v>4</v>
      </c>
      <c r="D1145" s="18" t="n">
        <f aca="false">DATEDIF(Assumptions!B5,B1145,"m")+1</f>
        <v>38</v>
      </c>
      <c r="E1145" s="18" t="str">
        <f aca="false">TEXT(B1145,"ddd")</f>
        <v>Sat</v>
      </c>
      <c r="F1145" s="19" t="n">
        <f aca="false">IF(WEEKDAY(B1145,2)&gt;=6,Assumptions!B34,Assumptions!B35)</f>
        <v>0.6</v>
      </c>
      <c r="G1145" s="20" t="n">
        <f aca="false">IF(D1145&gt;=13,(1+Assumptions!B46)^(D1145-12),1)</f>
        <v>1.08099642710382</v>
      </c>
      <c r="H1145" s="21" t="n">
        <f aca="false">H1144*(1+IF(C1145=1,Assumptions!B22,Assumptions!B23))</f>
        <v>23.648204692727</v>
      </c>
      <c r="I1145" s="16" t="n">
        <f aca="false">ROUND(H1145*F1145,0)</f>
        <v>14</v>
      </c>
      <c r="J1145" s="22" t="n">
        <f aca="false">I1145*Assumptions!B24</f>
        <v>8400</v>
      </c>
      <c r="K1145" s="21" t="n">
        <f aca="false">K1144*(1+Assumptions!B30)</f>
        <v>19.093247647069</v>
      </c>
      <c r="L1145" s="16" t="n">
        <f aca="false">ROUND(K1145*F1145,0)</f>
        <v>11</v>
      </c>
      <c r="M1145" s="22" t="n">
        <f aca="false">L1145*Assumptions!B31</f>
        <v>3300</v>
      </c>
      <c r="N1145" s="22" t="n">
        <f aca="false">J1145+M1145</f>
        <v>11700</v>
      </c>
      <c r="O1145" s="22" t="n">
        <f aca="false">IF(DAY(B1145)=1,Assumptions!B38*G1145,0)</f>
        <v>0</v>
      </c>
      <c r="P1145" s="22" t="n">
        <f aca="false">IF(DAY(B1145)=1,Assumptions!B39*G1145,0)</f>
        <v>0</v>
      </c>
      <c r="Q1145" s="22" t="n">
        <f aca="false">IF(DAY(B1145)=1,Assumptions!B40*G1145,0)</f>
        <v>0</v>
      </c>
      <c r="R1145" s="22" t="n">
        <f aca="false">IF(DAY(B1145)=1,Assumptions!B41*G1145,0)</f>
        <v>0</v>
      </c>
      <c r="S1145" s="22" t="n">
        <f aca="false">IF(AND(DAY(B1145)=1,D1145&gt;=13),Assumptions!B42*G1145,0)</f>
        <v>0</v>
      </c>
      <c r="T1145" s="22" t="n">
        <f aca="false">IF(DAY(B1145)=1,Assumptions!B43*G1145,0)</f>
        <v>0</v>
      </c>
      <c r="U1145" s="22" t="n">
        <f aca="false">SUM(O1145:T1145)</f>
        <v>0</v>
      </c>
      <c r="V1145" s="22" t="n">
        <f aca="false">N1145-U1145</f>
        <v>11700</v>
      </c>
      <c r="W1145" s="22" t="n">
        <f aca="false">W1144+V1145</f>
        <v>-1593520.23930219</v>
      </c>
      <c r="X1145" s="23" t="str">
        <f aca="false">IF(W1145&gt;=0,"YES","No")</f>
        <v>No</v>
      </c>
    </row>
    <row r="1146" customFormat="false" ht="15" hidden="false" customHeight="false" outlineLevel="0" collapsed="false">
      <c r="A1146" s="16" t="n">
        <v>1145</v>
      </c>
      <c r="B1146" s="17" t="n">
        <f aca="false">B1145+1</f>
        <v>47167</v>
      </c>
      <c r="C1146" s="18" t="n">
        <f aca="false">MIN(ROUNDUP(A1146/365,0),5)</f>
        <v>4</v>
      </c>
      <c r="D1146" s="18" t="n">
        <f aca="false">DATEDIF(Assumptions!B5,B1146,"m")+1</f>
        <v>38</v>
      </c>
      <c r="E1146" s="18" t="str">
        <f aca="false">TEXT(B1146,"ddd")</f>
        <v>Sun</v>
      </c>
      <c r="F1146" s="19" t="n">
        <f aca="false">IF(WEEKDAY(B1146,2)&gt;=6,Assumptions!B34,Assumptions!B35)</f>
        <v>0.6</v>
      </c>
      <c r="G1146" s="20" t="n">
        <f aca="false">IF(D1146&gt;=13,(1+Assumptions!B46)^(D1146-12),1)</f>
        <v>1.08099642710382</v>
      </c>
      <c r="H1146" s="21" t="n">
        <f aca="false">H1145*(1+IF(C1146=1,Assumptions!B22,Assumptions!B23))</f>
        <v>23.6520797277385</v>
      </c>
      <c r="I1146" s="16" t="n">
        <f aca="false">ROUND(H1146*F1146,0)</f>
        <v>14</v>
      </c>
      <c r="J1146" s="22" t="n">
        <f aca="false">I1146*Assumptions!B24</f>
        <v>8400</v>
      </c>
      <c r="K1146" s="21" t="n">
        <f aca="false">K1145*(1+Assumptions!B30)</f>
        <v>19.0994899330698</v>
      </c>
      <c r="L1146" s="16" t="n">
        <f aca="false">ROUND(K1146*F1146,0)</f>
        <v>11</v>
      </c>
      <c r="M1146" s="22" t="n">
        <f aca="false">L1146*Assumptions!B31</f>
        <v>3300</v>
      </c>
      <c r="N1146" s="22" t="n">
        <f aca="false">J1146+M1146</f>
        <v>11700</v>
      </c>
      <c r="O1146" s="22" t="n">
        <f aca="false">IF(DAY(B1146)=1,Assumptions!B38*G1146,0)</f>
        <v>0</v>
      </c>
      <c r="P1146" s="22" t="n">
        <f aca="false">IF(DAY(B1146)=1,Assumptions!B39*G1146,0)</f>
        <v>0</v>
      </c>
      <c r="Q1146" s="22" t="n">
        <f aca="false">IF(DAY(B1146)=1,Assumptions!B40*G1146,0)</f>
        <v>0</v>
      </c>
      <c r="R1146" s="22" t="n">
        <f aca="false">IF(DAY(B1146)=1,Assumptions!B41*G1146,0)</f>
        <v>0</v>
      </c>
      <c r="S1146" s="22" t="n">
        <f aca="false">IF(AND(DAY(B1146)=1,D1146&gt;=13),Assumptions!B42*G1146,0)</f>
        <v>0</v>
      </c>
      <c r="T1146" s="22" t="n">
        <f aca="false">IF(DAY(B1146)=1,Assumptions!B43*G1146,0)</f>
        <v>0</v>
      </c>
      <c r="U1146" s="22" t="n">
        <f aca="false">SUM(O1146:T1146)</f>
        <v>0</v>
      </c>
      <c r="V1146" s="22" t="n">
        <f aca="false">N1146-U1146</f>
        <v>11700</v>
      </c>
      <c r="W1146" s="22" t="n">
        <f aca="false">W1145+V1146</f>
        <v>-1581820.23930219</v>
      </c>
      <c r="X1146" s="23" t="str">
        <f aca="false">IF(W1146&gt;=0,"YES","No")</f>
        <v>No</v>
      </c>
    </row>
    <row r="1147" customFormat="false" ht="15" hidden="false" customHeight="false" outlineLevel="0" collapsed="false">
      <c r="A1147" s="16" t="n">
        <v>1146</v>
      </c>
      <c r="B1147" s="17" t="n">
        <f aca="false">B1146+1</f>
        <v>47168</v>
      </c>
      <c r="C1147" s="18" t="n">
        <f aca="false">MIN(ROUNDUP(A1147/365,0),5)</f>
        <v>4</v>
      </c>
      <c r="D1147" s="18" t="n">
        <f aca="false">DATEDIF(Assumptions!B5,B1147,"m")+1</f>
        <v>38</v>
      </c>
      <c r="E1147" s="18" t="str">
        <f aca="false">TEXT(B1147,"ddd")</f>
        <v>Mon</v>
      </c>
      <c r="F1147" s="19" t="n">
        <f aca="false">IF(WEEKDAY(B1147,2)&gt;=6,Assumptions!B34,Assumptions!B35)</f>
        <v>1</v>
      </c>
      <c r="G1147" s="20" t="n">
        <f aca="false">IF(D1147&gt;=13,(1+Assumptions!B46)^(D1147-12),1)</f>
        <v>1.08099642710382</v>
      </c>
      <c r="H1147" s="21" t="n">
        <f aca="false">H1146*(1+IF(C1147=1,Assumptions!B22,Assumptions!B23))</f>
        <v>23.6559553977199</v>
      </c>
      <c r="I1147" s="16" t="n">
        <f aca="false">ROUND(H1147*F1147,0)</f>
        <v>24</v>
      </c>
      <c r="J1147" s="22" t="n">
        <f aca="false">I1147*Assumptions!B24</f>
        <v>14400</v>
      </c>
      <c r="K1147" s="21" t="n">
        <f aca="false">K1146*(1+Assumptions!B30)</f>
        <v>19.1057342599038</v>
      </c>
      <c r="L1147" s="16" t="n">
        <f aca="false">ROUND(K1147*F1147,0)</f>
        <v>19</v>
      </c>
      <c r="M1147" s="22" t="n">
        <f aca="false">L1147*Assumptions!B31</f>
        <v>5700</v>
      </c>
      <c r="N1147" s="22" t="n">
        <f aca="false">J1147+M1147</f>
        <v>20100</v>
      </c>
      <c r="O1147" s="22" t="n">
        <f aca="false">IF(DAY(B1147)=1,Assumptions!B38*G1147,0)</f>
        <v>0</v>
      </c>
      <c r="P1147" s="22" t="n">
        <f aca="false">IF(DAY(B1147)=1,Assumptions!B39*G1147,0)</f>
        <v>0</v>
      </c>
      <c r="Q1147" s="22" t="n">
        <f aca="false">IF(DAY(B1147)=1,Assumptions!B40*G1147,0)</f>
        <v>0</v>
      </c>
      <c r="R1147" s="22" t="n">
        <f aca="false">IF(DAY(B1147)=1,Assumptions!B41*G1147,0)</f>
        <v>0</v>
      </c>
      <c r="S1147" s="22" t="n">
        <f aca="false">IF(AND(DAY(B1147)=1,D1147&gt;=13),Assumptions!B42*G1147,0)</f>
        <v>0</v>
      </c>
      <c r="T1147" s="22" t="n">
        <f aca="false">IF(DAY(B1147)=1,Assumptions!B43*G1147,0)</f>
        <v>0</v>
      </c>
      <c r="U1147" s="22" t="n">
        <f aca="false">SUM(O1147:T1147)</f>
        <v>0</v>
      </c>
      <c r="V1147" s="22" t="n">
        <f aca="false">N1147-U1147</f>
        <v>20100</v>
      </c>
      <c r="W1147" s="22" t="n">
        <f aca="false">W1146+V1147</f>
        <v>-1561720.23930219</v>
      </c>
      <c r="X1147" s="23" t="str">
        <f aca="false">IF(W1147&gt;=0,"YES","No")</f>
        <v>No</v>
      </c>
    </row>
    <row r="1148" customFormat="false" ht="15" hidden="false" customHeight="false" outlineLevel="0" collapsed="false">
      <c r="A1148" s="16" t="n">
        <v>1147</v>
      </c>
      <c r="B1148" s="17" t="n">
        <f aca="false">B1147+1</f>
        <v>47169</v>
      </c>
      <c r="C1148" s="18" t="n">
        <f aca="false">MIN(ROUNDUP(A1148/365,0),5)</f>
        <v>4</v>
      </c>
      <c r="D1148" s="18" t="n">
        <f aca="false">DATEDIF(Assumptions!B5,B1148,"m")+1</f>
        <v>38</v>
      </c>
      <c r="E1148" s="18" t="str">
        <f aca="false">TEXT(B1148,"ddd")</f>
        <v>Tue</v>
      </c>
      <c r="F1148" s="19" t="n">
        <f aca="false">IF(WEEKDAY(B1148,2)&gt;=6,Assumptions!B34,Assumptions!B35)</f>
        <v>1</v>
      </c>
      <c r="G1148" s="20" t="n">
        <f aca="false">IF(D1148&gt;=13,(1+Assumptions!B46)^(D1148-12),1)</f>
        <v>1.08099642710382</v>
      </c>
      <c r="H1148" s="21" t="n">
        <f aca="false">H1147*(1+IF(C1148=1,Assumptions!B22,Assumptions!B23))</f>
        <v>23.6598317027751</v>
      </c>
      <c r="I1148" s="16" t="n">
        <f aca="false">ROUND(H1148*F1148,0)</f>
        <v>24</v>
      </c>
      <c r="J1148" s="22" t="n">
        <f aca="false">I1148*Assumptions!B24</f>
        <v>14400</v>
      </c>
      <c r="K1148" s="21" t="n">
        <f aca="false">K1147*(1+Assumptions!B30)</f>
        <v>19.1119806282383</v>
      </c>
      <c r="L1148" s="16" t="n">
        <f aca="false">ROUND(K1148*F1148,0)</f>
        <v>19</v>
      </c>
      <c r="M1148" s="22" t="n">
        <f aca="false">L1148*Assumptions!B31</f>
        <v>5700</v>
      </c>
      <c r="N1148" s="22" t="n">
        <f aca="false">J1148+M1148</f>
        <v>20100</v>
      </c>
      <c r="O1148" s="22" t="n">
        <f aca="false">IF(DAY(B1148)=1,Assumptions!B38*G1148,0)</f>
        <v>0</v>
      </c>
      <c r="P1148" s="22" t="n">
        <f aca="false">IF(DAY(B1148)=1,Assumptions!B39*G1148,0)</f>
        <v>0</v>
      </c>
      <c r="Q1148" s="22" t="n">
        <f aca="false">IF(DAY(B1148)=1,Assumptions!B40*G1148,0)</f>
        <v>0</v>
      </c>
      <c r="R1148" s="22" t="n">
        <f aca="false">IF(DAY(B1148)=1,Assumptions!B41*G1148,0)</f>
        <v>0</v>
      </c>
      <c r="S1148" s="22" t="n">
        <f aca="false">IF(AND(DAY(B1148)=1,D1148&gt;=13),Assumptions!B42*G1148,0)</f>
        <v>0</v>
      </c>
      <c r="T1148" s="22" t="n">
        <f aca="false">IF(DAY(B1148)=1,Assumptions!B43*G1148,0)</f>
        <v>0</v>
      </c>
      <c r="U1148" s="22" t="n">
        <f aca="false">SUM(O1148:T1148)</f>
        <v>0</v>
      </c>
      <c r="V1148" s="22" t="n">
        <f aca="false">N1148-U1148</f>
        <v>20100</v>
      </c>
      <c r="W1148" s="22" t="n">
        <f aca="false">W1147+V1148</f>
        <v>-1541620.23930219</v>
      </c>
      <c r="X1148" s="23" t="str">
        <f aca="false">IF(W1148&gt;=0,"YES","No")</f>
        <v>No</v>
      </c>
    </row>
    <row r="1149" customFormat="false" ht="15" hidden="false" customHeight="false" outlineLevel="0" collapsed="false">
      <c r="A1149" s="16" t="n">
        <v>1148</v>
      </c>
      <c r="B1149" s="17" t="n">
        <f aca="false">B1148+1</f>
        <v>47170</v>
      </c>
      <c r="C1149" s="18" t="n">
        <f aca="false">MIN(ROUNDUP(A1149/365,0),5)</f>
        <v>4</v>
      </c>
      <c r="D1149" s="18" t="n">
        <f aca="false">DATEDIF(Assumptions!B5,B1149,"m")+1</f>
        <v>38</v>
      </c>
      <c r="E1149" s="18" t="str">
        <f aca="false">TEXT(B1149,"ddd")</f>
        <v>Wed</v>
      </c>
      <c r="F1149" s="19" t="n">
        <f aca="false">IF(WEEKDAY(B1149,2)&gt;=6,Assumptions!B34,Assumptions!B35)</f>
        <v>1</v>
      </c>
      <c r="G1149" s="20" t="n">
        <f aca="false">IF(D1149&gt;=13,(1+Assumptions!B46)^(D1149-12),1)</f>
        <v>1.08099642710382</v>
      </c>
      <c r="H1149" s="21" t="n">
        <f aca="false">H1148*(1+IF(C1149=1,Assumptions!B22,Assumptions!B23))</f>
        <v>23.6637086430083</v>
      </c>
      <c r="I1149" s="16" t="n">
        <f aca="false">ROUND(H1149*F1149,0)</f>
        <v>24</v>
      </c>
      <c r="J1149" s="22" t="n">
        <f aca="false">I1149*Assumptions!B24</f>
        <v>14400</v>
      </c>
      <c r="K1149" s="21" t="n">
        <f aca="false">K1148*(1+Assumptions!B30)</f>
        <v>19.1182290387406</v>
      </c>
      <c r="L1149" s="16" t="n">
        <f aca="false">ROUND(K1149*F1149,0)</f>
        <v>19</v>
      </c>
      <c r="M1149" s="22" t="n">
        <f aca="false">L1149*Assumptions!B31</f>
        <v>5700</v>
      </c>
      <c r="N1149" s="22" t="n">
        <f aca="false">J1149+M1149</f>
        <v>20100</v>
      </c>
      <c r="O1149" s="22" t="n">
        <f aca="false">IF(DAY(B1149)=1,Assumptions!B38*G1149,0)</f>
        <v>0</v>
      </c>
      <c r="P1149" s="22" t="n">
        <f aca="false">IF(DAY(B1149)=1,Assumptions!B39*G1149,0)</f>
        <v>0</v>
      </c>
      <c r="Q1149" s="22" t="n">
        <f aca="false">IF(DAY(B1149)=1,Assumptions!B40*G1149,0)</f>
        <v>0</v>
      </c>
      <c r="R1149" s="22" t="n">
        <f aca="false">IF(DAY(B1149)=1,Assumptions!B41*G1149,0)</f>
        <v>0</v>
      </c>
      <c r="S1149" s="22" t="n">
        <f aca="false">IF(AND(DAY(B1149)=1,D1149&gt;=13),Assumptions!B42*G1149,0)</f>
        <v>0</v>
      </c>
      <c r="T1149" s="22" t="n">
        <f aca="false">IF(DAY(B1149)=1,Assumptions!B43*G1149,0)</f>
        <v>0</v>
      </c>
      <c r="U1149" s="22" t="n">
        <f aca="false">SUM(O1149:T1149)</f>
        <v>0</v>
      </c>
      <c r="V1149" s="22" t="n">
        <f aca="false">N1149-U1149</f>
        <v>20100</v>
      </c>
      <c r="W1149" s="22" t="n">
        <f aca="false">W1148+V1149</f>
        <v>-1521520.23930219</v>
      </c>
      <c r="X1149" s="23" t="str">
        <f aca="false">IF(W1149&gt;=0,"YES","No")</f>
        <v>No</v>
      </c>
    </row>
    <row r="1150" customFormat="false" ht="15" hidden="false" customHeight="false" outlineLevel="0" collapsed="false">
      <c r="A1150" s="16" t="n">
        <v>1149</v>
      </c>
      <c r="B1150" s="17" t="n">
        <f aca="false">B1149+1</f>
        <v>47171</v>
      </c>
      <c r="C1150" s="18" t="n">
        <f aca="false">MIN(ROUNDUP(A1150/365,0),5)</f>
        <v>4</v>
      </c>
      <c r="D1150" s="18" t="n">
        <f aca="false">DATEDIF(Assumptions!B5,B1150,"m")+1</f>
        <v>38</v>
      </c>
      <c r="E1150" s="18" t="str">
        <f aca="false">TEXT(B1150,"ddd")</f>
        <v>Thu</v>
      </c>
      <c r="F1150" s="19" t="n">
        <f aca="false">IF(WEEKDAY(B1150,2)&gt;=6,Assumptions!B34,Assumptions!B35)</f>
        <v>1</v>
      </c>
      <c r="G1150" s="20" t="n">
        <f aca="false">IF(D1150&gt;=13,(1+Assumptions!B46)^(D1150-12),1)</f>
        <v>1.08099642710382</v>
      </c>
      <c r="H1150" s="21" t="n">
        <f aca="false">H1149*(1+IF(C1150=1,Assumptions!B22,Assumptions!B23))</f>
        <v>23.6675862185235</v>
      </c>
      <c r="I1150" s="16" t="n">
        <f aca="false">ROUND(H1150*F1150,0)</f>
        <v>24</v>
      </c>
      <c r="J1150" s="22" t="n">
        <f aca="false">I1150*Assumptions!B24</f>
        <v>14400</v>
      </c>
      <c r="K1150" s="21" t="n">
        <f aca="false">K1149*(1+Assumptions!B30)</f>
        <v>19.1244794920786</v>
      </c>
      <c r="L1150" s="16" t="n">
        <f aca="false">ROUND(K1150*F1150,0)</f>
        <v>19</v>
      </c>
      <c r="M1150" s="22" t="n">
        <f aca="false">L1150*Assumptions!B31</f>
        <v>5700</v>
      </c>
      <c r="N1150" s="22" t="n">
        <f aca="false">J1150+M1150</f>
        <v>20100</v>
      </c>
      <c r="O1150" s="22" t="n">
        <f aca="false">IF(DAY(B1150)=1,Assumptions!B38*G1150,0)</f>
        <v>0</v>
      </c>
      <c r="P1150" s="22" t="n">
        <f aca="false">IF(DAY(B1150)=1,Assumptions!B39*G1150,0)</f>
        <v>0</v>
      </c>
      <c r="Q1150" s="22" t="n">
        <f aca="false">IF(DAY(B1150)=1,Assumptions!B40*G1150,0)</f>
        <v>0</v>
      </c>
      <c r="R1150" s="22" t="n">
        <f aca="false">IF(DAY(B1150)=1,Assumptions!B41*G1150,0)</f>
        <v>0</v>
      </c>
      <c r="S1150" s="22" t="n">
        <f aca="false">IF(AND(DAY(B1150)=1,D1150&gt;=13),Assumptions!B42*G1150,0)</f>
        <v>0</v>
      </c>
      <c r="T1150" s="22" t="n">
        <f aca="false">IF(DAY(B1150)=1,Assumptions!B43*G1150,0)</f>
        <v>0</v>
      </c>
      <c r="U1150" s="22" t="n">
        <f aca="false">SUM(O1150:T1150)</f>
        <v>0</v>
      </c>
      <c r="V1150" s="22" t="n">
        <f aca="false">N1150-U1150</f>
        <v>20100</v>
      </c>
      <c r="W1150" s="22" t="n">
        <f aca="false">W1149+V1150</f>
        <v>-1501420.23930219</v>
      </c>
      <c r="X1150" s="23" t="str">
        <f aca="false">IF(W1150&gt;=0,"YES","No")</f>
        <v>No</v>
      </c>
    </row>
    <row r="1151" customFormat="false" ht="15" hidden="false" customHeight="false" outlineLevel="0" collapsed="false">
      <c r="A1151" s="16" t="n">
        <v>1150</v>
      </c>
      <c r="B1151" s="17" t="n">
        <f aca="false">B1150+1</f>
        <v>47172</v>
      </c>
      <c r="C1151" s="18" t="n">
        <f aca="false">MIN(ROUNDUP(A1151/365,0),5)</f>
        <v>4</v>
      </c>
      <c r="D1151" s="18" t="n">
        <f aca="false">DATEDIF(Assumptions!B5,B1151,"m")+1</f>
        <v>38</v>
      </c>
      <c r="E1151" s="18" t="str">
        <f aca="false">TEXT(B1151,"ddd")</f>
        <v>Fri</v>
      </c>
      <c r="F1151" s="19" t="n">
        <f aca="false">IF(WEEKDAY(B1151,2)&gt;=6,Assumptions!B34,Assumptions!B35)</f>
        <v>1</v>
      </c>
      <c r="G1151" s="20" t="n">
        <f aca="false">IF(D1151&gt;=13,(1+Assumptions!B46)^(D1151-12),1)</f>
        <v>1.08099642710382</v>
      </c>
      <c r="H1151" s="21" t="n">
        <f aca="false">H1150*(1+IF(C1151=1,Assumptions!B22,Assumptions!B23))</f>
        <v>23.6714644294248</v>
      </c>
      <c r="I1151" s="16" t="n">
        <f aca="false">ROUND(H1151*F1151,0)</f>
        <v>24</v>
      </c>
      <c r="J1151" s="22" t="n">
        <f aca="false">I1151*Assumptions!B24</f>
        <v>14400</v>
      </c>
      <c r="K1151" s="21" t="n">
        <f aca="false">K1150*(1+Assumptions!B30)</f>
        <v>19.13073198892</v>
      </c>
      <c r="L1151" s="16" t="n">
        <f aca="false">ROUND(K1151*F1151,0)</f>
        <v>19</v>
      </c>
      <c r="M1151" s="22" t="n">
        <f aca="false">L1151*Assumptions!B31</f>
        <v>5700</v>
      </c>
      <c r="N1151" s="22" t="n">
        <f aca="false">J1151+M1151</f>
        <v>20100</v>
      </c>
      <c r="O1151" s="22" t="n">
        <f aca="false">IF(DAY(B1151)=1,Assumptions!B38*G1151,0)</f>
        <v>0</v>
      </c>
      <c r="P1151" s="22" t="n">
        <f aca="false">IF(DAY(B1151)=1,Assumptions!B39*G1151,0)</f>
        <v>0</v>
      </c>
      <c r="Q1151" s="22" t="n">
        <f aca="false">IF(DAY(B1151)=1,Assumptions!B40*G1151,0)</f>
        <v>0</v>
      </c>
      <c r="R1151" s="22" t="n">
        <f aca="false">IF(DAY(B1151)=1,Assumptions!B41*G1151,0)</f>
        <v>0</v>
      </c>
      <c r="S1151" s="22" t="n">
        <f aca="false">IF(AND(DAY(B1151)=1,D1151&gt;=13),Assumptions!B42*G1151,0)</f>
        <v>0</v>
      </c>
      <c r="T1151" s="22" t="n">
        <f aca="false">IF(DAY(B1151)=1,Assumptions!B43*G1151,0)</f>
        <v>0</v>
      </c>
      <c r="U1151" s="22" t="n">
        <f aca="false">SUM(O1151:T1151)</f>
        <v>0</v>
      </c>
      <c r="V1151" s="22" t="n">
        <f aca="false">N1151-U1151</f>
        <v>20100</v>
      </c>
      <c r="W1151" s="22" t="n">
        <f aca="false">W1150+V1151</f>
        <v>-1481320.23930219</v>
      </c>
      <c r="X1151" s="23" t="str">
        <f aca="false">IF(W1151&gt;=0,"YES","No")</f>
        <v>No</v>
      </c>
    </row>
    <row r="1152" customFormat="false" ht="15" hidden="false" customHeight="false" outlineLevel="0" collapsed="false">
      <c r="A1152" s="16" t="n">
        <v>1151</v>
      </c>
      <c r="B1152" s="17" t="n">
        <f aca="false">B1151+1</f>
        <v>47173</v>
      </c>
      <c r="C1152" s="18" t="n">
        <f aca="false">MIN(ROUNDUP(A1152/365,0),5)</f>
        <v>4</v>
      </c>
      <c r="D1152" s="18" t="n">
        <f aca="false">DATEDIF(Assumptions!B5,B1152,"m")+1</f>
        <v>38</v>
      </c>
      <c r="E1152" s="18" t="str">
        <f aca="false">TEXT(B1152,"ddd")</f>
        <v>Sat</v>
      </c>
      <c r="F1152" s="19" t="n">
        <f aca="false">IF(WEEKDAY(B1152,2)&gt;=6,Assumptions!B34,Assumptions!B35)</f>
        <v>0.6</v>
      </c>
      <c r="G1152" s="20" t="n">
        <f aca="false">IF(D1152&gt;=13,(1+Assumptions!B46)^(D1152-12),1)</f>
        <v>1.08099642710382</v>
      </c>
      <c r="H1152" s="21" t="n">
        <f aca="false">H1151*(1+IF(C1152=1,Assumptions!B22,Assumptions!B23))</f>
        <v>23.6753432758163</v>
      </c>
      <c r="I1152" s="16" t="n">
        <f aca="false">ROUND(H1152*F1152,0)</f>
        <v>14</v>
      </c>
      <c r="J1152" s="22" t="n">
        <f aca="false">I1152*Assumptions!B24</f>
        <v>8400</v>
      </c>
      <c r="K1152" s="21" t="n">
        <f aca="false">K1151*(1+Assumptions!B30)</f>
        <v>19.1369865299329</v>
      </c>
      <c r="L1152" s="16" t="n">
        <f aca="false">ROUND(K1152*F1152,0)</f>
        <v>11</v>
      </c>
      <c r="M1152" s="22" t="n">
        <f aca="false">L1152*Assumptions!B31</f>
        <v>3300</v>
      </c>
      <c r="N1152" s="22" t="n">
        <f aca="false">J1152+M1152</f>
        <v>11700</v>
      </c>
      <c r="O1152" s="22" t="n">
        <f aca="false">IF(DAY(B1152)=1,Assumptions!B38*G1152,0)</f>
        <v>0</v>
      </c>
      <c r="P1152" s="22" t="n">
        <f aca="false">IF(DAY(B1152)=1,Assumptions!B39*G1152,0)</f>
        <v>0</v>
      </c>
      <c r="Q1152" s="22" t="n">
        <f aca="false">IF(DAY(B1152)=1,Assumptions!B40*G1152,0)</f>
        <v>0</v>
      </c>
      <c r="R1152" s="22" t="n">
        <f aca="false">IF(DAY(B1152)=1,Assumptions!B41*G1152,0)</f>
        <v>0</v>
      </c>
      <c r="S1152" s="22" t="n">
        <f aca="false">IF(AND(DAY(B1152)=1,D1152&gt;=13),Assumptions!B42*G1152,0)</f>
        <v>0</v>
      </c>
      <c r="T1152" s="22" t="n">
        <f aca="false">IF(DAY(B1152)=1,Assumptions!B43*G1152,0)</f>
        <v>0</v>
      </c>
      <c r="U1152" s="22" t="n">
        <f aca="false">SUM(O1152:T1152)</f>
        <v>0</v>
      </c>
      <c r="V1152" s="22" t="n">
        <f aca="false">N1152-U1152</f>
        <v>11700</v>
      </c>
      <c r="W1152" s="22" t="n">
        <f aca="false">W1151+V1152</f>
        <v>-1469620.23930219</v>
      </c>
      <c r="X1152" s="23" t="str">
        <f aca="false">IF(W1152&gt;=0,"YES","No")</f>
        <v>No</v>
      </c>
    </row>
    <row r="1153" customFormat="false" ht="15" hidden="false" customHeight="false" outlineLevel="0" collapsed="false">
      <c r="A1153" s="16" t="n">
        <v>1152</v>
      </c>
      <c r="B1153" s="17" t="n">
        <f aca="false">B1152+1</f>
        <v>47174</v>
      </c>
      <c r="C1153" s="18" t="n">
        <f aca="false">MIN(ROUNDUP(A1153/365,0),5)</f>
        <v>4</v>
      </c>
      <c r="D1153" s="18" t="n">
        <f aca="false">DATEDIF(Assumptions!B5,B1153,"m")+1</f>
        <v>38</v>
      </c>
      <c r="E1153" s="18" t="str">
        <f aca="false">TEXT(B1153,"ddd")</f>
        <v>Sun</v>
      </c>
      <c r="F1153" s="19" t="n">
        <f aca="false">IF(WEEKDAY(B1153,2)&gt;=6,Assumptions!B34,Assumptions!B35)</f>
        <v>0.6</v>
      </c>
      <c r="G1153" s="20" t="n">
        <f aca="false">IF(D1153&gt;=13,(1+Assumptions!B46)^(D1153-12),1)</f>
        <v>1.08099642710382</v>
      </c>
      <c r="H1153" s="21" t="n">
        <f aca="false">H1152*(1+IF(C1153=1,Assumptions!B22,Assumptions!B23))</f>
        <v>23.6792227578022</v>
      </c>
      <c r="I1153" s="16" t="n">
        <f aca="false">ROUND(H1153*F1153,0)</f>
        <v>14</v>
      </c>
      <c r="J1153" s="22" t="n">
        <f aca="false">I1153*Assumptions!B24</f>
        <v>8400</v>
      </c>
      <c r="K1153" s="21" t="n">
        <f aca="false">K1152*(1+Assumptions!B30)</f>
        <v>19.1432431157857</v>
      </c>
      <c r="L1153" s="16" t="n">
        <f aca="false">ROUND(K1153*F1153,0)</f>
        <v>11</v>
      </c>
      <c r="M1153" s="22" t="n">
        <f aca="false">L1153*Assumptions!B31</f>
        <v>3300</v>
      </c>
      <c r="N1153" s="22" t="n">
        <f aca="false">J1153+M1153</f>
        <v>11700</v>
      </c>
      <c r="O1153" s="22" t="n">
        <f aca="false">IF(DAY(B1153)=1,Assumptions!B38*G1153,0)</f>
        <v>0</v>
      </c>
      <c r="P1153" s="22" t="n">
        <f aca="false">IF(DAY(B1153)=1,Assumptions!B39*G1153,0)</f>
        <v>0</v>
      </c>
      <c r="Q1153" s="22" t="n">
        <f aca="false">IF(DAY(B1153)=1,Assumptions!B40*G1153,0)</f>
        <v>0</v>
      </c>
      <c r="R1153" s="22" t="n">
        <f aca="false">IF(DAY(B1153)=1,Assumptions!B41*G1153,0)</f>
        <v>0</v>
      </c>
      <c r="S1153" s="22" t="n">
        <f aca="false">IF(AND(DAY(B1153)=1,D1153&gt;=13),Assumptions!B42*G1153,0)</f>
        <v>0</v>
      </c>
      <c r="T1153" s="22" t="n">
        <f aca="false">IF(DAY(B1153)=1,Assumptions!B43*G1153,0)</f>
        <v>0</v>
      </c>
      <c r="U1153" s="22" t="n">
        <f aca="false">SUM(O1153:T1153)</f>
        <v>0</v>
      </c>
      <c r="V1153" s="22" t="n">
        <f aca="false">N1153-U1153</f>
        <v>11700</v>
      </c>
      <c r="W1153" s="22" t="n">
        <f aca="false">W1152+V1153</f>
        <v>-1457920.23930219</v>
      </c>
      <c r="X1153" s="23" t="str">
        <f aca="false">IF(W1153&gt;=0,"YES","No")</f>
        <v>No</v>
      </c>
    </row>
    <row r="1154" customFormat="false" ht="15" hidden="false" customHeight="false" outlineLevel="0" collapsed="false">
      <c r="A1154" s="16" t="n">
        <v>1153</v>
      </c>
      <c r="B1154" s="17" t="n">
        <f aca="false">B1153+1</f>
        <v>47175</v>
      </c>
      <c r="C1154" s="18" t="n">
        <f aca="false">MIN(ROUNDUP(A1154/365,0),5)</f>
        <v>4</v>
      </c>
      <c r="D1154" s="18" t="n">
        <f aca="false">DATEDIF(Assumptions!B5,B1154,"m")+1</f>
        <v>38</v>
      </c>
      <c r="E1154" s="18" t="str">
        <f aca="false">TEXT(B1154,"ddd")</f>
        <v>Mon</v>
      </c>
      <c r="F1154" s="19" t="n">
        <f aca="false">IF(WEEKDAY(B1154,2)&gt;=6,Assumptions!B34,Assumptions!B35)</f>
        <v>1</v>
      </c>
      <c r="G1154" s="20" t="n">
        <f aca="false">IF(D1154&gt;=13,(1+Assumptions!B46)^(D1154-12),1)</f>
        <v>1.08099642710382</v>
      </c>
      <c r="H1154" s="21" t="n">
        <f aca="false">H1153*(1+IF(C1154=1,Assumptions!B22,Assumptions!B23))</f>
        <v>23.6831028754866</v>
      </c>
      <c r="I1154" s="16" t="n">
        <f aca="false">ROUND(H1154*F1154,0)</f>
        <v>24</v>
      </c>
      <c r="J1154" s="22" t="n">
        <f aca="false">I1154*Assumptions!B24</f>
        <v>14400</v>
      </c>
      <c r="K1154" s="21" t="n">
        <f aca="false">K1153*(1+Assumptions!B30)</f>
        <v>19.1495017471469</v>
      </c>
      <c r="L1154" s="16" t="n">
        <f aca="false">ROUND(K1154*F1154,0)</f>
        <v>19</v>
      </c>
      <c r="M1154" s="22" t="n">
        <f aca="false">L1154*Assumptions!B31</f>
        <v>5700</v>
      </c>
      <c r="N1154" s="22" t="n">
        <f aca="false">J1154+M1154</f>
        <v>20100</v>
      </c>
      <c r="O1154" s="22" t="n">
        <f aca="false">IF(DAY(B1154)=1,Assumptions!B38*G1154,0)</f>
        <v>0</v>
      </c>
      <c r="P1154" s="22" t="n">
        <f aca="false">IF(DAY(B1154)=1,Assumptions!B39*G1154,0)</f>
        <v>0</v>
      </c>
      <c r="Q1154" s="22" t="n">
        <f aca="false">IF(DAY(B1154)=1,Assumptions!B40*G1154,0)</f>
        <v>0</v>
      </c>
      <c r="R1154" s="22" t="n">
        <f aca="false">IF(DAY(B1154)=1,Assumptions!B41*G1154,0)</f>
        <v>0</v>
      </c>
      <c r="S1154" s="22" t="n">
        <f aca="false">IF(AND(DAY(B1154)=1,D1154&gt;=13),Assumptions!B42*G1154,0)</f>
        <v>0</v>
      </c>
      <c r="T1154" s="22" t="n">
        <f aca="false">IF(DAY(B1154)=1,Assumptions!B43*G1154,0)</f>
        <v>0</v>
      </c>
      <c r="U1154" s="22" t="n">
        <f aca="false">SUM(O1154:T1154)</f>
        <v>0</v>
      </c>
      <c r="V1154" s="22" t="n">
        <f aca="false">N1154-U1154</f>
        <v>20100</v>
      </c>
      <c r="W1154" s="22" t="n">
        <f aca="false">W1153+V1154</f>
        <v>-1437820.23930219</v>
      </c>
      <c r="X1154" s="23" t="str">
        <f aca="false">IF(W1154&gt;=0,"YES","No")</f>
        <v>No</v>
      </c>
    </row>
    <row r="1155" customFormat="false" ht="15" hidden="false" customHeight="false" outlineLevel="0" collapsed="false">
      <c r="A1155" s="16" t="n">
        <v>1154</v>
      </c>
      <c r="B1155" s="17" t="n">
        <f aca="false">B1154+1</f>
        <v>47176</v>
      </c>
      <c r="C1155" s="18" t="n">
        <f aca="false">MIN(ROUNDUP(A1155/365,0),5)</f>
        <v>4</v>
      </c>
      <c r="D1155" s="18" t="n">
        <f aca="false">DATEDIF(Assumptions!B5,B1155,"m")+1</f>
        <v>38</v>
      </c>
      <c r="E1155" s="18" t="str">
        <f aca="false">TEXT(B1155,"ddd")</f>
        <v>Tue</v>
      </c>
      <c r="F1155" s="19" t="n">
        <f aca="false">IF(WEEKDAY(B1155,2)&gt;=6,Assumptions!B34,Assumptions!B35)</f>
        <v>1</v>
      </c>
      <c r="G1155" s="20" t="n">
        <f aca="false">IF(D1155&gt;=13,(1+Assumptions!B46)^(D1155-12),1)</f>
        <v>1.08099642710382</v>
      </c>
      <c r="H1155" s="21" t="n">
        <f aca="false">H1154*(1+IF(C1155=1,Assumptions!B22,Assumptions!B23))</f>
        <v>23.6869836289737</v>
      </c>
      <c r="I1155" s="16" t="n">
        <f aca="false">ROUND(H1155*F1155,0)</f>
        <v>24</v>
      </c>
      <c r="J1155" s="22" t="n">
        <f aca="false">I1155*Assumptions!B24</f>
        <v>14400</v>
      </c>
      <c r="K1155" s="21" t="n">
        <f aca="false">K1154*(1+Assumptions!B30)</f>
        <v>19.1557624246853</v>
      </c>
      <c r="L1155" s="16" t="n">
        <f aca="false">ROUND(K1155*F1155,0)</f>
        <v>19</v>
      </c>
      <c r="M1155" s="22" t="n">
        <f aca="false">L1155*Assumptions!B31</f>
        <v>5700</v>
      </c>
      <c r="N1155" s="22" t="n">
        <f aca="false">J1155+M1155</f>
        <v>20100</v>
      </c>
      <c r="O1155" s="22" t="n">
        <f aca="false">IF(DAY(B1155)=1,Assumptions!B38*G1155,0)</f>
        <v>0</v>
      </c>
      <c r="P1155" s="22" t="n">
        <f aca="false">IF(DAY(B1155)=1,Assumptions!B39*G1155,0)</f>
        <v>0</v>
      </c>
      <c r="Q1155" s="22" t="n">
        <f aca="false">IF(DAY(B1155)=1,Assumptions!B40*G1155,0)</f>
        <v>0</v>
      </c>
      <c r="R1155" s="22" t="n">
        <f aca="false">IF(DAY(B1155)=1,Assumptions!B41*G1155,0)</f>
        <v>0</v>
      </c>
      <c r="S1155" s="22" t="n">
        <f aca="false">IF(AND(DAY(B1155)=1,D1155&gt;=13),Assumptions!B42*G1155,0)</f>
        <v>0</v>
      </c>
      <c r="T1155" s="22" t="n">
        <f aca="false">IF(DAY(B1155)=1,Assumptions!B43*G1155,0)</f>
        <v>0</v>
      </c>
      <c r="U1155" s="22" t="n">
        <f aca="false">SUM(O1155:T1155)</f>
        <v>0</v>
      </c>
      <c r="V1155" s="22" t="n">
        <f aca="false">N1155-U1155</f>
        <v>20100</v>
      </c>
      <c r="W1155" s="22" t="n">
        <f aca="false">W1154+V1155</f>
        <v>-1417720.23930219</v>
      </c>
      <c r="X1155" s="23" t="str">
        <f aca="false">IF(W1155&gt;=0,"YES","No")</f>
        <v>No</v>
      </c>
    </row>
    <row r="1156" customFormat="false" ht="15" hidden="false" customHeight="false" outlineLevel="0" collapsed="false">
      <c r="A1156" s="16" t="n">
        <v>1155</v>
      </c>
      <c r="B1156" s="17" t="n">
        <f aca="false">B1155+1</f>
        <v>47177</v>
      </c>
      <c r="C1156" s="18" t="n">
        <f aca="false">MIN(ROUNDUP(A1156/365,0),5)</f>
        <v>4</v>
      </c>
      <c r="D1156" s="18" t="n">
        <f aca="false">DATEDIF(Assumptions!B5,B1156,"m")+1</f>
        <v>38</v>
      </c>
      <c r="E1156" s="18" t="str">
        <f aca="false">TEXT(B1156,"ddd")</f>
        <v>Wed</v>
      </c>
      <c r="F1156" s="19" t="n">
        <f aca="false">IF(WEEKDAY(B1156,2)&gt;=6,Assumptions!B34,Assumptions!B35)</f>
        <v>1</v>
      </c>
      <c r="G1156" s="20" t="n">
        <f aca="false">IF(D1156&gt;=13,(1+Assumptions!B46)^(D1156-12),1)</f>
        <v>1.08099642710382</v>
      </c>
      <c r="H1156" s="21" t="n">
        <f aca="false">H1155*(1+IF(C1156=1,Assumptions!B22,Assumptions!B23))</f>
        <v>23.6908650183677</v>
      </c>
      <c r="I1156" s="16" t="n">
        <f aca="false">ROUND(H1156*F1156,0)</f>
        <v>24</v>
      </c>
      <c r="J1156" s="22" t="n">
        <f aca="false">I1156*Assumptions!B24</f>
        <v>14400</v>
      </c>
      <c r="K1156" s="21" t="n">
        <f aca="false">K1155*(1+Assumptions!B30)</f>
        <v>19.1620251490697</v>
      </c>
      <c r="L1156" s="16" t="n">
        <f aca="false">ROUND(K1156*F1156,0)</f>
        <v>19</v>
      </c>
      <c r="M1156" s="22" t="n">
        <f aca="false">L1156*Assumptions!B31</f>
        <v>5700</v>
      </c>
      <c r="N1156" s="22" t="n">
        <f aca="false">J1156+M1156</f>
        <v>20100</v>
      </c>
      <c r="O1156" s="22" t="n">
        <f aca="false">IF(DAY(B1156)=1,Assumptions!B38*G1156,0)</f>
        <v>0</v>
      </c>
      <c r="P1156" s="22" t="n">
        <f aca="false">IF(DAY(B1156)=1,Assumptions!B39*G1156,0)</f>
        <v>0</v>
      </c>
      <c r="Q1156" s="22" t="n">
        <f aca="false">IF(DAY(B1156)=1,Assumptions!B40*G1156,0)</f>
        <v>0</v>
      </c>
      <c r="R1156" s="22" t="n">
        <f aca="false">IF(DAY(B1156)=1,Assumptions!B41*G1156,0)</f>
        <v>0</v>
      </c>
      <c r="S1156" s="22" t="n">
        <f aca="false">IF(AND(DAY(B1156)=1,D1156&gt;=13),Assumptions!B42*G1156,0)</f>
        <v>0</v>
      </c>
      <c r="T1156" s="22" t="n">
        <f aca="false">IF(DAY(B1156)=1,Assumptions!B43*G1156,0)</f>
        <v>0</v>
      </c>
      <c r="U1156" s="22" t="n">
        <f aca="false">SUM(O1156:T1156)</f>
        <v>0</v>
      </c>
      <c r="V1156" s="22" t="n">
        <f aca="false">N1156-U1156</f>
        <v>20100</v>
      </c>
      <c r="W1156" s="22" t="n">
        <f aca="false">W1155+V1156</f>
        <v>-1397620.23930219</v>
      </c>
      <c r="X1156" s="23" t="str">
        <f aca="false">IF(W1156&gt;=0,"YES","No")</f>
        <v>No</v>
      </c>
    </row>
    <row r="1157" customFormat="false" ht="15" hidden="false" customHeight="false" outlineLevel="0" collapsed="false">
      <c r="A1157" s="16" t="n">
        <v>1156</v>
      </c>
      <c r="B1157" s="17" t="n">
        <f aca="false">B1156+1</f>
        <v>47178</v>
      </c>
      <c r="C1157" s="18" t="n">
        <f aca="false">MIN(ROUNDUP(A1157/365,0),5)</f>
        <v>4</v>
      </c>
      <c r="D1157" s="18" t="n">
        <f aca="false">DATEDIF(Assumptions!B5,B1157,"m")+1</f>
        <v>39</v>
      </c>
      <c r="E1157" s="18" t="str">
        <f aca="false">TEXT(B1157,"ddd")</f>
        <v>Thu</v>
      </c>
      <c r="F1157" s="19" t="n">
        <f aca="false">IF(WEEKDAY(B1157,2)&gt;=6,Assumptions!B34,Assumptions!B35)</f>
        <v>1</v>
      </c>
      <c r="G1157" s="20" t="n">
        <f aca="false">IF(D1157&gt;=13,(1+Assumptions!B46)^(D1157-12),1)</f>
        <v>1.08423941638514</v>
      </c>
      <c r="H1157" s="21" t="n">
        <f aca="false">H1156*(1+IF(C1157=1,Assumptions!B22,Assumptions!B23))</f>
        <v>23.6947470437727</v>
      </c>
      <c r="I1157" s="16" t="n">
        <f aca="false">ROUND(H1157*F1157,0)</f>
        <v>24</v>
      </c>
      <c r="J1157" s="22" t="n">
        <f aca="false">I1157*Assumptions!B24</f>
        <v>14400</v>
      </c>
      <c r="K1157" s="21" t="n">
        <f aca="false">K1156*(1+Assumptions!B30)</f>
        <v>19.1682899209695</v>
      </c>
      <c r="L1157" s="16" t="n">
        <f aca="false">ROUND(K1157*F1157,0)</f>
        <v>19</v>
      </c>
      <c r="M1157" s="22" t="n">
        <f aca="false">L1157*Assumptions!B31</f>
        <v>5700</v>
      </c>
      <c r="N1157" s="22" t="n">
        <f aca="false">J1157+M1157</f>
        <v>20100</v>
      </c>
      <c r="O1157" s="22" t="n">
        <f aca="false">IF(DAY(B1157)=1,Assumptions!B38*G1157,0)</f>
        <v>162635.91245777</v>
      </c>
      <c r="P1157" s="22" t="n">
        <f aca="false">IF(DAY(B1157)=1,Assumptions!B39*G1157,0)</f>
        <v>43369.5766554054</v>
      </c>
      <c r="Q1157" s="22" t="n">
        <f aca="false">IF(DAY(B1157)=1,Assumptions!B40*G1157,0)</f>
        <v>32527.1824915541</v>
      </c>
      <c r="R1157" s="22" t="n">
        <f aca="false">IF(DAY(B1157)=1,Assumptions!B41*G1157,0)</f>
        <v>21684.7883277027</v>
      </c>
      <c r="S1157" s="22" t="n">
        <f aca="false">IF(AND(DAY(B1157)=1,D1157&gt;=13),Assumptions!B42*G1157,0)</f>
        <v>162635.91245777</v>
      </c>
      <c r="T1157" s="22" t="n">
        <f aca="false">IF(DAY(B1157)=1,Assumptions!B43*G1157,0)</f>
        <v>21684.7883277027</v>
      </c>
      <c r="U1157" s="22" t="n">
        <f aca="false">SUM(O1157:T1157)</f>
        <v>444538.160717905</v>
      </c>
      <c r="V1157" s="22" t="n">
        <f aca="false">N1157-U1157</f>
        <v>-424438.160717905</v>
      </c>
      <c r="W1157" s="22" t="n">
        <f aca="false">W1156+V1157</f>
        <v>-1822058.40002009</v>
      </c>
      <c r="X1157" s="23" t="str">
        <f aca="false">IF(W1157&gt;=0,"YES","No")</f>
        <v>No</v>
      </c>
    </row>
    <row r="1158" customFormat="false" ht="15" hidden="false" customHeight="false" outlineLevel="0" collapsed="false">
      <c r="A1158" s="16" t="n">
        <v>1157</v>
      </c>
      <c r="B1158" s="17" t="n">
        <f aca="false">B1157+1</f>
        <v>47179</v>
      </c>
      <c r="C1158" s="18" t="n">
        <f aca="false">MIN(ROUNDUP(A1158/365,0),5)</f>
        <v>4</v>
      </c>
      <c r="D1158" s="18" t="n">
        <f aca="false">DATEDIF(Assumptions!B5,B1158,"m")+1</f>
        <v>39</v>
      </c>
      <c r="E1158" s="18" t="str">
        <f aca="false">TEXT(B1158,"ddd")</f>
        <v>Fri</v>
      </c>
      <c r="F1158" s="19" t="n">
        <f aca="false">IF(WEEKDAY(B1158,2)&gt;=6,Assumptions!B34,Assumptions!B35)</f>
        <v>1</v>
      </c>
      <c r="G1158" s="20" t="n">
        <f aca="false">IF(D1158&gt;=13,(1+Assumptions!B46)^(D1158-12),1)</f>
        <v>1.08423941638514</v>
      </c>
      <c r="H1158" s="21" t="n">
        <f aca="false">H1157*(1+IF(C1158=1,Assumptions!B22,Assumptions!B23))</f>
        <v>23.698629705293</v>
      </c>
      <c r="I1158" s="16" t="n">
        <f aca="false">ROUND(H1158*F1158,0)</f>
        <v>24</v>
      </c>
      <c r="J1158" s="22" t="n">
        <f aca="false">I1158*Assumptions!B24</f>
        <v>14400</v>
      </c>
      <c r="K1158" s="21" t="n">
        <f aca="false">K1157*(1+Assumptions!B30)</f>
        <v>19.1745567410539</v>
      </c>
      <c r="L1158" s="16" t="n">
        <f aca="false">ROUND(K1158*F1158,0)</f>
        <v>19</v>
      </c>
      <c r="M1158" s="22" t="n">
        <f aca="false">L1158*Assumptions!B31</f>
        <v>5700</v>
      </c>
      <c r="N1158" s="22" t="n">
        <f aca="false">J1158+M1158</f>
        <v>20100</v>
      </c>
      <c r="O1158" s="22" t="n">
        <f aca="false">IF(DAY(B1158)=1,Assumptions!B38*G1158,0)</f>
        <v>0</v>
      </c>
      <c r="P1158" s="22" t="n">
        <f aca="false">IF(DAY(B1158)=1,Assumptions!B39*G1158,0)</f>
        <v>0</v>
      </c>
      <c r="Q1158" s="22" t="n">
        <f aca="false">IF(DAY(B1158)=1,Assumptions!B40*G1158,0)</f>
        <v>0</v>
      </c>
      <c r="R1158" s="22" t="n">
        <f aca="false">IF(DAY(B1158)=1,Assumptions!B41*G1158,0)</f>
        <v>0</v>
      </c>
      <c r="S1158" s="22" t="n">
        <f aca="false">IF(AND(DAY(B1158)=1,D1158&gt;=13),Assumptions!B42*G1158,0)</f>
        <v>0</v>
      </c>
      <c r="T1158" s="22" t="n">
        <f aca="false">IF(DAY(B1158)=1,Assumptions!B43*G1158,0)</f>
        <v>0</v>
      </c>
      <c r="U1158" s="22" t="n">
        <f aca="false">SUM(O1158:T1158)</f>
        <v>0</v>
      </c>
      <c r="V1158" s="22" t="n">
        <f aca="false">N1158-U1158</f>
        <v>20100</v>
      </c>
      <c r="W1158" s="22" t="n">
        <f aca="false">W1157+V1158</f>
        <v>-1801958.40002009</v>
      </c>
      <c r="X1158" s="23" t="str">
        <f aca="false">IF(W1158&gt;=0,"YES","No")</f>
        <v>No</v>
      </c>
    </row>
    <row r="1159" customFormat="false" ht="15" hidden="false" customHeight="false" outlineLevel="0" collapsed="false">
      <c r="A1159" s="16" t="n">
        <v>1158</v>
      </c>
      <c r="B1159" s="17" t="n">
        <f aca="false">B1158+1</f>
        <v>47180</v>
      </c>
      <c r="C1159" s="18" t="n">
        <f aca="false">MIN(ROUNDUP(A1159/365,0),5)</f>
        <v>4</v>
      </c>
      <c r="D1159" s="18" t="n">
        <f aca="false">DATEDIF(Assumptions!B5,B1159,"m")+1</f>
        <v>39</v>
      </c>
      <c r="E1159" s="18" t="str">
        <f aca="false">TEXT(B1159,"ddd")</f>
        <v>Sat</v>
      </c>
      <c r="F1159" s="19" t="n">
        <f aca="false">IF(WEEKDAY(B1159,2)&gt;=6,Assumptions!B34,Assumptions!B35)</f>
        <v>0.6</v>
      </c>
      <c r="G1159" s="20" t="n">
        <f aca="false">IF(D1159&gt;=13,(1+Assumptions!B46)^(D1159-12),1)</f>
        <v>1.08423941638514</v>
      </c>
      <c r="H1159" s="21" t="n">
        <f aca="false">H1158*(1+IF(C1159=1,Assumptions!B22,Assumptions!B23))</f>
        <v>23.7025130030328</v>
      </c>
      <c r="I1159" s="16" t="n">
        <f aca="false">ROUND(H1159*F1159,0)</f>
        <v>14</v>
      </c>
      <c r="J1159" s="22" t="n">
        <f aca="false">I1159*Assumptions!B24</f>
        <v>8400</v>
      </c>
      <c r="K1159" s="21" t="n">
        <f aca="false">K1158*(1+Assumptions!B30)</f>
        <v>19.1808256099927</v>
      </c>
      <c r="L1159" s="16" t="n">
        <f aca="false">ROUND(K1159*F1159,0)</f>
        <v>12</v>
      </c>
      <c r="M1159" s="22" t="n">
        <f aca="false">L1159*Assumptions!B31</f>
        <v>3600</v>
      </c>
      <c r="N1159" s="22" t="n">
        <f aca="false">J1159+M1159</f>
        <v>12000</v>
      </c>
      <c r="O1159" s="22" t="n">
        <f aca="false">IF(DAY(B1159)=1,Assumptions!B38*G1159,0)</f>
        <v>0</v>
      </c>
      <c r="P1159" s="22" t="n">
        <f aca="false">IF(DAY(B1159)=1,Assumptions!B39*G1159,0)</f>
        <v>0</v>
      </c>
      <c r="Q1159" s="22" t="n">
        <f aca="false">IF(DAY(B1159)=1,Assumptions!B40*G1159,0)</f>
        <v>0</v>
      </c>
      <c r="R1159" s="22" t="n">
        <f aca="false">IF(DAY(B1159)=1,Assumptions!B41*G1159,0)</f>
        <v>0</v>
      </c>
      <c r="S1159" s="22" t="n">
        <f aca="false">IF(AND(DAY(B1159)=1,D1159&gt;=13),Assumptions!B42*G1159,0)</f>
        <v>0</v>
      </c>
      <c r="T1159" s="22" t="n">
        <f aca="false">IF(DAY(B1159)=1,Assumptions!B43*G1159,0)</f>
        <v>0</v>
      </c>
      <c r="U1159" s="22" t="n">
        <f aca="false">SUM(O1159:T1159)</f>
        <v>0</v>
      </c>
      <c r="V1159" s="22" t="n">
        <f aca="false">N1159-U1159</f>
        <v>12000</v>
      </c>
      <c r="W1159" s="22" t="n">
        <f aca="false">W1158+V1159</f>
        <v>-1789958.40002009</v>
      </c>
      <c r="X1159" s="23" t="str">
        <f aca="false">IF(W1159&gt;=0,"YES","No")</f>
        <v>No</v>
      </c>
    </row>
    <row r="1160" customFormat="false" ht="15" hidden="false" customHeight="false" outlineLevel="0" collapsed="false">
      <c r="A1160" s="16" t="n">
        <v>1159</v>
      </c>
      <c r="B1160" s="17" t="n">
        <f aca="false">B1159+1</f>
        <v>47181</v>
      </c>
      <c r="C1160" s="18" t="n">
        <f aca="false">MIN(ROUNDUP(A1160/365,0),5)</f>
        <v>4</v>
      </c>
      <c r="D1160" s="18" t="n">
        <f aca="false">DATEDIF(Assumptions!B5,B1160,"m")+1</f>
        <v>39</v>
      </c>
      <c r="E1160" s="18" t="str">
        <f aca="false">TEXT(B1160,"ddd")</f>
        <v>Sun</v>
      </c>
      <c r="F1160" s="19" t="n">
        <f aca="false">IF(WEEKDAY(B1160,2)&gt;=6,Assumptions!B34,Assumptions!B35)</f>
        <v>0.6</v>
      </c>
      <c r="G1160" s="20" t="n">
        <f aca="false">IF(D1160&gt;=13,(1+Assumptions!B46)^(D1160-12),1)</f>
        <v>1.08423941638514</v>
      </c>
      <c r="H1160" s="21" t="n">
        <f aca="false">H1159*(1+IF(C1160=1,Assumptions!B22,Assumptions!B23))</f>
        <v>23.7063969370963</v>
      </c>
      <c r="I1160" s="16" t="n">
        <f aca="false">ROUND(H1160*F1160,0)</f>
        <v>14</v>
      </c>
      <c r="J1160" s="22" t="n">
        <f aca="false">I1160*Assumptions!B24</f>
        <v>8400</v>
      </c>
      <c r="K1160" s="21" t="n">
        <f aca="false">K1159*(1+Assumptions!B30)</f>
        <v>19.1870965284557</v>
      </c>
      <c r="L1160" s="16" t="n">
        <f aca="false">ROUND(K1160*F1160,0)</f>
        <v>12</v>
      </c>
      <c r="M1160" s="22" t="n">
        <f aca="false">L1160*Assumptions!B31</f>
        <v>3600</v>
      </c>
      <c r="N1160" s="22" t="n">
        <f aca="false">J1160+M1160</f>
        <v>12000</v>
      </c>
      <c r="O1160" s="22" t="n">
        <f aca="false">IF(DAY(B1160)=1,Assumptions!B38*G1160,0)</f>
        <v>0</v>
      </c>
      <c r="P1160" s="22" t="n">
        <f aca="false">IF(DAY(B1160)=1,Assumptions!B39*G1160,0)</f>
        <v>0</v>
      </c>
      <c r="Q1160" s="22" t="n">
        <f aca="false">IF(DAY(B1160)=1,Assumptions!B40*G1160,0)</f>
        <v>0</v>
      </c>
      <c r="R1160" s="22" t="n">
        <f aca="false">IF(DAY(B1160)=1,Assumptions!B41*G1160,0)</f>
        <v>0</v>
      </c>
      <c r="S1160" s="22" t="n">
        <f aca="false">IF(AND(DAY(B1160)=1,D1160&gt;=13),Assumptions!B42*G1160,0)</f>
        <v>0</v>
      </c>
      <c r="T1160" s="22" t="n">
        <f aca="false">IF(DAY(B1160)=1,Assumptions!B43*G1160,0)</f>
        <v>0</v>
      </c>
      <c r="U1160" s="22" t="n">
        <f aca="false">SUM(O1160:T1160)</f>
        <v>0</v>
      </c>
      <c r="V1160" s="22" t="n">
        <f aca="false">N1160-U1160</f>
        <v>12000</v>
      </c>
      <c r="W1160" s="22" t="n">
        <f aca="false">W1159+V1160</f>
        <v>-1777958.40002009</v>
      </c>
      <c r="X1160" s="23" t="str">
        <f aca="false">IF(W1160&gt;=0,"YES","No")</f>
        <v>No</v>
      </c>
    </row>
    <row r="1161" customFormat="false" ht="15" hidden="false" customHeight="false" outlineLevel="0" collapsed="false">
      <c r="A1161" s="16" t="n">
        <v>1160</v>
      </c>
      <c r="B1161" s="17" t="n">
        <f aca="false">B1160+1</f>
        <v>47182</v>
      </c>
      <c r="C1161" s="18" t="n">
        <f aca="false">MIN(ROUNDUP(A1161/365,0),5)</f>
        <v>4</v>
      </c>
      <c r="D1161" s="18" t="n">
        <f aca="false">DATEDIF(Assumptions!B5,B1161,"m")+1</f>
        <v>39</v>
      </c>
      <c r="E1161" s="18" t="str">
        <f aca="false">TEXT(B1161,"ddd")</f>
        <v>Mon</v>
      </c>
      <c r="F1161" s="19" t="n">
        <f aca="false">IF(WEEKDAY(B1161,2)&gt;=6,Assumptions!B34,Assumptions!B35)</f>
        <v>1</v>
      </c>
      <c r="G1161" s="20" t="n">
        <f aca="false">IF(D1161&gt;=13,(1+Assumptions!B46)^(D1161-12),1)</f>
        <v>1.08423941638514</v>
      </c>
      <c r="H1161" s="21" t="n">
        <f aca="false">H1160*(1+IF(C1161=1,Assumptions!B22,Assumptions!B23))</f>
        <v>23.710281507588</v>
      </c>
      <c r="I1161" s="16" t="n">
        <f aca="false">ROUND(H1161*F1161,0)</f>
        <v>24</v>
      </c>
      <c r="J1161" s="22" t="n">
        <f aca="false">I1161*Assumptions!B24</f>
        <v>14400</v>
      </c>
      <c r="K1161" s="21" t="n">
        <f aca="false">K1160*(1+Assumptions!B30)</f>
        <v>19.1933694971129</v>
      </c>
      <c r="L1161" s="16" t="n">
        <f aca="false">ROUND(K1161*F1161,0)</f>
        <v>19</v>
      </c>
      <c r="M1161" s="22" t="n">
        <f aca="false">L1161*Assumptions!B31</f>
        <v>5700</v>
      </c>
      <c r="N1161" s="22" t="n">
        <f aca="false">J1161+M1161</f>
        <v>20100</v>
      </c>
      <c r="O1161" s="22" t="n">
        <f aca="false">IF(DAY(B1161)=1,Assumptions!B38*G1161,0)</f>
        <v>0</v>
      </c>
      <c r="P1161" s="22" t="n">
        <f aca="false">IF(DAY(B1161)=1,Assumptions!B39*G1161,0)</f>
        <v>0</v>
      </c>
      <c r="Q1161" s="22" t="n">
        <f aca="false">IF(DAY(B1161)=1,Assumptions!B40*G1161,0)</f>
        <v>0</v>
      </c>
      <c r="R1161" s="22" t="n">
        <f aca="false">IF(DAY(B1161)=1,Assumptions!B41*G1161,0)</f>
        <v>0</v>
      </c>
      <c r="S1161" s="22" t="n">
        <f aca="false">IF(AND(DAY(B1161)=1,D1161&gt;=13),Assumptions!B42*G1161,0)</f>
        <v>0</v>
      </c>
      <c r="T1161" s="22" t="n">
        <f aca="false">IF(DAY(B1161)=1,Assumptions!B43*G1161,0)</f>
        <v>0</v>
      </c>
      <c r="U1161" s="22" t="n">
        <f aca="false">SUM(O1161:T1161)</f>
        <v>0</v>
      </c>
      <c r="V1161" s="22" t="n">
        <f aca="false">N1161-U1161</f>
        <v>20100</v>
      </c>
      <c r="W1161" s="22" t="n">
        <f aca="false">W1160+V1161</f>
        <v>-1757858.40002009</v>
      </c>
      <c r="X1161" s="23" t="str">
        <f aca="false">IF(W1161&gt;=0,"YES","No")</f>
        <v>No</v>
      </c>
    </row>
    <row r="1162" customFormat="false" ht="15" hidden="false" customHeight="false" outlineLevel="0" collapsed="false">
      <c r="A1162" s="16" t="n">
        <v>1161</v>
      </c>
      <c r="B1162" s="17" t="n">
        <f aca="false">B1161+1</f>
        <v>47183</v>
      </c>
      <c r="C1162" s="18" t="n">
        <f aca="false">MIN(ROUNDUP(A1162/365,0),5)</f>
        <v>4</v>
      </c>
      <c r="D1162" s="18" t="n">
        <f aca="false">DATEDIF(Assumptions!B5,B1162,"m")+1</f>
        <v>39</v>
      </c>
      <c r="E1162" s="18" t="str">
        <f aca="false">TEXT(B1162,"ddd")</f>
        <v>Tue</v>
      </c>
      <c r="F1162" s="19" t="n">
        <f aca="false">IF(WEEKDAY(B1162,2)&gt;=6,Assumptions!B34,Assumptions!B35)</f>
        <v>1</v>
      </c>
      <c r="G1162" s="20" t="n">
        <f aca="false">IF(D1162&gt;=13,(1+Assumptions!B46)^(D1162-12),1)</f>
        <v>1.08423941638514</v>
      </c>
      <c r="H1162" s="21" t="n">
        <f aca="false">H1161*(1+IF(C1162=1,Assumptions!B22,Assumptions!B23))</f>
        <v>23.7141667146119</v>
      </c>
      <c r="I1162" s="16" t="n">
        <f aca="false">ROUND(H1162*F1162,0)</f>
        <v>24</v>
      </c>
      <c r="J1162" s="22" t="n">
        <f aca="false">I1162*Assumptions!B24</f>
        <v>14400</v>
      </c>
      <c r="K1162" s="21" t="n">
        <f aca="false">K1161*(1+Assumptions!B30)</f>
        <v>19.1996445166347</v>
      </c>
      <c r="L1162" s="16" t="n">
        <f aca="false">ROUND(K1162*F1162,0)</f>
        <v>19</v>
      </c>
      <c r="M1162" s="22" t="n">
        <f aca="false">L1162*Assumptions!B31</f>
        <v>5700</v>
      </c>
      <c r="N1162" s="22" t="n">
        <f aca="false">J1162+M1162</f>
        <v>20100</v>
      </c>
      <c r="O1162" s="22" t="n">
        <f aca="false">IF(DAY(B1162)=1,Assumptions!B38*G1162,0)</f>
        <v>0</v>
      </c>
      <c r="P1162" s="22" t="n">
        <f aca="false">IF(DAY(B1162)=1,Assumptions!B39*G1162,0)</f>
        <v>0</v>
      </c>
      <c r="Q1162" s="22" t="n">
        <f aca="false">IF(DAY(B1162)=1,Assumptions!B40*G1162,0)</f>
        <v>0</v>
      </c>
      <c r="R1162" s="22" t="n">
        <f aca="false">IF(DAY(B1162)=1,Assumptions!B41*G1162,0)</f>
        <v>0</v>
      </c>
      <c r="S1162" s="22" t="n">
        <f aca="false">IF(AND(DAY(B1162)=1,D1162&gt;=13),Assumptions!B42*G1162,0)</f>
        <v>0</v>
      </c>
      <c r="T1162" s="22" t="n">
        <f aca="false">IF(DAY(B1162)=1,Assumptions!B43*G1162,0)</f>
        <v>0</v>
      </c>
      <c r="U1162" s="22" t="n">
        <f aca="false">SUM(O1162:T1162)</f>
        <v>0</v>
      </c>
      <c r="V1162" s="22" t="n">
        <f aca="false">N1162-U1162</f>
        <v>20100</v>
      </c>
      <c r="W1162" s="22" t="n">
        <f aca="false">W1161+V1162</f>
        <v>-1737758.40002009</v>
      </c>
      <c r="X1162" s="23" t="str">
        <f aca="false">IF(W1162&gt;=0,"YES","No")</f>
        <v>No</v>
      </c>
    </row>
    <row r="1163" customFormat="false" ht="15" hidden="false" customHeight="false" outlineLevel="0" collapsed="false">
      <c r="A1163" s="16" t="n">
        <v>1162</v>
      </c>
      <c r="B1163" s="17" t="n">
        <f aca="false">B1162+1</f>
        <v>47184</v>
      </c>
      <c r="C1163" s="18" t="n">
        <f aca="false">MIN(ROUNDUP(A1163/365,0),5)</f>
        <v>4</v>
      </c>
      <c r="D1163" s="18" t="n">
        <f aca="false">DATEDIF(Assumptions!B5,B1163,"m")+1</f>
        <v>39</v>
      </c>
      <c r="E1163" s="18" t="str">
        <f aca="false">TEXT(B1163,"ddd")</f>
        <v>Wed</v>
      </c>
      <c r="F1163" s="19" t="n">
        <f aca="false">IF(WEEKDAY(B1163,2)&gt;=6,Assumptions!B34,Assumptions!B35)</f>
        <v>1</v>
      </c>
      <c r="G1163" s="20" t="n">
        <f aca="false">IF(D1163&gt;=13,(1+Assumptions!B46)^(D1163-12),1)</f>
        <v>1.08423941638514</v>
      </c>
      <c r="H1163" s="21" t="n">
        <f aca="false">H1162*(1+IF(C1163=1,Assumptions!B22,Assumptions!B23))</f>
        <v>23.7180525582725</v>
      </c>
      <c r="I1163" s="16" t="n">
        <f aca="false">ROUND(H1163*F1163,0)</f>
        <v>24</v>
      </c>
      <c r="J1163" s="22" t="n">
        <f aca="false">I1163*Assumptions!B24</f>
        <v>14400</v>
      </c>
      <c r="K1163" s="21" t="n">
        <f aca="false">K1162*(1+Assumptions!B30)</f>
        <v>19.2059215876915</v>
      </c>
      <c r="L1163" s="16" t="n">
        <f aca="false">ROUND(K1163*F1163,0)</f>
        <v>19</v>
      </c>
      <c r="M1163" s="22" t="n">
        <f aca="false">L1163*Assumptions!B31</f>
        <v>5700</v>
      </c>
      <c r="N1163" s="22" t="n">
        <f aca="false">J1163+M1163</f>
        <v>20100</v>
      </c>
      <c r="O1163" s="22" t="n">
        <f aca="false">IF(DAY(B1163)=1,Assumptions!B38*G1163,0)</f>
        <v>0</v>
      </c>
      <c r="P1163" s="22" t="n">
        <f aca="false">IF(DAY(B1163)=1,Assumptions!B39*G1163,0)</f>
        <v>0</v>
      </c>
      <c r="Q1163" s="22" t="n">
        <f aca="false">IF(DAY(B1163)=1,Assumptions!B40*G1163,0)</f>
        <v>0</v>
      </c>
      <c r="R1163" s="22" t="n">
        <f aca="false">IF(DAY(B1163)=1,Assumptions!B41*G1163,0)</f>
        <v>0</v>
      </c>
      <c r="S1163" s="22" t="n">
        <f aca="false">IF(AND(DAY(B1163)=1,D1163&gt;=13),Assumptions!B42*G1163,0)</f>
        <v>0</v>
      </c>
      <c r="T1163" s="22" t="n">
        <f aca="false">IF(DAY(B1163)=1,Assumptions!B43*G1163,0)</f>
        <v>0</v>
      </c>
      <c r="U1163" s="22" t="n">
        <f aca="false">SUM(O1163:T1163)</f>
        <v>0</v>
      </c>
      <c r="V1163" s="22" t="n">
        <f aca="false">N1163-U1163</f>
        <v>20100</v>
      </c>
      <c r="W1163" s="22" t="n">
        <f aca="false">W1162+V1163</f>
        <v>-1717658.40002009</v>
      </c>
      <c r="X1163" s="23" t="str">
        <f aca="false">IF(W1163&gt;=0,"YES","No")</f>
        <v>No</v>
      </c>
    </row>
    <row r="1164" customFormat="false" ht="15" hidden="false" customHeight="false" outlineLevel="0" collapsed="false">
      <c r="A1164" s="16" t="n">
        <v>1163</v>
      </c>
      <c r="B1164" s="17" t="n">
        <f aca="false">B1163+1</f>
        <v>47185</v>
      </c>
      <c r="C1164" s="18" t="n">
        <f aca="false">MIN(ROUNDUP(A1164/365,0),5)</f>
        <v>4</v>
      </c>
      <c r="D1164" s="18" t="n">
        <f aca="false">DATEDIF(Assumptions!B5,B1164,"m")+1</f>
        <v>39</v>
      </c>
      <c r="E1164" s="18" t="str">
        <f aca="false">TEXT(B1164,"ddd")</f>
        <v>Thu</v>
      </c>
      <c r="F1164" s="19" t="n">
        <f aca="false">IF(WEEKDAY(B1164,2)&gt;=6,Assumptions!B34,Assumptions!B35)</f>
        <v>1</v>
      </c>
      <c r="G1164" s="20" t="n">
        <f aca="false">IF(D1164&gt;=13,(1+Assumptions!B46)^(D1164-12),1)</f>
        <v>1.08423941638514</v>
      </c>
      <c r="H1164" s="21" t="n">
        <f aca="false">H1163*(1+IF(C1164=1,Assumptions!B22,Assumptions!B23))</f>
        <v>23.721939038674</v>
      </c>
      <c r="I1164" s="16" t="n">
        <f aca="false">ROUND(H1164*F1164,0)</f>
        <v>24</v>
      </c>
      <c r="J1164" s="22" t="n">
        <f aca="false">I1164*Assumptions!B24</f>
        <v>14400</v>
      </c>
      <c r="K1164" s="21" t="n">
        <f aca="false">K1163*(1+Assumptions!B30)</f>
        <v>19.2122007109541</v>
      </c>
      <c r="L1164" s="16" t="n">
        <f aca="false">ROUND(K1164*F1164,0)</f>
        <v>19</v>
      </c>
      <c r="M1164" s="22" t="n">
        <f aca="false">L1164*Assumptions!B31</f>
        <v>5700</v>
      </c>
      <c r="N1164" s="22" t="n">
        <f aca="false">J1164+M1164</f>
        <v>20100</v>
      </c>
      <c r="O1164" s="22" t="n">
        <f aca="false">IF(DAY(B1164)=1,Assumptions!B38*G1164,0)</f>
        <v>0</v>
      </c>
      <c r="P1164" s="22" t="n">
        <f aca="false">IF(DAY(B1164)=1,Assumptions!B39*G1164,0)</f>
        <v>0</v>
      </c>
      <c r="Q1164" s="22" t="n">
        <f aca="false">IF(DAY(B1164)=1,Assumptions!B40*G1164,0)</f>
        <v>0</v>
      </c>
      <c r="R1164" s="22" t="n">
        <f aca="false">IF(DAY(B1164)=1,Assumptions!B41*G1164,0)</f>
        <v>0</v>
      </c>
      <c r="S1164" s="22" t="n">
        <f aca="false">IF(AND(DAY(B1164)=1,D1164&gt;=13),Assumptions!B42*G1164,0)</f>
        <v>0</v>
      </c>
      <c r="T1164" s="22" t="n">
        <f aca="false">IF(DAY(B1164)=1,Assumptions!B43*G1164,0)</f>
        <v>0</v>
      </c>
      <c r="U1164" s="22" t="n">
        <f aca="false">SUM(O1164:T1164)</f>
        <v>0</v>
      </c>
      <c r="V1164" s="22" t="n">
        <f aca="false">N1164-U1164</f>
        <v>20100</v>
      </c>
      <c r="W1164" s="22" t="n">
        <f aca="false">W1163+V1164</f>
        <v>-1697558.40002009</v>
      </c>
      <c r="X1164" s="23" t="str">
        <f aca="false">IF(W1164&gt;=0,"YES","No")</f>
        <v>No</v>
      </c>
    </row>
    <row r="1165" customFormat="false" ht="15" hidden="false" customHeight="false" outlineLevel="0" collapsed="false">
      <c r="A1165" s="16" t="n">
        <v>1164</v>
      </c>
      <c r="B1165" s="17" t="n">
        <f aca="false">B1164+1</f>
        <v>47186</v>
      </c>
      <c r="C1165" s="18" t="n">
        <f aca="false">MIN(ROUNDUP(A1165/365,0),5)</f>
        <v>4</v>
      </c>
      <c r="D1165" s="18" t="n">
        <f aca="false">DATEDIF(Assumptions!B5,B1165,"m")+1</f>
        <v>39</v>
      </c>
      <c r="E1165" s="18" t="str">
        <f aca="false">TEXT(B1165,"ddd")</f>
        <v>Fri</v>
      </c>
      <c r="F1165" s="19" t="n">
        <f aca="false">IF(WEEKDAY(B1165,2)&gt;=6,Assumptions!B34,Assumptions!B35)</f>
        <v>1</v>
      </c>
      <c r="G1165" s="20" t="n">
        <f aca="false">IF(D1165&gt;=13,(1+Assumptions!B46)^(D1165-12),1)</f>
        <v>1.08423941638514</v>
      </c>
      <c r="H1165" s="21" t="n">
        <f aca="false">H1164*(1+IF(C1165=1,Assumptions!B22,Assumptions!B23))</f>
        <v>23.7258261559207</v>
      </c>
      <c r="I1165" s="16" t="n">
        <f aca="false">ROUND(H1165*F1165,0)</f>
        <v>24</v>
      </c>
      <c r="J1165" s="22" t="n">
        <f aca="false">I1165*Assumptions!B24</f>
        <v>14400</v>
      </c>
      <c r="K1165" s="21" t="n">
        <f aca="false">K1164*(1+Assumptions!B30)</f>
        <v>19.2184818870933</v>
      </c>
      <c r="L1165" s="16" t="n">
        <f aca="false">ROUND(K1165*F1165,0)</f>
        <v>19</v>
      </c>
      <c r="M1165" s="22" t="n">
        <f aca="false">L1165*Assumptions!B31</f>
        <v>5700</v>
      </c>
      <c r="N1165" s="22" t="n">
        <f aca="false">J1165+M1165</f>
        <v>20100</v>
      </c>
      <c r="O1165" s="22" t="n">
        <f aca="false">IF(DAY(B1165)=1,Assumptions!B38*G1165,0)</f>
        <v>0</v>
      </c>
      <c r="P1165" s="22" t="n">
        <f aca="false">IF(DAY(B1165)=1,Assumptions!B39*G1165,0)</f>
        <v>0</v>
      </c>
      <c r="Q1165" s="22" t="n">
        <f aca="false">IF(DAY(B1165)=1,Assumptions!B40*G1165,0)</f>
        <v>0</v>
      </c>
      <c r="R1165" s="22" t="n">
        <f aca="false">IF(DAY(B1165)=1,Assumptions!B41*G1165,0)</f>
        <v>0</v>
      </c>
      <c r="S1165" s="22" t="n">
        <f aca="false">IF(AND(DAY(B1165)=1,D1165&gt;=13),Assumptions!B42*G1165,0)</f>
        <v>0</v>
      </c>
      <c r="T1165" s="22" t="n">
        <f aca="false">IF(DAY(B1165)=1,Assumptions!B43*G1165,0)</f>
        <v>0</v>
      </c>
      <c r="U1165" s="22" t="n">
        <f aca="false">SUM(O1165:T1165)</f>
        <v>0</v>
      </c>
      <c r="V1165" s="22" t="n">
        <f aca="false">N1165-U1165</f>
        <v>20100</v>
      </c>
      <c r="W1165" s="22" t="n">
        <f aca="false">W1164+V1165</f>
        <v>-1677458.40002009</v>
      </c>
      <c r="X1165" s="23" t="str">
        <f aca="false">IF(W1165&gt;=0,"YES","No")</f>
        <v>No</v>
      </c>
    </row>
    <row r="1166" customFormat="false" ht="15" hidden="false" customHeight="false" outlineLevel="0" collapsed="false">
      <c r="A1166" s="16" t="n">
        <v>1165</v>
      </c>
      <c r="B1166" s="17" t="n">
        <f aca="false">B1165+1</f>
        <v>47187</v>
      </c>
      <c r="C1166" s="18" t="n">
        <f aca="false">MIN(ROUNDUP(A1166/365,0),5)</f>
        <v>4</v>
      </c>
      <c r="D1166" s="18" t="n">
        <f aca="false">DATEDIF(Assumptions!B5,B1166,"m")+1</f>
        <v>39</v>
      </c>
      <c r="E1166" s="18" t="str">
        <f aca="false">TEXT(B1166,"ddd")</f>
        <v>Sat</v>
      </c>
      <c r="F1166" s="19" t="n">
        <f aca="false">IF(WEEKDAY(B1166,2)&gt;=6,Assumptions!B34,Assumptions!B35)</f>
        <v>0.6</v>
      </c>
      <c r="G1166" s="20" t="n">
        <f aca="false">IF(D1166&gt;=13,(1+Assumptions!B46)^(D1166-12),1)</f>
        <v>1.08423941638514</v>
      </c>
      <c r="H1166" s="21" t="n">
        <f aca="false">H1165*(1+IF(C1166=1,Assumptions!B22,Assumptions!B23))</f>
        <v>23.7297139101172</v>
      </c>
      <c r="I1166" s="16" t="n">
        <f aca="false">ROUND(H1166*F1166,0)</f>
        <v>14</v>
      </c>
      <c r="J1166" s="22" t="n">
        <f aca="false">I1166*Assumptions!B24</f>
        <v>8400</v>
      </c>
      <c r="K1166" s="21" t="n">
        <f aca="false">K1165*(1+Assumptions!B30)</f>
        <v>19.2247651167805</v>
      </c>
      <c r="L1166" s="16" t="n">
        <f aca="false">ROUND(K1166*F1166,0)</f>
        <v>12</v>
      </c>
      <c r="M1166" s="22" t="n">
        <f aca="false">L1166*Assumptions!B31</f>
        <v>3600</v>
      </c>
      <c r="N1166" s="22" t="n">
        <f aca="false">J1166+M1166</f>
        <v>12000</v>
      </c>
      <c r="O1166" s="22" t="n">
        <f aca="false">IF(DAY(B1166)=1,Assumptions!B38*G1166,0)</f>
        <v>0</v>
      </c>
      <c r="P1166" s="22" t="n">
        <f aca="false">IF(DAY(B1166)=1,Assumptions!B39*G1166,0)</f>
        <v>0</v>
      </c>
      <c r="Q1166" s="22" t="n">
        <f aca="false">IF(DAY(B1166)=1,Assumptions!B40*G1166,0)</f>
        <v>0</v>
      </c>
      <c r="R1166" s="22" t="n">
        <f aca="false">IF(DAY(B1166)=1,Assumptions!B41*G1166,0)</f>
        <v>0</v>
      </c>
      <c r="S1166" s="22" t="n">
        <f aca="false">IF(AND(DAY(B1166)=1,D1166&gt;=13),Assumptions!B42*G1166,0)</f>
        <v>0</v>
      </c>
      <c r="T1166" s="22" t="n">
        <f aca="false">IF(DAY(B1166)=1,Assumptions!B43*G1166,0)</f>
        <v>0</v>
      </c>
      <c r="U1166" s="22" t="n">
        <f aca="false">SUM(O1166:T1166)</f>
        <v>0</v>
      </c>
      <c r="V1166" s="22" t="n">
        <f aca="false">N1166-U1166</f>
        <v>12000</v>
      </c>
      <c r="W1166" s="22" t="n">
        <f aca="false">W1165+V1166</f>
        <v>-1665458.40002009</v>
      </c>
      <c r="X1166" s="23" t="str">
        <f aca="false">IF(W1166&gt;=0,"YES","No")</f>
        <v>No</v>
      </c>
    </row>
    <row r="1167" customFormat="false" ht="15" hidden="false" customHeight="false" outlineLevel="0" collapsed="false">
      <c r="A1167" s="16" t="n">
        <v>1166</v>
      </c>
      <c r="B1167" s="17" t="n">
        <f aca="false">B1166+1</f>
        <v>47188</v>
      </c>
      <c r="C1167" s="18" t="n">
        <f aca="false">MIN(ROUNDUP(A1167/365,0),5)</f>
        <v>4</v>
      </c>
      <c r="D1167" s="18" t="n">
        <f aca="false">DATEDIF(Assumptions!B5,B1167,"m")+1</f>
        <v>39</v>
      </c>
      <c r="E1167" s="18" t="str">
        <f aca="false">TEXT(B1167,"ddd")</f>
        <v>Sun</v>
      </c>
      <c r="F1167" s="19" t="n">
        <f aca="false">IF(WEEKDAY(B1167,2)&gt;=6,Assumptions!B34,Assumptions!B35)</f>
        <v>0.6</v>
      </c>
      <c r="G1167" s="20" t="n">
        <f aca="false">IF(D1167&gt;=13,(1+Assumptions!B46)^(D1167-12),1)</f>
        <v>1.08423941638514</v>
      </c>
      <c r="H1167" s="21" t="n">
        <f aca="false">H1166*(1+IF(C1167=1,Assumptions!B22,Assumptions!B23))</f>
        <v>23.7336023013676</v>
      </c>
      <c r="I1167" s="16" t="n">
        <f aca="false">ROUND(H1167*F1167,0)</f>
        <v>14</v>
      </c>
      <c r="J1167" s="22" t="n">
        <f aca="false">I1167*Assumptions!B24</f>
        <v>8400</v>
      </c>
      <c r="K1167" s="21" t="n">
        <f aca="false">K1166*(1+Assumptions!B30)</f>
        <v>19.2310504006868</v>
      </c>
      <c r="L1167" s="16" t="n">
        <f aca="false">ROUND(K1167*F1167,0)</f>
        <v>12</v>
      </c>
      <c r="M1167" s="22" t="n">
        <f aca="false">L1167*Assumptions!B31</f>
        <v>3600</v>
      </c>
      <c r="N1167" s="22" t="n">
        <f aca="false">J1167+M1167</f>
        <v>12000</v>
      </c>
      <c r="O1167" s="22" t="n">
        <f aca="false">IF(DAY(B1167)=1,Assumptions!B38*G1167,0)</f>
        <v>0</v>
      </c>
      <c r="P1167" s="22" t="n">
        <f aca="false">IF(DAY(B1167)=1,Assumptions!B39*G1167,0)</f>
        <v>0</v>
      </c>
      <c r="Q1167" s="22" t="n">
        <f aca="false">IF(DAY(B1167)=1,Assumptions!B40*G1167,0)</f>
        <v>0</v>
      </c>
      <c r="R1167" s="22" t="n">
        <f aca="false">IF(DAY(B1167)=1,Assumptions!B41*G1167,0)</f>
        <v>0</v>
      </c>
      <c r="S1167" s="22" t="n">
        <f aca="false">IF(AND(DAY(B1167)=1,D1167&gt;=13),Assumptions!B42*G1167,0)</f>
        <v>0</v>
      </c>
      <c r="T1167" s="22" t="n">
        <f aca="false">IF(DAY(B1167)=1,Assumptions!B43*G1167,0)</f>
        <v>0</v>
      </c>
      <c r="U1167" s="22" t="n">
        <f aca="false">SUM(O1167:T1167)</f>
        <v>0</v>
      </c>
      <c r="V1167" s="22" t="n">
        <f aca="false">N1167-U1167</f>
        <v>12000</v>
      </c>
      <c r="W1167" s="22" t="n">
        <f aca="false">W1166+V1167</f>
        <v>-1653458.40002009</v>
      </c>
      <c r="X1167" s="23" t="str">
        <f aca="false">IF(W1167&gt;=0,"YES","No")</f>
        <v>No</v>
      </c>
    </row>
    <row r="1168" customFormat="false" ht="15" hidden="false" customHeight="false" outlineLevel="0" collapsed="false">
      <c r="A1168" s="16" t="n">
        <v>1167</v>
      </c>
      <c r="B1168" s="17" t="n">
        <f aca="false">B1167+1</f>
        <v>47189</v>
      </c>
      <c r="C1168" s="18" t="n">
        <f aca="false">MIN(ROUNDUP(A1168/365,0),5)</f>
        <v>4</v>
      </c>
      <c r="D1168" s="18" t="n">
        <f aca="false">DATEDIF(Assumptions!B5,B1168,"m")+1</f>
        <v>39</v>
      </c>
      <c r="E1168" s="18" t="str">
        <f aca="false">TEXT(B1168,"ddd")</f>
        <v>Mon</v>
      </c>
      <c r="F1168" s="19" t="n">
        <f aca="false">IF(WEEKDAY(B1168,2)&gt;=6,Assumptions!B34,Assumptions!B35)</f>
        <v>1</v>
      </c>
      <c r="G1168" s="20" t="n">
        <f aca="false">IF(D1168&gt;=13,(1+Assumptions!B46)^(D1168-12),1)</f>
        <v>1.08423941638514</v>
      </c>
      <c r="H1168" s="21" t="n">
        <f aca="false">H1167*(1+IF(C1168=1,Assumptions!B22,Assumptions!B23))</f>
        <v>23.7374913297764</v>
      </c>
      <c r="I1168" s="16" t="n">
        <f aca="false">ROUND(H1168*F1168,0)</f>
        <v>24</v>
      </c>
      <c r="J1168" s="22" t="n">
        <f aca="false">I1168*Assumptions!B24</f>
        <v>14400</v>
      </c>
      <c r="K1168" s="21" t="n">
        <f aca="false">K1167*(1+Assumptions!B30)</f>
        <v>19.2373377394841</v>
      </c>
      <c r="L1168" s="16" t="n">
        <f aca="false">ROUND(K1168*F1168,0)</f>
        <v>19</v>
      </c>
      <c r="M1168" s="22" t="n">
        <f aca="false">L1168*Assumptions!B31</f>
        <v>5700</v>
      </c>
      <c r="N1168" s="22" t="n">
        <f aca="false">J1168+M1168</f>
        <v>20100</v>
      </c>
      <c r="O1168" s="22" t="n">
        <f aca="false">IF(DAY(B1168)=1,Assumptions!B38*G1168,0)</f>
        <v>0</v>
      </c>
      <c r="P1168" s="22" t="n">
        <f aca="false">IF(DAY(B1168)=1,Assumptions!B39*G1168,0)</f>
        <v>0</v>
      </c>
      <c r="Q1168" s="22" t="n">
        <f aca="false">IF(DAY(B1168)=1,Assumptions!B40*G1168,0)</f>
        <v>0</v>
      </c>
      <c r="R1168" s="22" t="n">
        <f aca="false">IF(DAY(B1168)=1,Assumptions!B41*G1168,0)</f>
        <v>0</v>
      </c>
      <c r="S1168" s="22" t="n">
        <f aca="false">IF(AND(DAY(B1168)=1,D1168&gt;=13),Assumptions!B42*G1168,0)</f>
        <v>0</v>
      </c>
      <c r="T1168" s="22" t="n">
        <f aca="false">IF(DAY(B1168)=1,Assumptions!B43*G1168,0)</f>
        <v>0</v>
      </c>
      <c r="U1168" s="22" t="n">
        <f aca="false">SUM(O1168:T1168)</f>
        <v>0</v>
      </c>
      <c r="V1168" s="22" t="n">
        <f aca="false">N1168-U1168</f>
        <v>20100</v>
      </c>
      <c r="W1168" s="22" t="n">
        <f aca="false">W1167+V1168</f>
        <v>-1633358.40002009</v>
      </c>
      <c r="X1168" s="23" t="str">
        <f aca="false">IF(W1168&gt;=0,"YES","No")</f>
        <v>No</v>
      </c>
    </row>
    <row r="1169" customFormat="false" ht="15" hidden="false" customHeight="false" outlineLevel="0" collapsed="false">
      <c r="A1169" s="16" t="n">
        <v>1168</v>
      </c>
      <c r="B1169" s="17" t="n">
        <f aca="false">B1168+1</f>
        <v>47190</v>
      </c>
      <c r="C1169" s="18" t="n">
        <f aca="false">MIN(ROUNDUP(A1169/365,0),5)</f>
        <v>4</v>
      </c>
      <c r="D1169" s="18" t="n">
        <f aca="false">DATEDIF(Assumptions!B5,B1169,"m")+1</f>
        <v>39</v>
      </c>
      <c r="E1169" s="18" t="str">
        <f aca="false">TEXT(B1169,"ddd")</f>
        <v>Tue</v>
      </c>
      <c r="F1169" s="19" t="n">
        <f aca="false">IF(WEEKDAY(B1169,2)&gt;=6,Assumptions!B34,Assumptions!B35)</f>
        <v>1</v>
      </c>
      <c r="G1169" s="20" t="n">
        <f aca="false">IF(D1169&gt;=13,(1+Assumptions!B46)^(D1169-12),1)</f>
        <v>1.08423941638514</v>
      </c>
      <c r="H1169" s="21" t="n">
        <f aca="false">H1168*(1+IF(C1169=1,Assumptions!B22,Assumptions!B23))</f>
        <v>23.7413809954481</v>
      </c>
      <c r="I1169" s="16" t="n">
        <f aca="false">ROUND(H1169*F1169,0)</f>
        <v>24</v>
      </c>
      <c r="J1169" s="22" t="n">
        <f aca="false">I1169*Assumptions!B24</f>
        <v>14400</v>
      </c>
      <c r="K1169" s="21" t="n">
        <f aca="false">K1168*(1+Assumptions!B30)</f>
        <v>19.2436271338439</v>
      </c>
      <c r="L1169" s="16" t="n">
        <f aca="false">ROUND(K1169*F1169,0)</f>
        <v>19</v>
      </c>
      <c r="M1169" s="22" t="n">
        <f aca="false">L1169*Assumptions!B31</f>
        <v>5700</v>
      </c>
      <c r="N1169" s="22" t="n">
        <f aca="false">J1169+M1169</f>
        <v>20100</v>
      </c>
      <c r="O1169" s="22" t="n">
        <f aca="false">IF(DAY(B1169)=1,Assumptions!B38*G1169,0)</f>
        <v>0</v>
      </c>
      <c r="P1169" s="22" t="n">
        <f aca="false">IF(DAY(B1169)=1,Assumptions!B39*G1169,0)</f>
        <v>0</v>
      </c>
      <c r="Q1169" s="22" t="n">
        <f aca="false">IF(DAY(B1169)=1,Assumptions!B40*G1169,0)</f>
        <v>0</v>
      </c>
      <c r="R1169" s="22" t="n">
        <f aca="false">IF(DAY(B1169)=1,Assumptions!B41*G1169,0)</f>
        <v>0</v>
      </c>
      <c r="S1169" s="22" t="n">
        <f aca="false">IF(AND(DAY(B1169)=1,D1169&gt;=13),Assumptions!B42*G1169,0)</f>
        <v>0</v>
      </c>
      <c r="T1169" s="22" t="n">
        <f aca="false">IF(DAY(B1169)=1,Assumptions!B43*G1169,0)</f>
        <v>0</v>
      </c>
      <c r="U1169" s="22" t="n">
        <f aca="false">SUM(O1169:T1169)</f>
        <v>0</v>
      </c>
      <c r="V1169" s="22" t="n">
        <f aca="false">N1169-U1169</f>
        <v>20100</v>
      </c>
      <c r="W1169" s="22" t="n">
        <f aca="false">W1168+V1169</f>
        <v>-1613258.40002009</v>
      </c>
      <c r="X1169" s="23" t="str">
        <f aca="false">IF(W1169&gt;=0,"YES","No")</f>
        <v>No</v>
      </c>
    </row>
    <row r="1170" customFormat="false" ht="15" hidden="false" customHeight="false" outlineLevel="0" collapsed="false">
      <c r="A1170" s="16" t="n">
        <v>1169</v>
      </c>
      <c r="B1170" s="17" t="n">
        <f aca="false">B1169+1</f>
        <v>47191</v>
      </c>
      <c r="C1170" s="18" t="n">
        <f aca="false">MIN(ROUNDUP(A1170/365,0),5)</f>
        <v>4</v>
      </c>
      <c r="D1170" s="18" t="n">
        <f aca="false">DATEDIF(Assumptions!B5,B1170,"m")+1</f>
        <v>39</v>
      </c>
      <c r="E1170" s="18" t="str">
        <f aca="false">TEXT(B1170,"ddd")</f>
        <v>Wed</v>
      </c>
      <c r="F1170" s="19" t="n">
        <f aca="false">IF(WEEKDAY(B1170,2)&gt;=6,Assumptions!B34,Assumptions!B35)</f>
        <v>1</v>
      </c>
      <c r="G1170" s="20" t="n">
        <f aca="false">IF(D1170&gt;=13,(1+Assumptions!B46)^(D1170-12),1)</f>
        <v>1.08423941638514</v>
      </c>
      <c r="H1170" s="21" t="n">
        <f aca="false">H1169*(1+IF(C1170=1,Assumptions!B22,Assumptions!B23))</f>
        <v>23.745271298487</v>
      </c>
      <c r="I1170" s="16" t="n">
        <f aca="false">ROUND(H1170*F1170,0)</f>
        <v>24</v>
      </c>
      <c r="J1170" s="22" t="n">
        <f aca="false">I1170*Assumptions!B24</f>
        <v>14400</v>
      </c>
      <c r="K1170" s="21" t="n">
        <f aca="false">K1169*(1+Assumptions!B30)</f>
        <v>19.2499185844385</v>
      </c>
      <c r="L1170" s="16" t="n">
        <f aca="false">ROUND(K1170*F1170,0)</f>
        <v>19</v>
      </c>
      <c r="M1170" s="22" t="n">
        <f aca="false">L1170*Assumptions!B31</f>
        <v>5700</v>
      </c>
      <c r="N1170" s="22" t="n">
        <f aca="false">J1170+M1170</f>
        <v>20100</v>
      </c>
      <c r="O1170" s="22" t="n">
        <f aca="false">IF(DAY(B1170)=1,Assumptions!B38*G1170,0)</f>
        <v>0</v>
      </c>
      <c r="P1170" s="22" t="n">
        <f aca="false">IF(DAY(B1170)=1,Assumptions!B39*G1170,0)</f>
        <v>0</v>
      </c>
      <c r="Q1170" s="22" t="n">
        <f aca="false">IF(DAY(B1170)=1,Assumptions!B40*G1170,0)</f>
        <v>0</v>
      </c>
      <c r="R1170" s="22" t="n">
        <f aca="false">IF(DAY(B1170)=1,Assumptions!B41*G1170,0)</f>
        <v>0</v>
      </c>
      <c r="S1170" s="22" t="n">
        <f aca="false">IF(AND(DAY(B1170)=1,D1170&gt;=13),Assumptions!B42*G1170,0)</f>
        <v>0</v>
      </c>
      <c r="T1170" s="22" t="n">
        <f aca="false">IF(DAY(B1170)=1,Assumptions!B43*G1170,0)</f>
        <v>0</v>
      </c>
      <c r="U1170" s="22" t="n">
        <f aca="false">SUM(O1170:T1170)</f>
        <v>0</v>
      </c>
      <c r="V1170" s="22" t="n">
        <f aca="false">N1170-U1170</f>
        <v>20100</v>
      </c>
      <c r="W1170" s="22" t="n">
        <f aca="false">W1169+V1170</f>
        <v>-1593158.40002009</v>
      </c>
      <c r="X1170" s="23" t="str">
        <f aca="false">IF(W1170&gt;=0,"YES","No")</f>
        <v>No</v>
      </c>
    </row>
    <row r="1171" customFormat="false" ht="15" hidden="false" customHeight="false" outlineLevel="0" collapsed="false">
      <c r="A1171" s="16" t="n">
        <v>1170</v>
      </c>
      <c r="B1171" s="17" t="n">
        <f aca="false">B1170+1</f>
        <v>47192</v>
      </c>
      <c r="C1171" s="18" t="n">
        <f aca="false">MIN(ROUNDUP(A1171/365,0),5)</f>
        <v>4</v>
      </c>
      <c r="D1171" s="18" t="n">
        <f aca="false">DATEDIF(Assumptions!B5,B1171,"m")+1</f>
        <v>39</v>
      </c>
      <c r="E1171" s="18" t="str">
        <f aca="false">TEXT(B1171,"ddd")</f>
        <v>Thu</v>
      </c>
      <c r="F1171" s="19" t="n">
        <f aca="false">IF(WEEKDAY(B1171,2)&gt;=6,Assumptions!B34,Assumptions!B35)</f>
        <v>1</v>
      </c>
      <c r="G1171" s="20" t="n">
        <f aca="false">IF(D1171&gt;=13,(1+Assumptions!B46)^(D1171-12),1)</f>
        <v>1.08423941638514</v>
      </c>
      <c r="H1171" s="21" t="n">
        <f aca="false">H1170*(1+IF(C1171=1,Assumptions!B22,Assumptions!B23))</f>
        <v>23.7491622389975</v>
      </c>
      <c r="I1171" s="16" t="n">
        <f aca="false">ROUND(H1171*F1171,0)</f>
        <v>24</v>
      </c>
      <c r="J1171" s="22" t="n">
        <f aca="false">I1171*Assumptions!B24</f>
        <v>14400</v>
      </c>
      <c r="K1171" s="21" t="n">
        <f aca="false">K1170*(1+Assumptions!B30)</f>
        <v>19.25621209194</v>
      </c>
      <c r="L1171" s="16" t="n">
        <f aca="false">ROUND(K1171*F1171,0)</f>
        <v>19</v>
      </c>
      <c r="M1171" s="22" t="n">
        <f aca="false">L1171*Assumptions!B31</f>
        <v>5700</v>
      </c>
      <c r="N1171" s="22" t="n">
        <f aca="false">J1171+M1171</f>
        <v>20100</v>
      </c>
      <c r="O1171" s="22" t="n">
        <f aca="false">IF(DAY(B1171)=1,Assumptions!B38*G1171,0)</f>
        <v>0</v>
      </c>
      <c r="P1171" s="22" t="n">
        <f aca="false">IF(DAY(B1171)=1,Assumptions!B39*G1171,0)</f>
        <v>0</v>
      </c>
      <c r="Q1171" s="22" t="n">
        <f aca="false">IF(DAY(B1171)=1,Assumptions!B40*G1171,0)</f>
        <v>0</v>
      </c>
      <c r="R1171" s="22" t="n">
        <f aca="false">IF(DAY(B1171)=1,Assumptions!B41*G1171,0)</f>
        <v>0</v>
      </c>
      <c r="S1171" s="22" t="n">
        <f aca="false">IF(AND(DAY(B1171)=1,D1171&gt;=13),Assumptions!B42*G1171,0)</f>
        <v>0</v>
      </c>
      <c r="T1171" s="22" t="n">
        <f aca="false">IF(DAY(B1171)=1,Assumptions!B43*G1171,0)</f>
        <v>0</v>
      </c>
      <c r="U1171" s="22" t="n">
        <f aca="false">SUM(O1171:T1171)</f>
        <v>0</v>
      </c>
      <c r="V1171" s="22" t="n">
        <f aca="false">N1171-U1171</f>
        <v>20100</v>
      </c>
      <c r="W1171" s="22" t="n">
        <f aca="false">W1170+V1171</f>
        <v>-1573058.40002009</v>
      </c>
      <c r="X1171" s="23" t="str">
        <f aca="false">IF(W1171&gt;=0,"YES","No")</f>
        <v>No</v>
      </c>
    </row>
    <row r="1172" customFormat="false" ht="15" hidden="false" customHeight="false" outlineLevel="0" collapsed="false">
      <c r="A1172" s="16" t="n">
        <v>1171</v>
      </c>
      <c r="B1172" s="17" t="n">
        <f aca="false">B1171+1</f>
        <v>47193</v>
      </c>
      <c r="C1172" s="18" t="n">
        <f aca="false">MIN(ROUNDUP(A1172/365,0),5)</f>
        <v>4</v>
      </c>
      <c r="D1172" s="18" t="n">
        <f aca="false">DATEDIF(Assumptions!B5,B1172,"m")+1</f>
        <v>39</v>
      </c>
      <c r="E1172" s="18" t="str">
        <f aca="false">TEXT(B1172,"ddd")</f>
        <v>Fri</v>
      </c>
      <c r="F1172" s="19" t="n">
        <f aca="false">IF(WEEKDAY(B1172,2)&gt;=6,Assumptions!B34,Assumptions!B35)</f>
        <v>1</v>
      </c>
      <c r="G1172" s="20" t="n">
        <f aca="false">IF(D1172&gt;=13,(1+Assumptions!B46)^(D1172-12),1)</f>
        <v>1.08423941638514</v>
      </c>
      <c r="H1172" s="21" t="n">
        <f aca="false">H1171*(1+IF(C1172=1,Assumptions!B22,Assumptions!B23))</f>
        <v>23.7530538170842</v>
      </c>
      <c r="I1172" s="16" t="n">
        <f aca="false">ROUND(H1172*F1172,0)</f>
        <v>24</v>
      </c>
      <c r="J1172" s="22" t="n">
        <f aca="false">I1172*Assumptions!B24</f>
        <v>14400</v>
      </c>
      <c r="K1172" s="21" t="n">
        <f aca="false">K1171*(1+Assumptions!B30)</f>
        <v>19.262507657021</v>
      </c>
      <c r="L1172" s="16" t="n">
        <f aca="false">ROUND(K1172*F1172,0)</f>
        <v>19</v>
      </c>
      <c r="M1172" s="22" t="n">
        <f aca="false">L1172*Assumptions!B31</f>
        <v>5700</v>
      </c>
      <c r="N1172" s="22" t="n">
        <f aca="false">J1172+M1172</f>
        <v>20100</v>
      </c>
      <c r="O1172" s="22" t="n">
        <f aca="false">IF(DAY(B1172)=1,Assumptions!B38*G1172,0)</f>
        <v>0</v>
      </c>
      <c r="P1172" s="22" t="n">
        <f aca="false">IF(DAY(B1172)=1,Assumptions!B39*G1172,0)</f>
        <v>0</v>
      </c>
      <c r="Q1172" s="22" t="n">
        <f aca="false">IF(DAY(B1172)=1,Assumptions!B40*G1172,0)</f>
        <v>0</v>
      </c>
      <c r="R1172" s="22" t="n">
        <f aca="false">IF(DAY(B1172)=1,Assumptions!B41*G1172,0)</f>
        <v>0</v>
      </c>
      <c r="S1172" s="22" t="n">
        <f aca="false">IF(AND(DAY(B1172)=1,D1172&gt;=13),Assumptions!B42*G1172,0)</f>
        <v>0</v>
      </c>
      <c r="T1172" s="22" t="n">
        <f aca="false">IF(DAY(B1172)=1,Assumptions!B43*G1172,0)</f>
        <v>0</v>
      </c>
      <c r="U1172" s="22" t="n">
        <f aca="false">SUM(O1172:T1172)</f>
        <v>0</v>
      </c>
      <c r="V1172" s="22" t="n">
        <f aca="false">N1172-U1172</f>
        <v>20100</v>
      </c>
      <c r="W1172" s="22" t="n">
        <f aca="false">W1171+V1172</f>
        <v>-1552958.40002009</v>
      </c>
      <c r="X1172" s="23" t="str">
        <f aca="false">IF(W1172&gt;=0,"YES","No")</f>
        <v>No</v>
      </c>
    </row>
    <row r="1173" customFormat="false" ht="15" hidden="false" customHeight="false" outlineLevel="0" collapsed="false">
      <c r="A1173" s="16" t="n">
        <v>1172</v>
      </c>
      <c r="B1173" s="17" t="n">
        <f aca="false">B1172+1</f>
        <v>47194</v>
      </c>
      <c r="C1173" s="18" t="n">
        <f aca="false">MIN(ROUNDUP(A1173/365,0),5)</f>
        <v>4</v>
      </c>
      <c r="D1173" s="18" t="n">
        <f aca="false">DATEDIF(Assumptions!B5,B1173,"m")+1</f>
        <v>39</v>
      </c>
      <c r="E1173" s="18" t="str">
        <f aca="false">TEXT(B1173,"ddd")</f>
        <v>Sat</v>
      </c>
      <c r="F1173" s="19" t="n">
        <f aca="false">IF(WEEKDAY(B1173,2)&gt;=6,Assumptions!B34,Assumptions!B35)</f>
        <v>0.6</v>
      </c>
      <c r="G1173" s="20" t="n">
        <f aca="false">IF(D1173&gt;=13,(1+Assumptions!B46)^(D1173-12),1)</f>
        <v>1.08423941638514</v>
      </c>
      <c r="H1173" s="21" t="n">
        <f aca="false">H1172*(1+IF(C1173=1,Assumptions!B22,Assumptions!B23))</f>
        <v>23.7569460328514</v>
      </c>
      <c r="I1173" s="16" t="n">
        <f aca="false">ROUND(H1173*F1173,0)</f>
        <v>14</v>
      </c>
      <c r="J1173" s="22" t="n">
        <f aca="false">I1173*Assumptions!B24</f>
        <v>8400</v>
      </c>
      <c r="K1173" s="21" t="n">
        <f aca="false">K1172*(1+Assumptions!B30)</f>
        <v>19.2688052803541</v>
      </c>
      <c r="L1173" s="16" t="n">
        <f aca="false">ROUND(K1173*F1173,0)</f>
        <v>12</v>
      </c>
      <c r="M1173" s="22" t="n">
        <f aca="false">L1173*Assumptions!B31</f>
        <v>3600</v>
      </c>
      <c r="N1173" s="22" t="n">
        <f aca="false">J1173+M1173</f>
        <v>12000</v>
      </c>
      <c r="O1173" s="22" t="n">
        <f aca="false">IF(DAY(B1173)=1,Assumptions!B38*G1173,0)</f>
        <v>0</v>
      </c>
      <c r="P1173" s="22" t="n">
        <f aca="false">IF(DAY(B1173)=1,Assumptions!B39*G1173,0)</f>
        <v>0</v>
      </c>
      <c r="Q1173" s="22" t="n">
        <f aca="false">IF(DAY(B1173)=1,Assumptions!B40*G1173,0)</f>
        <v>0</v>
      </c>
      <c r="R1173" s="22" t="n">
        <f aca="false">IF(DAY(B1173)=1,Assumptions!B41*G1173,0)</f>
        <v>0</v>
      </c>
      <c r="S1173" s="22" t="n">
        <f aca="false">IF(AND(DAY(B1173)=1,D1173&gt;=13),Assumptions!B42*G1173,0)</f>
        <v>0</v>
      </c>
      <c r="T1173" s="22" t="n">
        <f aca="false">IF(DAY(B1173)=1,Assumptions!B43*G1173,0)</f>
        <v>0</v>
      </c>
      <c r="U1173" s="22" t="n">
        <f aca="false">SUM(O1173:T1173)</f>
        <v>0</v>
      </c>
      <c r="V1173" s="22" t="n">
        <f aca="false">N1173-U1173</f>
        <v>12000</v>
      </c>
      <c r="W1173" s="22" t="n">
        <f aca="false">W1172+V1173</f>
        <v>-1540958.40002009</v>
      </c>
      <c r="X1173" s="23" t="str">
        <f aca="false">IF(W1173&gt;=0,"YES","No")</f>
        <v>No</v>
      </c>
    </row>
    <row r="1174" customFormat="false" ht="15" hidden="false" customHeight="false" outlineLevel="0" collapsed="false">
      <c r="A1174" s="16" t="n">
        <v>1173</v>
      </c>
      <c r="B1174" s="17" t="n">
        <f aca="false">B1173+1</f>
        <v>47195</v>
      </c>
      <c r="C1174" s="18" t="n">
        <f aca="false">MIN(ROUNDUP(A1174/365,0),5)</f>
        <v>4</v>
      </c>
      <c r="D1174" s="18" t="n">
        <f aca="false">DATEDIF(Assumptions!B5,B1174,"m")+1</f>
        <v>39</v>
      </c>
      <c r="E1174" s="18" t="str">
        <f aca="false">TEXT(B1174,"ddd")</f>
        <v>Sun</v>
      </c>
      <c r="F1174" s="19" t="n">
        <f aca="false">IF(WEEKDAY(B1174,2)&gt;=6,Assumptions!B34,Assumptions!B35)</f>
        <v>0.6</v>
      </c>
      <c r="G1174" s="20" t="n">
        <f aca="false">IF(D1174&gt;=13,(1+Assumptions!B46)^(D1174-12),1)</f>
        <v>1.08423941638514</v>
      </c>
      <c r="H1174" s="21" t="n">
        <f aca="false">H1173*(1+IF(C1174=1,Assumptions!B22,Assumptions!B23))</f>
        <v>23.7608388864038</v>
      </c>
      <c r="I1174" s="16" t="n">
        <f aca="false">ROUND(H1174*F1174,0)</f>
        <v>14</v>
      </c>
      <c r="J1174" s="22" t="n">
        <f aca="false">I1174*Assumptions!B24</f>
        <v>8400</v>
      </c>
      <c r="K1174" s="21" t="n">
        <f aca="false">K1173*(1+Assumptions!B30)</f>
        <v>19.2751049626123</v>
      </c>
      <c r="L1174" s="16" t="n">
        <f aca="false">ROUND(K1174*F1174,0)</f>
        <v>12</v>
      </c>
      <c r="M1174" s="22" t="n">
        <f aca="false">L1174*Assumptions!B31</f>
        <v>3600</v>
      </c>
      <c r="N1174" s="22" t="n">
        <f aca="false">J1174+M1174</f>
        <v>12000</v>
      </c>
      <c r="O1174" s="22" t="n">
        <f aca="false">IF(DAY(B1174)=1,Assumptions!B38*G1174,0)</f>
        <v>0</v>
      </c>
      <c r="P1174" s="22" t="n">
        <f aca="false">IF(DAY(B1174)=1,Assumptions!B39*G1174,0)</f>
        <v>0</v>
      </c>
      <c r="Q1174" s="22" t="n">
        <f aca="false">IF(DAY(B1174)=1,Assumptions!B40*G1174,0)</f>
        <v>0</v>
      </c>
      <c r="R1174" s="22" t="n">
        <f aca="false">IF(DAY(B1174)=1,Assumptions!B41*G1174,0)</f>
        <v>0</v>
      </c>
      <c r="S1174" s="22" t="n">
        <f aca="false">IF(AND(DAY(B1174)=1,D1174&gt;=13),Assumptions!B42*G1174,0)</f>
        <v>0</v>
      </c>
      <c r="T1174" s="22" t="n">
        <f aca="false">IF(DAY(B1174)=1,Assumptions!B43*G1174,0)</f>
        <v>0</v>
      </c>
      <c r="U1174" s="22" t="n">
        <f aca="false">SUM(O1174:T1174)</f>
        <v>0</v>
      </c>
      <c r="V1174" s="22" t="n">
        <f aca="false">N1174-U1174</f>
        <v>12000</v>
      </c>
      <c r="W1174" s="22" t="n">
        <f aca="false">W1173+V1174</f>
        <v>-1528958.40002009</v>
      </c>
      <c r="X1174" s="23" t="str">
        <f aca="false">IF(W1174&gt;=0,"YES","No")</f>
        <v>No</v>
      </c>
    </row>
    <row r="1175" customFormat="false" ht="15" hidden="false" customHeight="false" outlineLevel="0" collapsed="false">
      <c r="A1175" s="16" t="n">
        <v>1174</v>
      </c>
      <c r="B1175" s="17" t="n">
        <f aca="false">B1174+1</f>
        <v>47196</v>
      </c>
      <c r="C1175" s="18" t="n">
        <f aca="false">MIN(ROUNDUP(A1175/365,0),5)</f>
        <v>4</v>
      </c>
      <c r="D1175" s="18" t="n">
        <f aca="false">DATEDIF(Assumptions!B5,B1175,"m")+1</f>
        <v>39</v>
      </c>
      <c r="E1175" s="18" t="str">
        <f aca="false">TEXT(B1175,"ddd")</f>
        <v>Mon</v>
      </c>
      <c r="F1175" s="19" t="n">
        <f aca="false">IF(WEEKDAY(B1175,2)&gt;=6,Assumptions!B34,Assumptions!B35)</f>
        <v>1</v>
      </c>
      <c r="G1175" s="20" t="n">
        <f aca="false">IF(D1175&gt;=13,(1+Assumptions!B46)^(D1175-12),1)</f>
        <v>1.08423941638514</v>
      </c>
      <c r="H1175" s="21" t="n">
        <f aca="false">H1174*(1+IF(C1175=1,Assumptions!B22,Assumptions!B23))</f>
        <v>23.7647323778457</v>
      </c>
      <c r="I1175" s="16" t="n">
        <f aca="false">ROUND(H1175*F1175,0)</f>
        <v>24</v>
      </c>
      <c r="J1175" s="22" t="n">
        <f aca="false">I1175*Assumptions!B24</f>
        <v>14400</v>
      </c>
      <c r="K1175" s="21" t="n">
        <f aca="false">K1174*(1+Assumptions!B30)</f>
        <v>19.2814067044687</v>
      </c>
      <c r="L1175" s="16" t="n">
        <f aca="false">ROUND(K1175*F1175,0)</f>
        <v>19</v>
      </c>
      <c r="M1175" s="22" t="n">
        <f aca="false">L1175*Assumptions!B31</f>
        <v>5700</v>
      </c>
      <c r="N1175" s="22" t="n">
        <f aca="false">J1175+M1175</f>
        <v>20100</v>
      </c>
      <c r="O1175" s="22" t="n">
        <f aca="false">IF(DAY(B1175)=1,Assumptions!B38*G1175,0)</f>
        <v>0</v>
      </c>
      <c r="P1175" s="22" t="n">
        <f aca="false">IF(DAY(B1175)=1,Assumptions!B39*G1175,0)</f>
        <v>0</v>
      </c>
      <c r="Q1175" s="22" t="n">
        <f aca="false">IF(DAY(B1175)=1,Assumptions!B40*G1175,0)</f>
        <v>0</v>
      </c>
      <c r="R1175" s="22" t="n">
        <f aca="false">IF(DAY(B1175)=1,Assumptions!B41*G1175,0)</f>
        <v>0</v>
      </c>
      <c r="S1175" s="22" t="n">
        <f aca="false">IF(AND(DAY(B1175)=1,D1175&gt;=13),Assumptions!B42*G1175,0)</f>
        <v>0</v>
      </c>
      <c r="T1175" s="22" t="n">
        <f aca="false">IF(DAY(B1175)=1,Assumptions!B43*G1175,0)</f>
        <v>0</v>
      </c>
      <c r="U1175" s="22" t="n">
        <f aca="false">SUM(O1175:T1175)</f>
        <v>0</v>
      </c>
      <c r="V1175" s="22" t="n">
        <f aca="false">N1175-U1175</f>
        <v>20100</v>
      </c>
      <c r="W1175" s="22" t="n">
        <f aca="false">W1174+V1175</f>
        <v>-1508858.40002009</v>
      </c>
      <c r="X1175" s="23" t="str">
        <f aca="false">IF(W1175&gt;=0,"YES","No")</f>
        <v>No</v>
      </c>
    </row>
    <row r="1176" customFormat="false" ht="15" hidden="false" customHeight="false" outlineLevel="0" collapsed="false">
      <c r="A1176" s="16" t="n">
        <v>1175</v>
      </c>
      <c r="B1176" s="17" t="n">
        <f aca="false">B1175+1</f>
        <v>47197</v>
      </c>
      <c r="C1176" s="18" t="n">
        <f aca="false">MIN(ROUNDUP(A1176/365,0),5)</f>
        <v>4</v>
      </c>
      <c r="D1176" s="18" t="n">
        <f aca="false">DATEDIF(Assumptions!B5,B1176,"m")+1</f>
        <v>39</v>
      </c>
      <c r="E1176" s="18" t="str">
        <f aca="false">TEXT(B1176,"ddd")</f>
        <v>Tue</v>
      </c>
      <c r="F1176" s="19" t="n">
        <f aca="false">IF(WEEKDAY(B1176,2)&gt;=6,Assumptions!B34,Assumptions!B35)</f>
        <v>1</v>
      </c>
      <c r="G1176" s="20" t="n">
        <f aca="false">IF(D1176&gt;=13,(1+Assumptions!B46)^(D1176-12),1)</f>
        <v>1.08423941638514</v>
      </c>
      <c r="H1176" s="21" t="n">
        <f aca="false">H1175*(1+IF(C1176=1,Assumptions!B22,Assumptions!B23))</f>
        <v>23.7686265072818</v>
      </c>
      <c r="I1176" s="16" t="n">
        <f aca="false">ROUND(H1176*F1176,0)</f>
        <v>24</v>
      </c>
      <c r="J1176" s="22" t="n">
        <f aca="false">I1176*Assumptions!B24</f>
        <v>14400</v>
      </c>
      <c r="K1176" s="21" t="n">
        <f aca="false">K1175*(1+Assumptions!B30)</f>
        <v>19.2877105065966</v>
      </c>
      <c r="L1176" s="16" t="n">
        <f aca="false">ROUND(K1176*F1176,0)</f>
        <v>19</v>
      </c>
      <c r="M1176" s="22" t="n">
        <f aca="false">L1176*Assumptions!B31</f>
        <v>5700</v>
      </c>
      <c r="N1176" s="22" t="n">
        <f aca="false">J1176+M1176</f>
        <v>20100</v>
      </c>
      <c r="O1176" s="22" t="n">
        <f aca="false">IF(DAY(B1176)=1,Assumptions!B38*G1176,0)</f>
        <v>0</v>
      </c>
      <c r="P1176" s="22" t="n">
        <f aca="false">IF(DAY(B1176)=1,Assumptions!B39*G1176,0)</f>
        <v>0</v>
      </c>
      <c r="Q1176" s="22" t="n">
        <f aca="false">IF(DAY(B1176)=1,Assumptions!B40*G1176,0)</f>
        <v>0</v>
      </c>
      <c r="R1176" s="22" t="n">
        <f aca="false">IF(DAY(B1176)=1,Assumptions!B41*G1176,0)</f>
        <v>0</v>
      </c>
      <c r="S1176" s="22" t="n">
        <f aca="false">IF(AND(DAY(B1176)=1,D1176&gt;=13),Assumptions!B42*G1176,0)</f>
        <v>0</v>
      </c>
      <c r="T1176" s="22" t="n">
        <f aca="false">IF(DAY(B1176)=1,Assumptions!B43*G1176,0)</f>
        <v>0</v>
      </c>
      <c r="U1176" s="22" t="n">
        <f aca="false">SUM(O1176:T1176)</f>
        <v>0</v>
      </c>
      <c r="V1176" s="22" t="n">
        <f aca="false">N1176-U1176</f>
        <v>20100</v>
      </c>
      <c r="W1176" s="22" t="n">
        <f aca="false">W1175+V1176</f>
        <v>-1488758.40002009</v>
      </c>
      <c r="X1176" s="23" t="str">
        <f aca="false">IF(W1176&gt;=0,"YES","No")</f>
        <v>No</v>
      </c>
    </row>
    <row r="1177" customFormat="false" ht="15" hidden="false" customHeight="false" outlineLevel="0" collapsed="false">
      <c r="A1177" s="16" t="n">
        <v>1176</v>
      </c>
      <c r="B1177" s="17" t="n">
        <f aca="false">B1176+1</f>
        <v>47198</v>
      </c>
      <c r="C1177" s="18" t="n">
        <f aca="false">MIN(ROUNDUP(A1177/365,0),5)</f>
        <v>4</v>
      </c>
      <c r="D1177" s="18" t="n">
        <f aca="false">DATEDIF(Assumptions!B5,B1177,"m")+1</f>
        <v>39</v>
      </c>
      <c r="E1177" s="18" t="str">
        <f aca="false">TEXT(B1177,"ddd")</f>
        <v>Wed</v>
      </c>
      <c r="F1177" s="19" t="n">
        <f aca="false">IF(WEEKDAY(B1177,2)&gt;=6,Assumptions!B34,Assumptions!B35)</f>
        <v>1</v>
      </c>
      <c r="G1177" s="20" t="n">
        <f aca="false">IF(D1177&gt;=13,(1+Assumptions!B46)^(D1177-12),1)</f>
        <v>1.08423941638514</v>
      </c>
      <c r="H1177" s="21" t="n">
        <f aca="false">H1176*(1+IF(C1177=1,Assumptions!B22,Assumptions!B23))</f>
        <v>23.7725212748165</v>
      </c>
      <c r="I1177" s="16" t="n">
        <f aca="false">ROUND(H1177*F1177,0)</f>
        <v>24</v>
      </c>
      <c r="J1177" s="22" t="n">
        <f aca="false">I1177*Assumptions!B24</f>
        <v>14400</v>
      </c>
      <c r="K1177" s="21" t="n">
        <f aca="false">K1176*(1+Assumptions!B30)</f>
        <v>19.2940163696696</v>
      </c>
      <c r="L1177" s="16" t="n">
        <f aca="false">ROUND(K1177*F1177,0)</f>
        <v>19</v>
      </c>
      <c r="M1177" s="22" t="n">
        <f aca="false">L1177*Assumptions!B31</f>
        <v>5700</v>
      </c>
      <c r="N1177" s="22" t="n">
        <f aca="false">J1177+M1177</f>
        <v>20100</v>
      </c>
      <c r="O1177" s="22" t="n">
        <f aca="false">IF(DAY(B1177)=1,Assumptions!B38*G1177,0)</f>
        <v>0</v>
      </c>
      <c r="P1177" s="22" t="n">
        <f aca="false">IF(DAY(B1177)=1,Assumptions!B39*G1177,0)</f>
        <v>0</v>
      </c>
      <c r="Q1177" s="22" t="n">
        <f aca="false">IF(DAY(B1177)=1,Assumptions!B40*G1177,0)</f>
        <v>0</v>
      </c>
      <c r="R1177" s="22" t="n">
        <f aca="false">IF(DAY(B1177)=1,Assumptions!B41*G1177,0)</f>
        <v>0</v>
      </c>
      <c r="S1177" s="22" t="n">
        <f aca="false">IF(AND(DAY(B1177)=1,D1177&gt;=13),Assumptions!B42*G1177,0)</f>
        <v>0</v>
      </c>
      <c r="T1177" s="22" t="n">
        <f aca="false">IF(DAY(B1177)=1,Assumptions!B43*G1177,0)</f>
        <v>0</v>
      </c>
      <c r="U1177" s="22" t="n">
        <f aca="false">SUM(O1177:T1177)</f>
        <v>0</v>
      </c>
      <c r="V1177" s="22" t="n">
        <f aca="false">N1177-U1177</f>
        <v>20100</v>
      </c>
      <c r="W1177" s="22" t="n">
        <f aca="false">W1176+V1177</f>
        <v>-1468658.40002009</v>
      </c>
      <c r="X1177" s="23" t="str">
        <f aca="false">IF(W1177&gt;=0,"YES","No")</f>
        <v>No</v>
      </c>
    </row>
    <row r="1178" customFormat="false" ht="15" hidden="false" customHeight="false" outlineLevel="0" collapsed="false">
      <c r="A1178" s="16" t="n">
        <v>1177</v>
      </c>
      <c r="B1178" s="17" t="n">
        <f aca="false">B1177+1</f>
        <v>47199</v>
      </c>
      <c r="C1178" s="18" t="n">
        <f aca="false">MIN(ROUNDUP(A1178/365,0),5)</f>
        <v>4</v>
      </c>
      <c r="D1178" s="18" t="n">
        <f aca="false">DATEDIF(Assumptions!B5,B1178,"m")+1</f>
        <v>39</v>
      </c>
      <c r="E1178" s="18" t="str">
        <f aca="false">TEXT(B1178,"ddd")</f>
        <v>Thu</v>
      </c>
      <c r="F1178" s="19" t="n">
        <f aca="false">IF(WEEKDAY(B1178,2)&gt;=6,Assumptions!B34,Assumptions!B35)</f>
        <v>1</v>
      </c>
      <c r="G1178" s="20" t="n">
        <f aca="false">IF(D1178&gt;=13,(1+Assumptions!B46)^(D1178-12),1)</f>
        <v>1.08423941638514</v>
      </c>
      <c r="H1178" s="21" t="n">
        <f aca="false">H1177*(1+IF(C1178=1,Assumptions!B22,Assumptions!B23))</f>
        <v>23.7764166805545</v>
      </c>
      <c r="I1178" s="16" t="n">
        <f aca="false">ROUND(H1178*F1178,0)</f>
        <v>24</v>
      </c>
      <c r="J1178" s="22" t="n">
        <f aca="false">I1178*Assumptions!B24</f>
        <v>14400</v>
      </c>
      <c r="K1178" s="21" t="n">
        <f aca="false">K1177*(1+Assumptions!B30)</f>
        <v>19.3003242943616</v>
      </c>
      <c r="L1178" s="16" t="n">
        <f aca="false">ROUND(K1178*F1178,0)</f>
        <v>19</v>
      </c>
      <c r="M1178" s="22" t="n">
        <f aca="false">L1178*Assumptions!B31</f>
        <v>5700</v>
      </c>
      <c r="N1178" s="22" t="n">
        <f aca="false">J1178+M1178</f>
        <v>20100</v>
      </c>
      <c r="O1178" s="22" t="n">
        <f aca="false">IF(DAY(B1178)=1,Assumptions!B38*G1178,0)</f>
        <v>0</v>
      </c>
      <c r="P1178" s="22" t="n">
        <f aca="false">IF(DAY(B1178)=1,Assumptions!B39*G1178,0)</f>
        <v>0</v>
      </c>
      <c r="Q1178" s="22" t="n">
        <f aca="false">IF(DAY(B1178)=1,Assumptions!B40*G1178,0)</f>
        <v>0</v>
      </c>
      <c r="R1178" s="22" t="n">
        <f aca="false">IF(DAY(B1178)=1,Assumptions!B41*G1178,0)</f>
        <v>0</v>
      </c>
      <c r="S1178" s="22" t="n">
        <f aca="false">IF(AND(DAY(B1178)=1,D1178&gt;=13),Assumptions!B42*G1178,0)</f>
        <v>0</v>
      </c>
      <c r="T1178" s="22" t="n">
        <f aca="false">IF(DAY(B1178)=1,Assumptions!B43*G1178,0)</f>
        <v>0</v>
      </c>
      <c r="U1178" s="22" t="n">
        <f aca="false">SUM(O1178:T1178)</f>
        <v>0</v>
      </c>
      <c r="V1178" s="22" t="n">
        <f aca="false">N1178-U1178</f>
        <v>20100</v>
      </c>
      <c r="W1178" s="22" t="n">
        <f aca="false">W1177+V1178</f>
        <v>-1448558.40002009</v>
      </c>
      <c r="X1178" s="23" t="str">
        <f aca="false">IF(W1178&gt;=0,"YES","No")</f>
        <v>No</v>
      </c>
    </row>
    <row r="1179" customFormat="false" ht="15" hidden="false" customHeight="false" outlineLevel="0" collapsed="false">
      <c r="A1179" s="16" t="n">
        <v>1178</v>
      </c>
      <c r="B1179" s="17" t="n">
        <f aca="false">B1178+1</f>
        <v>47200</v>
      </c>
      <c r="C1179" s="18" t="n">
        <f aca="false">MIN(ROUNDUP(A1179/365,0),5)</f>
        <v>4</v>
      </c>
      <c r="D1179" s="18" t="n">
        <f aca="false">DATEDIF(Assumptions!B5,B1179,"m")+1</f>
        <v>39</v>
      </c>
      <c r="E1179" s="18" t="str">
        <f aca="false">TEXT(B1179,"ddd")</f>
        <v>Fri</v>
      </c>
      <c r="F1179" s="19" t="n">
        <f aca="false">IF(WEEKDAY(B1179,2)&gt;=6,Assumptions!B34,Assumptions!B35)</f>
        <v>1</v>
      </c>
      <c r="G1179" s="20" t="n">
        <f aca="false">IF(D1179&gt;=13,(1+Assumptions!B46)^(D1179-12),1)</f>
        <v>1.08423941638514</v>
      </c>
      <c r="H1179" s="21" t="n">
        <f aca="false">H1178*(1+IF(C1179=1,Assumptions!B22,Assumptions!B23))</f>
        <v>23.7803127246003</v>
      </c>
      <c r="I1179" s="16" t="n">
        <f aca="false">ROUND(H1179*F1179,0)</f>
        <v>24</v>
      </c>
      <c r="J1179" s="22" t="n">
        <f aca="false">I1179*Assumptions!B24</f>
        <v>14400</v>
      </c>
      <c r="K1179" s="21" t="n">
        <f aca="false">K1178*(1+Assumptions!B30)</f>
        <v>19.3066342813465</v>
      </c>
      <c r="L1179" s="16" t="n">
        <f aca="false">ROUND(K1179*F1179,0)</f>
        <v>19</v>
      </c>
      <c r="M1179" s="22" t="n">
        <f aca="false">L1179*Assumptions!B31</f>
        <v>5700</v>
      </c>
      <c r="N1179" s="22" t="n">
        <f aca="false">J1179+M1179</f>
        <v>20100</v>
      </c>
      <c r="O1179" s="22" t="n">
        <f aca="false">IF(DAY(B1179)=1,Assumptions!B38*G1179,0)</f>
        <v>0</v>
      </c>
      <c r="P1179" s="22" t="n">
        <f aca="false">IF(DAY(B1179)=1,Assumptions!B39*G1179,0)</f>
        <v>0</v>
      </c>
      <c r="Q1179" s="22" t="n">
        <f aca="false">IF(DAY(B1179)=1,Assumptions!B40*G1179,0)</f>
        <v>0</v>
      </c>
      <c r="R1179" s="22" t="n">
        <f aca="false">IF(DAY(B1179)=1,Assumptions!B41*G1179,0)</f>
        <v>0</v>
      </c>
      <c r="S1179" s="22" t="n">
        <f aca="false">IF(AND(DAY(B1179)=1,D1179&gt;=13),Assumptions!B42*G1179,0)</f>
        <v>0</v>
      </c>
      <c r="T1179" s="22" t="n">
        <f aca="false">IF(DAY(B1179)=1,Assumptions!B43*G1179,0)</f>
        <v>0</v>
      </c>
      <c r="U1179" s="22" t="n">
        <f aca="false">SUM(O1179:T1179)</f>
        <v>0</v>
      </c>
      <c r="V1179" s="22" t="n">
        <f aca="false">N1179-U1179</f>
        <v>20100</v>
      </c>
      <c r="W1179" s="22" t="n">
        <f aca="false">W1178+V1179</f>
        <v>-1428458.40002009</v>
      </c>
      <c r="X1179" s="23" t="str">
        <f aca="false">IF(W1179&gt;=0,"YES","No")</f>
        <v>No</v>
      </c>
    </row>
    <row r="1180" customFormat="false" ht="15" hidden="false" customHeight="false" outlineLevel="0" collapsed="false">
      <c r="A1180" s="16" t="n">
        <v>1179</v>
      </c>
      <c r="B1180" s="17" t="n">
        <f aca="false">B1179+1</f>
        <v>47201</v>
      </c>
      <c r="C1180" s="18" t="n">
        <f aca="false">MIN(ROUNDUP(A1180/365,0),5)</f>
        <v>4</v>
      </c>
      <c r="D1180" s="18" t="n">
        <f aca="false">DATEDIF(Assumptions!B5,B1180,"m")+1</f>
        <v>39</v>
      </c>
      <c r="E1180" s="18" t="str">
        <f aca="false">TEXT(B1180,"ddd")</f>
        <v>Sat</v>
      </c>
      <c r="F1180" s="19" t="n">
        <f aca="false">IF(WEEKDAY(B1180,2)&gt;=6,Assumptions!B34,Assumptions!B35)</f>
        <v>0.6</v>
      </c>
      <c r="G1180" s="20" t="n">
        <f aca="false">IF(D1180&gt;=13,(1+Assumptions!B46)^(D1180-12),1)</f>
        <v>1.08423941638514</v>
      </c>
      <c r="H1180" s="21" t="n">
        <f aca="false">H1179*(1+IF(C1180=1,Assumptions!B22,Assumptions!B23))</f>
        <v>23.7842094070584</v>
      </c>
      <c r="I1180" s="16" t="n">
        <f aca="false">ROUND(H1180*F1180,0)</f>
        <v>14</v>
      </c>
      <c r="J1180" s="22" t="n">
        <f aca="false">I1180*Assumptions!B24</f>
        <v>8400</v>
      </c>
      <c r="K1180" s="21" t="n">
        <f aca="false">K1179*(1+Assumptions!B30)</f>
        <v>19.3129463312986</v>
      </c>
      <c r="L1180" s="16" t="n">
        <f aca="false">ROUND(K1180*F1180,0)</f>
        <v>12</v>
      </c>
      <c r="M1180" s="22" t="n">
        <f aca="false">L1180*Assumptions!B31</f>
        <v>3600</v>
      </c>
      <c r="N1180" s="22" t="n">
        <f aca="false">J1180+M1180</f>
        <v>12000</v>
      </c>
      <c r="O1180" s="22" t="n">
        <f aca="false">IF(DAY(B1180)=1,Assumptions!B38*G1180,0)</f>
        <v>0</v>
      </c>
      <c r="P1180" s="22" t="n">
        <f aca="false">IF(DAY(B1180)=1,Assumptions!B39*G1180,0)</f>
        <v>0</v>
      </c>
      <c r="Q1180" s="22" t="n">
        <f aca="false">IF(DAY(B1180)=1,Assumptions!B40*G1180,0)</f>
        <v>0</v>
      </c>
      <c r="R1180" s="22" t="n">
        <f aca="false">IF(DAY(B1180)=1,Assumptions!B41*G1180,0)</f>
        <v>0</v>
      </c>
      <c r="S1180" s="22" t="n">
        <f aca="false">IF(AND(DAY(B1180)=1,D1180&gt;=13),Assumptions!B42*G1180,0)</f>
        <v>0</v>
      </c>
      <c r="T1180" s="22" t="n">
        <f aca="false">IF(DAY(B1180)=1,Assumptions!B43*G1180,0)</f>
        <v>0</v>
      </c>
      <c r="U1180" s="22" t="n">
        <f aca="false">SUM(O1180:T1180)</f>
        <v>0</v>
      </c>
      <c r="V1180" s="22" t="n">
        <f aca="false">N1180-U1180</f>
        <v>12000</v>
      </c>
      <c r="W1180" s="22" t="n">
        <f aca="false">W1179+V1180</f>
        <v>-1416458.40002009</v>
      </c>
      <c r="X1180" s="23" t="str">
        <f aca="false">IF(W1180&gt;=0,"YES","No")</f>
        <v>No</v>
      </c>
    </row>
    <row r="1181" customFormat="false" ht="15" hidden="false" customHeight="false" outlineLevel="0" collapsed="false">
      <c r="A1181" s="16" t="n">
        <v>1180</v>
      </c>
      <c r="B1181" s="17" t="n">
        <f aca="false">B1180+1</f>
        <v>47202</v>
      </c>
      <c r="C1181" s="18" t="n">
        <f aca="false">MIN(ROUNDUP(A1181/365,0),5)</f>
        <v>4</v>
      </c>
      <c r="D1181" s="18" t="n">
        <f aca="false">DATEDIF(Assumptions!B5,B1181,"m")+1</f>
        <v>39</v>
      </c>
      <c r="E1181" s="18" t="str">
        <f aca="false">TEXT(B1181,"ddd")</f>
        <v>Sun</v>
      </c>
      <c r="F1181" s="19" t="n">
        <f aca="false">IF(WEEKDAY(B1181,2)&gt;=6,Assumptions!B34,Assumptions!B35)</f>
        <v>0.6</v>
      </c>
      <c r="G1181" s="20" t="n">
        <f aca="false">IF(D1181&gt;=13,(1+Assumptions!B46)^(D1181-12),1)</f>
        <v>1.08423941638514</v>
      </c>
      <c r="H1181" s="21" t="n">
        <f aca="false">H1180*(1+IF(C1181=1,Assumptions!B22,Assumptions!B23))</f>
        <v>23.7881067280336</v>
      </c>
      <c r="I1181" s="16" t="n">
        <f aca="false">ROUND(H1181*F1181,0)</f>
        <v>14</v>
      </c>
      <c r="J1181" s="22" t="n">
        <f aca="false">I1181*Assumptions!B24</f>
        <v>8400</v>
      </c>
      <c r="K1181" s="21" t="n">
        <f aca="false">K1180*(1+Assumptions!B30)</f>
        <v>19.3192604448924</v>
      </c>
      <c r="L1181" s="16" t="n">
        <f aca="false">ROUND(K1181*F1181,0)</f>
        <v>12</v>
      </c>
      <c r="M1181" s="22" t="n">
        <f aca="false">L1181*Assumptions!B31</f>
        <v>3600</v>
      </c>
      <c r="N1181" s="22" t="n">
        <f aca="false">J1181+M1181</f>
        <v>12000</v>
      </c>
      <c r="O1181" s="22" t="n">
        <f aca="false">IF(DAY(B1181)=1,Assumptions!B38*G1181,0)</f>
        <v>0</v>
      </c>
      <c r="P1181" s="22" t="n">
        <f aca="false">IF(DAY(B1181)=1,Assumptions!B39*G1181,0)</f>
        <v>0</v>
      </c>
      <c r="Q1181" s="22" t="n">
        <f aca="false">IF(DAY(B1181)=1,Assumptions!B40*G1181,0)</f>
        <v>0</v>
      </c>
      <c r="R1181" s="22" t="n">
        <f aca="false">IF(DAY(B1181)=1,Assumptions!B41*G1181,0)</f>
        <v>0</v>
      </c>
      <c r="S1181" s="22" t="n">
        <f aca="false">IF(AND(DAY(B1181)=1,D1181&gt;=13),Assumptions!B42*G1181,0)</f>
        <v>0</v>
      </c>
      <c r="T1181" s="22" t="n">
        <f aca="false">IF(DAY(B1181)=1,Assumptions!B43*G1181,0)</f>
        <v>0</v>
      </c>
      <c r="U1181" s="22" t="n">
        <f aca="false">SUM(O1181:T1181)</f>
        <v>0</v>
      </c>
      <c r="V1181" s="22" t="n">
        <f aca="false">N1181-U1181</f>
        <v>12000</v>
      </c>
      <c r="W1181" s="22" t="n">
        <f aca="false">W1180+V1181</f>
        <v>-1404458.40002009</v>
      </c>
      <c r="X1181" s="23" t="str">
        <f aca="false">IF(W1181&gt;=0,"YES","No")</f>
        <v>No</v>
      </c>
    </row>
    <row r="1182" customFormat="false" ht="15" hidden="false" customHeight="false" outlineLevel="0" collapsed="false">
      <c r="A1182" s="16" t="n">
        <v>1181</v>
      </c>
      <c r="B1182" s="17" t="n">
        <f aca="false">B1181+1</f>
        <v>47203</v>
      </c>
      <c r="C1182" s="18" t="n">
        <f aca="false">MIN(ROUNDUP(A1182/365,0),5)</f>
        <v>4</v>
      </c>
      <c r="D1182" s="18" t="n">
        <f aca="false">DATEDIF(Assumptions!B5,B1182,"m")+1</f>
        <v>39</v>
      </c>
      <c r="E1182" s="18" t="str">
        <f aca="false">TEXT(B1182,"ddd")</f>
        <v>Mon</v>
      </c>
      <c r="F1182" s="19" t="n">
        <f aca="false">IF(WEEKDAY(B1182,2)&gt;=6,Assumptions!B34,Assumptions!B35)</f>
        <v>1</v>
      </c>
      <c r="G1182" s="20" t="n">
        <f aca="false">IF(D1182&gt;=13,(1+Assumptions!B46)^(D1182-12),1)</f>
        <v>1.08423941638514</v>
      </c>
      <c r="H1182" s="21" t="n">
        <f aca="false">H1181*(1+IF(C1182=1,Assumptions!B22,Assumptions!B23))</f>
        <v>23.7920046876304</v>
      </c>
      <c r="I1182" s="16" t="n">
        <f aca="false">ROUND(H1182*F1182,0)</f>
        <v>24</v>
      </c>
      <c r="J1182" s="22" t="n">
        <f aca="false">I1182*Assumptions!B24</f>
        <v>14400</v>
      </c>
      <c r="K1182" s="21" t="n">
        <f aca="false">K1181*(1+Assumptions!B30)</f>
        <v>19.3255766228025</v>
      </c>
      <c r="L1182" s="16" t="n">
        <f aca="false">ROUND(K1182*F1182,0)</f>
        <v>19</v>
      </c>
      <c r="M1182" s="22" t="n">
        <f aca="false">L1182*Assumptions!B31</f>
        <v>5700</v>
      </c>
      <c r="N1182" s="22" t="n">
        <f aca="false">J1182+M1182</f>
        <v>20100</v>
      </c>
      <c r="O1182" s="22" t="n">
        <f aca="false">IF(DAY(B1182)=1,Assumptions!B38*G1182,0)</f>
        <v>0</v>
      </c>
      <c r="P1182" s="22" t="n">
        <f aca="false">IF(DAY(B1182)=1,Assumptions!B39*G1182,0)</f>
        <v>0</v>
      </c>
      <c r="Q1182" s="22" t="n">
        <f aca="false">IF(DAY(B1182)=1,Assumptions!B40*G1182,0)</f>
        <v>0</v>
      </c>
      <c r="R1182" s="22" t="n">
        <f aca="false">IF(DAY(B1182)=1,Assumptions!B41*G1182,0)</f>
        <v>0</v>
      </c>
      <c r="S1182" s="22" t="n">
        <f aca="false">IF(AND(DAY(B1182)=1,D1182&gt;=13),Assumptions!B42*G1182,0)</f>
        <v>0</v>
      </c>
      <c r="T1182" s="22" t="n">
        <f aca="false">IF(DAY(B1182)=1,Assumptions!B43*G1182,0)</f>
        <v>0</v>
      </c>
      <c r="U1182" s="22" t="n">
        <f aca="false">SUM(O1182:T1182)</f>
        <v>0</v>
      </c>
      <c r="V1182" s="22" t="n">
        <f aca="false">N1182-U1182</f>
        <v>20100</v>
      </c>
      <c r="W1182" s="22" t="n">
        <f aca="false">W1181+V1182</f>
        <v>-1384358.40002009</v>
      </c>
      <c r="X1182" s="23" t="str">
        <f aca="false">IF(W1182&gt;=0,"YES","No")</f>
        <v>No</v>
      </c>
    </row>
    <row r="1183" customFormat="false" ht="15" hidden="false" customHeight="false" outlineLevel="0" collapsed="false">
      <c r="A1183" s="16" t="n">
        <v>1182</v>
      </c>
      <c r="B1183" s="17" t="n">
        <f aca="false">B1182+1</f>
        <v>47204</v>
      </c>
      <c r="C1183" s="18" t="n">
        <f aca="false">MIN(ROUNDUP(A1183/365,0),5)</f>
        <v>4</v>
      </c>
      <c r="D1183" s="18" t="n">
        <f aca="false">DATEDIF(Assumptions!B5,B1183,"m")+1</f>
        <v>39</v>
      </c>
      <c r="E1183" s="18" t="str">
        <f aca="false">TEXT(B1183,"ddd")</f>
        <v>Tue</v>
      </c>
      <c r="F1183" s="19" t="n">
        <f aca="false">IF(WEEKDAY(B1183,2)&gt;=6,Assumptions!B34,Assumptions!B35)</f>
        <v>1</v>
      </c>
      <c r="G1183" s="20" t="n">
        <f aca="false">IF(D1183&gt;=13,(1+Assumptions!B46)^(D1183-12),1)</f>
        <v>1.08423941638514</v>
      </c>
      <c r="H1183" s="21" t="n">
        <f aca="false">H1182*(1+IF(C1183=1,Assumptions!B22,Assumptions!B23))</f>
        <v>23.7959032859535</v>
      </c>
      <c r="I1183" s="16" t="n">
        <f aca="false">ROUND(H1183*F1183,0)</f>
        <v>24</v>
      </c>
      <c r="J1183" s="22" t="n">
        <f aca="false">I1183*Assumptions!B24</f>
        <v>14400</v>
      </c>
      <c r="K1183" s="21" t="n">
        <f aca="false">K1182*(1+Assumptions!B30)</f>
        <v>19.3318948657038</v>
      </c>
      <c r="L1183" s="16" t="n">
        <f aca="false">ROUND(K1183*F1183,0)</f>
        <v>19</v>
      </c>
      <c r="M1183" s="22" t="n">
        <f aca="false">L1183*Assumptions!B31</f>
        <v>5700</v>
      </c>
      <c r="N1183" s="22" t="n">
        <f aca="false">J1183+M1183</f>
        <v>20100</v>
      </c>
      <c r="O1183" s="22" t="n">
        <f aca="false">IF(DAY(B1183)=1,Assumptions!B38*G1183,0)</f>
        <v>0</v>
      </c>
      <c r="P1183" s="22" t="n">
        <f aca="false">IF(DAY(B1183)=1,Assumptions!B39*G1183,0)</f>
        <v>0</v>
      </c>
      <c r="Q1183" s="22" t="n">
        <f aca="false">IF(DAY(B1183)=1,Assumptions!B40*G1183,0)</f>
        <v>0</v>
      </c>
      <c r="R1183" s="22" t="n">
        <f aca="false">IF(DAY(B1183)=1,Assumptions!B41*G1183,0)</f>
        <v>0</v>
      </c>
      <c r="S1183" s="22" t="n">
        <f aca="false">IF(AND(DAY(B1183)=1,D1183&gt;=13),Assumptions!B42*G1183,0)</f>
        <v>0</v>
      </c>
      <c r="T1183" s="22" t="n">
        <f aca="false">IF(DAY(B1183)=1,Assumptions!B43*G1183,0)</f>
        <v>0</v>
      </c>
      <c r="U1183" s="22" t="n">
        <f aca="false">SUM(O1183:T1183)</f>
        <v>0</v>
      </c>
      <c r="V1183" s="22" t="n">
        <f aca="false">N1183-U1183</f>
        <v>20100</v>
      </c>
      <c r="W1183" s="22" t="n">
        <f aca="false">W1182+V1183</f>
        <v>-1364258.40002009</v>
      </c>
      <c r="X1183" s="23" t="str">
        <f aca="false">IF(W1183&gt;=0,"YES","No")</f>
        <v>No</v>
      </c>
    </row>
    <row r="1184" customFormat="false" ht="15" hidden="false" customHeight="false" outlineLevel="0" collapsed="false">
      <c r="A1184" s="16" t="n">
        <v>1183</v>
      </c>
      <c r="B1184" s="17" t="n">
        <f aca="false">B1183+1</f>
        <v>47205</v>
      </c>
      <c r="C1184" s="18" t="n">
        <f aca="false">MIN(ROUNDUP(A1184/365,0),5)</f>
        <v>4</v>
      </c>
      <c r="D1184" s="18" t="n">
        <f aca="false">DATEDIF(Assumptions!B5,B1184,"m")+1</f>
        <v>39</v>
      </c>
      <c r="E1184" s="18" t="str">
        <f aca="false">TEXT(B1184,"ddd")</f>
        <v>Wed</v>
      </c>
      <c r="F1184" s="19" t="n">
        <f aca="false">IF(WEEKDAY(B1184,2)&gt;=6,Assumptions!B34,Assumptions!B35)</f>
        <v>1</v>
      </c>
      <c r="G1184" s="20" t="n">
        <f aca="false">IF(D1184&gt;=13,(1+Assumptions!B46)^(D1184-12),1)</f>
        <v>1.08423941638514</v>
      </c>
      <c r="H1184" s="21" t="n">
        <f aca="false">H1183*(1+IF(C1184=1,Assumptions!B22,Assumptions!B23))</f>
        <v>23.7998025231076</v>
      </c>
      <c r="I1184" s="16" t="n">
        <f aca="false">ROUND(H1184*F1184,0)</f>
        <v>24</v>
      </c>
      <c r="J1184" s="22" t="n">
        <f aca="false">I1184*Assumptions!B24</f>
        <v>14400</v>
      </c>
      <c r="K1184" s="21" t="n">
        <f aca="false">K1183*(1+Assumptions!B30)</f>
        <v>19.3382151742715</v>
      </c>
      <c r="L1184" s="16" t="n">
        <f aca="false">ROUND(K1184*F1184,0)</f>
        <v>19</v>
      </c>
      <c r="M1184" s="22" t="n">
        <f aca="false">L1184*Assumptions!B31</f>
        <v>5700</v>
      </c>
      <c r="N1184" s="22" t="n">
        <f aca="false">J1184+M1184</f>
        <v>20100</v>
      </c>
      <c r="O1184" s="22" t="n">
        <f aca="false">IF(DAY(B1184)=1,Assumptions!B38*G1184,0)</f>
        <v>0</v>
      </c>
      <c r="P1184" s="22" t="n">
        <f aca="false">IF(DAY(B1184)=1,Assumptions!B39*G1184,0)</f>
        <v>0</v>
      </c>
      <c r="Q1184" s="22" t="n">
        <f aca="false">IF(DAY(B1184)=1,Assumptions!B40*G1184,0)</f>
        <v>0</v>
      </c>
      <c r="R1184" s="22" t="n">
        <f aca="false">IF(DAY(B1184)=1,Assumptions!B41*G1184,0)</f>
        <v>0</v>
      </c>
      <c r="S1184" s="22" t="n">
        <f aca="false">IF(AND(DAY(B1184)=1,D1184&gt;=13),Assumptions!B42*G1184,0)</f>
        <v>0</v>
      </c>
      <c r="T1184" s="22" t="n">
        <f aca="false">IF(DAY(B1184)=1,Assumptions!B43*G1184,0)</f>
        <v>0</v>
      </c>
      <c r="U1184" s="22" t="n">
        <f aca="false">SUM(O1184:T1184)</f>
        <v>0</v>
      </c>
      <c r="V1184" s="22" t="n">
        <f aca="false">N1184-U1184</f>
        <v>20100</v>
      </c>
      <c r="W1184" s="22" t="n">
        <f aca="false">W1183+V1184</f>
        <v>-1344158.40002009</v>
      </c>
      <c r="X1184" s="23" t="str">
        <f aca="false">IF(W1184&gt;=0,"YES","No")</f>
        <v>No</v>
      </c>
    </row>
    <row r="1185" customFormat="false" ht="15" hidden="false" customHeight="false" outlineLevel="0" collapsed="false">
      <c r="A1185" s="16" t="n">
        <v>1184</v>
      </c>
      <c r="B1185" s="17" t="n">
        <f aca="false">B1184+1</f>
        <v>47206</v>
      </c>
      <c r="C1185" s="18" t="n">
        <f aca="false">MIN(ROUNDUP(A1185/365,0),5)</f>
        <v>4</v>
      </c>
      <c r="D1185" s="18" t="n">
        <f aca="false">DATEDIF(Assumptions!B5,B1185,"m")+1</f>
        <v>39</v>
      </c>
      <c r="E1185" s="18" t="str">
        <f aca="false">TEXT(B1185,"ddd")</f>
        <v>Thu</v>
      </c>
      <c r="F1185" s="19" t="n">
        <f aca="false">IF(WEEKDAY(B1185,2)&gt;=6,Assumptions!B34,Assumptions!B35)</f>
        <v>1</v>
      </c>
      <c r="G1185" s="20" t="n">
        <f aca="false">IF(D1185&gt;=13,(1+Assumptions!B46)^(D1185-12),1)</f>
        <v>1.08423941638514</v>
      </c>
      <c r="H1185" s="21" t="n">
        <f aca="false">H1184*(1+IF(C1185=1,Assumptions!B22,Assumptions!B23))</f>
        <v>23.8037023991973</v>
      </c>
      <c r="I1185" s="16" t="n">
        <f aca="false">ROUND(H1185*F1185,0)</f>
        <v>24</v>
      </c>
      <c r="J1185" s="22" t="n">
        <f aca="false">I1185*Assumptions!B24</f>
        <v>14400</v>
      </c>
      <c r="K1185" s="21" t="n">
        <f aca="false">K1184*(1+Assumptions!B30)</f>
        <v>19.3445375491808</v>
      </c>
      <c r="L1185" s="16" t="n">
        <f aca="false">ROUND(K1185*F1185,0)</f>
        <v>19</v>
      </c>
      <c r="M1185" s="22" t="n">
        <f aca="false">L1185*Assumptions!B31</f>
        <v>5700</v>
      </c>
      <c r="N1185" s="22" t="n">
        <f aca="false">J1185+M1185</f>
        <v>20100</v>
      </c>
      <c r="O1185" s="22" t="n">
        <f aca="false">IF(DAY(B1185)=1,Assumptions!B38*G1185,0)</f>
        <v>0</v>
      </c>
      <c r="P1185" s="22" t="n">
        <f aca="false">IF(DAY(B1185)=1,Assumptions!B39*G1185,0)</f>
        <v>0</v>
      </c>
      <c r="Q1185" s="22" t="n">
        <f aca="false">IF(DAY(B1185)=1,Assumptions!B40*G1185,0)</f>
        <v>0</v>
      </c>
      <c r="R1185" s="22" t="n">
        <f aca="false">IF(DAY(B1185)=1,Assumptions!B41*G1185,0)</f>
        <v>0</v>
      </c>
      <c r="S1185" s="22" t="n">
        <f aca="false">IF(AND(DAY(B1185)=1,D1185&gt;=13),Assumptions!B42*G1185,0)</f>
        <v>0</v>
      </c>
      <c r="T1185" s="22" t="n">
        <f aca="false">IF(DAY(B1185)=1,Assumptions!B43*G1185,0)</f>
        <v>0</v>
      </c>
      <c r="U1185" s="22" t="n">
        <f aca="false">SUM(O1185:T1185)</f>
        <v>0</v>
      </c>
      <c r="V1185" s="22" t="n">
        <f aca="false">N1185-U1185</f>
        <v>20100</v>
      </c>
      <c r="W1185" s="22" t="n">
        <f aca="false">W1184+V1185</f>
        <v>-1324058.40002009</v>
      </c>
      <c r="X1185" s="23" t="str">
        <f aca="false">IF(W1185&gt;=0,"YES","No")</f>
        <v>No</v>
      </c>
    </row>
    <row r="1186" customFormat="false" ht="15" hidden="false" customHeight="false" outlineLevel="0" collapsed="false">
      <c r="A1186" s="16" t="n">
        <v>1185</v>
      </c>
      <c r="B1186" s="17" t="n">
        <f aca="false">B1185+1</f>
        <v>47207</v>
      </c>
      <c r="C1186" s="18" t="n">
        <f aca="false">MIN(ROUNDUP(A1186/365,0),5)</f>
        <v>4</v>
      </c>
      <c r="D1186" s="18" t="n">
        <f aca="false">DATEDIF(Assumptions!B5,B1186,"m")+1</f>
        <v>39</v>
      </c>
      <c r="E1186" s="18" t="str">
        <f aca="false">TEXT(B1186,"ddd")</f>
        <v>Fri</v>
      </c>
      <c r="F1186" s="19" t="n">
        <f aca="false">IF(WEEKDAY(B1186,2)&gt;=6,Assumptions!B34,Assumptions!B35)</f>
        <v>1</v>
      </c>
      <c r="G1186" s="20" t="n">
        <f aca="false">IF(D1186&gt;=13,(1+Assumptions!B46)^(D1186-12),1)</f>
        <v>1.08423941638514</v>
      </c>
      <c r="H1186" s="21" t="n">
        <f aca="false">H1185*(1+IF(C1186=1,Assumptions!B22,Assumptions!B23))</f>
        <v>23.8076029143273</v>
      </c>
      <c r="I1186" s="16" t="n">
        <f aca="false">ROUND(H1186*F1186,0)</f>
        <v>24</v>
      </c>
      <c r="J1186" s="22" t="n">
        <f aca="false">I1186*Assumptions!B24</f>
        <v>14400</v>
      </c>
      <c r="K1186" s="21" t="n">
        <f aca="false">K1185*(1+Assumptions!B30)</f>
        <v>19.3508619911075</v>
      </c>
      <c r="L1186" s="16" t="n">
        <f aca="false">ROUND(K1186*F1186,0)</f>
        <v>19</v>
      </c>
      <c r="M1186" s="22" t="n">
        <f aca="false">L1186*Assumptions!B31</f>
        <v>5700</v>
      </c>
      <c r="N1186" s="22" t="n">
        <f aca="false">J1186+M1186</f>
        <v>20100</v>
      </c>
      <c r="O1186" s="22" t="n">
        <f aca="false">IF(DAY(B1186)=1,Assumptions!B38*G1186,0)</f>
        <v>0</v>
      </c>
      <c r="P1186" s="22" t="n">
        <f aca="false">IF(DAY(B1186)=1,Assumptions!B39*G1186,0)</f>
        <v>0</v>
      </c>
      <c r="Q1186" s="22" t="n">
        <f aca="false">IF(DAY(B1186)=1,Assumptions!B40*G1186,0)</f>
        <v>0</v>
      </c>
      <c r="R1186" s="22" t="n">
        <f aca="false">IF(DAY(B1186)=1,Assumptions!B41*G1186,0)</f>
        <v>0</v>
      </c>
      <c r="S1186" s="22" t="n">
        <f aca="false">IF(AND(DAY(B1186)=1,D1186&gt;=13),Assumptions!B42*G1186,0)</f>
        <v>0</v>
      </c>
      <c r="T1186" s="22" t="n">
        <f aca="false">IF(DAY(B1186)=1,Assumptions!B43*G1186,0)</f>
        <v>0</v>
      </c>
      <c r="U1186" s="22" t="n">
        <f aca="false">SUM(O1186:T1186)</f>
        <v>0</v>
      </c>
      <c r="V1186" s="22" t="n">
        <f aca="false">N1186-U1186</f>
        <v>20100</v>
      </c>
      <c r="W1186" s="22" t="n">
        <f aca="false">W1185+V1186</f>
        <v>-1303958.40002009</v>
      </c>
      <c r="X1186" s="23" t="str">
        <f aca="false">IF(W1186&gt;=0,"YES","No")</f>
        <v>No</v>
      </c>
    </row>
    <row r="1187" customFormat="false" ht="15" hidden="false" customHeight="false" outlineLevel="0" collapsed="false">
      <c r="A1187" s="16" t="n">
        <v>1186</v>
      </c>
      <c r="B1187" s="17" t="n">
        <f aca="false">B1186+1</f>
        <v>47208</v>
      </c>
      <c r="C1187" s="18" t="n">
        <f aca="false">MIN(ROUNDUP(A1187/365,0),5)</f>
        <v>4</v>
      </c>
      <c r="D1187" s="18" t="n">
        <f aca="false">DATEDIF(Assumptions!B5,B1187,"m")+1</f>
        <v>39</v>
      </c>
      <c r="E1187" s="18" t="str">
        <f aca="false">TEXT(B1187,"ddd")</f>
        <v>Sat</v>
      </c>
      <c r="F1187" s="19" t="n">
        <f aca="false">IF(WEEKDAY(B1187,2)&gt;=6,Assumptions!B34,Assumptions!B35)</f>
        <v>0.6</v>
      </c>
      <c r="G1187" s="20" t="n">
        <f aca="false">IF(D1187&gt;=13,(1+Assumptions!B46)^(D1187-12),1)</f>
        <v>1.08423941638514</v>
      </c>
      <c r="H1187" s="21" t="n">
        <f aca="false">H1186*(1+IF(C1187=1,Assumptions!B22,Assumptions!B23))</f>
        <v>23.8115040686023</v>
      </c>
      <c r="I1187" s="16" t="n">
        <f aca="false">ROUND(H1187*F1187,0)</f>
        <v>14</v>
      </c>
      <c r="J1187" s="22" t="n">
        <f aca="false">I1187*Assumptions!B24</f>
        <v>8400</v>
      </c>
      <c r="K1187" s="21" t="n">
        <f aca="false">K1186*(1+Assumptions!B30)</f>
        <v>19.3571885007271</v>
      </c>
      <c r="L1187" s="16" t="n">
        <f aca="false">ROUND(K1187*F1187,0)</f>
        <v>12</v>
      </c>
      <c r="M1187" s="22" t="n">
        <f aca="false">L1187*Assumptions!B31</f>
        <v>3600</v>
      </c>
      <c r="N1187" s="22" t="n">
        <f aca="false">J1187+M1187</f>
        <v>12000</v>
      </c>
      <c r="O1187" s="22" t="n">
        <f aca="false">IF(DAY(B1187)=1,Assumptions!B38*G1187,0)</f>
        <v>0</v>
      </c>
      <c r="P1187" s="22" t="n">
        <f aca="false">IF(DAY(B1187)=1,Assumptions!B39*G1187,0)</f>
        <v>0</v>
      </c>
      <c r="Q1187" s="22" t="n">
        <f aca="false">IF(DAY(B1187)=1,Assumptions!B40*G1187,0)</f>
        <v>0</v>
      </c>
      <c r="R1187" s="22" t="n">
        <f aca="false">IF(DAY(B1187)=1,Assumptions!B41*G1187,0)</f>
        <v>0</v>
      </c>
      <c r="S1187" s="22" t="n">
        <f aca="false">IF(AND(DAY(B1187)=1,D1187&gt;=13),Assumptions!B42*G1187,0)</f>
        <v>0</v>
      </c>
      <c r="T1187" s="22" t="n">
        <f aca="false">IF(DAY(B1187)=1,Assumptions!B43*G1187,0)</f>
        <v>0</v>
      </c>
      <c r="U1187" s="22" t="n">
        <f aca="false">SUM(O1187:T1187)</f>
        <v>0</v>
      </c>
      <c r="V1187" s="22" t="n">
        <f aca="false">N1187-U1187</f>
        <v>12000</v>
      </c>
      <c r="W1187" s="22" t="n">
        <f aca="false">W1186+V1187</f>
        <v>-1291958.40002009</v>
      </c>
      <c r="X1187" s="23" t="str">
        <f aca="false">IF(W1187&gt;=0,"YES","No")</f>
        <v>No</v>
      </c>
    </row>
    <row r="1188" customFormat="false" ht="15" hidden="false" customHeight="false" outlineLevel="0" collapsed="false">
      <c r="A1188" s="16" t="n">
        <v>1187</v>
      </c>
      <c r="B1188" s="17" t="n">
        <f aca="false">B1187+1</f>
        <v>47209</v>
      </c>
      <c r="C1188" s="18" t="n">
        <f aca="false">MIN(ROUNDUP(A1188/365,0),5)</f>
        <v>4</v>
      </c>
      <c r="D1188" s="18" t="n">
        <f aca="false">DATEDIF(Assumptions!B5,B1188,"m")+1</f>
        <v>40</v>
      </c>
      <c r="E1188" s="18" t="str">
        <f aca="false">TEXT(B1188,"ddd")</f>
        <v>Sun</v>
      </c>
      <c r="F1188" s="19" t="n">
        <f aca="false">IF(WEEKDAY(B1188,2)&gt;=6,Assumptions!B34,Assumptions!B35)</f>
        <v>0.6</v>
      </c>
      <c r="G1188" s="20" t="n">
        <f aca="false">IF(D1188&gt;=13,(1+Assumptions!B46)^(D1188-12),1)</f>
        <v>1.08749213463429</v>
      </c>
      <c r="H1188" s="21" t="n">
        <f aca="false">H1187*(1+IF(C1188=1,Assumptions!B22,Assumptions!B23))</f>
        <v>23.8154058621271</v>
      </c>
      <c r="I1188" s="16" t="n">
        <f aca="false">ROUND(H1188*F1188,0)</f>
        <v>14</v>
      </c>
      <c r="J1188" s="22" t="n">
        <f aca="false">I1188*Assumptions!B24</f>
        <v>8400</v>
      </c>
      <c r="K1188" s="21" t="n">
        <f aca="false">K1187*(1+Assumptions!B30)</f>
        <v>19.3635170787158</v>
      </c>
      <c r="L1188" s="16" t="n">
        <f aca="false">ROUND(K1188*F1188,0)</f>
        <v>12</v>
      </c>
      <c r="M1188" s="22" t="n">
        <f aca="false">L1188*Assumptions!B31</f>
        <v>3600</v>
      </c>
      <c r="N1188" s="22" t="n">
        <f aca="false">J1188+M1188</f>
        <v>12000</v>
      </c>
      <c r="O1188" s="22" t="n">
        <f aca="false">IF(DAY(B1188)=1,Assumptions!B38*G1188,0)</f>
        <v>163123.820195144</v>
      </c>
      <c r="P1188" s="22" t="n">
        <f aca="false">IF(DAY(B1188)=1,Assumptions!B39*G1188,0)</f>
        <v>43499.6853853716</v>
      </c>
      <c r="Q1188" s="22" t="n">
        <f aca="false">IF(DAY(B1188)=1,Assumptions!B40*G1188,0)</f>
        <v>32624.7640390287</v>
      </c>
      <c r="R1188" s="22" t="n">
        <f aca="false">IF(DAY(B1188)=1,Assumptions!B41*G1188,0)</f>
        <v>21749.8426926858</v>
      </c>
      <c r="S1188" s="22" t="n">
        <f aca="false">IF(AND(DAY(B1188)=1,D1188&gt;=13),Assumptions!B42*G1188,0)</f>
        <v>163123.820195144</v>
      </c>
      <c r="T1188" s="22" t="n">
        <f aca="false">IF(DAY(B1188)=1,Assumptions!B43*G1188,0)</f>
        <v>21749.8426926858</v>
      </c>
      <c r="U1188" s="22" t="n">
        <f aca="false">SUM(O1188:T1188)</f>
        <v>445871.775200059</v>
      </c>
      <c r="V1188" s="22" t="n">
        <f aca="false">N1188-U1188</f>
        <v>-433871.775200059</v>
      </c>
      <c r="W1188" s="22" t="n">
        <f aca="false">W1187+V1188</f>
        <v>-1725830.17522015</v>
      </c>
      <c r="X1188" s="23" t="str">
        <f aca="false">IF(W1188&gt;=0,"YES","No")</f>
        <v>No</v>
      </c>
    </row>
    <row r="1189" customFormat="false" ht="15" hidden="false" customHeight="false" outlineLevel="0" collapsed="false">
      <c r="A1189" s="16" t="n">
        <v>1188</v>
      </c>
      <c r="B1189" s="17" t="n">
        <f aca="false">B1188+1</f>
        <v>47210</v>
      </c>
      <c r="C1189" s="18" t="n">
        <f aca="false">MIN(ROUNDUP(A1189/365,0),5)</f>
        <v>4</v>
      </c>
      <c r="D1189" s="18" t="n">
        <f aca="false">DATEDIF(Assumptions!B5,B1189,"m")+1</f>
        <v>40</v>
      </c>
      <c r="E1189" s="18" t="str">
        <f aca="false">TEXT(B1189,"ddd")</f>
        <v>Mon</v>
      </c>
      <c r="F1189" s="19" t="n">
        <f aca="false">IF(WEEKDAY(B1189,2)&gt;=6,Assumptions!B34,Assumptions!B35)</f>
        <v>1</v>
      </c>
      <c r="G1189" s="20" t="n">
        <f aca="false">IF(D1189&gt;=13,(1+Assumptions!B46)^(D1189-12),1)</f>
        <v>1.08749213463429</v>
      </c>
      <c r="H1189" s="21" t="n">
        <f aca="false">H1188*(1+IF(C1189=1,Assumptions!B22,Assumptions!B23))</f>
        <v>23.8193082950065</v>
      </c>
      <c r="I1189" s="16" t="n">
        <f aca="false">ROUND(H1189*F1189,0)</f>
        <v>24</v>
      </c>
      <c r="J1189" s="22" t="n">
        <f aca="false">I1189*Assumptions!B24</f>
        <v>14400</v>
      </c>
      <c r="K1189" s="21" t="n">
        <f aca="false">K1188*(1+Assumptions!B30)</f>
        <v>19.3698477257498</v>
      </c>
      <c r="L1189" s="16" t="n">
        <f aca="false">ROUND(K1189*F1189,0)</f>
        <v>19</v>
      </c>
      <c r="M1189" s="22" t="n">
        <f aca="false">L1189*Assumptions!B31</f>
        <v>5700</v>
      </c>
      <c r="N1189" s="22" t="n">
        <f aca="false">J1189+M1189</f>
        <v>20100</v>
      </c>
      <c r="O1189" s="22" t="n">
        <f aca="false">IF(DAY(B1189)=1,Assumptions!B38*G1189,0)</f>
        <v>0</v>
      </c>
      <c r="P1189" s="22" t="n">
        <f aca="false">IF(DAY(B1189)=1,Assumptions!B39*G1189,0)</f>
        <v>0</v>
      </c>
      <c r="Q1189" s="22" t="n">
        <f aca="false">IF(DAY(B1189)=1,Assumptions!B40*G1189,0)</f>
        <v>0</v>
      </c>
      <c r="R1189" s="22" t="n">
        <f aca="false">IF(DAY(B1189)=1,Assumptions!B41*G1189,0)</f>
        <v>0</v>
      </c>
      <c r="S1189" s="22" t="n">
        <f aca="false">IF(AND(DAY(B1189)=1,D1189&gt;=13),Assumptions!B42*G1189,0)</f>
        <v>0</v>
      </c>
      <c r="T1189" s="22" t="n">
        <f aca="false">IF(DAY(B1189)=1,Assumptions!B43*G1189,0)</f>
        <v>0</v>
      </c>
      <c r="U1189" s="22" t="n">
        <f aca="false">SUM(O1189:T1189)</f>
        <v>0</v>
      </c>
      <c r="V1189" s="22" t="n">
        <f aca="false">N1189-U1189</f>
        <v>20100</v>
      </c>
      <c r="W1189" s="22" t="n">
        <f aca="false">W1188+V1189</f>
        <v>-1705730.17522015</v>
      </c>
      <c r="X1189" s="23" t="str">
        <f aca="false">IF(W1189&gt;=0,"YES","No")</f>
        <v>No</v>
      </c>
    </row>
    <row r="1190" customFormat="false" ht="15" hidden="false" customHeight="false" outlineLevel="0" collapsed="false">
      <c r="A1190" s="16" t="n">
        <v>1189</v>
      </c>
      <c r="B1190" s="17" t="n">
        <f aca="false">B1189+1</f>
        <v>47211</v>
      </c>
      <c r="C1190" s="18" t="n">
        <f aca="false">MIN(ROUNDUP(A1190/365,0),5)</f>
        <v>4</v>
      </c>
      <c r="D1190" s="18" t="n">
        <f aca="false">DATEDIF(Assumptions!B5,B1190,"m")+1</f>
        <v>40</v>
      </c>
      <c r="E1190" s="18" t="str">
        <f aca="false">TEXT(B1190,"ddd")</f>
        <v>Tue</v>
      </c>
      <c r="F1190" s="19" t="n">
        <f aca="false">IF(WEEKDAY(B1190,2)&gt;=6,Assumptions!B34,Assumptions!B35)</f>
        <v>1</v>
      </c>
      <c r="G1190" s="20" t="n">
        <f aca="false">IF(D1190&gt;=13,(1+Assumptions!B46)^(D1190-12),1)</f>
        <v>1.08749213463429</v>
      </c>
      <c r="H1190" s="21" t="n">
        <f aca="false">H1189*(1+IF(C1190=1,Assumptions!B22,Assumptions!B23))</f>
        <v>23.8232113673451</v>
      </c>
      <c r="I1190" s="16" t="n">
        <f aca="false">ROUND(H1190*F1190,0)</f>
        <v>24</v>
      </c>
      <c r="J1190" s="22" t="n">
        <f aca="false">I1190*Assumptions!B24</f>
        <v>14400</v>
      </c>
      <c r="K1190" s="21" t="n">
        <f aca="false">K1189*(1+Assumptions!B30)</f>
        <v>19.3761804425055</v>
      </c>
      <c r="L1190" s="16" t="n">
        <f aca="false">ROUND(K1190*F1190,0)</f>
        <v>19</v>
      </c>
      <c r="M1190" s="22" t="n">
        <f aca="false">L1190*Assumptions!B31</f>
        <v>5700</v>
      </c>
      <c r="N1190" s="22" t="n">
        <f aca="false">J1190+M1190</f>
        <v>20100</v>
      </c>
      <c r="O1190" s="22" t="n">
        <f aca="false">IF(DAY(B1190)=1,Assumptions!B38*G1190,0)</f>
        <v>0</v>
      </c>
      <c r="P1190" s="22" t="n">
        <f aca="false">IF(DAY(B1190)=1,Assumptions!B39*G1190,0)</f>
        <v>0</v>
      </c>
      <c r="Q1190" s="22" t="n">
        <f aca="false">IF(DAY(B1190)=1,Assumptions!B40*G1190,0)</f>
        <v>0</v>
      </c>
      <c r="R1190" s="22" t="n">
        <f aca="false">IF(DAY(B1190)=1,Assumptions!B41*G1190,0)</f>
        <v>0</v>
      </c>
      <c r="S1190" s="22" t="n">
        <f aca="false">IF(AND(DAY(B1190)=1,D1190&gt;=13),Assumptions!B42*G1190,0)</f>
        <v>0</v>
      </c>
      <c r="T1190" s="22" t="n">
        <f aca="false">IF(DAY(B1190)=1,Assumptions!B43*G1190,0)</f>
        <v>0</v>
      </c>
      <c r="U1190" s="22" t="n">
        <f aca="false">SUM(O1190:T1190)</f>
        <v>0</v>
      </c>
      <c r="V1190" s="22" t="n">
        <f aca="false">N1190-U1190</f>
        <v>20100</v>
      </c>
      <c r="W1190" s="22" t="n">
        <f aca="false">W1189+V1190</f>
        <v>-1685630.17522015</v>
      </c>
      <c r="X1190" s="23" t="str">
        <f aca="false">IF(W1190&gt;=0,"YES","No")</f>
        <v>No</v>
      </c>
    </row>
    <row r="1191" customFormat="false" ht="15" hidden="false" customHeight="false" outlineLevel="0" collapsed="false">
      <c r="A1191" s="16" t="n">
        <v>1190</v>
      </c>
      <c r="B1191" s="17" t="n">
        <f aca="false">B1190+1</f>
        <v>47212</v>
      </c>
      <c r="C1191" s="18" t="n">
        <f aca="false">MIN(ROUNDUP(A1191/365,0),5)</f>
        <v>4</v>
      </c>
      <c r="D1191" s="18" t="n">
        <f aca="false">DATEDIF(Assumptions!B5,B1191,"m")+1</f>
        <v>40</v>
      </c>
      <c r="E1191" s="18" t="str">
        <f aca="false">TEXT(B1191,"ddd")</f>
        <v>Wed</v>
      </c>
      <c r="F1191" s="19" t="n">
        <f aca="false">IF(WEEKDAY(B1191,2)&gt;=6,Assumptions!B34,Assumptions!B35)</f>
        <v>1</v>
      </c>
      <c r="G1191" s="20" t="n">
        <f aca="false">IF(D1191&gt;=13,(1+Assumptions!B46)^(D1191-12),1)</f>
        <v>1.08749213463429</v>
      </c>
      <c r="H1191" s="21" t="n">
        <f aca="false">H1190*(1+IF(C1191=1,Assumptions!B22,Assumptions!B23))</f>
        <v>23.8271150792478</v>
      </c>
      <c r="I1191" s="16" t="n">
        <f aca="false">ROUND(H1191*F1191,0)</f>
        <v>24</v>
      </c>
      <c r="J1191" s="22" t="n">
        <f aca="false">I1191*Assumptions!B24</f>
        <v>14400</v>
      </c>
      <c r="K1191" s="21" t="n">
        <f aca="false">K1190*(1+Assumptions!B30)</f>
        <v>19.3825152296596</v>
      </c>
      <c r="L1191" s="16" t="n">
        <f aca="false">ROUND(K1191*F1191,0)</f>
        <v>19</v>
      </c>
      <c r="M1191" s="22" t="n">
        <f aca="false">L1191*Assumptions!B31</f>
        <v>5700</v>
      </c>
      <c r="N1191" s="22" t="n">
        <f aca="false">J1191+M1191</f>
        <v>20100</v>
      </c>
      <c r="O1191" s="22" t="n">
        <f aca="false">IF(DAY(B1191)=1,Assumptions!B38*G1191,0)</f>
        <v>0</v>
      </c>
      <c r="P1191" s="22" t="n">
        <f aca="false">IF(DAY(B1191)=1,Assumptions!B39*G1191,0)</f>
        <v>0</v>
      </c>
      <c r="Q1191" s="22" t="n">
        <f aca="false">IF(DAY(B1191)=1,Assumptions!B40*G1191,0)</f>
        <v>0</v>
      </c>
      <c r="R1191" s="22" t="n">
        <f aca="false">IF(DAY(B1191)=1,Assumptions!B41*G1191,0)</f>
        <v>0</v>
      </c>
      <c r="S1191" s="22" t="n">
        <f aca="false">IF(AND(DAY(B1191)=1,D1191&gt;=13),Assumptions!B42*G1191,0)</f>
        <v>0</v>
      </c>
      <c r="T1191" s="22" t="n">
        <f aca="false">IF(DAY(B1191)=1,Assumptions!B43*G1191,0)</f>
        <v>0</v>
      </c>
      <c r="U1191" s="22" t="n">
        <f aca="false">SUM(O1191:T1191)</f>
        <v>0</v>
      </c>
      <c r="V1191" s="22" t="n">
        <f aca="false">N1191-U1191</f>
        <v>20100</v>
      </c>
      <c r="W1191" s="22" t="n">
        <f aca="false">W1190+V1191</f>
        <v>-1665530.17522015</v>
      </c>
      <c r="X1191" s="23" t="str">
        <f aca="false">IF(W1191&gt;=0,"YES","No")</f>
        <v>No</v>
      </c>
    </row>
    <row r="1192" customFormat="false" ht="15" hidden="false" customHeight="false" outlineLevel="0" collapsed="false">
      <c r="A1192" s="16" t="n">
        <v>1191</v>
      </c>
      <c r="B1192" s="17" t="n">
        <f aca="false">B1191+1</f>
        <v>47213</v>
      </c>
      <c r="C1192" s="18" t="n">
        <f aca="false">MIN(ROUNDUP(A1192/365,0),5)</f>
        <v>4</v>
      </c>
      <c r="D1192" s="18" t="n">
        <f aca="false">DATEDIF(Assumptions!B5,B1192,"m")+1</f>
        <v>40</v>
      </c>
      <c r="E1192" s="18" t="str">
        <f aca="false">TEXT(B1192,"ddd")</f>
        <v>Thu</v>
      </c>
      <c r="F1192" s="19" t="n">
        <f aca="false">IF(WEEKDAY(B1192,2)&gt;=6,Assumptions!B34,Assumptions!B35)</f>
        <v>1</v>
      </c>
      <c r="G1192" s="20" t="n">
        <f aca="false">IF(D1192&gt;=13,(1+Assumptions!B46)^(D1192-12),1)</f>
        <v>1.08749213463429</v>
      </c>
      <c r="H1192" s="21" t="n">
        <f aca="false">H1191*(1+IF(C1192=1,Assumptions!B22,Assumptions!B23))</f>
        <v>23.8310194308193</v>
      </c>
      <c r="I1192" s="16" t="n">
        <f aca="false">ROUND(H1192*F1192,0)</f>
        <v>24</v>
      </c>
      <c r="J1192" s="22" t="n">
        <f aca="false">I1192*Assumptions!B24</f>
        <v>14400</v>
      </c>
      <c r="K1192" s="21" t="n">
        <f aca="false">K1191*(1+Assumptions!B30)</f>
        <v>19.388852087889</v>
      </c>
      <c r="L1192" s="16" t="n">
        <f aca="false">ROUND(K1192*F1192,0)</f>
        <v>19</v>
      </c>
      <c r="M1192" s="22" t="n">
        <f aca="false">L1192*Assumptions!B31</f>
        <v>5700</v>
      </c>
      <c r="N1192" s="22" t="n">
        <f aca="false">J1192+M1192</f>
        <v>20100</v>
      </c>
      <c r="O1192" s="22" t="n">
        <f aca="false">IF(DAY(B1192)=1,Assumptions!B38*G1192,0)</f>
        <v>0</v>
      </c>
      <c r="P1192" s="22" t="n">
        <f aca="false">IF(DAY(B1192)=1,Assumptions!B39*G1192,0)</f>
        <v>0</v>
      </c>
      <c r="Q1192" s="22" t="n">
        <f aca="false">IF(DAY(B1192)=1,Assumptions!B40*G1192,0)</f>
        <v>0</v>
      </c>
      <c r="R1192" s="22" t="n">
        <f aca="false">IF(DAY(B1192)=1,Assumptions!B41*G1192,0)</f>
        <v>0</v>
      </c>
      <c r="S1192" s="22" t="n">
        <f aca="false">IF(AND(DAY(B1192)=1,D1192&gt;=13),Assumptions!B42*G1192,0)</f>
        <v>0</v>
      </c>
      <c r="T1192" s="22" t="n">
        <f aca="false">IF(DAY(B1192)=1,Assumptions!B43*G1192,0)</f>
        <v>0</v>
      </c>
      <c r="U1192" s="22" t="n">
        <f aca="false">SUM(O1192:T1192)</f>
        <v>0</v>
      </c>
      <c r="V1192" s="22" t="n">
        <f aca="false">N1192-U1192</f>
        <v>20100</v>
      </c>
      <c r="W1192" s="22" t="n">
        <f aca="false">W1191+V1192</f>
        <v>-1645430.17522015</v>
      </c>
      <c r="X1192" s="23" t="str">
        <f aca="false">IF(W1192&gt;=0,"YES","No")</f>
        <v>No</v>
      </c>
    </row>
    <row r="1193" customFormat="false" ht="15" hidden="false" customHeight="false" outlineLevel="0" collapsed="false">
      <c r="A1193" s="16" t="n">
        <v>1192</v>
      </c>
      <c r="B1193" s="17" t="n">
        <f aca="false">B1192+1</f>
        <v>47214</v>
      </c>
      <c r="C1193" s="18" t="n">
        <f aca="false">MIN(ROUNDUP(A1193/365,0),5)</f>
        <v>4</v>
      </c>
      <c r="D1193" s="18" t="n">
        <f aca="false">DATEDIF(Assumptions!B5,B1193,"m")+1</f>
        <v>40</v>
      </c>
      <c r="E1193" s="18" t="str">
        <f aca="false">TEXT(B1193,"ddd")</f>
        <v>Fri</v>
      </c>
      <c r="F1193" s="19" t="n">
        <f aca="false">IF(WEEKDAY(B1193,2)&gt;=6,Assumptions!B34,Assumptions!B35)</f>
        <v>1</v>
      </c>
      <c r="G1193" s="20" t="n">
        <f aca="false">IF(D1193&gt;=13,(1+Assumptions!B46)^(D1193-12),1)</f>
        <v>1.08749213463429</v>
      </c>
      <c r="H1193" s="21" t="n">
        <f aca="false">H1192*(1+IF(C1193=1,Assumptions!B22,Assumptions!B23))</f>
        <v>23.8349244221645</v>
      </c>
      <c r="I1193" s="16" t="n">
        <f aca="false">ROUND(H1193*F1193,0)</f>
        <v>24</v>
      </c>
      <c r="J1193" s="22" t="n">
        <f aca="false">I1193*Assumptions!B24</f>
        <v>14400</v>
      </c>
      <c r="K1193" s="21" t="n">
        <f aca="false">K1192*(1+Assumptions!B30)</f>
        <v>19.3951910178707</v>
      </c>
      <c r="L1193" s="16" t="n">
        <f aca="false">ROUND(K1193*F1193,0)</f>
        <v>19</v>
      </c>
      <c r="M1193" s="22" t="n">
        <f aca="false">L1193*Assumptions!B31</f>
        <v>5700</v>
      </c>
      <c r="N1193" s="22" t="n">
        <f aca="false">J1193+M1193</f>
        <v>20100</v>
      </c>
      <c r="O1193" s="22" t="n">
        <f aca="false">IF(DAY(B1193)=1,Assumptions!B38*G1193,0)</f>
        <v>0</v>
      </c>
      <c r="P1193" s="22" t="n">
        <f aca="false">IF(DAY(B1193)=1,Assumptions!B39*G1193,0)</f>
        <v>0</v>
      </c>
      <c r="Q1193" s="22" t="n">
        <f aca="false">IF(DAY(B1193)=1,Assumptions!B40*G1193,0)</f>
        <v>0</v>
      </c>
      <c r="R1193" s="22" t="n">
        <f aca="false">IF(DAY(B1193)=1,Assumptions!B41*G1193,0)</f>
        <v>0</v>
      </c>
      <c r="S1193" s="22" t="n">
        <f aca="false">IF(AND(DAY(B1193)=1,D1193&gt;=13),Assumptions!B42*G1193,0)</f>
        <v>0</v>
      </c>
      <c r="T1193" s="22" t="n">
        <f aca="false">IF(DAY(B1193)=1,Assumptions!B43*G1193,0)</f>
        <v>0</v>
      </c>
      <c r="U1193" s="22" t="n">
        <f aca="false">SUM(O1193:T1193)</f>
        <v>0</v>
      </c>
      <c r="V1193" s="22" t="n">
        <f aca="false">N1193-U1193</f>
        <v>20100</v>
      </c>
      <c r="W1193" s="22" t="n">
        <f aca="false">W1192+V1193</f>
        <v>-1625330.17522015</v>
      </c>
      <c r="X1193" s="23" t="str">
        <f aca="false">IF(W1193&gt;=0,"YES","No")</f>
        <v>No</v>
      </c>
    </row>
    <row r="1194" customFormat="false" ht="15" hidden="false" customHeight="false" outlineLevel="0" collapsed="false">
      <c r="A1194" s="16" t="n">
        <v>1193</v>
      </c>
      <c r="B1194" s="17" t="n">
        <f aca="false">B1193+1</f>
        <v>47215</v>
      </c>
      <c r="C1194" s="18" t="n">
        <f aca="false">MIN(ROUNDUP(A1194/365,0),5)</f>
        <v>4</v>
      </c>
      <c r="D1194" s="18" t="n">
        <f aca="false">DATEDIF(Assumptions!B5,B1194,"m")+1</f>
        <v>40</v>
      </c>
      <c r="E1194" s="18" t="str">
        <f aca="false">TEXT(B1194,"ddd")</f>
        <v>Sat</v>
      </c>
      <c r="F1194" s="19" t="n">
        <f aca="false">IF(WEEKDAY(B1194,2)&gt;=6,Assumptions!B34,Assumptions!B35)</f>
        <v>0.6</v>
      </c>
      <c r="G1194" s="20" t="n">
        <f aca="false">IF(D1194&gt;=13,(1+Assumptions!B46)^(D1194-12),1)</f>
        <v>1.08749213463429</v>
      </c>
      <c r="H1194" s="21" t="n">
        <f aca="false">H1193*(1+IF(C1194=1,Assumptions!B22,Assumptions!B23))</f>
        <v>23.8388300533883</v>
      </c>
      <c r="I1194" s="16" t="n">
        <f aca="false">ROUND(H1194*F1194,0)</f>
        <v>14</v>
      </c>
      <c r="J1194" s="22" t="n">
        <f aca="false">I1194*Assumptions!B24</f>
        <v>8400</v>
      </c>
      <c r="K1194" s="21" t="n">
        <f aca="false">K1193*(1+Assumptions!B30)</f>
        <v>19.4015320202822</v>
      </c>
      <c r="L1194" s="16" t="n">
        <f aca="false">ROUND(K1194*F1194,0)</f>
        <v>12</v>
      </c>
      <c r="M1194" s="22" t="n">
        <f aca="false">L1194*Assumptions!B31</f>
        <v>3600</v>
      </c>
      <c r="N1194" s="22" t="n">
        <f aca="false">J1194+M1194</f>
        <v>12000</v>
      </c>
      <c r="O1194" s="22" t="n">
        <f aca="false">IF(DAY(B1194)=1,Assumptions!B38*G1194,0)</f>
        <v>0</v>
      </c>
      <c r="P1194" s="22" t="n">
        <f aca="false">IF(DAY(B1194)=1,Assumptions!B39*G1194,0)</f>
        <v>0</v>
      </c>
      <c r="Q1194" s="22" t="n">
        <f aca="false">IF(DAY(B1194)=1,Assumptions!B40*G1194,0)</f>
        <v>0</v>
      </c>
      <c r="R1194" s="22" t="n">
        <f aca="false">IF(DAY(B1194)=1,Assumptions!B41*G1194,0)</f>
        <v>0</v>
      </c>
      <c r="S1194" s="22" t="n">
        <f aca="false">IF(AND(DAY(B1194)=1,D1194&gt;=13),Assumptions!B42*G1194,0)</f>
        <v>0</v>
      </c>
      <c r="T1194" s="22" t="n">
        <f aca="false">IF(DAY(B1194)=1,Assumptions!B43*G1194,0)</f>
        <v>0</v>
      </c>
      <c r="U1194" s="22" t="n">
        <f aca="false">SUM(O1194:T1194)</f>
        <v>0</v>
      </c>
      <c r="V1194" s="22" t="n">
        <f aca="false">N1194-U1194</f>
        <v>12000</v>
      </c>
      <c r="W1194" s="22" t="n">
        <f aca="false">W1193+V1194</f>
        <v>-1613330.17522015</v>
      </c>
      <c r="X1194" s="23" t="str">
        <f aca="false">IF(W1194&gt;=0,"YES","No")</f>
        <v>No</v>
      </c>
    </row>
    <row r="1195" customFormat="false" ht="15" hidden="false" customHeight="false" outlineLevel="0" collapsed="false">
      <c r="A1195" s="16" t="n">
        <v>1194</v>
      </c>
      <c r="B1195" s="17" t="n">
        <f aca="false">B1194+1</f>
        <v>47216</v>
      </c>
      <c r="C1195" s="18" t="n">
        <f aca="false">MIN(ROUNDUP(A1195/365,0),5)</f>
        <v>4</v>
      </c>
      <c r="D1195" s="18" t="n">
        <f aca="false">DATEDIF(Assumptions!B5,B1195,"m")+1</f>
        <v>40</v>
      </c>
      <c r="E1195" s="18" t="str">
        <f aca="false">TEXT(B1195,"ddd")</f>
        <v>Sun</v>
      </c>
      <c r="F1195" s="19" t="n">
        <f aca="false">IF(WEEKDAY(B1195,2)&gt;=6,Assumptions!B34,Assumptions!B35)</f>
        <v>0.6</v>
      </c>
      <c r="G1195" s="20" t="n">
        <f aca="false">IF(D1195&gt;=13,(1+Assumptions!B46)^(D1195-12),1)</f>
        <v>1.08749213463429</v>
      </c>
      <c r="H1195" s="21" t="n">
        <f aca="false">H1194*(1+IF(C1195=1,Assumptions!B22,Assumptions!B23))</f>
        <v>23.8427363245954</v>
      </c>
      <c r="I1195" s="16" t="n">
        <f aca="false">ROUND(H1195*F1195,0)</f>
        <v>14</v>
      </c>
      <c r="J1195" s="22" t="n">
        <f aca="false">I1195*Assumptions!B24</f>
        <v>8400</v>
      </c>
      <c r="K1195" s="21" t="n">
        <f aca="false">K1194*(1+Assumptions!B30)</f>
        <v>19.407875095801</v>
      </c>
      <c r="L1195" s="16" t="n">
        <f aca="false">ROUND(K1195*F1195,0)</f>
        <v>12</v>
      </c>
      <c r="M1195" s="22" t="n">
        <f aca="false">L1195*Assumptions!B31</f>
        <v>3600</v>
      </c>
      <c r="N1195" s="22" t="n">
        <f aca="false">J1195+M1195</f>
        <v>12000</v>
      </c>
      <c r="O1195" s="22" t="n">
        <f aca="false">IF(DAY(B1195)=1,Assumptions!B38*G1195,0)</f>
        <v>0</v>
      </c>
      <c r="P1195" s="22" t="n">
        <f aca="false">IF(DAY(B1195)=1,Assumptions!B39*G1195,0)</f>
        <v>0</v>
      </c>
      <c r="Q1195" s="22" t="n">
        <f aca="false">IF(DAY(B1195)=1,Assumptions!B40*G1195,0)</f>
        <v>0</v>
      </c>
      <c r="R1195" s="22" t="n">
        <f aca="false">IF(DAY(B1195)=1,Assumptions!B41*G1195,0)</f>
        <v>0</v>
      </c>
      <c r="S1195" s="22" t="n">
        <f aca="false">IF(AND(DAY(B1195)=1,D1195&gt;=13),Assumptions!B42*G1195,0)</f>
        <v>0</v>
      </c>
      <c r="T1195" s="22" t="n">
        <f aca="false">IF(DAY(B1195)=1,Assumptions!B43*G1195,0)</f>
        <v>0</v>
      </c>
      <c r="U1195" s="22" t="n">
        <f aca="false">SUM(O1195:T1195)</f>
        <v>0</v>
      </c>
      <c r="V1195" s="22" t="n">
        <f aca="false">N1195-U1195</f>
        <v>12000</v>
      </c>
      <c r="W1195" s="22" t="n">
        <f aca="false">W1194+V1195</f>
        <v>-1601330.17522015</v>
      </c>
      <c r="X1195" s="23" t="str">
        <f aca="false">IF(W1195&gt;=0,"YES","No")</f>
        <v>No</v>
      </c>
    </row>
    <row r="1196" customFormat="false" ht="15" hidden="false" customHeight="false" outlineLevel="0" collapsed="false">
      <c r="A1196" s="16" t="n">
        <v>1195</v>
      </c>
      <c r="B1196" s="17" t="n">
        <f aca="false">B1195+1</f>
        <v>47217</v>
      </c>
      <c r="C1196" s="18" t="n">
        <f aca="false">MIN(ROUNDUP(A1196/365,0),5)</f>
        <v>4</v>
      </c>
      <c r="D1196" s="18" t="n">
        <f aca="false">DATEDIF(Assumptions!B5,B1196,"m")+1</f>
        <v>40</v>
      </c>
      <c r="E1196" s="18" t="str">
        <f aca="false">TEXT(B1196,"ddd")</f>
        <v>Mon</v>
      </c>
      <c r="F1196" s="19" t="n">
        <f aca="false">IF(WEEKDAY(B1196,2)&gt;=6,Assumptions!B34,Assumptions!B35)</f>
        <v>1</v>
      </c>
      <c r="G1196" s="20" t="n">
        <f aca="false">IF(D1196&gt;=13,(1+Assumptions!B46)^(D1196-12),1)</f>
        <v>1.08749213463429</v>
      </c>
      <c r="H1196" s="21" t="n">
        <f aca="false">H1195*(1+IF(C1196=1,Assumptions!B22,Assumptions!B23))</f>
        <v>23.8466432358908</v>
      </c>
      <c r="I1196" s="16" t="n">
        <f aca="false">ROUND(H1196*F1196,0)</f>
        <v>24</v>
      </c>
      <c r="J1196" s="22" t="n">
        <f aca="false">I1196*Assumptions!B24</f>
        <v>14400</v>
      </c>
      <c r="K1196" s="21" t="n">
        <f aca="false">K1195*(1+Assumptions!B30)</f>
        <v>19.4142202451048</v>
      </c>
      <c r="L1196" s="16" t="n">
        <f aca="false">ROUND(K1196*F1196,0)</f>
        <v>19</v>
      </c>
      <c r="M1196" s="22" t="n">
        <f aca="false">L1196*Assumptions!B31</f>
        <v>5700</v>
      </c>
      <c r="N1196" s="22" t="n">
        <f aca="false">J1196+M1196</f>
        <v>20100</v>
      </c>
      <c r="O1196" s="22" t="n">
        <f aca="false">IF(DAY(B1196)=1,Assumptions!B38*G1196,0)</f>
        <v>0</v>
      </c>
      <c r="P1196" s="22" t="n">
        <f aca="false">IF(DAY(B1196)=1,Assumptions!B39*G1196,0)</f>
        <v>0</v>
      </c>
      <c r="Q1196" s="22" t="n">
        <f aca="false">IF(DAY(B1196)=1,Assumptions!B40*G1196,0)</f>
        <v>0</v>
      </c>
      <c r="R1196" s="22" t="n">
        <f aca="false">IF(DAY(B1196)=1,Assumptions!B41*G1196,0)</f>
        <v>0</v>
      </c>
      <c r="S1196" s="22" t="n">
        <f aca="false">IF(AND(DAY(B1196)=1,D1196&gt;=13),Assumptions!B42*G1196,0)</f>
        <v>0</v>
      </c>
      <c r="T1196" s="22" t="n">
        <f aca="false">IF(DAY(B1196)=1,Assumptions!B43*G1196,0)</f>
        <v>0</v>
      </c>
      <c r="U1196" s="22" t="n">
        <f aca="false">SUM(O1196:T1196)</f>
        <v>0</v>
      </c>
      <c r="V1196" s="22" t="n">
        <f aca="false">N1196-U1196</f>
        <v>20100</v>
      </c>
      <c r="W1196" s="22" t="n">
        <f aca="false">W1195+V1196</f>
        <v>-1581230.17522015</v>
      </c>
      <c r="X1196" s="23" t="str">
        <f aca="false">IF(W1196&gt;=0,"YES","No")</f>
        <v>No</v>
      </c>
    </row>
    <row r="1197" customFormat="false" ht="15" hidden="false" customHeight="false" outlineLevel="0" collapsed="false">
      <c r="A1197" s="16" t="n">
        <v>1196</v>
      </c>
      <c r="B1197" s="17" t="n">
        <f aca="false">B1196+1</f>
        <v>47218</v>
      </c>
      <c r="C1197" s="18" t="n">
        <f aca="false">MIN(ROUNDUP(A1197/365,0),5)</f>
        <v>4</v>
      </c>
      <c r="D1197" s="18" t="n">
        <f aca="false">DATEDIF(Assumptions!B5,B1197,"m")+1</f>
        <v>40</v>
      </c>
      <c r="E1197" s="18" t="str">
        <f aca="false">TEXT(B1197,"ddd")</f>
        <v>Tue</v>
      </c>
      <c r="F1197" s="19" t="n">
        <f aca="false">IF(WEEKDAY(B1197,2)&gt;=6,Assumptions!B34,Assumptions!B35)</f>
        <v>1</v>
      </c>
      <c r="G1197" s="20" t="n">
        <f aca="false">IF(D1197&gt;=13,(1+Assumptions!B46)^(D1197-12),1)</f>
        <v>1.08749213463429</v>
      </c>
      <c r="H1197" s="21" t="n">
        <f aca="false">H1196*(1+IF(C1197=1,Assumptions!B22,Assumptions!B23))</f>
        <v>23.8505507873792</v>
      </c>
      <c r="I1197" s="16" t="n">
        <f aca="false">ROUND(H1197*F1197,0)</f>
        <v>24</v>
      </c>
      <c r="J1197" s="22" t="n">
        <f aca="false">I1197*Assumptions!B24</f>
        <v>14400</v>
      </c>
      <c r="K1197" s="21" t="n">
        <f aca="false">K1196*(1+Assumptions!B30)</f>
        <v>19.4205674688716</v>
      </c>
      <c r="L1197" s="16" t="n">
        <f aca="false">ROUND(K1197*F1197,0)</f>
        <v>19</v>
      </c>
      <c r="M1197" s="22" t="n">
        <f aca="false">L1197*Assumptions!B31</f>
        <v>5700</v>
      </c>
      <c r="N1197" s="22" t="n">
        <f aca="false">J1197+M1197</f>
        <v>20100</v>
      </c>
      <c r="O1197" s="22" t="n">
        <f aca="false">IF(DAY(B1197)=1,Assumptions!B38*G1197,0)</f>
        <v>0</v>
      </c>
      <c r="P1197" s="22" t="n">
        <f aca="false">IF(DAY(B1197)=1,Assumptions!B39*G1197,0)</f>
        <v>0</v>
      </c>
      <c r="Q1197" s="22" t="n">
        <f aca="false">IF(DAY(B1197)=1,Assumptions!B40*G1197,0)</f>
        <v>0</v>
      </c>
      <c r="R1197" s="22" t="n">
        <f aca="false">IF(DAY(B1197)=1,Assumptions!B41*G1197,0)</f>
        <v>0</v>
      </c>
      <c r="S1197" s="22" t="n">
        <f aca="false">IF(AND(DAY(B1197)=1,D1197&gt;=13),Assumptions!B42*G1197,0)</f>
        <v>0</v>
      </c>
      <c r="T1197" s="22" t="n">
        <f aca="false">IF(DAY(B1197)=1,Assumptions!B43*G1197,0)</f>
        <v>0</v>
      </c>
      <c r="U1197" s="22" t="n">
        <f aca="false">SUM(O1197:T1197)</f>
        <v>0</v>
      </c>
      <c r="V1197" s="22" t="n">
        <f aca="false">N1197-U1197</f>
        <v>20100</v>
      </c>
      <c r="W1197" s="22" t="n">
        <f aca="false">W1196+V1197</f>
        <v>-1561130.17522015</v>
      </c>
      <c r="X1197" s="23" t="str">
        <f aca="false">IF(W1197&gt;=0,"YES","No")</f>
        <v>No</v>
      </c>
    </row>
    <row r="1198" customFormat="false" ht="15" hidden="false" customHeight="false" outlineLevel="0" collapsed="false">
      <c r="A1198" s="16" t="n">
        <v>1197</v>
      </c>
      <c r="B1198" s="17" t="n">
        <f aca="false">B1197+1</f>
        <v>47219</v>
      </c>
      <c r="C1198" s="18" t="n">
        <f aca="false">MIN(ROUNDUP(A1198/365,0),5)</f>
        <v>4</v>
      </c>
      <c r="D1198" s="18" t="n">
        <f aca="false">DATEDIF(Assumptions!B5,B1198,"m")+1</f>
        <v>40</v>
      </c>
      <c r="E1198" s="18" t="str">
        <f aca="false">TEXT(B1198,"ddd")</f>
        <v>Wed</v>
      </c>
      <c r="F1198" s="19" t="n">
        <f aca="false">IF(WEEKDAY(B1198,2)&gt;=6,Assumptions!B34,Assumptions!B35)</f>
        <v>1</v>
      </c>
      <c r="G1198" s="20" t="n">
        <f aca="false">IF(D1198&gt;=13,(1+Assumptions!B46)^(D1198-12),1)</f>
        <v>1.08749213463429</v>
      </c>
      <c r="H1198" s="21" t="n">
        <f aca="false">H1197*(1+IF(C1198=1,Assumptions!B22,Assumptions!B23))</f>
        <v>23.8544589791657</v>
      </c>
      <c r="I1198" s="16" t="n">
        <f aca="false">ROUND(H1198*F1198,0)</f>
        <v>24</v>
      </c>
      <c r="J1198" s="22" t="n">
        <f aca="false">I1198*Assumptions!B24</f>
        <v>14400</v>
      </c>
      <c r="K1198" s="21" t="n">
        <f aca="false">K1197*(1+Assumptions!B30)</f>
        <v>19.4269167677797</v>
      </c>
      <c r="L1198" s="16" t="n">
        <f aca="false">ROUND(K1198*F1198,0)</f>
        <v>19</v>
      </c>
      <c r="M1198" s="22" t="n">
        <f aca="false">L1198*Assumptions!B31</f>
        <v>5700</v>
      </c>
      <c r="N1198" s="22" t="n">
        <f aca="false">J1198+M1198</f>
        <v>20100</v>
      </c>
      <c r="O1198" s="22" t="n">
        <f aca="false">IF(DAY(B1198)=1,Assumptions!B38*G1198,0)</f>
        <v>0</v>
      </c>
      <c r="P1198" s="22" t="n">
        <f aca="false">IF(DAY(B1198)=1,Assumptions!B39*G1198,0)</f>
        <v>0</v>
      </c>
      <c r="Q1198" s="22" t="n">
        <f aca="false">IF(DAY(B1198)=1,Assumptions!B40*G1198,0)</f>
        <v>0</v>
      </c>
      <c r="R1198" s="22" t="n">
        <f aca="false">IF(DAY(B1198)=1,Assumptions!B41*G1198,0)</f>
        <v>0</v>
      </c>
      <c r="S1198" s="22" t="n">
        <f aca="false">IF(AND(DAY(B1198)=1,D1198&gt;=13),Assumptions!B42*G1198,0)</f>
        <v>0</v>
      </c>
      <c r="T1198" s="22" t="n">
        <f aca="false">IF(DAY(B1198)=1,Assumptions!B43*G1198,0)</f>
        <v>0</v>
      </c>
      <c r="U1198" s="22" t="n">
        <f aca="false">SUM(O1198:T1198)</f>
        <v>0</v>
      </c>
      <c r="V1198" s="22" t="n">
        <f aca="false">N1198-U1198</f>
        <v>20100</v>
      </c>
      <c r="W1198" s="22" t="n">
        <f aca="false">W1197+V1198</f>
        <v>-1541030.17522015</v>
      </c>
      <c r="X1198" s="23" t="str">
        <f aca="false">IF(W1198&gt;=0,"YES","No")</f>
        <v>No</v>
      </c>
    </row>
    <row r="1199" customFormat="false" ht="15" hidden="false" customHeight="false" outlineLevel="0" collapsed="false">
      <c r="A1199" s="16" t="n">
        <v>1198</v>
      </c>
      <c r="B1199" s="17" t="n">
        <f aca="false">B1198+1</f>
        <v>47220</v>
      </c>
      <c r="C1199" s="18" t="n">
        <f aca="false">MIN(ROUNDUP(A1199/365,0),5)</f>
        <v>4</v>
      </c>
      <c r="D1199" s="18" t="n">
        <f aca="false">DATEDIF(Assumptions!B5,B1199,"m")+1</f>
        <v>40</v>
      </c>
      <c r="E1199" s="18" t="str">
        <f aca="false">TEXT(B1199,"ddd")</f>
        <v>Thu</v>
      </c>
      <c r="F1199" s="19" t="n">
        <f aca="false">IF(WEEKDAY(B1199,2)&gt;=6,Assumptions!B34,Assumptions!B35)</f>
        <v>1</v>
      </c>
      <c r="G1199" s="20" t="n">
        <f aca="false">IF(D1199&gt;=13,(1+Assumptions!B46)^(D1199-12),1)</f>
        <v>1.08749213463429</v>
      </c>
      <c r="H1199" s="21" t="n">
        <f aca="false">H1198*(1+IF(C1199=1,Assumptions!B22,Assumptions!B23))</f>
        <v>23.8583678113552</v>
      </c>
      <c r="I1199" s="16" t="n">
        <f aca="false">ROUND(H1199*F1199,0)</f>
        <v>24</v>
      </c>
      <c r="J1199" s="22" t="n">
        <f aca="false">I1199*Assumptions!B24</f>
        <v>14400</v>
      </c>
      <c r="K1199" s="21" t="n">
        <f aca="false">K1198*(1+Assumptions!B30)</f>
        <v>19.4332681425076</v>
      </c>
      <c r="L1199" s="16" t="n">
        <f aca="false">ROUND(K1199*F1199,0)</f>
        <v>19</v>
      </c>
      <c r="M1199" s="22" t="n">
        <f aca="false">L1199*Assumptions!B31</f>
        <v>5700</v>
      </c>
      <c r="N1199" s="22" t="n">
        <f aca="false">J1199+M1199</f>
        <v>20100</v>
      </c>
      <c r="O1199" s="22" t="n">
        <f aca="false">IF(DAY(B1199)=1,Assumptions!B38*G1199,0)</f>
        <v>0</v>
      </c>
      <c r="P1199" s="22" t="n">
        <f aca="false">IF(DAY(B1199)=1,Assumptions!B39*G1199,0)</f>
        <v>0</v>
      </c>
      <c r="Q1199" s="22" t="n">
        <f aca="false">IF(DAY(B1199)=1,Assumptions!B40*G1199,0)</f>
        <v>0</v>
      </c>
      <c r="R1199" s="22" t="n">
        <f aca="false">IF(DAY(B1199)=1,Assumptions!B41*G1199,0)</f>
        <v>0</v>
      </c>
      <c r="S1199" s="22" t="n">
        <f aca="false">IF(AND(DAY(B1199)=1,D1199&gt;=13),Assumptions!B42*G1199,0)</f>
        <v>0</v>
      </c>
      <c r="T1199" s="22" t="n">
        <f aca="false">IF(DAY(B1199)=1,Assumptions!B43*G1199,0)</f>
        <v>0</v>
      </c>
      <c r="U1199" s="22" t="n">
        <f aca="false">SUM(O1199:T1199)</f>
        <v>0</v>
      </c>
      <c r="V1199" s="22" t="n">
        <f aca="false">N1199-U1199</f>
        <v>20100</v>
      </c>
      <c r="W1199" s="22" t="n">
        <f aca="false">W1198+V1199</f>
        <v>-1520930.17522015</v>
      </c>
      <c r="X1199" s="23" t="str">
        <f aca="false">IF(W1199&gt;=0,"YES","No")</f>
        <v>No</v>
      </c>
    </row>
    <row r="1200" customFormat="false" ht="15" hidden="false" customHeight="false" outlineLevel="0" collapsed="false">
      <c r="A1200" s="16" t="n">
        <v>1199</v>
      </c>
      <c r="B1200" s="17" t="n">
        <f aca="false">B1199+1</f>
        <v>47221</v>
      </c>
      <c r="C1200" s="18" t="n">
        <f aca="false">MIN(ROUNDUP(A1200/365,0),5)</f>
        <v>4</v>
      </c>
      <c r="D1200" s="18" t="n">
        <f aca="false">DATEDIF(Assumptions!B5,B1200,"m")+1</f>
        <v>40</v>
      </c>
      <c r="E1200" s="18" t="str">
        <f aca="false">TEXT(B1200,"ddd")</f>
        <v>Fri</v>
      </c>
      <c r="F1200" s="19" t="n">
        <f aca="false">IF(WEEKDAY(B1200,2)&gt;=6,Assumptions!B34,Assumptions!B35)</f>
        <v>1</v>
      </c>
      <c r="G1200" s="20" t="n">
        <f aca="false">IF(D1200&gt;=13,(1+Assumptions!B46)^(D1200-12),1)</f>
        <v>1.08749213463429</v>
      </c>
      <c r="H1200" s="21" t="n">
        <f aca="false">H1199*(1+IF(C1200=1,Assumptions!B22,Assumptions!B23))</f>
        <v>23.8622772840526</v>
      </c>
      <c r="I1200" s="16" t="n">
        <f aca="false">ROUND(H1200*F1200,0)</f>
        <v>24</v>
      </c>
      <c r="J1200" s="22" t="n">
        <f aca="false">I1200*Assumptions!B24</f>
        <v>14400</v>
      </c>
      <c r="K1200" s="21" t="n">
        <f aca="false">K1199*(1+Assumptions!B30)</f>
        <v>19.4396215937337</v>
      </c>
      <c r="L1200" s="16" t="n">
        <f aca="false">ROUND(K1200*F1200,0)</f>
        <v>19</v>
      </c>
      <c r="M1200" s="22" t="n">
        <f aca="false">L1200*Assumptions!B31</f>
        <v>5700</v>
      </c>
      <c r="N1200" s="22" t="n">
        <f aca="false">J1200+M1200</f>
        <v>20100</v>
      </c>
      <c r="O1200" s="22" t="n">
        <f aca="false">IF(DAY(B1200)=1,Assumptions!B38*G1200,0)</f>
        <v>0</v>
      </c>
      <c r="P1200" s="22" t="n">
        <f aca="false">IF(DAY(B1200)=1,Assumptions!B39*G1200,0)</f>
        <v>0</v>
      </c>
      <c r="Q1200" s="22" t="n">
        <f aca="false">IF(DAY(B1200)=1,Assumptions!B40*G1200,0)</f>
        <v>0</v>
      </c>
      <c r="R1200" s="22" t="n">
        <f aca="false">IF(DAY(B1200)=1,Assumptions!B41*G1200,0)</f>
        <v>0</v>
      </c>
      <c r="S1200" s="22" t="n">
        <f aca="false">IF(AND(DAY(B1200)=1,D1200&gt;=13),Assumptions!B42*G1200,0)</f>
        <v>0</v>
      </c>
      <c r="T1200" s="22" t="n">
        <f aca="false">IF(DAY(B1200)=1,Assumptions!B43*G1200,0)</f>
        <v>0</v>
      </c>
      <c r="U1200" s="22" t="n">
        <f aca="false">SUM(O1200:T1200)</f>
        <v>0</v>
      </c>
      <c r="V1200" s="22" t="n">
        <f aca="false">N1200-U1200</f>
        <v>20100</v>
      </c>
      <c r="W1200" s="22" t="n">
        <f aca="false">W1199+V1200</f>
        <v>-1500830.17522015</v>
      </c>
      <c r="X1200" s="23" t="str">
        <f aca="false">IF(W1200&gt;=0,"YES","No")</f>
        <v>No</v>
      </c>
    </row>
    <row r="1201" customFormat="false" ht="15" hidden="false" customHeight="false" outlineLevel="0" collapsed="false">
      <c r="A1201" s="16" t="n">
        <v>1200</v>
      </c>
      <c r="B1201" s="17" t="n">
        <f aca="false">B1200+1</f>
        <v>47222</v>
      </c>
      <c r="C1201" s="18" t="n">
        <f aca="false">MIN(ROUNDUP(A1201/365,0),5)</f>
        <v>4</v>
      </c>
      <c r="D1201" s="18" t="n">
        <f aca="false">DATEDIF(Assumptions!B5,B1201,"m")+1</f>
        <v>40</v>
      </c>
      <c r="E1201" s="18" t="str">
        <f aca="false">TEXT(B1201,"ddd")</f>
        <v>Sat</v>
      </c>
      <c r="F1201" s="19" t="n">
        <f aca="false">IF(WEEKDAY(B1201,2)&gt;=6,Assumptions!B34,Assumptions!B35)</f>
        <v>0.6</v>
      </c>
      <c r="G1201" s="20" t="n">
        <f aca="false">IF(D1201&gt;=13,(1+Assumptions!B46)^(D1201-12),1)</f>
        <v>1.08749213463429</v>
      </c>
      <c r="H1201" s="21" t="n">
        <f aca="false">H1200*(1+IF(C1201=1,Assumptions!B22,Assumptions!B23))</f>
        <v>23.8661873973627</v>
      </c>
      <c r="I1201" s="16" t="n">
        <f aca="false">ROUND(H1201*F1201,0)</f>
        <v>14</v>
      </c>
      <c r="J1201" s="22" t="n">
        <f aca="false">I1201*Assumptions!B24</f>
        <v>8400</v>
      </c>
      <c r="K1201" s="21" t="n">
        <f aca="false">K1200*(1+Assumptions!B30)</f>
        <v>19.4459771221372</v>
      </c>
      <c r="L1201" s="16" t="n">
        <f aca="false">ROUND(K1201*F1201,0)</f>
        <v>12</v>
      </c>
      <c r="M1201" s="22" t="n">
        <f aca="false">L1201*Assumptions!B31</f>
        <v>3600</v>
      </c>
      <c r="N1201" s="22" t="n">
        <f aca="false">J1201+M1201</f>
        <v>12000</v>
      </c>
      <c r="O1201" s="22" t="n">
        <f aca="false">IF(DAY(B1201)=1,Assumptions!B38*G1201,0)</f>
        <v>0</v>
      </c>
      <c r="P1201" s="22" t="n">
        <f aca="false">IF(DAY(B1201)=1,Assumptions!B39*G1201,0)</f>
        <v>0</v>
      </c>
      <c r="Q1201" s="22" t="n">
        <f aca="false">IF(DAY(B1201)=1,Assumptions!B40*G1201,0)</f>
        <v>0</v>
      </c>
      <c r="R1201" s="22" t="n">
        <f aca="false">IF(DAY(B1201)=1,Assumptions!B41*G1201,0)</f>
        <v>0</v>
      </c>
      <c r="S1201" s="22" t="n">
        <f aca="false">IF(AND(DAY(B1201)=1,D1201&gt;=13),Assumptions!B42*G1201,0)</f>
        <v>0</v>
      </c>
      <c r="T1201" s="22" t="n">
        <f aca="false">IF(DAY(B1201)=1,Assumptions!B43*G1201,0)</f>
        <v>0</v>
      </c>
      <c r="U1201" s="22" t="n">
        <f aca="false">SUM(O1201:T1201)</f>
        <v>0</v>
      </c>
      <c r="V1201" s="22" t="n">
        <f aca="false">N1201-U1201</f>
        <v>12000</v>
      </c>
      <c r="W1201" s="22" t="n">
        <f aca="false">W1200+V1201</f>
        <v>-1488830.17522015</v>
      </c>
      <c r="X1201" s="23" t="str">
        <f aca="false">IF(W1201&gt;=0,"YES","No")</f>
        <v>No</v>
      </c>
    </row>
    <row r="1202" customFormat="false" ht="15" hidden="false" customHeight="false" outlineLevel="0" collapsed="false">
      <c r="A1202" s="16" t="n">
        <v>1201</v>
      </c>
      <c r="B1202" s="17" t="n">
        <f aca="false">B1201+1</f>
        <v>47223</v>
      </c>
      <c r="C1202" s="18" t="n">
        <f aca="false">MIN(ROUNDUP(A1202/365,0),5)</f>
        <v>4</v>
      </c>
      <c r="D1202" s="18" t="n">
        <f aca="false">DATEDIF(Assumptions!B5,B1202,"m")+1</f>
        <v>40</v>
      </c>
      <c r="E1202" s="18" t="str">
        <f aca="false">TEXT(B1202,"ddd")</f>
        <v>Sun</v>
      </c>
      <c r="F1202" s="19" t="n">
        <f aca="false">IF(WEEKDAY(B1202,2)&gt;=6,Assumptions!B34,Assumptions!B35)</f>
        <v>0.6</v>
      </c>
      <c r="G1202" s="20" t="n">
        <f aca="false">IF(D1202&gt;=13,(1+Assumptions!B46)^(D1202-12),1)</f>
        <v>1.08749213463429</v>
      </c>
      <c r="H1202" s="21" t="n">
        <f aca="false">H1201*(1+IF(C1202=1,Assumptions!B22,Assumptions!B23))</f>
        <v>23.8700981513907</v>
      </c>
      <c r="I1202" s="16" t="n">
        <f aca="false">ROUND(H1202*F1202,0)</f>
        <v>14</v>
      </c>
      <c r="J1202" s="22" t="n">
        <f aca="false">I1202*Assumptions!B24</f>
        <v>8400</v>
      </c>
      <c r="K1202" s="21" t="n">
        <f aca="false">K1201*(1+Assumptions!B30)</f>
        <v>19.452334728397</v>
      </c>
      <c r="L1202" s="16" t="n">
        <f aca="false">ROUND(K1202*F1202,0)</f>
        <v>12</v>
      </c>
      <c r="M1202" s="22" t="n">
        <f aca="false">L1202*Assumptions!B31</f>
        <v>3600</v>
      </c>
      <c r="N1202" s="22" t="n">
        <f aca="false">J1202+M1202</f>
        <v>12000</v>
      </c>
      <c r="O1202" s="22" t="n">
        <f aca="false">IF(DAY(B1202)=1,Assumptions!B38*G1202,0)</f>
        <v>0</v>
      </c>
      <c r="P1202" s="22" t="n">
        <f aca="false">IF(DAY(B1202)=1,Assumptions!B39*G1202,0)</f>
        <v>0</v>
      </c>
      <c r="Q1202" s="22" t="n">
        <f aca="false">IF(DAY(B1202)=1,Assumptions!B40*G1202,0)</f>
        <v>0</v>
      </c>
      <c r="R1202" s="22" t="n">
        <f aca="false">IF(DAY(B1202)=1,Assumptions!B41*G1202,0)</f>
        <v>0</v>
      </c>
      <c r="S1202" s="22" t="n">
        <f aca="false">IF(AND(DAY(B1202)=1,D1202&gt;=13),Assumptions!B42*G1202,0)</f>
        <v>0</v>
      </c>
      <c r="T1202" s="22" t="n">
        <f aca="false">IF(DAY(B1202)=1,Assumptions!B43*G1202,0)</f>
        <v>0</v>
      </c>
      <c r="U1202" s="22" t="n">
        <f aca="false">SUM(O1202:T1202)</f>
        <v>0</v>
      </c>
      <c r="V1202" s="22" t="n">
        <f aca="false">N1202-U1202</f>
        <v>12000</v>
      </c>
      <c r="W1202" s="22" t="n">
        <f aca="false">W1201+V1202</f>
        <v>-1476830.17522015</v>
      </c>
      <c r="X1202" s="23" t="str">
        <f aca="false">IF(W1202&gt;=0,"YES","No")</f>
        <v>No</v>
      </c>
    </row>
    <row r="1203" customFormat="false" ht="15" hidden="false" customHeight="false" outlineLevel="0" collapsed="false">
      <c r="A1203" s="16" t="n">
        <v>1202</v>
      </c>
      <c r="B1203" s="17" t="n">
        <f aca="false">B1202+1</f>
        <v>47224</v>
      </c>
      <c r="C1203" s="18" t="n">
        <f aca="false">MIN(ROUNDUP(A1203/365,0),5)</f>
        <v>4</v>
      </c>
      <c r="D1203" s="18" t="n">
        <f aca="false">DATEDIF(Assumptions!B5,B1203,"m")+1</f>
        <v>40</v>
      </c>
      <c r="E1203" s="18" t="str">
        <f aca="false">TEXT(B1203,"ddd")</f>
        <v>Mon</v>
      </c>
      <c r="F1203" s="19" t="n">
        <f aca="false">IF(WEEKDAY(B1203,2)&gt;=6,Assumptions!B34,Assumptions!B35)</f>
        <v>1</v>
      </c>
      <c r="G1203" s="20" t="n">
        <f aca="false">IF(D1203&gt;=13,(1+Assumptions!B46)^(D1203-12),1)</f>
        <v>1.08749213463429</v>
      </c>
      <c r="H1203" s="21" t="n">
        <f aca="false">H1202*(1+IF(C1203=1,Assumptions!B22,Assumptions!B23))</f>
        <v>23.8740095462415</v>
      </c>
      <c r="I1203" s="16" t="n">
        <f aca="false">ROUND(H1203*F1203,0)</f>
        <v>24</v>
      </c>
      <c r="J1203" s="22" t="n">
        <f aca="false">I1203*Assumptions!B24</f>
        <v>14400</v>
      </c>
      <c r="K1203" s="21" t="n">
        <f aca="false">K1202*(1+Assumptions!B30)</f>
        <v>19.4586944131924</v>
      </c>
      <c r="L1203" s="16" t="n">
        <f aca="false">ROUND(K1203*F1203,0)</f>
        <v>19</v>
      </c>
      <c r="M1203" s="22" t="n">
        <f aca="false">L1203*Assumptions!B31</f>
        <v>5700</v>
      </c>
      <c r="N1203" s="22" t="n">
        <f aca="false">J1203+M1203</f>
        <v>20100</v>
      </c>
      <c r="O1203" s="22" t="n">
        <f aca="false">IF(DAY(B1203)=1,Assumptions!B38*G1203,0)</f>
        <v>0</v>
      </c>
      <c r="P1203" s="22" t="n">
        <f aca="false">IF(DAY(B1203)=1,Assumptions!B39*G1203,0)</f>
        <v>0</v>
      </c>
      <c r="Q1203" s="22" t="n">
        <f aca="false">IF(DAY(B1203)=1,Assumptions!B40*G1203,0)</f>
        <v>0</v>
      </c>
      <c r="R1203" s="22" t="n">
        <f aca="false">IF(DAY(B1203)=1,Assumptions!B41*G1203,0)</f>
        <v>0</v>
      </c>
      <c r="S1203" s="22" t="n">
        <f aca="false">IF(AND(DAY(B1203)=1,D1203&gt;=13),Assumptions!B42*G1203,0)</f>
        <v>0</v>
      </c>
      <c r="T1203" s="22" t="n">
        <f aca="false">IF(DAY(B1203)=1,Assumptions!B43*G1203,0)</f>
        <v>0</v>
      </c>
      <c r="U1203" s="22" t="n">
        <f aca="false">SUM(O1203:T1203)</f>
        <v>0</v>
      </c>
      <c r="V1203" s="22" t="n">
        <f aca="false">N1203-U1203</f>
        <v>20100</v>
      </c>
      <c r="W1203" s="22" t="n">
        <f aca="false">W1202+V1203</f>
        <v>-1456730.17522015</v>
      </c>
      <c r="X1203" s="23" t="str">
        <f aca="false">IF(W1203&gt;=0,"YES","No")</f>
        <v>No</v>
      </c>
    </row>
    <row r="1204" customFormat="false" ht="15" hidden="false" customHeight="false" outlineLevel="0" collapsed="false">
      <c r="A1204" s="16" t="n">
        <v>1203</v>
      </c>
      <c r="B1204" s="17" t="n">
        <f aca="false">B1203+1</f>
        <v>47225</v>
      </c>
      <c r="C1204" s="18" t="n">
        <f aca="false">MIN(ROUNDUP(A1204/365,0),5)</f>
        <v>4</v>
      </c>
      <c r="D1204" s="18" t="n">
        <f aca="false">DATEDIF(Assumptions!B5,B1204,"m")+1</f>
        <v>40</v>
      </c>
      <c r="E1204" s="18" t="str">
        <f aca="false">TEXT(B1204,"ddd")</f>
        <v>Tue</v>
      </c>
      <c r="F1204" s="19" t="n">
        <f aca="false">IF(WEEKDAY(B1204,2)&gt;=6,Assumptions!B34,Assumptions!B35)</f>
        <v>1</v>
      </c>
      <c r="G1204" s="20" t="n">
        <f aca="false">IF(D1204&gt;=13,(1+Assumptions!B46)^(D1204-12),1)</f>
        <v>1.08749213463429</v>
      </c>
      <c r="H1204" s="21" t="n">
        <f aca="false">H1203*(1+IF(C1204=1,Assumptions!B22,Assumptions!B23))</f>
        <v>23.8779215820201</v>
      </c>
      <c r="I1204" s="16" t="n">
        <f aca="false">ROUND(H1204*F1204,0)</f>
        <v>24</v>
      </c>
      <c r="J1204" s="22" t="n">
        <f aca="false">I1204*Assumptions!B24</f>
        <v>14400</v>
      </c>
      <c r="K1204" s="21" t="n">
        <f aca="false">K1203*(1+Assumptions!B30)</f>
        <v>19.4650561772031</v>
      </c>
      <c r="L1204" s="16" t="n">
        <f aca="false">ROUND(K1204*F1204,0)</f>
        <v>19</v>
      </c>
      <c r="M1204" s="22" t="n">
        <f aca="false">L1204*Assumptions!B31</f>
        <v>5700</v>
      </c>
      <c r="N1204" s="22" t="n">
        <f aca="false">J1204+M1204</f>
        <v>20100</v>
      </c>
      <c r="O1204" s="22" t="n">
        <f aca="false">IF(DAY(B1204)=1,Assumptions!B38*G1204,0)</f>
        <v>0</v>
      </c>
      <c r="P1204" s="22" t="n">
        <f aca="false">IF(DAY(B1204)=1,Assumptions!B39*G1204,0)</f>
        <v>0</v>
      </c>
      <c r="Q1204" s="22" t="n">
        <f aca="false">IF(DAY(B1204)=1,Assumptions!B40*G1204,0)</f>
        <v>0</v>
      </c>
      <c r="R1204" s="22" t="n">
        <f aca="false">IF(DAY(B1204)=1,Assumptions!B41*G1204,0)</f>
        <v>0</v>
      </c>
      <c r="S1204" s="22" t="n">
        <f aca="false">IF(AND(DAY(B1204)=1,D1204&gt;=13),Assumptions!B42*G1204,0)</f>
        <v>0</v>
      </c>
      <c r="T1204" s="22" t="n">
        <f aca="false">IF(DAY(B1204)=1,Assumptions!B43*G1204,0)</f>
        <v>0</v>
      </c>
      <c r="U1204" s="22" t="n">
        <f aca="false">SUM(O1204:T1204)</f>
        <v>0</v>
      </c>
      <c r="V1204" s="22" t="n">
        <f aca="false">N1204-U1204</f>
        <v>20100</v>
      </c>
      <c r="W1204" s="22" t="n">
        <f aca="false">W1203+V1204</f>
        <v>-1436630.17522015</v>
      </c>
      <c r="X1204" s="23" t="str">
        <f aca="false">IF(W1204&gt;=0,"YES","No")</f>
        <v>No</v>
      </c>
    </row>
    <row r="1205" customFormat="false" ht="15" hidden="false" customHeight="false" outlineLevel="0" collapsed="false">
      <c r="A1205" s="16" t="n">
        <v>1204</v>
      </c>
      <c r="B1205" s="17" t="n">
        <f aca="false">B1204+1</f>
        <v>47226</v>
      </c>
      <c r="C1205" s="18" t="n">
        <f aca="false">MIN(ROUNDUP(A1205/365,0),5)</f>
        <v>4</v>
      </c>
      <c r="D1205" s="18" t="n">
        <f aca="false">DATEDIF(Assumptions!B5,B1205,"m")+1</f>
        <v>40</v>
      </c>
      <c r="E1205" s="18" t="str">
        <f aca="false">TEXT(B1205,"ddd")</f>
        <v>Wed</v>
      </c>
      <c r="F1205" s="19" t="n">
        <f aca="false">IF(WEEKDAY(B1205,2)&gt;=6,Assumptions!B34,Assumptions!B35)</f>
        <v>1</v>
      </c>
      <c r="G1205" s="20" t="n">
        <f aca="false">IF(D1205&gt;=13,(1+Assumptions!B46)^(D1205-12),1)</f>
        <v>1.08749213463429</v>
      </c>
      <c r="H1205" s="21" t="n">
        <f aca="false">H1204*(1+IF(C1205=1,Assumptions!B22,Assumptions!B23))</f>
        <v>23.8818342588316</v>
      </c>
      <c r="I1205" s="16" t="n">
        <f aca="false">ROUND(H1205*F1205,0)</f>
        <v>24</v>
      </c>
      <c r="J1205" s="22" t="n">
        <f aca="false">I1205*Assumptions!B24</f>
        <v>14400</v>
      </c>
      <c r="K1205" s="21" t="n">
        <f aca="false">K1204*(1+Assumptions!B30)</f>
        <v>19.4714200211088</v>
      </c>
      <c r="L1205" s="16" t="n">
        <f aca="false">ROUND(K1205*F1205,0)</f>
        <v>19</v>
      </c>
      <c r="M1205" s="22" t="n">
        <f aca="false">L1205*Assumptions!B31</f>
        <v>5700</v>
      </c>
      <c r="N1205" s="22" t="n">
        <f aca="false">J1205+M1205</f>
        <v>20100</v>
      </c>
      <c r="O1205" s="22" t="n">
        <f aca="false">IF(DAY(B1205)=1,Assumptions!B38*G1205,0)</f>
        <v>0</v>
      </c>
      <c r="P1205" s="22" t="n">
        <f aca="false">IF(DAY(B1205)=1,Assumptions!B39*G1205,0)</f>
        <v>0</v>
      </c>
      <c r="Q1205" s="22" t="n">
        <f aca="false">IF(DAY(B1205)=1,Assumptions!B40*G1205,0)</f>
        <v>0</v>
      </c>
      <c r="R1205" s="22" t="n">
        <f aca="false">IF(DAY(B1205)=1,Assumptions!B41*G1205,0)</f>
        <v>0</v>
      </c>
      <c r="S1205" s="22" t="n">
        <f aca="false">IF(AND(DAY(B1205)=1,D1205&gt;=13),Assumptions!B42*G1205,0)</f>
        <v>0</v>
      </c>
      <c r="T1205" s="22" t="n">
        <f aca="false">IF(DAY(B1205)=1,Assumptions!B43*G1205,0)</f>
        <v>0</v>
      </c>
      <c r="U1205" s="22" t="n">
        <f aca="false">SUM(O1205:T1205)</f>
        <v>0</v>
      </c>
      <c r="V1205" s="22" t="n">
        <f aca="false">N1205-U1205</f>
        <v>20100</v>
      </c>
      <c r="W1205" s="22" t="n">
        <f aca="false">W1204+V1205</f>
        <v>-1416530.17522015</v>
      </c>
      <c r="X1205" s="23" t="str">
        <f aca="false">IF(W1205&gt;=0,"YES","No")</f>
        <v>No</v>
      </c>
    </row>
    <row r="1206" customFormat="false" ht="15" hidden="false" customHeight="false" outlineLevel="0" collapsed="false">
      <c r="A1206" s="16" t="n">
        <v>1205</v>
      </c>
      <c r="B1206" s="17" t="n">
        <f aca="false">B1205+1</f>
        <v>47227</v>
      </c>
      <c r="C1206" s="18" t="n">
        <f aca="false">MIN(ROUNDUP(A1206/365,0),5)</f>
        <v>4</v>
      </c>
      <c r="D1206" s="18" t="n">
        <f aca="false">DATEDIF(Assumptions!B5,B1206,"m")+1</f>
        <v>40</v>
      </c>
      <c r="E1206" s="18" t="str">
        <f aca="false">TEXT(B1206,"ddd")</f>
        <v>Thu</v>
      </c>
      <c r="F1206" s="19" t="n">
        <f aca="false">IF(WEEKDAY(B1206,2)&gt;=6,Assumptions!B34,Assumptions!B35)</f>
        <v>1</v>
      </c>
      <c r="G1206" s="20" t="n">
        <f aca="false">IF(D1206&gt;=13,(1+Assumptions!B46)^(D1206-12),1)</f>
        <v>1.08749213463429</v>
      </c>
      <c r="H1206" s="21" t="n">
        <f aca="false">H1205*(1+IF(C1206=1,Assumptions!B22,Assumptions!B23))</f>
        <v>23.8857475767809</v>
      </c>
      <c r="I1206" s="16" t="n">
        <f aca="false">ROUND(H1206*F1206,0)</f>
        <v>24</v>
      </c>
      <c r="J1206" s="22" t="n">
        <f aca="false">I1206*Assumptions!B24</f>
        <v>14400</v>
      </c>
      <c r="K1206" s="21" t="n">
        <f aca="false">K1205*(1+Assumptions!B30)</f>
        <v>19.4777859455896</v>
      </c>
      <c r="L1206" s="16" t="n">
        <f aca="false">ROUND(K1206*F1206,0)</f>
        <v>19</v>
      </c>
      <c r="M1206" s="22" t="n">
        <f aca="false">L1206*Assumptions!B31</f>
        <v>5700</v>
      </c>
      <c r="N1206" s="22" t="n">
        <f aca="false">J1206+M1206</f>
        <v>20100</v>
      </c>
      <c r="O1206" s="22" t="n">
        <f aca="false">IF(DAY(B1206)=1,Assumptions!B38*G1206,0)</f>
        <v>0</v>
      </c>
      <c r="P1206" s="22" t="n">
        <f aca="false">IF(DAY(B1206)=1,Assumptions!B39*G1206,0)</f>
        <v>0</v>
      </c>
      <c r="Q1206" s="22" t="n">
        <f aca="false">IF(DAY(B1206)=1,Assumptions!B40*G1206,0)</f>
        <v>0</v>
      </c>
      <c r="R1206" s="22" t="n">
        <f aca="false">IF(DAY(B1206)=1,Assumptions!B41*G1206,0)</f>
        <v>0</v>
      </c>
      <c r="S1206" s="22" t="n">
        <f aca="false">IF(AND(DAY(B1206)=1,D1206&gt;=13),Assumptions!B42*G1206,0)</f>
        <v>0</v>
      </c>
      <c r="T1206" s="22" t="n">
        <f aca="false">IF(DAY(B1206)=1,Assumptions!B43*G1206,0)</f>
        <v>0</v>
      </c>
      <c r="U1206" s="22" t="n">
        <f aca="false">SUM(O1206:T1206)</f>
        <v>0</v>
      </c>
      <c r="V1206" s="22" t="n">
        <f aca="false">N1206-U1206</f>
        <v>20100</v>
      </c>
      <c r="W1206" s="22" t="n">
        <f aca="false">W1205+V1206</f>
        <v>-1396430.17522015</v>
      </c>
      <c r="X1206" s="23" t="str">
        <f aca="false">IF(W1206&gt;=0,"YES","No")</f>
        <v>No</v>
      </c>
    </row>
    <row r="1207" customFormat="false" ht="15" hidden="false" customHeight="false" outlineLevel="0" collapsed="false">
      <c r="A1207" s="16" t="n">
        <v>1206</v>
      </c>
      <c r="B1207" s="17" t="n">
        <f aca="false">B1206+1</f>
        <v>47228</v>
      </c>
      <c r="C1207" s="18" t="n">
        <f aca="false">MIN(ROUNDUP(A1207/365,0),5)</f>
        <v>4</v>
      </c>
      <c r="D1207" s="18" t="n">
        <f aca="false">DATEDIF(Assumptions!B5,B1207,"m")+1</f>
        <v>40</v>
      </c>
      <c r="E1207" s="18" t="str">
        <f aca="false">TEXT(B1207,"ddd")</f>
        <v>Fri</v>
      </c>
      <c r="F1207" s="19" t="n">
        <f aca="false">IF(WEEKDAY(B1207,2)&gt;=6,Assumptions!B34,Assumptions!B35)</f>
        <v>1</v>
      </c>
      <c r="G1207" s="20" t="n">
        <f aca="false">IF(D1207&gt;=13,(1+Assumptions!B46)^(D1207-12),1)</f>
        <v>1.08749213463429</v>
      </c>
      <c r="H1207" s="21" t="n">
        <f aca="false">H1206*(1+IF(C1207=1,Assumptions!B22,Assumptions!B23))</f>
        <v>23.8896615359731</v>
      </c>
      <c r="I1207" s="16" t="n">
        <f aca="false">ROUND(H1207*F1207,0)</f>
        <v>24</v>
      </c>
      <c r="J1207" s="22" t="n">
        <f aca="false">I1207*Assumptions!B24</f>
        <v>14400</v>
      </c>
      <c r="K1207" s="21" t="n">
        <f aca="false">K1206*(1+Assumptions!B30)</f>
        <v>19.4841539513255</v>
      </c>
      <c r="L1207" s="16" t="n">
        <f aca="false">ROUND(K1207*F1207,0)</f>
        <v>19</v>
      </c>
      <c r="M1207" s="22" t="n">
        <f aca="false">L1207*Assumptions!B31</f>
        <v>5700</v>
      </c>
      <c r="N1207" s="22" t="n">
        <f aca="false">J1207+M1207</f>
        <v>20100</v>
      </c>
      <c r="O1207" s="22" t="n">
        <f aca="false">IF(DAY(B1207)=1,Assumptions!B38*G1207,0)</f>
        <v>0</v>
      </c>
      <c r="P1207" s="22" t="n">
        <f aca="false">IF(DAY(B1207)=1,Assumptions!B39*G1207,0)</f>
        <v>0</v>
      </c>
      <c r="Q1207" s="22" t="n">
        <f aca="false">IF(DAY(B1207)=1,Assumptions!B40*G1207,0)</f>
        <v>0</v>
      </c>
      <c r="R1207" s="22" t="n">
        <f aca="false">IF(DAY(B1207)=1,Assumptions!B41*G1207,0)</f>
        <v>0</v>
      </c>
      <c r="S1207" s="22" t="n">
        <f aca="false">IF(AND(DAY(B1207)=1,D1207&gt;=13),Assumptions!B42*G1207,0)</f>
        <v>0</v>
      </c>
      <c r="T1207" s="22" t="n">
        <f aca="false">IF(DAY(B1207)=1,Assumptions!B43*G1207,0)</f>
        <v>0</v>
      </c>
      <c r="U1207" s="22" t="n">
        <f aca="false">SUM(O1207:T1207)</f>
        <v>0</v>
      </c>
      <c r="V1207" s="22" t="n">
        <f aca="false">N1207-U1207</f>
        <v>20100</v>
      </c>
      <c r="W1207" s="22" t="n">
        <f aca="false">W1206+V1207</f>
        <v>-1376330.17522015</v>
      </c>
      <c r="X1207" s="23" t="str">
        <f aca="false">IF(W1207&gt;=0,"YES","No")</f>
        <v>No</v>
      </c>
    </row>
    <row r="1208" customFormat="false" ht="15" hidden="false" customHeight="false" outlineLevel="0" collapsed="false">
      <c r="A1208" s="16" t="n">
        <v>1207</v>
      </c>
      <c r="B1208" s="17" t="n">
        <f aca="false">B1207+1</f>
        <v>47229</v>
      </c>
      <c r="C1208" s="18" t="n">
        <f aca="false">MIN(ROUNDUP(A1208/365,0),5)</f>
        <v>4</v>
      </c>
      <c r="D1208" s="18" t="n">
        <f aca="false">DATEDIF(Assumptions!B5,B1208,"m")+1</f>
        <v>40</v>
      </c>
      <c r="E1208" s="18" t="str">
        <f aca="false">TEXT(B1208,"ddd")</f>
        <v>Sat</v>
      </c>
      <c r="F1208" s="19" t="n">
        <f aca="false">IF(WEEKDAY(B1208,2)&gt;=6,Assumptions!B34,Assumptions!B35)</f>
        <v>0.6</v>
      </c>
      <c r="G1208" s="20" t="n">
        <f aca="false">IF(D1208&gt;=13,(1+Assumptions!B46)^(D1208-12),1)</f>
        <v>1.08749213463429</v>
      </c>
      <c r="H1208" s="21" t="n">
        <f aca="false">H1207*(1+IF(C1208=1,Assumptions!B22,Assumptions!B23))</f>
        <v>23.8935761365134</v>
      </c>
      <c r="I1208" s="16" t="n">
        <f aca="false">ROUND(H1208*F1208,0)</f>
        <v>14</v>
      </c>
      <c r="J1208" s="22" t="n">
        <f aca="false">I1208*Assumptions!B24</f>
        <v>8400</v>
      </c>
      <c r="K1208" s="21" t="n">
        <f aca="false">K1207*(1+Assumptions!B30)</f>
        <v>19.4905240389971</v>
      </c>
      <c r="L1208" s="16" t="n">
        <f aca="false">ROUND(K1208*F1208,0)</f>
        <v>12</v>
      </c>
      <c r="M1208" s="22" t="n">
        <f aca="false">L1208*Assumptions!B31</f>
        <v>3600</v>
      </c>
      <c r="N1208" s="22" t="n">
        <f aca="false">J1208+M1208</f>
        <v>12000</v>
      </c>
      <c r="O1208" s="22" t="n">
        <f aca="false">IF(DAY(B1208)=1,Assumptions!B38*G1208,0)</f>
        <v>0</v>
      </c>
      <c r="P1208" s="22" t="n">
        <f aca="false">IF(DAY(B1208)=1,Assumptions!B39*G1208,0)</f>
        <v>0</v>
      </c>
      <c r="Q1208" s="22" t="n">
        <f aca="false">IF(DAY(B1208)=1,Assumptions!B40*G1208,0)</f>
        <v>0</v>
      </c>
      <c r="R1208" s="22" t="n">
        <f aca="false">IF(DAY(B1208)=1,Assumptions!B41*G1208,0)</f>
        <v>0</v>
      </c>
      <c r="S1208" s="22" t="n">
        <f aca="false">IF(AND(DAY(B1208)=1,D1208&gt;=13),Assumptions!B42*G1208,0)</f>
        <v>0</v>
      </c>
      <c r="T1208" s="22" t="n">
        <f aca="false">IF(DAY(B1208)=1,Assumptions!B43*G1208,0)</f>
        <v>0</v>
      </c>
      <c r="U1208" s="22" t="n">
        <f aca="false">SUM(O1208:T1208)</f>
        <v>0</v>
      </c>
      <c r="V1208" s="22" t="n">
        <f aca="false">N1208-U1208</f>
        <v>12000</v>
      </c>
      <c r="W1208" s="22" t="n">
        <f aca="false">W1207+V1208</f>
        <v>-1364330.17522015</v>
      </c>
      <c r="X1208" s="23" t="str">
        <f aca="false">IF(W1208&gt;=0,"YES","No")</f>
        <v>No</v>
      </c>
    </row>
    <row r="1209" customFormat="false" ht="15" hidden="false" customHeight="false" outlineLevel="0" collapsed="false">
      <c r="A1209" s="16" t="n">
        <v>1208</v>
      </c>
      <c r="B1209" s="17" t="n">
        <f aca="false">B1208+1</f>
        <v>47230</v>
      </c>
      <c r="C1209" s="18" t="n">
        <f aca="false">MIN(ROUNDUP(A1209/365,0),5)</f>
        <v>4</v>
      </c>
      <c r="D1209" s="18" t="n">
        <f aca="false">DATEDIF(Assumptions!B5,B1209,"m")+1</f>
        <v>40</v>
      </c>
      <c r="E1209" s="18" t="str">
        <f aca="false">TEXT(B1209,"ddd")</f>
        <v>Sun</v>
      </c>
      <c r="F1209" s="19" t="n">
        <f aca="false">IF(WEEKDAY(B1209,2)&gt;=6,Assumptions!B34,Assumptions!B35)</f>
        <v>0.6</v>
      </c>
      <c r="G1209" s="20" t="n">
        <f aca="false">IF(D1209&gt;=13,(1+Assumptions!B46)^(D1209-12),1)</f>
        <v>1.08749213463429</v>
      </c>
      <c r="H1209" s="21" t="n">
        <f aca="false">H1208*(1+IF(C1209=1,Assumptions!B22,Assumptions!B23))</f>
        <v>23.8974913785067</v>
      </c>
      <c r="I1209" s="16" t="n">
        <f aca="false">ROUND(H1209*F1209,0)</f>
        <v>14</v>
      </c>
      <c r="J1209" s="22" t="n">
        <f aca="false">I1209*Assumptions!B24</f>
        <v>8400</v>
      </c>
      <c r="K1209" s="21" t="n">
        <f aca="false">K1208*(1+Assumptions!B30)</f>
        <v>19.496896209285</v>
      </c>
      <c r="L1209" s="16" t="n">
        <f aca="false">ROUND(K1209*F1209,0)</f>
        <v>12</v>
      </c>
      <c r="M1209" s="22" t="n">
        <f aca="false">L1209*Assumptions!B31</f>
        <v>3600</v>
      </c>
      <c r="N1209" s="22" t="n">
        <f aca="false">J1209+M1209</f>
        <v>12000</v>
      </c>
      <c r="O1209" s="22" t="n">
        <f aca="false">IF(DAY(B1209)=1,Assumptions!B38*G1209,0)</f>
        <v>0</v>
      </c>
      <c r="P1209" s="22" t="n">
        <f aca="false">IF(DAY(B1209)=1,Assumptions!B39*G1209,0)</f>
        <v>0</v>
      </c>
      <c r="Q1209" s="22" t="n">
        <f aca="false">IF(DAY(B1209)=1,Assumptions!B40*G1209,0)</f>
        <v>0</v>
      </c>
      <c r="R1209" s="22" t="n">
        <f aca="false">IF(DAY(B1209)=1,Assumptions!B41*G1209,0)</f>
        <v>0</v>
      </c>
      <c r="S1209" s="22" t="n">
        <f aca="false">IF(AND(DAY(B1209)=1,D1209&gt;=13),Assumptions!B42*G1209,0)</f>
        <v>0</v>
      </c>
      <c r="T1209" s="22" t="n">
        <f aca="false">IF(DAY(B1209)=1,Assumptions!B43*G1209,0)</f>
        <v>0</v>
      </c>
      <c r="U1209" s="22" t="n">
        <f aca="false">SUM(O1209:T1209)</f>
        <v>0</v>
      </c>
      <c r="V1209" s="22" t="n">
        <f aca="false">N1209-U1209</f>
        <v>12000</v>
      </c>
      <c r="W1209" s="22" t="n">
        <f aca="false">W1208+V1209</f>
        <v>-1352330.17522015</v>
      </c>
      <c r="X1209" s="23" t="str">
        <f aca="false">IF(W1209&gt;=0,"YES","No")</f>
        <v>No</v>
      </c>
    </row>
    <row r="1210" customFormat="false" ht="15" hidden="false" customHeight="false" outlineLevel="0" collapsed="false">
      <c r="A1210" s="16" t="n">
        <v>1209</v>
      </c>
      <c r="B1210" s="17" t="n">
        <f aca="false">B1209+1</f>
        <v>47231</v>
      </c>
      <c r="C1210" s="18" t="n">
        <f aca="false">MIN(ROUNDUP(A1210/365,0),5)</f>
        <v>4</v>
      </c>
      <c r="D1210" s="18" t="n">
        <f aca="false">DATEDIF(Assumptions!B5,B1210,"m")+1</f>
        <v>40</v>
      </c>
      <c r="E1210" s="18" t="str">
        <f aca="false">TEXT(B1210,"ddd")</f>
        <v>Mon</v>
      </c>
      <c r="F1210" s="19" t="n">
        <f aca="false">IF(WEEKDAY(B1210,2)&gt;=6,Assumptions!B34,Assumptions!B35)</f>
        <v>1</v>
      </c>
      <c r="G1210" s="20" t="n">
        <f aca="false">IF(D1210&gt;=13,(1+Assumptions!B46)^(D1210-12),1)</f>
        <v>1.08749213463429</v>
      </c>
      <c r="H1210" s="21" t="n">
        <f aca="false">H1209*(1+IF(C1210=1,Assumptions!B22,Assumptions!B23))</f>
        <v>23.9014072620583</v>
      </c>
      <c r="I1210" s="16" t="n">
        <f aca="false">ROUND(H1210*F1210,0)</f>
        <v>24</v>
      </c>
      <c r="J1210" s="22" t="n">
        <f aca="false">I1210*Assumptions!B24</f>
        <v>14400</v>
      </c>
      <c r="K1210" s="21" t="n">
        <f aca="false">K1209*(1+Assumptions!B30)</f>
        <v>19.5032704628701</v>
      </c>
      <c r="L1210" s="16" t="n">
        <f aca="false">ROUND(K1210*F1210,0)</f>
        <v>20</v>
      </c>
      <c r="M1210" s="22" t="n">
        <f aca="false">L1210*Assumptions!B31</f>
        <v>6000</v>
      </c>
      <c r="N1210" s="22" t="n">
        <f aca="false">J1210+M1210</f>
        <v>20400</v>
      </c>
      <c r="O1210" s="22" t="n">
        <f aca="false">IF(DAY(B1210)=1,Assumptions!B38*G1210,0)</f>
        <v>0</v>
      </c>
      <c r="P1210" s="22" t="n">
        <f aca="false">IF(DAY(B1210)=1,Assumptions!B39*G1210,0)</f>
        <v>0</v>
      </c>
      <c r="Q1210" s="22" t="n">
        <f aca="false">IF(DAY(B1210)=1,Assumptions!B40*G1210,0)</f>
        <v>0</v>
      </c>
      <c r="R1210" s="22" t="n">
        <f aca="false">IF(DAY(B1210)=1,Assumptions!B41*G1210,0)</f>
        <v>0</v>
      </c>
      <c r="S1210" s="22" t="n">
        <f aca="false">IF(AND(DAY(B1210)=1,D1210&gt;=13),Assumptions!B42*G1210,0)</f>
        <v>0</v>
      </c>
      <c r="T1210" s="22" t="n">
        <f aca="false">IF(DAY(B1210)=1,Assumptions!B43*G1210,0)</f>
        <v>0</v>
      </c>
      <c r="U1210" s="22" t="n">
        <f aca="false">SUM(O1210:T1210)</f>
        <v>0</v>
      </c>
      <c r="V1210" s="22" t="n">
        <f aca="false">N1210-U1210</f>
        <v>20400</v>
      </c>
      <c r="W1210" s="22" t="n">
        <f aca="false">W1209+V1210</f>
        <v>-1331930.17522015</v>
      </c>
      <c r="X1210" s="23" t="str">
        <f aca="false">IF(W1210&gt;=0,"YES","No")</f>
        <v>No</v>
      </c>
    </row>
    <row r="1211" customFormat="false" ht="15" hidden="false" customHeight="false" outlineLevel="0" collapsed="false">
      <c r="A1211" s="16" t="n">
        <v>1210</v>
      </c>
      <c r="B1211" s="17" t="n">
        <f aca="false">B1210+1</f>
        <v>47232</v>
      </c>
      <c r="C1211" s="18" t="n">
        <f aca="false">MIN(ROUNDUP(A1211/365,0),5)</f>
        <v>4</v>
      </c>
      <c r="D1211" s="18" t="n">
        <f aca="false">DATEDIF(Assumptions!B5,B1211,"m")+1</f>
        <v>40</v>
      </c>
      <c r="E1211" s="18" t="str">
        <f aca="false">TEXT(B1211,"ddd")</f>
        <v>Tue</v>
      </c>
      <c r="F1211" s="19" t="n">
        <f aca="false">IF(WEEKDAY(B1211,2)&gt;=6,Assumptions!B34,Assumptions!B35)</f>
        <v>1</v>
      </c>
      <c r="G1211" s="20" t="n">
        <f aca="false">IF(D1211&gt;=13,(1+Assumptions!B46)^(D1211-12),1)</f>
        <v>1.08749213463429</v>
      </c>
      <c r="H1211" s="21" t="n">
        <f aca="false">H1210*(1+IF(C1211=1,Assumptions!B22,Assumptions!B23))</f>
        <v>23.9053237872731</v>
      </c>
      <c r="I1211" s="16" t="n">
        <f aca="false">ROUND(H1211*F1211,0)</f>
        <v>24</v>
      </c>
      <c r="J1211" s="22" t="n">
        <f aca="false">I1211*Assumptions!B24</f>
        <v>14400</v>
      </c>
      <c r="K1211" s="21" t="n">
        <f aca="false">K1210*(1+Assumptions!B30)</f>
        <v>19.5096468004335</v>
      </c>
      <c r="L1211" s="16" t="n">
        <f aca="false">ROUND(K1211*F1211,0)</f>
        <v>20</v>
      </c>
      <c r="M1211" s="22" t="n">
        <f aca="false">L1211*Assumptions!B31</f>
        <v>6000</v>
      </c>
      <c r="N1211" s="22" t="n">
        <f aca="false">J1211+M1211</f>
        <v>20400</v>
      </c>
      <c r="O1211" s="22" t="n">
        <f aca="false">IF(DAY(B1211)=1,Assumptions!B38*G1211,0)</f>
        <v>0</v>
      </c>
      <c r="P1211" s="22" t="n">
        <f aca="false">IF(DAY(B1211)=1,Assumptions!B39*G1211,0)</f>
        <v>0</v>
      </c>
      <c r="Q1211" s="22" t="n">
        <f aca="false">IF(DAY(B1211)=1,Assumptions!B40*G1211,0)</f>
        <v>0</v>
      </c>
      <c r="R1211" s="22" t="n">
        <f aca="false">IF(DAY(B1211)=1,Assumptions!B41*G1211,0)</f>
        <v>0</v>
      </c>
      <c r="S1211" s="22" t="n">
        <f aca="false">IF(AND(DAY(B1211)=1,D1211&gt;=13),Assumptions!B42*G1211,0)</f>
        <v>0</v>
      </c>
      <c r="T1211" s="22" t="n">
        <f aca="false">IF(DAY(B1211)=1,Assumptions!B43*G1211,0)</f>
        <v>0</v>
      </c>
      <c r="U1211" s="22" t="n">
        <f aca="false">SUM(O1211:T1211)</f>
        <v>0</v>
      </c>
      <c r="V1211" s="22" t="n">
        <f aca="false">N1211-U1211</f>
        <v>20400</v>
      </c>
      <c r="W1211" s="22" t="n">
        <f aca="false">W1210+V1211</f>
        <v>-1311530.17522015</v>
      </c>
      <c r="X1211" s="23" t="str">
        <f aca="false">IF(W1211&gt;=0,"YES","No")</f>
        <v>No</v>
      </c>
    </row>
    <row r="1212" customFormat="false" ht="15" hidden="false" customHeight="false" outlineLevel="0" collapsed="false">
      <c r="A1212" s="16" t="n">
        <v>1211</v>
      </c>
      <c r="B1212" s="17" t="n">
        <f aca="false">B1211+1</f>
        <v>47233</v>
      </c>
      <c r="C1212" s="18" t="n">
        <f aca="false">MIN(ROUNDUP(A1212/365,0),5)</f>
        <v>4</v>
      </c>
      <c r="D1212" s="18" t="n">
        <f aca="false">DATEDIF(Assumptions!B5,B1212,"m")+1</f>
        <v>40</v>
      </c>
      <c r="E1212" s="18" t="str">
        <f aca="false">TEXT(B1212,"ddd")</f>
        <v>Wed</v>
      </c>
      <c r="F1212" s="19" t="n">
        <f aca="false">IF(WEEKDAY(B1212,2)&gt;=6,Assumptions!B34,Assumptions!B35)</f>
        <v>1</v>
      </c>
      <c r="G1212" s="20" t="n">
        <f aca="false">IF(D1212&gt;=13,(1+Assumptions!B46)^(D1212-12),1)</f>
        <v>1.08749213463429</v>
      </c>
      <c r="H1212" s="21" t="n">
        <f aca="false">H1211*(1+IF(C1212=1,Assumptions!B22,Assumptions!B23))</f>
        <v>23.9092409542565</v>
      </c>
      <c r="I1212" s="16" t="n">
        <f aca="false">ROUND(H1212*F1212,0)</f>
        <v>24</v>
      </c>
      <c r="J1212" s="22" t="n">
        <f aca="false">I1212*Assumptions!B24</f>
        <v>14400</v>
      </c>
      <c r="K1212" s="21" t="n">
        <f aca="false">K1211*(1+Assumptions!B30)</f>
        <v>19.5160252226565</v>
      </c>
      <c r="L1212" s="16" t="n">
        <f aca="false">ROUND(K1212*F1212,0)</f>
        <v>20</v>
      </c>
      <c r="M1212" s="22" t="n">
        <f aca="false">L1212*Assumptions!B31</f>
        <v>6000</v>
      </c>
      <c r="N1212" s="22" t="n">
        <f aca="false">J1212+M1212</f>
        <v>20400</v>
      </c>
      <c r="O1212" s="22" t="n">
        <f aca="false">IF(DAY(B1212)=1,Assumptions!B38*G1212,0)</f>
        <v>0</v>
      </c>
      <c r="P1212" s="22" t="n">
        <f aca="false">IF(DAY(B1212)=1,Assumptions!B39*G1212,0)</f>
        <v>0</v>
      </c>
      <c r="Q1212" s="22" t="n">
        <f aca="false">IF(DAY(B1212)=1,Assumptions!B40*G1212,0)</f>
        <v>0</v>
      </c>
      <c r="R1212" s="22" t="n">
        <f aca="false">IF(DAY(B1212)=1,Assumptions!B41*G1212,0)</f>
        <v>0</v>
      </c>
      <c r="S1212" s="22" t="n">
        <f aca="false">IF(AND(DAY(B1212)=1,D1212&gt;=13),Assumptions!B42*G1212,0)</f>
        <v>0</v>
      </c>
      <c r="T1212" s="22" t="n">
        <f aca="false">IF(DAY(B1212)=1,Assumptions!B43*G1212,0)</f>
        <v>0</v>
      </c>
      <c r="U1212" s="22" t="n">
        <f aca="false">SUM(O1212:T1212)</f>
        <v>0</v>
      </c>
      <c r="V1212" s="22" t="n">
        <f aca="false">N1212-U1212</f>
        <v>20400</v>
      </c>
      <c r="W1212" s="22" t="n">
        <f aca="false">W1211+V1212</f>
        <v>-1291130.17522015</v>
      </c>
      <c r="X1212" s="23" t="str">
        <f aca="false">IF(W1212&gt;=0,"YES","No")</f>
        <v>No</v>
      </c>
    </row>
    <row r="1213" customFormat="false" ht="15" hidden="false" customHeight="false" outlineLevel="0" collapsed="false">
      <c r="A1213" s="16" t="n">
        <v>1212</v>
      </c>
      <c r="B1213" s="17" t="n">
        <f aca="false">B1212+1</f>
        <v>47234</v>
      </c>
      <c r="C1213" s="18" t="n">
        <f aca="false">MIN(ROUNDUP(A1213/365,0),5)</f>
        <v>4</v>
      </c>
      <c r="D1213" s="18" t="n">
        <f aca="false">DATEDIF(Assumptions!B5,B1213,"m")+1</f>
        <v>40</v>
      </c>
      <c r="E1213" s="18" t="str">
        <f aca="false">TEXT(B1213,"ddd")</f>
        <v>Thu</v>
      </c>
      <c r="F1213" s="19" t="n">
        <f aca="false">IF(WEEKDAY(B1213,2)&gt;=6,Assumptions!B34,Assumptions!B35)</f>
        <v>1</v>
      </c>
      <c r="G1213" s="20" t="n">
        <f aca="false">IF(D1213&gt;=13,(1+Assumptions!B46)^(D1213-12),1)</f>
        <v>1.08749213463429</v>
      </c>
      <c r="H1213" s="21" t="n">
        <f aca="false">H1212*(1+IF(C1213=1,Assumptions!B22,Assumptions!B23))</f>
        <v>23.9131587631135</v>
      </c>
      <c r="I1213" s="16" t="n">
        <f aca="false">ROUND(H1213*F1213,0)</f>
        <v>24</v>
      </c>
      <c r="J1213" s="22" t="n">
        <f aca="false">I1213*Assumptions!B24</f>
        <v>14400</v>
      </c>
      <c r="K1213" s="21" t="n">
        <f aca="false">K1212*(1+Assumptions!B30)</f>
        <v>19.5224057302208</v>
      </c>
      <c r="L1213" s="16" t="n">
        <f aca="false">ROUND(K1213*F1213,0)</f>
        <v>20</v>
      </c>
      <c r="M1213" s="22" t="n">
        <f aca="false">L1213*Assumptions!B31</f>
        <v>6000</v>
      </c>
      <c r="N1213" s="22" t="n">
        <f aca="false">J1213+M1213</f>
        <v>20400</v>
      </c>
      <c r="O1213" s="22" t="n">
        <f aca="false">IF(DAY(B1213)=1,Assumptions!B38*G1213,0)</f>
        <v>0</v>
      </c>
      <c r="P1213" s="22" t="n">
        <f aca="false">IF(DAY(B1213)=1,Assumptions!B39*G1213,0)</f>
        <v>0</v>
      </c>
      <c r="Q1213" s="22" t="n">
        <f aca="false">IF(DAY(B1213)=1,Assumptions!B40*G1213,0)</f>
        <v>0</v>
      </c>
      <c r="R1213" s="22" t="n">
        <f aca="false">IF(DAY(B1213)=1,Assumptions!B41*G1213,0)</f>
        <v>0</v>
      </c>
      <c r="S1213" s="22" t="n">
        <f aca="false">IF(AND(DAY(B1213)=1,D1213&gt;=13),Assumptions!B42*G1213,0)</f>
        <v>0</v>
      </c>
      <c r="T1213" s="22" t="n">
        <f aca="false">IF(DAY(B1213)=1,Assumptions!B43*G1213,0)</f>
        <v>0</v>
      </c>
      <c r="U1213" s="22" t="n">
        <f aca="false">SUM(O1213:T1213)</f>
        <v>0</v>
      </c>
      <c r="V1213" s="22" t="n">
        <f aca="false">N1213-U1213</f>
        <v>20400</v>
      </c>
      <c r="W1213" s="22" t="n">
        <f aca="false">W1212+V1213</f>
        <v>-1270730.17522015</v>
      </c>
      <c r="X1213" s="23" t="str">
        <f aca="false">IF(W1213&gt;=0,"YES","No")</f>
        <v>No</v>
      </c>
    </row>
    <row r="1214" customFormat="false" ht="15" hidden="false" customHeight="false" outlineLevel="0" collapsed="false">
      <c r="A1214" s="16" t="n">
        <v>1213</v>
      </c>
      <c r="B1214" s="17" t="n">
        <f aca="false">B1213+1</f>
        <v>47235</v>
      </c>
      <c r="C1214" s="18" t="n">
        <f aca="false">MIN(ROUNDUP(A1214/365,0),5)</f>
        <v>4</v>
      </c>
      <c r="D1214" s="18" t="n">
        <f aca="false">DATEDIF(Assumptions!B5,B1214,"m")+1</f>
        <v>40</v>
      </c>
      <c r="E1214" s="18" t="str">
        <f aca="false">TEXT(B1214,"ddd")</f>
        <v>Fri</v>
      </c>
      <c r="F1214" s="19" t="n">
        <f aca="false">IF(WEEKDAY(B1214,2)&gt;=6,Assumptions!B34,Assumptions!B35)</f>
        <v>1</v>
      </c>
      <c r="G1214" s="20" t="n">
        <f aca="false">IF(D1214&gt;=13,(1+Assumptions!B46)^(D1214-12),1)</f>
        <v>1.08749213463429</v>
      </c>
      <c r="H1214" s="21" t="n">
        <f aca="false">H1213*(1+IF(C1214=1,Assumptions!B22,Assumptions!B23))</f>
        <v>23.9170772139493</v>
      </c>
      <c r="I1214" s="16" t="n">
        <f aca="false">ROUND(H1214*F1214,0)</f>
        <v>24</v>
      </c>
      <c r="J1214" s="22" t="n">
        <f aca="false">I1214*Assumptions!B24</f>
        <v>14400</v>
      </c>
      <c r="K1214" s="21" t="n">
        <f aca="false">K1213*(1+Assumptions!B30)</f>
        <v>19.528788323808</v>
      </c>
      <c r="L1214" s="16" t="n">
        <f aca="false">ROUND(K1214*F1214,0)</f>
        <v>20</v>
      </c>
      <c r="M1214" s="22" t="n">
        <f aca="false">L1214*Assumptions!B31</f>
        <v>6000</v>
      </c>
      <c r="N1214" s="22" t="n">
        <f aca="false">J1214+M1214</f>
        <v>20400</v>
      </c>
      <c r="O1214" s="22" t="n">
        <f aca="false">IF(DAY(B1214)=1,Assumptions!B38*G1214,0)</f>
        <v>0</v>
      </c>
      <c r="P1214" s="22" t="n">
        <f aca="false">IF(DAY(B1214)=1,Assumptions!B39*G1214,0)</f>
        <v>0</v>
      </c>
      <c r="Q1214" s="22" t="n">
        <f aca="false">IF(DAY(B1214)=1,Assumptions!B40*G1214,0)</f>
        <v>0</v>
      </c>
      <c r="R1214" s="22" t="n">
        <f aca="false">IF(DAY(B1214)=1,Assumptions!B41*G1214,0)</f>
        <v>0</v>
      </c>
      <c r="S1214" s="22" t="n">
        <f aca="false">IF(AND(DAY(B1214)=1,D1214&gt;=13),Assumptions!B42*G1214,0)</f>
        <v>0</v>
      </c>
      <c r="T1214" s="22" t="n">
        <f aca="false">IF(DAY(B1214)=1,Assumptions!B43*G1214,0)</f>
        <v>0</v>
      </c>
      <c r="U1214" s="22" t="n">
        <f aca="false">SUM(O1214:T1214)</f>
        <v>0</v>
      </c>
      <c r="V1214" s="22" t="n">
        <f aca="false">N1214-U1214</f>
        <v>20400</v>
      </c>
      <c r="W1214" s="22" t="n">
        <f aca="false">W1213+V1214</f>
        <v>-1250330.17522015</v>
      </c>
      <c r="X1214" s="23" t="str">
        <f aca="false">IF(W1214&gt;=0,"YES","No")</f>
        <v>No</v>
      </c>
    </row>
    <row r="1215" customFormat="false" ht="15" hidden="false" customHeight="false" outlineLevel="0" collapsed="false">
      <c r="A1215" s="16" t="n">
        <v>1214</v>
      </c>
      <c r="B1215" s="17" t="n">
        <f aca="false">B1214+1</f>
        <v>47236</v>
      </c>
      <c r="C1215" s="18" t="n">
        <f aca="false">MIN(ROUNDUP(A1215/365,0),5)</f>
        <v>4</v>
      </c>
      <c r="D1215" s="18" t="n">
        <f aca="false">DATEDIF(Assumptions!B5,B1215,"m")+1</f>
        <v>40</v>
      </c>
      <c r="E1215" s="18" t="str">
        <f aca="false">TEXT(B1215,"ddd")</f>
        <v>Sat</v>
      </c>
      <c r="F1215" s="19" t="n">
        <f aca="false">IF(WEEKDAY(B1215,2)&gt;=6,Assumptions!B34,Assumptions!B35)</f>
        <v>0.6</v>
      </c>
      <c r="G1215" s="20" t="n">
        <f aca="false">IF(D1215&gt;=13,(1+Assumptions!B46)^(D1215-12),1)</f>
        <v>1.08749213463429</v>
      </c>
      <c r="H1215" s="21" t="n">
        <f aca="false">H1214*(1+IF(C1215=1,Assumptions!B22,Assumptions!B23))</f>
        <v>23.9209963068692</v>
      </c>
      <c r="I1215" s="16" t="n">
        <f aca="false">ROUND(H1215*F1215,0)</f>
        <v>14</v>
      </c>
      <c r="J1215" s="22" t="n">
        <f aca="false">I1215*Assumptions!B24</f>
        <v>8400</v>
      </c>
      <c r="K1215" s="21" t="n">
        <f aca="false">K1214*(1+Assumptions!B30)</f>
        <v>19.5351730041001</v>
      </c>
      <c r="L1215" s="16" t="n">
        <f aca="false">ROUND(K1215*F1215,0)</f>
        <v>12</v>
      </c>
      <c r="M1215" s="22" t="n">
        <f aca="false">L1215*Assumptions!B31</f>
        <v>3600</v>
      </c>
      <c r="N1215" s="22" t="n">
        <f aca="false">J1215+M1215</f>
        <v>12000</v>
      </c>
      <c r="O1215" s="22" t="n">
        <f aca="false">IF(DAY(B1215)=1,Assumptions!B38*G1215,0)</f>
        <v>0</v>
      </c>
      <c r="P1215" s="22" t="n">
        <f aca="false">IF(DAY(B1215)=1,Assumptions!B39*G1215,0)</f>
        <v>0</v>
      </c>
      <c r="Q1215" s="22" t="n">
        <f aca="false">IF(DAY(B1215)=1,Assumptions!B40*G1215,0)</f>
        <v>0</v>
      </c>
      <c r="R1215" s="22" t="n">
        <f aca="false">IF(DAY(B1215)=1,Assumptions!B41*G1215,0)</f>
        <v>0</v>
      </c>
      <c r="S1215" s="22" t="n">
        <f aca="false">IF(AND(DAY(B1215)=1,D1215&gt;=13),Assumptions!B42*G1215,0)</f>
        <v>0</v>
      </c>
      <c r="T1215" s="22" t="n">
        <f aca="false">IF(DAY(B1215)=1,Assumptions!B43*G1215,0)</f>
        <v>0</v>
      </c>
      <c r="U1215" s="22" t="n">
        <f aca="false">SUM(O1215:T1215)</f>
        <v>0</v>
      </c>
      <c r="V1215" s="22" t="n">
        <f aca="false">N1215-U1215</f>
        <v>12000</v>
      </c>
      <c r="W1215" s="22" t="n">
        <f aca="false">W1214+V1215</f>
        <v>-1238330.17522015</v>
      </c>
      <c r="X1215" s="23" t="str">
        <f aca="false">IF(W1215&gt;=0,"YES","No")</f>
        <v>No</v>
      </c>
    </row>
    <row r="1216" customFormat="false" ht="15" hidden="false" customHeight="false" outlineLevel="0" collapsed="false">
      <c r="A1216" s="16" t="n">
        <v>1215</v>
      </c>
      <c r="B1216" s="17" t="n">
        <f aca="false">B1215+1</f>
        <v>47237</v>
      </c>
      <c r="C1216" s="18" t="n">
        <f aca="false">MIN(ROUNDUP(A1216/365,0),5)</f>
        <v>4</v>
      </c>
      <c r="D1216" s="18" t="n">
        <f aca="false">DATEDIF(Assumptions!B5,B1216,"m")+1</f>
        <v>40</v>
      </c>
      <c r="E1216" s="18" t="str">
        <f aca="false">TEXT(B1216,"ddd")</f>
        <v>Sun</v>
      </c>
      <c r="F1216" s="19" t="n">
        <f aca="false">IF(WEEKDAY(B1216,2)&gt;=6,Assumptions!B34,Assumptions!B35)</f>
        <v>0.6</v>
      </c>
      <c r="G1216" s="20" t="n">
        <f aca="false">IF(D1216&gt;=13,(1+Assumptions!B46)^(D1216-12),1)</f>
        <v>1.08749213463429</v>
      </c>
      <c r="H1216" s="21" t="n">
        <f aca="false">H1215*(1+IF(C1216=1,Assumptions!B22,Assumptions!B23))</f>
        <v>23.9249160419782</v>
      </c>
      <c r="I1216" s="16" t="n">
        <f aca="false">ROUND(H1216*F1216,0)</f>
        <v>14</v>
      </c>
      <c r="J1216" s="22" t="n">
        <f aca="false">I1216*Assumptions!B24</f>
        <v>8400</v>
      </c>
      <c r="K1216" s="21" t="n">
        <f aca="false">K1215*(1+Assumptions!B30)</f>
        <v>19.5415597717795</v>
      </c>
      <c r="L1216" s="16" t="n">
        <f aca="false">ROUND(K1216*F1216,0)</f>
        <v>12</v>
      </c>
      <c r="M1216" s="22" t="n">
        <f aca="false">L1216*Assumptions!B31</f>
        <v>3600</v>
      </c>
      <c r="N1216" s="22" t="n">
        <f aca="false">J1216+M1216</f>
        <v>12000</v>
      </c>
      <c r="O1216" s="22" t="n">
        <f aca="false">IF(DAY(B1216)=1,Assumptions!B38*G1216,0)</f>
        <v>0</v>
      </c>
      <c r="P1216" s="22" t="n">
        <f aca="false">IF(DAY(B1216)=1,Assumptions!B39*G1216,0)</f>
        <v>0</v>
      </c>
      <c r="Q1216" s="22" t="n">
        <f aca="false">IF(DAY(B1216)=1,Assumptions!B40*G1216,0)</f>
        <v>0</v>
      </c>
      <c r="R1216" s="22" t="n">
        <f aca="false">IF(DAY(B1216)=1,Assumptions!B41*G1216,0)</f>
        <v>0</v>
      </c>
      <c r="S1216" s="22" t="n">
        <f aca="false">IF(AND(DAY(B1216)=1,D1216&gt;=13),Assumptions!B42*G1216,0)</f>
        <v>0</v>
      </c>
      <c r="T1216" s="22" t="n">
        <f aca="false">IF(DAY(B1216)=1,Assumptions!B43*G1216,0)</f>
        <v>0</v>
      </c>
      <c r="U1216" s="22" t="n">
        <f aca="false">SUM(O1216:T1216)</f>
        <v>0</v>
      </c>
      <c r="V1216" s="22" t="n">
        <f aca="false">N1216-U1216</f>
        <v>12000</v>
      </c>
      <c r="W1216" s="22" t="n">
        <f aca="false">W1215+V1216</f>
        <v>-1226330.17522015</v>
      </c>
      <c r="X1216" s="23" t="str">
        <f aca="false">IF(W1216&gt;=0,"YES","No")</f>
        <v>No</v>
      </c>
    </row>
    <row r="1217" customFormat="false" ht="15" hidden="false" customHeight="false" outlineLevel="0" collapsed="false">
      <c r="A1217" s="16" t="n">
        <v>1216</v>
      </c>
      <c r="B1217" s="17" t="n">
        <f aca="false">B1216+1</f>
        <v>47238</v>
      </c>
      <c r="C1217" s="18" t="n">
        <f aca="false">MIN(ROUNDUP(A1217/365,0),5)</f>
        <v>4</v>
      </c>
      <c r="D1217" s="18" t="n">
        <f aca="false">DATEDIF(Assumptions!B5,B1217,"m")+1</f>
        <v>40</v>
      </c>
      <c r="E1217" s="18" t="str">
        <f aca="false">TEXT(B1217,"ddd")</f>
        <v>Mon</v>
      </c>
      <c r="F1217" s="19" t="n">
        <f aca="false">IF(WEEKDAY(B1217,2)&gt;=6,Assumptions!B34,Assumptions!B35)</f>
        <v>1</v>
      </c>
      <c r="G1217" s="20" t="n">
        <f aca="false">IF(D1217&gt;=13,(1+Assumptions!B46)^(D1217-12),1)</f>
        <v>1.08749213463429</v>
      </c>
      <c r="H1217" s="21" t="n">
        <f aca="false">H1216*(1+IF(C1217=1,Assumptions!B22,Assumptions!B23))</f>
        <v>23.9288364193817</v>
      </c>
      <c r="I1217" s="16" t="n">
        <f aca="false">ROUND(H1217*F1217,0)</f>
        <v>24</v>
      </c>
      <c r="J1217" s="22" t="n">
        <f aca="false">I1217*Assumptions!B24</f>
        <v>14400</v>
      </c>
      <c r="K1217" s="21" t="n">
        <f aca="false">K1216*(1+Assumptions!B30)</f>
        <v>19.5479486275285</v>
      </c>
      <c r="L1217" s="16" t="n">
        <f aca="false">ROUND(K1217*F1217,0)</f>
        <v>20</v>
      </c>
      <c r="M1217" s="22" t="n">
        <f aca="false">L1217*Assumptions!B31</f>
        <v>6000</v>
      </c>
      <c r="N1217" s="22" t="n">
        <f aca="false">J1217+M1217</f>
        <v>20400</v>
      </c>
      <c r="O1217" s="22" t="n">
        <f aca="false">IF(DAY(B1217)=1,Assumptions!B38*G1217,0)</f>
        <v>0</v>
      </c>
      <c r="P1217" s="22" t="n">
        <f aca="false">IF(DAY(B1217)=1,Assumptions!B39*G1217,0)</f>
        <v>0</v>
      </c>
      <c r="Q1217" s="22" t="n">
        <f aca="false">IF(DAY(B1217)=1,Assumptions!B40*G1217,0)</f>
        <v>0</v>
      </c>
      <c r="R1217" s="22" t="n">
        <f aca="false">IF(DAY(B1217)=1,Assumptions!B41*G1217,0)</f>
        <v>0</v>
      </c>
      <c r="S1217" s="22" t="n">
        <f aca="false">IF(AND(DAY(B1217)=1,D1217&gt;=13),Assumptions!B42*G1217,0)</f>
        <v>0</v>
      </c>
      <c r="T1217" s="22" t="n">
        <f aca="false">IF(DAY(B1217)=1,Assumptions!B43*G1217,0)</f>
        <v>0</v>
      </c>
      <c r="U1217" s="22" t="n">
        <f aca="false">SUM(O1217:T1217)</f>
        <v>0</v>
      </c>
      <c r="V1217" s="22" t="n">
        <f aca="false">N1217-U1217</f>
        <v>20400</v>
      </c>
      <c r="W1217" s="22" t="n">
        <f aca="false">W1216+V1217</f>
        <v>-1205930.17522015</v>
      </c>
      <c r="X1217" s="23" t="str">
        <f aca="false">IF(W1217&gt;=0,"YES","No")</f>
        <v>No</v>
      </c>
    </row>
    <row r="1218" customFormat="false" ht="15" hidden="false" customHeight="false" outlineLevel="0" collapsed="false">
      <c r="A1218" s="16" t="n">
        <v>1217</v>
      </c>
      <c r="B1218" s="17" t="n">
        <f aca="false">B1217+1</f>
        <v>47239</v>
      </c>
      <c r="C1218" s="18" t="n">
        <f aca="false">MIN(ROUNDUP(A1218/365,0),5)</f>
        <v>4</v>
      </c>
      <c r="D1218" s="18" t="n">
        <f aca="false">DATEDIF(Assumptions!B5,B1218,"m")+1</f>
        <v>41</v>
      </c>
      <c r="E1218" s="18" t="str">
        <f aca="false">TEXT(B1218,"ddd")</f>
        <v>Tue</v>
      </c>
      <c r="F1218" s="19" t="n">
        <f aca="false">IF(WEEKDAY(B1218,2)&gt;=6,Assumptions!B34,Assumptions!B35)</f>
        <v>1</v>
      </c>
      <c r="G1218" s="20" t="n">
        <f aca="false">IF(D1218&gt;=13,(1+Assumptions!B46)^(D1218-12),1)</f>
        <v>1.09075461103819</v>
      </c>
      <c r="H1218" s="21" t="n">
        <f aca="false">H1217*(1+IF(C1218=1,Assumptions!B22,Assumptions!B23))</f>
        <v>23.9327574391849</v>
      </c>
      <c r="I1218" s="16" t="n">
        <f aca="false">ROUND(H1218*F1218,0)</f>
        <v>24</v>
      </c>
      <c r="J1218" s="22" t="n">
        <f aca="false">I1218*Assumptions!B24</f>
        <v>14400</v>
      </c>
      <c r="K1218" s="21" t="n">
        <f aca="false">K1217*(1+Assumptions!B30)</f>
        <v>19.5543395720297</v>
      </c>
      <c r="L1218" s="16" t="n">
        <f aca="false">ROUND(K1218*F1218,0)</f>
        <v>20</v>
      </c>
      <c r="M1218" s="22" t="n">
        <f aca="false">L1218*Assumptions!B31</f>
        <v>6000</v>
      </c>
      <c r="N1218" s="22" t="n">
        <f aca="false">J1218+M1218</f>
        <v>20400</v>
      </c>
      <c r="O1218" s="22" t="n">
        <f aca="false">IF(DAY(B1218)=1,Assumptions!B38*G1218,0)</f>
        <v>163613.191655729</v>
      </c>
      <c r="P1218" s="22" t="n">
        <f aca="false">IF(DAY(B1218)=1,Assumptions!B39*G1218,0)</f>
        <v>43630.1844415277</v>
      </c>
      <c r="Q1218" s="22" t="n">
        <f aca="false">IF(DAY(B1218)=1,Assumptions!B40*G1218,0)</f>
        <v>32722.6383311458</v>
      </c>
      <c r="R1218" s="22" t="n">
        <f aca="false">IF(DAY(B1218)=1,Assumptions!B41*G1218,0)</f>
        <v>21815.0922207639</v>
      </c>
      <c r="S1218" s="22" t="n">
        <f aca="false">IF(AND(DAY(B1218)=1,D1218&gt;=13),Assumptions!B42*G1218,0)</f>
        <v>163613.191655729</v>
      </c>
      <c r="T1218" s="22" t="n">
        <f aca="false">IF(DAY(B1218)=1,Assumptions!B43*G1218,0)</f>
        <v>21815.0922207639</v>
      </c>
      <c r="U1218" s="22" t="n">
        <f aca="false">SUM(O1218:T1218)</f>
        <v>447209.390525659</v>
      </c>
      <c r="V1218" s="22" t="n">
        <f aca="false">N1218-U1218</f>
        <v>-426809.390525659</v>
      </c>
      <c r="W1218" s="22" t="n">
        <f aca="false">W1217+V1218</f>
        <v>-1632739.56574581</v>
      </c>
      <c r="X1218" s="23" t="str">
        <f aca="false">IF(W1218&gt;=0,"YES","No")</f>
        <v>No</v>
      </c>
    </row>
    <row r="1219" customFormat="false" ht="15" hidden="false" customHeight="false" outlineLevel="0" collapsed="false">
      <c r="A1219" s="16" t="n">
        <v>1218</v>
      </c>
      <c r="B1219" s="17" t="n">
        <f aca="false">B1218+1</f>
        <v>47240</v>
      </c>
      <c r="C1219" s="18" t="n">
        <f aca="false">MIN(ROUNDUP(A1219/365,0),5)</f>
        <v>4</v>
      </c>
      <c r="D1219" s="18" t="n">
        <f aca="false">DATEDIF(Assumptions!B5,B1219,"m")+1</f>
        <v>41</v>
      </c>
      <c r="E1219" s="18" t="str">
        <f aca="false">TEXT(B1219,"ddd")</f>
        <v>Wed</v>
      </c>
      <c r="F1219" s="19" t="n">
        <f aca="false">IF(WEEKDAY(B1219,2)&gt;=6,Assumptions!B34,Assumptions!B35)</f>
        <v>1</v>
      </c>
      <c r="G1219" s="20" t="n">
        <f aca="false">IF(D1219&gt;=13,(1+Assumptions!B46)^(D1219-12),1)</f>
        <v>1.09075461103819</v>
      </c>
      <c r="H1219" s="21" t="n">
        <f aca="false">H1218*(1+IF(C1219=1,Assumptions!B22,Assumptions!B23))</f>
        <v>23.9366791014931</v>
      </c>
      <c r="I1219" s="16" t="n">
        <f aca="false">ROUND(H1219*F1219,0)</f>
        <v>24</v>
      </c>
      <c r="J1219" s="22" t="n">
        <f aca="false">I1219*Assumptions!B24</f>
        <v>14400</v>
      </c>
      <c r="K1219" s="21" t="n">
        <f aca="false">K1218*(1+Assumptions!B30)</f>
        <v>19.5607326059662</v>
      </c>
      <c r="L1219" s="16" t="n">
        <f aca="false">ROUND(K1219*F1219,0)</f>
        <v>20</v>
      </c>
      <c r="M1219" s="22" t="n">
        <f aca="false">L1219*Assumptions!B31</f>
        <v>6000</v>
      </c>
      <c r="N1219" s="22" t="n">
        <f aca="false">J1219+M1219</f>
        <v>20400</v>
      </c>
      <c r="O1219" s="22" t="n">
        <f aca="false">IF(DAY(B1219)=1,Assumptions!B38*G1219,0)</f>
        <v>0</v>
      </c>
      <c r="P1219" s="22" t="n">
        <f aca="false">IF(DAY(B1219)=1,Assumptions!B39*G1219,0)</f>
        <v>0</v>
      </c>
      <c r="Q1219" s="22" t="n">
        <f aca="false">IF(DAY(B1219)=1,Assumptions!B40*G1219,0)</f>
        <v>0</v>
      </c>
      <c r="R1219" s="22" t="n">
        <f aca="false">IF(DAY(B1219)=1,Assumptions!B41*G1219,0)</f>
        <v>0</v>
      </c>
      <c r="S1219" s="22" t="n">
        <f aca="false">IF(AND(DAY(B1219)=1,D1219&gt;=13),Assumptions!B42*G1219,0)</f>
        <v>0</v>
      </c>
      <c r="T1219" s="22" t="n">
        <f aca="false">IF(DAY(B1219)=1,Assumptions!B43*G1219,0)</f>
        <v>0</v>
      </c>
      <c r="U1219" s="22" t="n">
        <f aca="false">SUM(O1219:T1219)</f>
        <v>0</v>
      </c>
      <c r="V1219" s="22" t="n">
        <f aca="false">N1219-U1219</f>
        <v>20400</v>
      </c>
      <c r="W1219" s="22" t="n">
        <f aca="false">W1218+V1219</f>
        <v>-1612339.56574581</v>
      </c>
      <c r="X1219" s="23" t="str">
        <f aca="false">IF(W1219&gt;=0,"YES","No")</f>
        <v>No</v>
      </c>
    </row>
    <row r="1220" customFormat="false" ht="15" hidden="false" customHeight="false" outlineLevel="0" collapsed="false">
      <c r="A1220" s="16" t="n">
        <v>1219</v>
      </c>
      <c r="B1220" s="17" t="n">
        <f aca="false">B1219+1</f>
        <v>47241</v>
      </c>
      <c r="C1220" s="18" t="n">
        <f aca="false">MIN(ROUNDUP(A1220/365,0),5)</f>
        <v>4</v>
      </c>
      <c r="D1220" s="18" t="n">
        <f aca="false">DATEDIF(Assumptions!B5,B1220,"m")+1</f>
        <v>41</v>
      </c>
      <c r="E1220" s="18" t="str">
        <f aca="false">TEXT(B1220,"ddd")</f>
        <v>Thu</v>
      </c>
      <c r="F1220" s="19" t="n">
        <f aca="false">IF(WEEKDAY(B1220,2)&gt;=6,Assumptions!B34,Assumptions!B35)</f>
        <v>1</v>
      </c>
      <c r="G1220" s="20" t="n">
        <f aca="false">IF(D1220&gt;=13,(1+Assumptions!B46)^(D1220-12),1)</f>
        <v>1.09075461103819</v>
      </c>
      <c r="H1220" s="21" t="n">
        <f aca="false">H1219*(1+IF(C1220=1,Assumptions!B22,Assumptions!B23))</f>
        <v>23.9406014064116</v>
      </c>
      <c r="I1220" s="16" t="n">
        <f aca="false">ROUND(H1220*F1220,0)</f>
        <v>24</v>
      </c>
      <c r="J1220" s="22" t="n">
        <f aca="false">I1220*Assumptions!B24</f>
        <v>14400</v>
      </c>
      <c r="K1220" s="21" t="n">
        <f aca="false">K1219*(1+Assumptions!B30)</f>
        <v>19.5671277300209</v>
      </c>
      <c r="L1220" s="16" t="n">
        <f aca="false">ROUND(K1220*F1220,0)</f>
        <v>20</v>
      </c>
      <c r="M1220" s="22" t="n">
        <f aca="false">L1220*Assumptions!B31</f>
        <v>6000</v>
      </c>
      <c r="N1220" s="22" t="n">
        <f aca="false">J1220+M1220</f>
        <v>20400</v>
      </c>
      <c r="O1220" s="22" t="n">
        <f aca="false">IF(DAY(B1220)=1,Assumptions!B38*G1220,0)</f>
        <v>0</v>
      </c>
      <c r="P1220" s="22" t="n">
        <f aca="false">IF(DAY(B1220)=1,Assumptions!B39*G1220,0)</f>
        <v>0</v>
      </c>
      <c r="Q1220" s="22" t="n">
        <f aca="false">IF(DAY(B1220)=1,Assumptions!B40*G1220,0)</f>
        <v>0</v>
      </c>
      <c r="R1220" s="22" t="n">
        <f aca="false">IF(DAY(B1220)=1,Assumptions!B41*G1220,0)</f>
        <v>0</v>
      </c>
      <c r="S1220" s="22" t="n">
        <f aca="false">IF(AND(DAY(B1220)=1,D1220&gt;=13),Assumptions!B42*G1220,0)</f>
        <v>0</v>
      </c>
      <c r="T1220" s="22" t="n">
        <f aca="false">IF(DAY(B1220)=1,Assumptions!B43*G1220,0)</f>
        <v>0</v>
      </c>
      <c r="U1220" s="22" t="n">
        <f aca="false">SUM(O1220:T1220)</f>
        <v>0</v>
      </c>
      <c r="V1220" s="22" t="n">
        <f aca="false">N1220-U1220</f>
        <v>20400</v>
      </c>
      <c r="W1220" s="22" t="n">
        <f aca="false">W1219+V1220</f>
        <v>-1591939.56574581</v>
      </c>
      <c r="X1220" s="23" t="str">
        <f aca="false">IF(W1220&gt;=0,"YES","No")</f>
        <v>No</v>
      </c>
    </row>
    <row r="1221" customFormat="false" ht="15" hidden="false" customHeight="false" outlineLevel="0" collapsed="false">
      <c r="A1221" s="16" t="n">
        <v>1220</v>
      </c>
      <c r="B1221" s="17" t="n">
        <f aca="false">B1220+1</f>
        <v>47242</v>
      </c>
      <c r="C1221" s="18" t="n">
        <f aca="false">MIN(ROUNDUP(A1221/365,0),5)</f>
        <v>4</v>
      </c>
      <c r="D1221" s="18" t="n">
        <f aca="false">DATEDIF(Assumptions!B5,B1221,"m")+1</f>
        <v>41</v>
      </c>
      <c r="E1221" s="18" t="str">
        <f aca="false">TEXT(B1221,"ddd")</f>
        <v>Fri</v>
      </c>
      <c r="F1221" s="19" t="n">
        <f aca="false">IF(WEEKDAY(B1221,2)&gt;=6,Assumptions!B34,Assumptions!B35)</f>
        <v>1</v>
      </c>
      <c r="G1221" s="20" t="n">
        <f aca="false">IF(D1221&gt;=13,(1+Assumptions!B46)^(D1221-12),1)</f>
        <v>1.09075461103819</v>
      </c>
      <c r="H1221" s="21" t="n">
        <f aca="false">H1220*(1+IF(C1221=1,Assumptions!B22,Assumptions!B23))</f>
        <v>23.9445243540456</v>
      </c>
      <c r="I1221" s="16" t="n">
        <f aca="false">ROUND(H1221*F1221,0)</f>
        <v>24</v>
      </c>
      <c r="J1221" s="22" t="n">
        <f aca="false">I1221*Assumptions!B24</f>
        <v>14400</v>
      </c>
      <c r="K1221" s="21" t="n">
        <f aca="false">K1220*(1+Assumptions!B30)</f>
        <v>19.5735249448773</v>
      </c>
      <c r="L1221" s="16" t="n">
        <f aca="false">ROUND(K1221*F1221,0)</f>
        <v>20</v>
      </c>
      <c r="M1221" s="22" t="n">
        <f aca="false">L1221*Assumptions!B31</f>
        <v>6000</v>
      </c>
      <c r="N1221" s="22" t="n">
        <f aca="false">J1221+M1221</f>
        <v>20400</v>
      </c>
      <c r="O1221" s="22" t="n">
        <f aca="false">IF(DAY(B1221)=1,Assumptions!B38*G1221,0)</f>
        <v>0</v>
      </c>
      <c r="P1221" s="22" t="n">
        <f aca="false">IF(DAY(B1221)=1,Assumptions!B39*G1221,0)</f>
        <v>0</v>
      </c>
      <c r="Q1221" s="22" t="n">
        <f aca="false">IF(DAY(B1221)=1,Assumptions!B40*G1221,0)</f>
        <v>0</v>
      </c>
      <c r="R1221" s="22" t="n">
        <f aca="false">IF(DAY(B1221)=1,Assumptions!B41*G1221,0)</f>
        <v>0</v>
      </c>
      <c r="S1221" s="22" t="n">
        <f aca="false">IF(AND(DAY(B1221)=1,D1221&gt;=13),Assumptions!B42*G1221,0)</f>
        <v>0</v>
      </c>
      <c r="T1221" s="22" t="n">
        <f aca="false">IF(DAY(B1221)=1,Assumptions!B43*G1221,0)</f>
        <v>0</v>
      </c>
      <c r="U1221" s="22" t="n">
        <f aca="false">SUM(O1221:T1221)</f>
        <v>0</v>
      </c>
      <c r="V1221" s="22" t="n">
        <f aca="false">N1221-U1221</f>
        <v>20400</v>
      </c>
      <c r="W1221" s="22" t="n">
        <f aca="false">W1220+V1221</f>
        <v>-1571539.56574581</v>
      </c>
      <c r="X1221" s="23" t="str">
        <f aca="false">IF(W1221&gt;=0,"YES","No")</f>
        <v>No</v>
      </c>
    </row>
    <row r="1222" customFormat="false" ht="15" hidden="false" customHeight="false" outlineLevel="0" collapsed="false">
      <c r="A1222" s="16" t="n">
        <v>1221</v>
      </c>
      <c r="B1222" s="17" t="n">
        <f aca="false">B1221+1</f>
        <v>47243</v>
      </c>
      <c r="C1222" s="18" t="n">
        <f aca="false">MIN(ROUNDUP(A1222/365,0),5)</f>
        <v>4</v>
      </c>
      <c r="D1222" s="18" t="n">
        <f aca="false">DATEDIF(Assumptions!B5,B1222,"m")+1</f>
        <v>41</v>
      </c>
      <c r="E1222" s="18" t="str">
        <f aca="false">TEXT(B1222,"ddd")</f>
        <v>Sat</v>
      </c>
      <c r="F1222" s="19" t="n">
        <f aca="false">IF(WEEKDAY(B1222,2)&gt;=6,Assumptions!B34,Assumptions!B35)</f>
        <v>0.6</v>
      </c>
      <c r="G1222" s="20" t="n">
        <f aca="false">IF(D1222&gt;=13,(1+Assumptions!B46)^(D1222-12),1)</f>
        <v>1.09075461103819</v>
      </c>
      <c r="H1222" s="21" t="n">
        <f aca="false">H1221*(1+IF(C1222=1,Assumptions!B22,Assumptions!B23))</f>
        <v>23.9484479445004</v>
      </c>
      <c r="I1222" s="16" t="n">
        <f aca="false">ROUND(H1222*F1222,0)</f>
        <v>14</v>
      </c>
      <c r="J1222" s="22" t="n">
        <f aca="false">I1222*Assumptions!B24</f>
        <v>8400</v>
      </c>
      <c r="K1222" s="21" t="n">
        <f aca="false">K1221*(1+Assumptions!B30)</f>
        <v>19.5799242512188</v>
      </c>
      <c r="L1222" s="16" t="n">
        <f aca="false">ROUND(K1222*F1222,0)</f>
        <v>12</v>
      </c>
      <c r="M1222" s="22" t="n">
        <f aca="false">L1222*Assumptions!B31</f>
        <v>3600</v>
      </c>
      <c r="N1222" s="22" t="n">
        <f aca="false">J1222+M1222</f>
        <v>12000</v>
      </c>
      <c r="O1222" s="22" t="n">
        <f aca="false">IF(DAY(B1222)=1,Assumptions!B38*G1222,0)</f>
        <v>0</v>
      </c>
      <c r="P1222" s="22" t="n">
        <f aca="false">IF(DAY(B1222)=1,Assumptions!B39*G1222,0)</f>
        <v>0</v>
      </c>
      <c r="Q1222" s="22" t="n">
        <f aca="false">IF(DAY(B1222)=1,Assumptions!B40*G1222,0)</f>
        <v>0</v>
      </c>
      <c r="R1222" s="22" t="n">
        <f aca="false">IF(DAY(B1222)=1,Assumptions!B41*G1222,0)</f>
        <v>0</v>
      </c>
      <c r="S1222" s="22" t="n">
        <f aca="false">IF(AND(DAY(B1222)=1,D1222&gt;=13),Assumptions!B42*G1222,0)</f>
        <v>0</v>
      </c>
      <c r="T1222" s="22" t="n">
        <f aca="false">IF(DAY(B1222)=1,Assumptions!B43*G1222,0)</f>
        <v>0</v>
      </c>
      <c r="U1222" s="22" t="n">
        <f aca="false">SUM(O1222:T1222)</f>
        <v>0</v>
      </c>
      <c r="V1222" s="22" t="n">
        <f aca="false">N1222-U1222</f>
        <v>12000</v>
      </c>
      <c r="W1222" s="22" t="n">
        <f aca="false">W1221+V1222</f>
        <v>-1559539.56574581</v>
      </c>
      <c r="X1222" s="23" t="str">
        <f aca="false">IF(W1222&gt;=0,"YES","No")</f>
        <v>No</v>
      </c>
    </row>
    <row r="1223" customFormat="false" ht="15" hidden="false" customHeight="false" outlineLevel="0" collapsed="false">
      <c r="A1223" s="16" t="n">
        <v>1222</v>
      </c>
      <c r="B1223" s="17" t="n">
        <f aca="false">B1222+1</f>
        <v>47244</v>
      </c>
      <c r="C1223" s="18" t="n">
        <f aca="false">MIN(ROUNDUP(A1223/365,0),5)</f>
        <v>4</v>
      </c>
      <c r="D1223" s="18" t="n">
        <f aca="false">DATEDIF(Assumptions!B5,B1223,"m")+1</f>
        <v>41</v>
      </c>
      <c r="E1223" s="18" t="str">
        <f aca="false">TEXT(B1223,"ddd")</f>
        <v>Sun</v>
      </c>
      <c r="F1223" s="19" t="n">
        <f aca="false">IF(WEEKDAY(B1223,2)&gt;=6,Assumptions!B34,Assumptions!B35)</f>
        <v>0.6</v>
      </c>
      <c r="G1223" s="20" t="n">
        <f aca="false">IF(D1223&gt;=13,(1+Assumptions!B46)^(D1223-12),1)</f>
        <v>1.09075461103819</v>
      </c>
      <c r="H1223" s="21" t="n">
        <f aca="false">H1222*(1+IF(C1223=1,Assumptions!B22,Assumptions!B23))</f>
        <v>23.9523721778815</v>
      </c>
      <c r="I1223" s="16" t="n">
        <f aca="false">ROUND(H1223*F1223,0)</f>
        <v>14</v>
      </c>
      <c r="J1223" s="22" t="n">
        <f aca="false">I1223*Assumptions!B24</f>
        <v>8400</v>
      </c>
      <c r="K1223" s="21" t="n">
        <f aca="false">K1222*(1+Assumptions!B30)</f>
        <v>19.5863256497294</v>
      </c>
      <c r="L1223" s="16" t="n">
        <f aca="false">ROUND(K1223*F1223,0)</f>
        <v>12</v>
      </c>
      <c r="M1223" s="22" t="n">
        <f aca="false">L1223*Assumptions!B31</f>
        <v>3600</v>
      </c>
      <c r="N1223" s="22" t="n">
        <f aca="false">J1223+M1223</f>
        <v>12000</v>
      </c>
      <c r="O1223" s="22" t="n">
        <f aca="false">IF(DAY(B1223)=1,Assumptions!B38*G1223,0)</f>
        <v>0</v>
      </c>
      <c r="P1223" s="22" t="n">
        <f aca="false">IF(DAY(B1223)=1,Assumptions!B39*G1223,0)</f>
        <v>0</v>
      </c>
      <c r="Q1223" s="22" t="n">
        <f aca="false">IF(DAY(B1223)=1,Assumptions!B40*G1223,0)</f>
        <v>0</v>
      </c>
      <c r="R1223" s="22" t="n">
        <f aca="false">IF(DAY(B1223)=1,Assumptions!B41*G1223,0)</f>
        <v>0</v>
      </c>
      <c r="S1223" s="22" t="n">
        <f aca="false">IF(AND(DAY(B1223)=1,D1223&gt;=13),Assumptions!B42*G1223,0)</f>
        <v>0</v>
      </c>
      <c r="T1223" s="22" t="n">
        <f aca="false">IF(DAY(B1223)=1,Assumptions!B43*G1223,0)</f>
        <v>0</v>
      </c>
      <c r="U1223" s="22" t="n">
        <f aca="false">SUM(O1223:T1223)</f>
        <v>0</v>
      </c>
      <c r="V1223" s="22" t="n">
        <f aca="false">N1223-U1223</f>
        <v>12000</v>
      </c>
      <c r="W1223" s="22" t="n">
        <f aca="false">W1222+V1223</f>
        <v>-1547539.56574581</v>
      </c>
      <c r="X1223" s="23" t="str">
        <f aca="false">IF(W1223&gt;=0,"YES","No")</f>
        <v>No</v>
      </c>
    </row>
    <row r="1224" customFormat="false" ht="15" hidden="false" customHeight="false" outlineLevel="0" collapsed="false">
      <c r="A1224" s="16" t="n">
        <v>1223</v>
      </c>
      <c r="B1224" s="17" t="n">
        <f aca="false">B1223+1</f>
        <v>47245</v>
      </c>
      <c r="C1224" s="18" t="n">
        <f aca="false">MIN(ROUNDUP(A1224/365,0),5)</f>
        <v>4</v>
      </c>
      <c r="D1224" s="18" t="n">
        <f aca="false">DATEDIF(Assumptions!B5,B1224,"m")+1</f>
        <v>41</v>
      </c>
      <c r="E1224" s="18" t="str">
        <f aca="false">TEXT(B1224,"ddd")</f>
        <v>Mon</v>
      </c>
      <c r="F1224" s="19" t="n">
        <f aca="false">IF(WEEKDAY(B1224,2)&gt;=6,Assumptions!B34,Assumptions!B35)</f>
        <v>1</v>
      </c>
      <c r="G1224" s="20" t="n">
        <f aca="false">IF(D1224&gt;=13,(1+Assumptions!B46)^(D1224-12),1)</f>
        <v>1.09075461103819</v>
      </c>
      <c r="H1224" s="21" t="n">
        <f aca="false">H1223*(1+IF(C1224=1,Assumptions!B22,Assumptions!B23))</f>
        <v>23.9562970542941</v>
      </c>
      <c r="I1224" s="16" t="n">
        <f aca="false">ROUND(H1224*F1224,0)</f>
        <v>24</v>
      </c>
      <c r="J1224" s="22" t="n">
        <f aca="false">I1224*Assumptions!B24</f>
        <v>14400</v>
      </c>
      <c r="K1224" s="21" t="n">
        <f aca="false">K1223*(1+Assumptions!B30)</f>
        <v>19.5927291410929</v>
      </c>
      <c r="L1224" s="16" t="n">
        <f aca="false">ROUND(K1224*F1224,0)</f>
        <v>20</v>
      </c>
      <c r="M1224" s="22" t="n">
        <f aca="false">L1224*Assumptions!B31</f>
        <v>6000</v>
      </c>
      <c r="N1224" s="22" t="n">
        <f aca="false">J1224+M1224</f>
        <v>20400</v>
      </c>
      <c r="O1224" s="22" t="n">
        <f aca="false">IF(DAY(B1224)=1,Assumptions!B38*G1224,0)</f>
        <v>0</v>
      </c>
      <c r="P1224" s="22" t="n">
        <f aca="false">IF(DAY(B1224)=1,Assumptions!B39*G1224,0)</f>
        <v>0</v>
      </c>
      <c r="Q1224" s="22" t="n">
        <f aca="false">IF(DAY(B1224)=1,Assumptions!B40*G1224,0)</f>
        <v>0</v>
      </c>
      <c r="R1224" s="22" t="n">
        <f aca="false">IF(DAY(B1224)=1,Assumptions!B41*G1224,0)</f>
        <v>0</v>
      </c>
      <c r="S1224" s="22" t="n">
        <f aca="false">IF(AND(DAY(B1224)=1,D1224&gt;=13),Assumptions!B42*G1224,0)</f>
        <v>0</v>
      </c>
      <c r="T1224" s="22" t="n">
        <f aca="false">IF(DAY(B1224)=1,Assumptions!B43*G1224,0)</f>
        <v>0</v>
      </c>
      <c r="U1224" s="22" t="n">
        <f aca="false">SUM(O1224:T1224)</f>
        <v>0</v>
      </c>
      <c r="V1224" s="22" t="n">
        <f aca="false">N1224-U1224</f>
        <v>20400</v>
      </c>
      <c r="W1224" s="22" t="n">
        <f aca="false">W1223+V1224</f>
        <v>-1527139.56574581</v>
      </c>
      <c r="X1224" s="23" t="str">
        <f aca="false">IF(W1224&gt;=0,"YES","No")</f>
        <v>No</v>
      </c>
    </row>
    <row r="1225" customFormat="false" ht="15" hidden="false" customHeight="false" outlineLevel="0" collapsed="false">
      <c r="A1225" s="16" t="n">
        <v>1224</v>
      </c>
      <c r="B1225" s="17" t="n">
        <f aca="false">B1224+1</f>
        <v>47246</v>
      </c>
      <c r="C1225" s="18" t="n">
        <f aca="false">MIN(ROUNDUP(A1225/365,0),5)</f>
        <v>4</v>
      </c>
      <c r="D1225" s="18" t="n">
        <f aca="false">DATEDIF(Assumptions!B5,B1225,"m")+1</f>
        <v>41</v>
      </c>
      <c r="E1225" s="18" t="str">
        <f aca="false">TEXT(B1225,"ddd")</f>
        <v>Tue</v>
      </c>
      <c r="F1225" s="19" t="n">
        <f aca="false">IF(WEEKDAY(B1225,2)&gt;=6,Assumptions!B34,Assumptions!B35)</f>
        <v>1</v>
      </c>
      <c r="G1225" s="20" t="n">
        <f aca="false">IF(D1225&gt;=13,(1+Assumptions!B46)^(D1225-12),1)</f>
        <v>1.09075461103819</v>
      </c>
      <c r="H1225" s="21" t="n">
        <f aca="false">H1224*(1+IF(C1225=1,Assumptions!B22,Assumptions!B23))</f>
        <v>23.9602225738436</v>
      </c>
      <c r="I1225" s="16" t="n">
        <f aca="false">ROUND(H1225*F1225,0)</f>
        <v>24</v>
      </c>
      <c r="J1225" s="22" t="n">
        <f aca="false">I1225*Assumptions!B24</f>
        <v>14400</v>
      </c>
      <c r="K1225" s="21" t="n">
        <f aca="false">K1224*(1+Assumptions!B30)</f>
        <v>19.5991347259937</v>
      </c>
      <c r="L1225" s="16" t="n">
        <f aca="false">ROUND(K1225*F1225,0)</f>
        <v>20</v>
      </c>
      <c r="M1225" s="22" t="n">
        <f aca="false">L1225*Assumptions!B31</f>
        <v>6000</v>
      </c>
      <c r="N1225" s="22" t="n">
        <f aca="false">J1225+M1225</f>
        <v>20400</v>
      </c>
      <c r="O1225" s="22" t="n">
        <f aca="false">IF(DAY(B1225)=1,Assumptions!B38*G1225,0)</f>
        <v>0</v>
      </c>
      <c r="P1225" s="22" t="n">
        <f aca="false">IF(DAY(B1225)=1,Assumptions!B39*G1225,0)</f>
        <v>0</v>
      </c>
      <c r="Q1225" s="22" t="n">
        <f aca="false">IF(DAY(B1225)=1,Assumptions!B40*G1225,0)</f>
        <v>0</v>
      </c>
      <c r="R1225" s="22" t="n">
        <f aca="false">IF(DAY(B1225)=1,Assumptions!B41*G1225,0)</f>
        <v>0</v>
      </c>
      <c r="S1225" s="22" t="n">
        <f aca="false">IF(AND(DAY(B1225)=1,D1225&gt;=13),Assumptions!B42*G1225,0)</f>
        <v>0</v>
      </c>
      <c r="T1225" s="22" t="n">
        <f aca="false">IF(DAY(B1225)=1,Assumptions!B43*G1225,0)</f>
        <v>0</v>
      </c>
      <c r="U1225" s="22" t="n">
        <f aca="false">SUM(O1225:T1225)</f>
        <v>0</v>
      </c>
      <c r="V1225" s="22" t="n">
        <f aca="false">N1225-U1225</f>
        <v>20400</v>
      </c>
      <c r="W1225" s="22" t="n">
        <f aca="false">W1224+V1225</f>
        <v>-1506739.56574581</v>
      </c>
      <c r="X1225" s="23" t="str">
        <f aca="false">IF(W1225&gt;=0,"YES","No")</f>
        <v>No</v>
      </c>
    </row>
    <row r="1226" customFormat="false" ht="15" hidden="false" customHeight="false" outlineLevel="0" collapsed="false">
      <c r="A1226" s="16" t="n">
        <v>1225</v>
      </c>
      <c r="B1226" s="17" t="n">
        <f aca="false">B1225+1</f>
        <v>47247</v>
      </c>
      <c r="C1226" s="18" t="n">
        <f aca="false">MIN(ROUNDUP(A1226/365,0),5)</f>
        <v>4</v>
      </c>
      <c r="D1226" s="18" t="n">
        <f aca="false">DATEDIF(Assumptions!B5,B1226,"m")+1</f>
        <v>41</v>
      </c>
      <c r="E1226" s="18" t="str">
        <f aca="false">TEXT(B1226,"ddd")</f>
        <v>Wed</v>
      </c>
      <c r="F1226" s="19" t="n">
        <f aca="false">IF(WEEKDAY(B1226,2)&gt;=6,Assumptions!B34,Assumptions!B35)</f>
        <v>1</v>
      </c>
      <c r="G1226" s="20" t="n">
        <f aca="false">IF(D1226&gt;=13,(1+Assumptions!B46)^(D1226-12),1)</f>
        <v>1.09075461103819</v>
      </c>
      <c r="H1226" s="21" t="n">
        <f aca="false">H1225*(1+IF(C1226=1,Assumptions!B22,Assumptions!B23))</f>
        <v>23.9641487366354</v>
      </c>
      <c r="I1226" s="16" t="n">
        <f aca="false">ROUND(H1226*F1226,0)</f>
        <v>24</v>
      </c>
      <c r="J1226" s="22" t="n">
        <f aca="false">I1226*Assumptions!B24</f>
        <v>14400</v>
      </c>
      <c r="K1226" s="21" t="n">
        <f aca="false">K1225*(1+Assumptions!B30)</f>
        <v>19.6055424051161</v>
      </c>
      <c r="L1226" s="16" t="n">
        <f aca="false">ROUND(K1226*F1226,0)</f>
        <v>20</v>
      </c>
      <c r="M1226" s="22" t="n">
        <f aca="false">L1226*Assumptions!B31</f>
        <v>6000</v>
      </c>
      <c r="N1226" s="22" t="n">
        <f aca="false">J1226+M1226</f>
        <v>20400</v>
      </c>
      <c r="O1226" s="22" t="n">
        <f aca="false">IF(DAY(B1226)=1,Assumptions!B38*G1226,0)</f>
        <v>0</v>
      </c>
      <c r="P1226" s="22" t="n">
        <f aca="false">IF(DAY(B1226)=1,Assumptions!B39*G1226,0)</f>
        <v>0</v>
      </c>
      <c r="Q1226" s="22" t="n">
        <f aca="false">IF(DAY(B1226)=1,Assumptions!B40*G1226,0)</f>
        <v>0</v>
      </c>
      <c r="R1226" s="22" t="n">
        <f aca="false">IF(DAY(B1226)=1,Assumptions!B41*G1226,0)</f>
        <v>0</v>
      </c>
      <c r="S1226" s="22" t="n">
        <f aca="false">IF(AND(DAY(B1226)=1,D1226&gt;=13),Assumptions!B42*G1226,0)</f>
        <v>0</v>
      </c>
      <c r="T1226" s="22" t="n">
        <f aca="false">IF(DAY(B1226)=1,Assumptions!B43*G1226,0)</f>
        <v>0</v>
      </c>
      <c r="U1226" s="22" t="n">
        <f aca="false">SUM(O1226:T1226)</f>
        <v>0</v>
      </c>
      <c r="V1226" s="22" t="n">
        <f aca="false">N1226-U1226</f>
        <v>20400</v>
      </c>
      <c r="W1226" s="22" t="n">
        <f aca="false">W1225+V1226</f>
        <v>-1486339.56574581</v>
      </c>
      <c r="X1226" s="23" t="str">
        <f aca="false">IF(W1226&gt;=0,"YES","No")</f>
        <v>No</v>
      </c>
    </row>
    <row r="1227" customFormat="false" ht="15" hidden="false" customHeight="false" outlineLevel="0" collapsed="false">
      <c r="A1227" s="16" t="n">
        <v>1226</v>
      </c>
      <c r="B1227" s="17" t="n">
        <f aca="false">B1226+1</f>
        <v>47248</v>
      </c>
      <c r="C1227" s="18" t="n">
        <f aca="false">MIN(ROUNDUP(A1227/365,0),5)</f>
        <v>4</v>
      </c>
      <c r="D1227" s="18" t="n">
        <f aca="false">DATEDIF(Assumptions!B5,B1227,"m")+1</f>
        <v>41</v>
      </c>
      <c r="E1227" s="18" t="str">
        <f aca="false">TEXT(B1227,"ddd")</f>
        <v>Thu</v>
      </c>
      <c r="F1227" s="19" t="n">
        <f aca="false">IF(WEEKDAY(B1227,2)&gt;=6,Assumptions!B34,Assumptions!B35)</f>
        <v>1</v>
      </c>
      <c r="G1227" s="20" t="n">
        <f aca="false">IF(D1227&gt;=13,(1+Assumptions!B46)^(D1227-12),1)</f>
        <v>1.09075461103819</v>
      </c>
      <c r="H1227" s="21" t="n">
        <f aca="false">H1226*(1+IF(C1227=1,Assumptions!B22,Assumptions!B23))</f>
        <v>23.968075542775</v>
      </c>
      <c r="I1227" s="16" t="n">
        <f aca="false">ROUND(H1227*F1227,0)</f>
        <v>24</v>
      </c>
      <c r="J1227" s="22" t="n">
        <f aca="false">I1227*Assumptions!B24</f>
        <v>14400</v>
      </c>
      <c r="K1227" s="21" t="n">
        <f aca="false">K1226*(1+Assumptions!B30)</f>
        <v>19.6119521791448</v>
      </c>
      <c r="L1227" s="16" t="n">
        <f aca="false">ROUND(K1227*F1227,0)</f>
        <v>20</v>
      </c>
      <c r="M1227" s="22" t="n">
        <f aca="false">L1227*Assumptions!B31</f>
        <v>6000</v>
      </c>
      <c r="N1227" s="22" t="n">
        <f aca="false">J1227+M1227</f>
        <v>20400</v>
      </c>
      <c r="O1227" s="22" t="n">
        <f aca="false">IF(DAY(B1227)=1,Assumptions!B38*G1227,0)</f>
        <v>0</v>
      </c>
      <c r="P1227" s="22" t="n">
        <f aca="false">IF(DAY(B1227)=1,Assumptions!B39*G1227,0)</f>
        <v>0</v>
      </c>
      <c r="Q1227" s="22" t="n">
        <f aca="false">IF(DAY(B1227)=1,Assumptions!B40*G1227,0)</f>
        <v>0</v>
      </c>
      <c r="R1227" s="22" t="n">
        <f aca="false">IF(DAY(B1227)=1,Assumptions!B41*G1227,0)</f>
        <v>0</v>
      </c>
      <c r="S1227" s="22" t="n">
        <f aca="false">IF(AND(DAY(B1227)=1,D1227&gt;=13),Assumptions!B42*G1227,0)</f>
        <v>0</v>
      </c>
      <c r="T1227" s="22" t="n">
        <f aca="false">IF(DAY(B1227)=1,Assumptions!B43*G1227,0)</f>
        <v>0</v>
      </c>
      <c r="U1227" s="22" t="n">
        <f aca="false">SUM(O1227:T1227)</f>
        <v>0</v>
      </c>
      <c r="V1227" s="22" t="n">
        <f aca="false">N1227-U1227</f>
        <v>20400</v>
      </c>
      <c r="W1227" s="22" t="n">
        <f aca="false">W1226+V1227</f>
        <v>-1465939.56574581</v>
      </c>
      <c r="X1227" s="23" t="str">
        <f aca="false">IF(W1227&gt;=0,"YES","No")</f>
        <v>No</v>
      </c>
    </row>
    <row r="1228" customFormat="false" ht="15" hidden="false" customHeight="false" outlineLevel="0" collapsed="false">
      <c r="A1228" s="16" t="n">
        <v>1227</v>
      </c>
      <c r="B1228" s="17" t="n">
        <f aca="false">B1227+1</f>
        <v>47249</v>
      </c>
      <c r="C1228" s="18" t="n">
        <f aca="false">MIN(ROUNDUP(A1228/365,0),5)</f>
        <v>4</v>
      </c>
      <c r="D1228" s="18" t="n">
        <f aca="false">DATEDIF(Assumptions!B5,B1228,"m")+1</f>
        <v>41</v>
      </c>
      <c r="E1228" s="18" t="str">
        <f aca="false">TEXT(B1228,"ddd")</f>
        <v>Fri</v>
      </c>
      <c r="F1228" s="19" t="n">
        <f aca="false">IF(WEEKDAY(B1228,2)&gt;=6,Assumptions!B34,Assumptions!B35)</f>
        <v>1</v>
      </c>
      <c r="G1228" s="20" t="n">
        <f aca="false">IF(D1228&gt;=13,(1+Assumptions!B46)^(D1228-12),1)</f>
        <v>1.09075461103819</v>
      </c>
      <c r="H1228" s="21" t="n">
        <f aca="false">H1227*(1+IF(C1228=1,Assumptions!B22,Assumptions!B23))</f>
        <v>23.9720029923676</v>
      </c>
      <c r="I1228" s="16" t="n">
        <f aca="false">ROUND(H1228*F1228,0)</f>
        <v>24</v>
      </c>
      <c r="J1228" s="22" t="n">
        <f aca="false">I1228*Assumptions!B24</f>
        <v>14400</v>
      </c>
      <c r="K1228" s="21" t="n">
        <f aca="false">K1227*(1+Assumptions!B30)</f>
        <v>19.6183640487648</v>
      </c>
      <c r="L1228" s="16" t="n">
        <f aca="false">ROUND(K1228*F1228,0)</f>
        <v>20</v>
      </c>
      <c r="M1228" s="22" t="n">
        <f aca="false">L1228*Assumptions!B31</f>
        <v>6000</v>
      </c>
      <c r="N1228" s="22" t="n">
        <f aca="false">J1228+M1228</f>
        <v>20400</v>
      </c>
      <c r="O1228" s="22" t="n">
        <f aca="false">IF(DAY(B1228)=1,Assumptions!B38*G1228,0)</f>
        <v>0</v>
      </c>
      <c r="P1228" s="22" t="n">
        <f aca="false">IF(DAY(B1228)=1,Assumptions!B39*G1228,0)</f>
        <v>0</v>
      </c>
      <c r="Q1228" s="22" t="n">
        <f aca="false">IF(DAY(B1228)=1,Assumptions!B40*G1228,0)</f>
        <v>0</v>
      </c>
      <c r="R1228" s="22" t="n">
        <f aca="false">IF(DAY(B1228)=1,Assumptions!B41*G1228,0)</f>
        <v>0</v>
      </c>
      <c r="S1228" s="22" t="n">
        <f aca="false">IF(AND(DAY(B1228)=1,D1228&gt;=13),Assumptions!B42*G1228,0)</f>
        <v>0</v>
      </c>
      <c r="T1228" s="22" t="n">
        <f aca="false">IF(DAY(B1228)=1,Assumptions!B43*G1228,0)</f>
        <v>0</v>
      </c>
      <c r="U1228" s="22" t="n">
        <f aca="false">SUM(O1228:T1228)</f>
        <v>0</v>
      </c>
      <c r="V1228" s="22" t="n">
        <f aca="false">N1228-U1228</f>
        <v>20400</v>
      </c>
      <c r="W1228" s="22" t="n">
        <f aca="false">W1227+V1228</f>
        <v>-1445539.56574581</v>
      </c>
      <c r="X1228" s="23" t="str">
        <f aca="false">IF(W1228&gt;=0,"YES","No")</f>
        <v>No</v>
      </c>
    </row>
    <row r="1229" customFormat="false" ht="15" hidden="false" customHeight="false" outlineLevel="0" collapsed="false">
      <c r="A1229" s="16" t="n">
        <v>1228</v>
      </c>
      <c r="B1229" s="17" t="n">
        <f aca="false">B1228+1</f>
        <v>47250</v>
      </c>
      <c r="C1229" s="18" t="n">
        <f aca="false">MIN(ROUNDUP(A1229/365,0),5)</f>
        <v>4</v>
      </c>
      <c r="D1229" s="18" t="n">
        <f aca="false">DATEDIF(Assumptions!B5,B1229,"m")+1</f>
        <v>41</v>
      </c>
      <c r="E1229" s="18" t="str">
        <f aca="false">TEXT(B1229,"ddd")</f>
        <v>Sat</v>
      </c>
      <c r="F1229" s="19" t="n">
        <f aca="false">IF(WEEKDAY(B1229,2)&gt;=6,Assumptions!B34,Assumptions!B35)</f>
        <v>0.6</v>
      </c>
      <c r="G1229" s="20" t="n">
        <f aca="false">IF(D1229&gt;=13,(1+Assumptions!B46)^(D1229-12),1)</f>
        <v>1.09075461103819</v>
      </c>
      <c r="H1229" s="21" t="n">
        <f aca="false">H1228*(1+IF(C1229=1,Assumptions!B22,Assumptions!B23))</f>
        <v>23.9759310855189</v>
      </c>
      <c r="I1229" s="16" t="n">
        <f aca="false">ROUND(H1229*F1229,0)</f>
        <v>14</v>
      </c>
      <c r="J1229" s="22" t="n">
        <f aca="false">I1229*Assumptions!B24</f>
        <v>8400</v>
      </c>
      <c r="K1229" s="21" t="n">
        <f aca="false">K1228*(1+Assumptions!B30)</f>
        <v>19.6247780146612</v>
      </c>
      <c r="L1229" s="16" t="n">
        <f aca="false">ROUND(K1229*F1229,0)</f>
        <v>12</v>
      </c>
      <c r="M1229" s="22" t="n">
        <f aca="false">L1229*Assumptions!B31</f>
        <v>3600</v>
      </c>
      <c r="N1229" s="22" t="n">
        <f aca="false">J1229+M1229</f>
        <v>12000</v>
      </c>
      <c r="O1229" s="22" t="n">
        <f aca="false">IF(DAY(B1229)=1,Assumptions!B38*G1229,0)</f>
        <v>0</v>
      </c>
      <c r="P1229" s="22" t="n">
        <f aca="false">IF(DAY(B1229)=1,Assumptions!B39*G1229,0)</f>
        <v>0</v>
      </c>
      <c r="Q1229" s="22" t="n">
        <f aca="false">IF(DAY(B1229)=1,Assumptions!B40*G1229,0)</f>
        <v>0</v>
      </c>
      <c r="R1229" s="22" t="n">
        <f aca="false">IF(DAY(B1229)=1,Assumptions!B41*G1229,0)</f>
        <v>0</v>
      </c>
      <c r="S1229" s="22" t="n">
        <f aca="false">IF(AND(DAY(B1229)=1,D1229&gt;=13),Assumptions!B42*G1229,0)</f>
        <v>0</v>
      </c>
      <c r="T1229" s="22" t="n">
        <f aca="false">IF(DAY(B1229)=1,Assumptions!B43*G1229,0)</f>
        <v>0</v>
      </c>
      <c r="U1229" s="22" t="n">
        <f aca="false">SUM(O1229:T1229)</f>
        <v>0</v>
      </c>
      <c r="V1229" s="22" t="n">
        <f aca="false">N1229-U1229</f>
        <v>12000</v>
      </c>
      <c r="W1229" s="22" t="n">
        <f aca="false">W1228+V1229</f>
        <v>-1433539.56574581</v>
      </c>
      <c r="X1229" s="23" t="str">
        <f aca="false">IF(W1229&gt;=0,"YES","No")</f>
        <v>No</v>
      </c>
    </row>
    <row r="1230" customFormat="false" ht="15" hidden="false" customHeight="false" outlineLevel="0" collapsed="false">
      <c r="A1230" s="16" t="n">
        <v>1229</v>
      </c>
      <c r="B1230" s="17" t="n">
        <f aca="false">B1229+1</f>
        <v>47251</v>
      </c>
      <c r="C1230" s="18" t="n">
        <f aca="false">MIN(ROUNDUP(A1230/365,0),5)</f>
        <v>4</v>
      </c>
      <c r="D1230" s="18" t="n">
        <f aca="false">DATEDIF(Assumptions!B5,B1230,"m")+1</f>
        <v>41</v>
      </c>
      <c r="E1230" s="18" t="str">
        <f aca="false">TEXT(B1230,"ddd")</f>
        <v>Sun</v>
      </c>
      <c r="F1230" s="19" t="n">
        <f aca="false">IF(WEEKDAY(B1230,2)&gt;=6,Assumptions!B34,Assumptions!B35)</f>
        <v>0.6</v>
      </c>
      <c r="G1230" s="20" t="n">
        <f aca="false">IF(D1230&gt;=13,(1+Assumptions!B46)^(D1230-12),1)</f>
        <v>1.09075461103819</v>
      </c>
      <c r="H1230" s="21" t="n">
        <f aca="false">H1229*(1+IF(C1230=1,Assumptions!B22,Assumptions!B23))</f>
        <v>23.9798598223341</v>
      </c>
      <c r="I1230" s="16" t="n">
        <f aca="false">ROUND(H1230*F1230,0)</f>
        <v>14</v>
      </c>
      <c r="J1230" s="22" t="n">
        <f aca="false">I1230*Assumptions!B24</f>
        <v>8400</v>
      </c>
      <c r="K1230" s="21" t="n">
        <f aca="false">K1229*(1+Assumptions!B30)</f>
        <v>19.6311940775193</v>
      </c>
      <c r="L1230" s="16" t="n">
        <f aca="false">ROUND(K1230*F1230,0)</f>
        <v>12</v>
      </c>
      <c r="M1230" s="22" t="n">
        <f aca="false">L1230*Assumptions!B31</f>
        <v>3600</v>
      </c>
      <c r="N1230" s="22" t="n">
        <f aca="false">J1230+M1230</f>
        <v>12000</v>
      </c>
      <c r="O1230" s="22" t="n">
        <f aca="false">IF(DAY(B1230)=1,Assumptions!B38*G1230,0)</f>
        <v>0</v>
      </c>
      <c r="P1230" s="22" t="n">
        <f aca="false">IF(DAY(B1230)=1,Assumptions!B39*G1230,0)</f>
        <v>0</v>
      </c>
      <c r="Q1230" s="22" t="n">
        <f aca="false">IF(DAY(B1230)=1,Assumptions!B40*G1230,0)</f>
        <v>0</v>
      </c>
      <c r="R1230" s="22" t="n">
        <f aca="false">IF(DAY(B1230)=1,Assumptions!B41*G1230,0)</f>
        <v>0</v>
      </c>
      <c r="S1230" s="22" t="n">
        <f aca="false">IF(AND(DAY(B1230)=1,D1230&gt;=13),Assumptions!B42*G1230,0)</f>
        <v>0</v>
      </c>
      <c r="T1230" s="22" t="n">
        <f aca="false">IF(DAY(B1230)=1,Assumptions!B43*G1230,0)</f>
        <v>0</v>
      </c>
      <c r="U1230" s="22" t="n">
        <f aca="false">SUM(O1230:T1230)</f>
        <v>0</v>
      </c>
      <c r="V1230" s="22" t="n">
        <f aca="false">N1230-U1230</f>
        <v>12000</v>
      </c>
      <c r="W1230" s="22" t="n">
        <f aca="false">W1229+V1230</f>
        <v>-1421539.56574581</v>
      </c>
      <c r="X1230" s="23" t="str">
        <f aca="false">IF(W1230&gt;=0,"YES","No")</f>
        <v>No</v>
      </c>
    </row>
    <row r="1231" customFormat="false" ht="15" hidden="false" customHeight="false" outlineLevel="0" collapsed="false">
      <c r="A1231" s="16" t="n">
        <v>1230</v>
      </c>
      <c r="B1231" s="17" t="n">
        <f aca="false">B1230+1</f>
        <v>47252</v>
      </c>
      <c r="C1231" s="18" t="n">
        <f aca="false">MIN(ROUNDUP(A1231/365,0),5)</f>
        <v>4</v>
      </c>
      <c r="D1231" s="18" t="n">
        <f aca="false">DATEDIF(Assumptions!B5,B1231,"m")+1</f>
        <v>41</v>
      </c>
      <c r="E1231" s="18" t="str">
        <f aca="false">TEXT(B1231,"ddd")</f>
        <v>Mon</v>
      </c>
      <c r="F1231" s="19" t="n">
        <f aca="false">IF(WEEKDAY(B1231,2)&gt;=6,Assumptions!B34,Assumptions!B35)</f>
        <v>1</v>
      </c>
      <c r="G1231" s="20" t="n">
        <f aca="false">IF(D1231&gt;=13,(1+Assumptions!B46)^(D1231-12),1)</f>
        <v>1.09075461103819</v>
      </c>
      <c r="H1231" s="21" t="n">
        <f aca="false">H1230*(1+IF(C1231=1,Assumptions!B22,Assumptions!B23))</f>
        <v>23.9837892029188</v>
      </c>
      <c r="I1231" s="16" t="n">
        <f aca="false">ROUND(H1231*F1231,0)</f>
        <v>24</v>
      </c>
      <c r="J1231" s="22" t="n">
        <f aca="false">I1231*Assumptions!B24</f>
        <v>14400</v>
      </c>
      <c r="K1231" s="21" t="n">
        <f aca="false">K1230*(1+Assumptions!B30)</f>
        <v>19.6376122380247</v>
      </c>
      <c r="L1231" s="16" t="n">
        <f aca="false">ROUND(K1231*F1231,0)</f>
        <v>20</v>
      </c>
      <c r="M1231" s="22" t="n">
        <f aca="false">L1231*Assumptions!B31</f>
        <v>6000</v>
      </c>
      <c r="N1231" s="22" t="n">
        <f aca="false">J1231+M1231</f>
        <v>20400</v>
      </c>
      <c r="O1231" s="22" t="n">
        <f aca="false">IF(DAY(B1231)=1,Assumptions!B38*G1231,0)</f>
        <v>0</v>
      </c>
      <c r="P1231" s="22" t="n">
        <f aca="false">IF(DAY(B1231)=1,Assumptions!B39*G1231,0)</f>
        <v>0</v>
      </c>
      <c r="Q1231" s="22" t="n">
        <f aca="false">IF(DAY(B1231)=1,Assumptions!B40*G1231,0)</f>
        <v>0</v>
      </c>
      <c r="R1231" s="22" t="n">
        <f aca="false">IF(DAY(B1231)=1,Assumptions!B41*G1231,0)</f>
        <v>0</v>
      </c>
      <c r="S1231" s="22" t="n">
        <f aca="false">IF(AND(DAY(B1231)=1,D1231&gt;=13),Assumptions!B42*G1231,0)</f>
        <v>0</v>
      </c>
      <c r="T1231" s="22" t="n">
        <f aca="false">IF(DAY(B1231)=1,Assumptions!B43*G1231,0)</f>
        <v>0</v>
      </c>
      <c r="U1231" s="22" t="n">
        <f aca="false">SUM(O1231:T1231)</f>
        <v>0</v>
      </c>
      <c r="V1231" s="22" t="n">
        <f aca="false">N1231-U1231</f>
        <v>20400</v>
      </c>
      <c r="W1231" s="22" t="n">
        <f aca="false">W1230+V1231</f>
        <v>-1401139.56574581</v>
      </c>
      <c r="X1231" s="23" t="str">
        <f aca="false">IF(W1231&gt;=0,"YES","No")</f>
        <v>No</v>
      </c>
    </row>
    <row r="1232" customFormat="false" ht="15" hidden="false" customHeight="false" outlineLevel="0" collapsed="false">
      <c r="A1232" s="16" t="n">
        <v>1231</v>
      </c>
      <c r="B1232" s="17" t="n">
        <f aca="false">B1231+1</f>
        <v>47253</v>
      </c>
      <c r="C1232" s="18" t="n">
        <f aca="false">MIN(ROUNDUP(A1232/365,0),5)</f>
        <v>4</v>
      </c>
      <c r="D1232" s="18" t="n">
        <f aca="false">DATEDIF(Assumptions!B5,B1232,"m")+1</f>
        <v>41</v>
      </c>
      <c r="E1232" s="18" t="str">
        <f aca="false">TEXT(B1232,"ddd")</f>
        <v>Tue</v>
      </c>
      <c r="F1232" s="19" t="n">
        <f aca="false">IF(WEEKDAY(B1232,2)&gt;=6,Assumptions!B34,Assumptions!B35)</f>
        <v>1</v>
      </c>
      <c r="G1232" s="20" t="n">
        <f aca="false">IF(D1232&gt;=13,(1+Assumptions!B46)^(D1232-12),1)</f>
        <v>1.09075461103819</v>
      </c>
      <c r="H1232" s="21" t="n">
        <f aca="false">H1231*(1+IF(C1232=1,Assumptions!B22,Assumptions!B23))</f>
        <v>23.9877192273786</v>
      </c>
      <c r="I1232" s="16" t="n">
        <f aca="false">ROUND(H1232*F1232,0)</f>
        <v>24</v>
      </c>
      <c r="J1232" s="22" t="n">
        <f aca="false">I1232*Assumptions!B24</f>
        <v>14400</v>
      </c>
      <c r="K1232" s="21" t="n">
        <f aca="false">K1231*(1+Assumptions!B30)</f>
        <v>19.6440324968633</v>
      </c>
      <c r="L1232" s="16" t="n">
        <f aca="false">ROUND(K1232*F1232,0)</f>
        <v>20</v>
      </c>
      <c r="M1232" s="22" t="n">
        <f aca="false">L1232*Assumptions!B31</f>
        <v>6000</v>
      </c>
      <c r="N1232" s="22" t="n">
        <f aca="false">J1232+M1232</f>
        <v>20400</v>
      </c>
      <c r="O1232" s="22" t="n">
        <f aca="false">IF(DAY(B1232)=1,Assumptions!B38*G1232,0)</f>
        <v>0</v>
      </c>
      <c r="P1232" s="22" t="n">
        <f aca="false">IF(DAY(B1232)=1,Assumptions!B39*G1232,0)</f>
        <v>0</v>
      </c>
      <c r="Q1232" s="22" t="n">
        <f aca="false">IF(DAY(B1232)=1,Assumptions!B40*G1232,0)</f>
        <v>0</v>
      </c>
      <c r="R1232" s="22" t="n">
        <f aca="false">IF(DAY(B1232)=1,Assumptions!B41*G1232,0)</f>
        <v>0</v>
      </c>
      <c r="S1232" s="22" t="n">
        <f aca="false">IF(AND(DAY(B1232)=1,D1232&gt;=13),Assumptions!B42*G1232,0)</f>
        <v>0</v>
      </c>
      <c r="T1232" s="22" t="n">
        <f aca="false">IF(DAY(B1232)=1,Assumptions!B43*G1232,0)</f>
        <v>0</v>
      </c>
      <c r="U1232" s="22" t="n">
        <f aca="false">SUM(O1232:T1232)</f>
        <v>0</v>
      </c>
      <c r="V1232" s="22" t="n">
        <f aca="false">N1232-U1232</f>
        <v>20400</v>
      </c>
      <c r="W1232" s="22" t="n">
        <f aca="false">W1231+V1232</f>
        <v>-1380739.56574581</v>
      </c>
      <c r="X1232" s="23" t="str">
        <f aca="false">IF(W1232&gt;=0,"YES","No")</f>
        <v>No</v>
      </c>
    </row>
    <row r="1233" customFormat="false" ht="15" hidden="false" customHeight="false" outlineLevel="0" collapsed="false">
      <c r="A1233" s="16" t="n">
        <v>1232</v>
      </c>
      <c r="B1233" s="17" t="n">
        <f aca="false">B1232+1</f>
        <v>47254</v>
      </c>
      <c r="C1233" s="18" t="n">
        <f aca="false">MIN(ROUNDUP(A1233/365,0),5)</f>
        <v>4</v>
      </c>
      <c r="D1233" s="18" t="n">
        <f aca="false">DATEDIF(Assumptions!B5,B1233,"m")+1</f>
        <v>41</v>
      </c>
      <c r="E1233" s="18" t="str">
        <f aca="false">TEXT(B1233,"ddd")</f>
        <v>Wed</v>
      </c>
      <c r="F1233" s="19" t="n">
        <f aca="false">IF(WEEKDAY(B1233,2)&gt;=6,Assumptions!B34,Assumptions!B35)</f>
        <v>1</v>
      </c>
      <c r="G1233" s="20" t="n">
        <f aca="false">IF(D1233&gt;=13,(1+Assumptions!B46)^(D1233-12),1)</f>
        <v>1.09075461103819</v>
      </c>
      <c r="H1233" s="21" t="n">
        <f aca="false">H1232*(1+IF(C1233=1,Assumptions!B22,Assumptions!B23))</f>
        <v>23.9916498958188</v>
      </c>
      <c r="I1233" s="16" t="n">
        <f aca="false">ROUND(H1233*F1233,0)</f>
        <v>24</v>
      </c>
      <c r="J1233" s="22" t="n">
        <f aca="false">I1233*Assumptions!B24</f>
        <v>14400</v>
      </c>
      <c r="K1233" s="21" t="n">
        <f aca="false">K1232*(1+Assumptions!B30)</f>
        <v>19.6504548547209</v>
      </c>
      <c r="L1233" s="16" t="n">
        <f aca="false">ROUND(K1233*F1233,0)</f>
        <v>20</v>
      </c>
      <c r="M1233" s="22" t="n">
        <f aca="false">L1233*Assumptions!B31</f>
        <v>6000</v>
      </c>
      <c r="N1233" s="22" t="n">
        <f aca="false">J1233+M1233</f>
        <v>20400</v>
      </c>
      <c r="O1233" s="22" t="n">
        <f aca="false">IF(DAY(B1233)=1,Assumptions!B38*G1233,0)</f>
        <v>0</v>
      </c>
      <c r="P1233" s="22" t="n">
        <f aca="false">IF(DAY(B1233)=1,Assumptions!B39*G1233,0)</f>
        <v>0</v>
      </c>
      <c r="Q1233" s="22" t="n">
        <f aca="false">IF(DAY(B1233)=1,Assumptions!B40*G1233,0)</f>
        <v>0</v>
      </c>
      <c r="R1233" s="22" t="n">
        <f aca="false">IF(DAY(B1233)=1,Assumptions!B41*G1233,0)</f>
        <v>0</v>
      </c>
      <c r="S1233" s="22" t="n">
        <f aca="false">IF(AND(DAY(B1233)=1,D1233&gt;=13),Assumptions!B42*G1233,0)</f>
        <v>0</v>
      </c>
      <c r="T1233" s="22" t="n">
        <f aca="false">IF(DAY(B1233)=1,Assumptions!B43*G1233,0)</f>
        <v>0</v>
      </c>
      <c r="U1233" s="22" t="n">
        <f aca="false">SUM(O1233:T1233)</f>
        <v>0</v>
      </c>
      <c r="V1233" s="22" t="n">
        <f aca="false">N1233-U1233</f>
        <v>20400</v>
      </c>
      <c r="W1233" s="22" t="n">
        <f aca="false">W1232+V1233</f>
        <v>-1360339.56574581</v>
      </c>
      <c r="X1233" s="23" t="str">
        <f aca="false">IF(W1233&gt;=0,"YES","No")</f>
        <v>No</v>
      </c>
    </row>
    <row r="1234" customFormat="false" ht="15" hidden="false" customHeight="false" outlineLevel="0" collapsed="false">
      <c r="A1234" s="16" t="n">
        <v>1233</v>
      </c>
      <c r="B1234" s="17" t="n">
        <f aca="false">B1233+1</f>
        <v>47255</v>
      </c>
      <c r="C1234" s="18" t="n">
        <f aca="false">MIN(ROUNDUP(A1234/365,0),5)</f>
        <v>4</v>
      </c>
      <c r="D1234" s="18" t="n">
        <f aca="false">DATEDIF(Assumptions!B5,B1234,"m")+1</f>
        <v>41</v>
      </c>
      <c r="E1234" s="18" t="str">
        <f aca="false">TEXT(B1234,"ddd")</f>
        <v>Thu</v>
      </c>
      <c r="F1234" s="19" t="n">
        <f aca="false">IF(WEEKDAY(B1234,2)&gt;=6,Assumptions!B34,Assumptions!B35)</f>
        <v>1</v>
      </c>
      <c r="G1234" s="20" t="n">
        <f aca="false">IF(D1234&gt;=13,(1+Assumptions!B46)^(D1234-12),1)</f>
        <v>1.09075461103819</v>
      </c>
      <c r="H1234" s="21" t="n">
        <f aca="false">H1233*(1+IF(C1234=1,Assumptions!B22,Assumptions!B23))</f>
        <v>23.995581208345</v>
      </c>
      <c r="I1234" s="16" t="n">
        <f aca="false">ROUND(H1234*F1234,0)</f>
        <v>24</v>
      </c>
      <c r="J1234" s="22" t="n">
        <f aca="false">I1234*Assumptions!B24</f>
        <v>14400</v>
      </c>
      <c r="K1234" s="21" t="n">
        <f aca="false">K1233*(1+Assumptions!B30)</f>
        <v>19.6568793122839</v>
      </c>
      <c r="L1234" s="16" t="n">
        <f aca="false">ROUND(K1234*F1234,0)</f>
        <v>20</v>
      </c>
      <c r="M1234" s="22" t="n">
        <f aca="false">L1234*Assumptions!B31</f>
        <v>6000</v>
      </c>
      <c r="N1234" s="22" t="n">
        <f aca="false">J1234+M1234</f>
        <v>20400</v>
      </c>
      <c r="O1234" s="22" t="n">
        <f aca="false">IF(DAY(B1234)=1,Assumptions!B38*G1234,0)</f>
        <v>0</v>
      </c>
      <c r="P1234" s="22" t="n">
        <f aca="false">IF(DAY(B1234)=1,Assumptions!B39*G1234,0)</f>
        <v>0</v>
      </c>
      <c r="Q1234" s="22" t="n">
        <f aca="false">IF(DAY(B1234)=1,Assumptions!B40*G1234,0)</f>
        <v>0</v>
      </c>
      <c r="R1234" s="22" t="n">
        <f aca="false">IF(DAY(B1234)=1,Assumptions!B41*G1234,0)</f>
        <v>0</v>
      </c>
      <c r="S1234" s="22" t="n">
        <f aca="false">IF(AND(DAY(B1234)=1,D1234&gt;=13),Assumptions!B42*G1234,0)</f>
        <v>0</v>
      </c>
      <c r="T1234" s="22" t="n">
        <f aca="false">IF(DAY(B1234)=1,Assumptions!B43*G1234,0)</f>
        <v>0</v>
      </c>
      <c r="U1234" s="22" t="n">
        <f aca="false">SUM(O1234:T1234)</f>
        <v>0</v>
      </c>
      <c r="V1234" s="22" t="n">
        <f aca="false">N1234-U1234</f>
        <v>20400</v>
      </c>
      <c r="W1234" s="22" t="n">
        <f aca="false">W1233+V1234</f>
        <v>-1339939.56574581</v>
      </c>
      <c r="X1234" s="23" t="str">
        <f aca="false">IF(W1234&gt;=0,"YES","No")</f>
        <v>No</v>
      </c>
    </row>
    <row r="1235" customFormat="false" ht="15" hidden="false" customHeight="false" outlineLevel="0" collapsed="false">
      <c r="A1235" s="16" t="n">
        <v>1234</v>
      </c>
      <c r="B1235" s="17" t="n">
        <f aca="false">B1234+1</f>
        <v>47256</v>
      </c>
      <c r="C1235" s="18" t="n">
        <f aca="false">MIN(ROUNDUP(A1235/365,0),5)</f>
        <v>4</v>
      </c>
      <c r="D1235" s="18" t="n">
        <f aca="false">DATEDIF(Assumptions!B5,B1235,"m")+1</f>
        <v>41</v>
      </c>
      <c r="E1235" s="18" t="str">
        <f aca="false">TEXT(B1235,"ddd")</f>
        <v>Fri</v>
      </c>
      <c r="F1235" s="19" t="n">
        <f aca="false">IF(WEEKDAY(B1235,2)&gt;=6,Assumptions!B34,Assumptions!B35)</f>
        <v>1</v>
      </c>
      <c r="G1235" s="20" t="n">
        <f aca="false">IF(D1235&gt;=13,(1+Assumptions!B46)^(D1235-12),1)</f>
        <v>1.09075461103819</v>
      </c>
      <c r="H1235" s="21" t="n">
        <f aca="false">H1234*(1+IF(C1235=1,Assumptions!B22,Assumptions!B23))</f>
        <v>23.9995131650628</v>
      </c>
      <c r="I1235" s="16" t="n">
        <f aca="false">ROUND(H1235*F1235,0)</f>
        <v>24</v>
      </c>
      <c r="J1235" s="22" t="n">
        <f aca="false">I1235*Assumptions!B24</f>
        <v>14400</v>
      </c>
      <c r="K1235" s="21" t="n">
        <f aca="false">K1234*(1+Assumptions!B30)</f>
        <v>19.6633058702387</v>
      </c>
      <c r="L1235" s="16" t="n">
        <f aca="false">ROUND(K1235*F1235,0)</f>
        <v>20</v>
      </c>
      <c r="M1235" s="22" t="n">
        <f aca="false">L1235*Assumptions!B31</f>
        <v>6000</v>
      </c>
      <c r="N1235" s="22" t="n">
        <f aca="false">J1235+M1235</f>
        <v>20400</v>
      </c>
      <c r="O1235" s="22" t="n">
        <f aca="false">IF(DAY(B1235)=1,Assumptions!B38*G1235,0)</f>
        <v>0</v>
      </c>
      <c r="P1235" s="22" t="n">
        <f aca="false">IF(DAY(B1235)=1,Assumptions!B39*G1235,0)</f>
        <v>0</v>
      </c>
      <c r="Q1235" s="22" t="n">
        <f aca="false">IF(DAY(B1235)=1,Assumptions!B40*G1235,0)</f>
        <v>0</v>
      </c>
      <c r="R1235" s="22" t="n">
        <f aca="false">IF(DAY(B1235)=1,Assumptions!B41*G1235,0)</f>
        <v>0</v>
      </c>
      <c r="S1235" s="22" t="n">
        <f aca="false">IF(AND(DAY(B1235)=1,D1235&gt;=13),Assumptions!B42*G1235,0)</f>
        <v>0</v>
      </c>
      <c r="T1235" s="22" t="n">
        <f aca="false">IF(DAY(B1235)=1,Assumptions!B43*G1235,0)</f>
        <v>0</v>
      </c>
      <c r="U1235" s="22" t="n">
        <f aca="false">SUM(O1235:T1235)</f>
        <v>0</v>
      </c>
      <c r="V1235" s="22" t="n">
        <f aca="false">N1235-U1235</f>
        <v>20400</v>
      </c>
      <c r="W1235" s="22" t="n">
        <f aca="false">W1234+V1235</f>
        <v>-1319539.56574581</v>
      </c>
      <c r="X1235" s="23" t="str">
        <f aca="false">IF(W1235&gt;=0,"YES","No")</f>
        <v>No</v>
      </c>
    </row>
    <row r="1236" customFormat="false" ht="15" hidden="false" customHeight="false" outlineLevel="0" collapsed="false">
      <c r="A1236" s="16" t="n">
        <v>1235</v>
      </c>
      <c r="B1236" s="17" t="n">
        <f aca="false">B1235+1</f>
        <v>47257</v>
      </c>
      <c r="C1236" s="18" t="n">
        <f aca="false">MIN(ROUNDUP(A1236/365,0),5)</f>
        <v>4</v>
      </c>
      <c r="D1236" s="18" t="n">
        <f aca="false">DATEDIF(Assumptions!B5,B1236,"m")+1</f>
        <v>41</v>
      </c>
      <c r="E1236" s="18" t="str">
        <f aca="false">TEXT(B1236,"ddd")</f>
        <v>Sat</v>
      </c>
      <c r="F1236" s="19" t="n">
        <f aca="false">IF(WEEKDAY(B1236,2)&gt;=6,Assumptions!B34,Assumptions!B35)</f>
        <v>0.6</v>
      </c>
      <c r="G1236" s="20" t="n">
        <f aca="false">IF(D1236&gt;=13,(1+Assumptions!B46)^(D1236-12),1)</f>
        <v>1.09075461103819</v>
      </c>
      <c r="H1236" s="21" t="n">
        <f aca="false">H1235*(1+IF(C1236=1,Assumptions!B22,Assumptions!B23))</f>
        <v>24.0034457660777</v>
      </c>
      <c r="I1236" s="16" t="n">
        <f aca="false">ROUND(H1236*F1236,0)</f>
        <v>14</v>
      </c>
      <c r="J1236" s="22" t="n">
        <f aca="false">I1236*Assumptions!B24</f>
        <v>8400</v>
      </c>
      <c r="K1236" s="21" t="n">
        <f aca="false">K1235*(1+Assumptions!B30)</f>
        <v>19.6697345292721</v>
      </c>
      <c r="L1236" s="16" t="n">
        <f aca="false">ROUND(K1236*F1236,0)</f>
        <v>12</v>
      </c>
      <c r="M1236" s="22" t="n">
        <f aca="false">L1236*Assumptions!B31</f>
        <v>3600</v>
      </c>
      <c r="N1236" s="22" t="n">
        <f aca="false">J1236+M1236</f>
        <v>12000</v>
      </c>
      <c r="O1236" s="22" t="n">
        <f aca="false">IF(DAY(B1236)=1,Assumptions!B38*G1236,0)</f>
        <v>0</v>
      </c>
      <c r="P1236" s="22" t="n">
        <f aca="false">IF(DAY(B1236)=1,Assumptions!B39*G1236,0)</f>
        <v>0</v>
      </c>
      <c r="Q1236" s="22" t="n">
        <f aca="false">IF(DAY(B1236)=1,Assumptions!B40*G1236,0)</f>
        <v>0</v>
      </c>
      <c r="R1236" s="22" t="n">
        <f aca="false">IF(DAY(B1236)=1,Assumptions!B41*G1236,0)</f>
        <v>0</v>
      </c>
      <c r="S1236" s="22" t="n">
        <f aca="false">IF(AND(DAY(B1236)=1,D1236&gt;=13),Assumptions!B42*G1236,0)</f>
        <v>0</v>
      </c>
      <c r="T1236" s="22" t="n">
        <f aca="false">IF(DAY(B1236)=1,Assumptions!B43*G1236,0)</f>
        <v>0</v>
      </c>
      <c r="U1236" s="22" t="n">
        <f aca="false">SUM(O1236:T1236)</f>
        <v>0</v>
      </c>
      <c r="V1236" s="22" t="n">
        <f aca="false">N1236-U1236</f>
        <v>12000</v>
      </c>
      <c r="W1236" s="22" t="n">
        <f aca="false">W1235+V1236</f>
        <v>-1307539.56574581</v>
      </c>
      <c r="X1236" s="23" t="str">
        <f aca="false">IF(W1236&gt;=0,"YES","No")</f>
        <v>No</v>
      </c>
    </row>
    <row r="1237" customFormat="false" ht="15" hidden="false" customHeight="false" outlineLevel="0" collapsed="false">
      <c r="A1237" s="16" t="n">
        <v>1236</v>
      </c>
      <c r="B1237" s="17" t="n">
        <f aca="false">B1236+1</f>
        <v>47258</v>
      </c>
      <c r="C1237" s="18" t="n">
        <f aca="false">MIN(ROUNDUP(A1237/365,0),5)</f>
        <v>4</v>
      </c>
      <c r="D1237" s="18" t="n">
        <f aca="false">DATEDIF(Assumptions!B5,B1237,"m")+1</f>
        <v>41</v>
      </c>
      <c r="E1237" s="18" t="str">
        <f aca="false">TEXT(B1237,"ddd")</f>
        <v>Sun</v>
      </c>
      <c r="F1237" s="19" t="n">
        <f aca="false">IF(WEEKDAY(B1237,2)&gt;=6,Assumptions!B34,Assumptions!B35)</f>
        <v>0.6</v>
      </c>
      <c r="G1237" s="20" t="n">
        <f aca="false">IF(D1237&gt;=13,(1+Assumptions!B46)^(D1237-12),1)</f>
        <v>1.09075461103819</v>
      </c>
      <c r="H1237" s="21" t="n">
        <f aca="false">H1236*(1+IF(C1237=1,Assumptions!B22,Assumptions!B23))</f>
        <v>24.0073790114952</v>
      </c>
      <c r="I1237" s="16" t="n">
        <f aca="false">ROUND(H1237*F1237,0)</f>
        <v>14</v>
      </c>
      <c r="J1237" s="22" t="n">
        <f aca="false">I1237*Assumptions!B24</f>
        <v>8400</v>
      </c>
      <c r="K1237" s="21" t="n">
        <f aca="false">K1236*(1+Assumptions!B30)</f>
        <v>19.6761652900709</v>
      </c>
      <c r="L1237" s="16" t="n">
        <f aca="false">ROUND(K1237*F1237,0)</f>
        <v>12</v>
      </c>
      <c r="M1237" s="22" t="n">
        <f aca="false">L1237*Assumptions!B31</f>
        <v>3600</v>
      </c>
      <c r="N1237" s="22" t="n">
        <f aca="false">J1237+M1237</f>
        <v>12000</v>
      </c>
      <c r="O1237" s="22" t="n">
        <f aca="false">IF(DAY(B1237)=1,Assumptions!B38*G1237,0)</f>
        <v>0</v>
      </c>
      <c r="P1237" s="22" t="n">
        <f aca="false">IF(DAY(B1237)=1,Assumptions!B39*G1237,0)</f>
        <v>0</v>
      </c>
      <c r="Q1237" s="22" t="n">
        <f aca="false">IF(DAY(B1237)=1,Assumptions!B40*G1237,0)</f>
        <v>0</v>
      </c>
      <c r="R1237" s="22" t="n">
        <f aca="false">IF(DAY(B1237)=1,Assumptions!B41*G1237,0)</f>
        <v>0</v>
      </c>
      <c r="S1237" s="22" t="n">
        <f aca="false">IF(AND(DAY(B1237)=1,D1237&gt;=13),Assumptions!B42*G1237,0)</f>
        <v>0</v>
      </c>
      <c r="T1237" s="22" t="n">
        <f aca="false">IF(DAY(B1237)=1,Assumptions!B43*G1237,0)</f>
        <v>0</v>
      </c>
      <c r="U1237" s="22" t="n">
        <f aca="false">SUM(O1237:T1237)</f>
        <v>0</v>
      </c>
      <c r="V1237" s="22" t="n">
        <f aca="false">N1237-U1237</f>
        <v>12000</v>
      </c>
      <c r="W1237" s="22" t="n">
        <f aca="false">W1236+V1237</f>
        <v>-1295539.56574581</v>
      </c>
      <c r="X1237" s="23" t="str">
        <f aca="false">IF(W1237&gt;=0,"YES","No")</f>
        <v>No</v>
      </c>
    </row>
    <row r="1238" customFormat="false" ht="15" hidden="false" customHeight="false" outlineLevel="0" collapsed="false">
      <c r="A1238" s="16" t="n">
        <v>1237</v>
      </c>
      <c r="B1238" s="17" t="n">
        <f aca="false">B1237+1</f>
        <v>47259</v>
      </c>
      <c r="C1238" s="18" t="n">
        <f aca="false">MIN(ROUNDUP(A1238/365,0),5)</f>
        <v>4</v>
      </c>
      <c r="D1238" s="18" t="n">
        <f aca="false">DATEDIF(Assumptions!B5,B1238,"m")+1</f>
        <v>41</v>
      </c>
      <c r="E1238" s="18" t="str">
        <f aca="false">TEXT(B1238,"ddd")</f>
        <v>Mon</v>
      </c>
      <c r="F1238" s="19" t="n">
        <f aca="false">IF(WEEKDAY(B1238,2)&gt;=6,Assumptions!B34,Assumptions!B35)</f>
        <v>1</v>
      </c>
      <c r="G1238" s="20" t="n">
        <f aca="false">IF(D1238&gt;=13,(1+Assumptions!B46)^(D1238-12),1)</f>
        <v>1.09075461103819</v>
      </c>
      <c r="H1238" s="21" t="n">
        <f aca="false">H1237*(1+IF(C1238=1,Assumptions!B22,Assumptions!B23))</f>
        <v>24.0113129014211</v>
      </c>
      <c r="I1238" s="16" t="n">
        <f aca="false">ROUND(H1238*F1238,0)</f>
        <v>24</v>
      </c>
      <c r="J1238" s="22" t="n">
        <f aca="false">I1238*Assumptions!B24</f>
        <v>14400</v>
      </c>
      <c r="K1238" s="21" t="n">
        <f aca="false">K1237*(1+Assumptions!B30)</f>
        <v>19.6825981533223</v>
      </c>
      <c r="L1238" s="16" t="n">
        <f aca="false">ROUND(K1238*F1238,0)</f>
        <v>20</v>
      </c>
      <c r="M1238" s="22" t="n">
        <f aca="false">L1238*Assumptions!B31</f>
        <v>6000</v>
      </c>
      <c r="N1238" s="22" t="n">
        <f aca="false">J1238+M1238</f>
        <v>20400</v>
      </c>
      <c r="O1238" s="22" t="n">
        <f aca="false">IF(DAY(B1238)=1,Assumptions!B38*G1238,0)</f>
        <v>0</v>
      </c>
      <c r="P1238" s="22" t="n">
        <f aca="false">IF(DAY(B1238)=1,Assumptions!B39*G1238,0)</f>
        <v>0</v>
      </c>
      <c r="Q1238" s="22" t="n">
        <f aca="false">IF(DAY(B1238)=1,Assumptions!B40*G1238,0)</f>
        <v>0</v>
      </c>
      <c r="R1238" s="22" t="n">
        <f aca="false">IF(DAY(B1238)=1,Assumptions!B41*G1238,0)</f>
        <v>0</v>
      </c>
      <c r="S1238" s="22" t="n">
        <f aca="false">IF(AND(DAY(B1238)=1,D1238&gt;=13),Assumptions!B42*G1238,0)</f>
        <v>0</v>
      </c>
      <c r="T1238" s="22" t="n">
        <f aca="false">IF(DAY(B1238)=1,Assumptions!B43*G1238,0)</f>
        <v>0</v>
      </c>
      <c r="U1238" s="22" t="n">
        <f aca="false">SUM(O1238:T1238)</f>
        <v>0</v>
      </c>
      <c r="V1238" s="22" t="n">
        <f aca="false">N1238-U1238</f>
        <v>20400</v>
      </c>
      <c r="W1238" s="22" t="n">
        <f aca="false">W1237+V1238</f>
        <v>-1275139.56574581</v>
      </c>
      <c r="X1238" s="23" t="str">
        <f aca="false">IF(W1238&gt;=0,"YES","No")</f>
        <v>No</v>
      </c>
    </row>
    <row r="1239" customFormat="false" ht="15" hidden="false" customHeight="false" outlineLevel="0" collapsed="false">
      <c r="A1239" s="16" t="n">
        <v>1238</v>
      </c>
      <c r="B1239" s="17" t="n">
        <f aca="false">B1238+1</f>
        <v>47260</v>
      </c>
      <c r="C1239" s="18" t="n">
        <f aca="false">MIN(ROUNDUP(A1239/365,0),5)</f>
        <v>4</v>
      </c>
      <c r="D1239" s="18" t="n">
        <f aca="false">DATEDIF(Assumptions!B5,B1239,"m")+1</f>
        <v>41</v>
      </c>
      <c r="E1239" s="18" t="str">
        <f aca="false">TEXT(B1239,"ddd")</f>
        <v>Tue</v>
      </c>
      <c r="F1239" s="19" t="n">
        <f aca="false">IF(WEEKDAY(B1239,2)&gt;=6,Assumptions!B34,Assumptions!B35)</f>
        <v>1</v>
      </c>
      <c r="G1239" s="20" t="n">
        <f aca="false">IF(D1239&gt;=13,(1+Assumptions!B46)^(D1239-12),1)</f>
        <v>1.09075461103819</v>
      </c>
      <c r="H1239" s="21" t="n">
        <f aca="false">H1238*(1+IF(C1239=1,Assumptions!B22,Assumptions!B23))</f>
        <v>24.0152474359608</v>
      </c>
      <c r="I1239" s="16" t="n">
        <f aca="false">ROUND(H1239*F1239,0)</f>
        <v>24</v>
      </c>
      <c r="J1239" s="22" t="n">
        <f aca="false">I1239*Assumptions!B24</f>
        <v>14400</v>
      </c>
      <c r="K1239" s="21" t="n">
        <f aca="false">K1238*(1+Assumptions!B30)</f>
        <v>19.6890331197137</v>
      </c>
      <c r="L1239" s="16" t="n">
        <f aca="false">ROUND(K1239*F1239,0)</f>
        <v>20</v>
      </c>
      <c r="M1239" s="22" t="n">
        <f aca="false">L1239*Assumptions!B31</f>
        <v>6000</v>
      </c>
      <c r="N1239" s="22" t="n">
        <f aca="false">J1239+M1239</f>
        <v>20400</v>
      </c>
      <c r="O1239" s="22" t="n">
        <f aca="false">IF(DAY(B1239)=1,Assumptions!B38*G1239,0)</f>
        <v>0</v>
      </c>
      <c r="P1239" s="22" t="n">
        <f aca="false">IF(DAY(B1239)=1,Assumptions!B39*G1239,0)</f>
        <v>0</v>
      </c>
      <c r="Q1239" s="22" t="n">
        <f aca="false">IF(DAY(B1239)=1,Assumptions!B40*G1239,0)</f>
        <v>0</v>
      </c>
      <c r="R1239" s="22" t="n">
        <f aca="false">IF(DAY(B1239)=1,Assumptions!B41*G1239,0)</f>
        <v>0</v>
      </c>
      <c r="S1239" s="22" t="n">
        <f aca="false">IF(AND(DAY(B1239)=1,D1239&gt;=13),Assumptions!B42*G1239,0)</f>
        <v>0</v>
      </c>
      <c r="T1239" s="22" t="n">
        <f aca="false">IF(DAY(B1239)=1,Assumptions!B43*G1239,0)</f>
        <v>0</v>
      </c>
      <c r="U1239" s="22" t="n">
        <f aca="false">SUM(O1239:T1239)</f>
        <v>0</v>
      </c>
      <c r="V1239" s="22" t="n">
        <f aca="false">N1239-U1239</f>
        <v>20400</v>
      </c>
      <c r="W1239" s="22" t="n">
        <f aca="false">W1238+V1239</f>
        <v>-1254739.56574581</v>
      </c>
      <c r="X1239" s="23" t="str">
        <f aca="false">IF(W1239&gt;=0,"YES","No")</f>
        <v>No</v>
      </c>
    </row>
    <row r="1240" customFormat="false" ht="15" hidden="false" customHeight="false" outlineLevel="0" collapsed="false">
      <c r="A1240" s="16" t="n">
        <v>1239</v>
      </c>
      <c r="B1240" s="17" t="n">
        <f aca="false">B1239+1</f>
        <v>47261</v>
      </c>
      <c r="C1240" s="18" t="n">
        <f aca="false">MIN(ROUNDUP(A1240/365,0),5)</f>
        <v>4</v>
      </c>
      <c r="D1240" s="18" t="n">
        <f aca="false">DATEDIF(Assumptions!B5,B1240,"m")+1</f>
        <v>41</v>
      </c>
      <c r="E1240" s="18" t="str">
        <f aca="false">TEXT(B1240,"ddd")</f>
        <v>Wed</v>
      </c>
      <c r="F1240" s="19" t="n">
        <f aca="false">IF(WEEKDAY(B1240,2)&gt;=6,Assumptions!B34,Assumptions!B35)</f>
        <v>1</v>
      </c>
      <c r="G1240" s="20" t="n">
        <f aca="false">IF(D1240&gt;=13,(1+Assumptions!B46)^(D1240-12),1)</f>
        <v>1.09075461103819</v>
      </c>
      <c r="H1240" s="21" t="n">
        <f aca="false">H1239*(1+IF(C1240=1,Assumptions!B22,Assumptions!B23))</f>
        <v>24.0191826152201</v>
      </c>
      <c r="I1240" s="16" t="n">
        <f aca="false">ROUND(H1240*F1240,0)</f>
        <v>24</v>
      </c>
      <c r="J1240" s="22" t="n">
        <f aca="false">I1240*Assumptions!B24</f>
        <v>14400</v>
      </c>
      <c r="K1240" s="21" t="n">
        <f aca="false">K1239*(1+Assumptions!B30)</f>
        <v>19.6954701899326</v>
      </c>
      <c r="L1240" s="16" t="n">
        <f aca="false">ROUND(K1240*F1240,0)</f>
        <v>20</v>
      </c>
      <c r="M1240" s="22" t="n">
        <f aca="false">L1240*Assumptions!B31</f>
        <v>6000</v>
      </c>
      <c r="N1240" s="22" t="n">
        <f aca="false">J1240+M1240</f>
        <v>20400</v>
      </c>
      <c r="O1240" s="22" t="n">
        <f aca="false">IF(DAY(B1240)=1,Assumptions!B38*G1240,0)</f>
        <v>0</v>
      </c>
      <c r="P1240" s="22" t="n">
        <f aca="false">IF(DAY(B1240)=1,Assumptions!B39*G1240,0)</f>
        <v>0</v>
      </c>
      <c r="Q1240" s="22" t="n">
        <f aca="false">IF(DAY(B1240)=1,Assumptions!B40*G1240,0)</f>
        <v>0</v>
      </c>
      <c r="R1240" s="22" t="n">
        <f aca="false">IF(DAY(B1240)=1,Assumptions!B41*G1240,0)</f>
        <v>0</v>
      </c>
      <c r="S1240" s="22" t="n">
        <f aca="false">IF(AND(DAY(B1240)=1,D1240&gt;=13),Assumptions!B42*G1240,0)</f>
        <v>0</v>
      </c>
      <c r="T1240" s="22" t="n">
        <f aca="false">IF(DAY(B1240)=1,Assumptions!B43*G1240,0)</f>
        <v>0</v>
      </c>
      <c r="U1240" s="22" t="n">
        <f aca="false">SUM(O1240:T1240)</f>
        <v>0</v>
      </c>
      <c r="V1240" s="22" t="n">
        <f aca="false">N1240-U1240</f>
        <v>20400</v>
      </c>
      <c r="W1240" s="22" t="n">
        <f aca="false">W1239+V1240</f>
        <v>-1234339.56574581</v>
      </c>
      <c r="X1240" s="23" t="str">
        <f aca="false">IF(W1240&gt;=0,"YES","No")</f>
        <v>No</v>
      </c>
    </row>
    <row r="1241" customFormat="false" ht="15" hidden="false" customHeight="false" outlineLevel="0" collapsed="false">
      <c r="A1241" s="16" t="n">
        <v>1240</v>
      </c>
      <c r="B1241" s="17" t="n">
        <f aca="false">B1240+1</f>
        <v>47262</v>
      </c>
      <c r="C1241" s="18" t="n">
        <f aca="false">MIN(ROUNDUP(A1241/365,0),5)</f>
        <v>4</v>
      </c>
      <c r="D1241" s="18" t="n">
        <f aca="false">DATEDIF(Assumptions!B5,B1241,"m")+1</f>
        <v>41</v>
      </c>
      <c r="E1241" s="18" t="str">
        <f aca="false">TEXT(B1241,"ddd")</f>
        <v>Thu</v>
      </c>
      <c r="F1241" s="19" t="n">
        <f aca="false">IF(WEEKDAY(B1241,2)&gt;=6,Assumptions!B34,Assumptions!B35)</f>
        <v>1</v>
      </c>
      <c r="G1241" s="20" t="n">
        <f aca="false">IF(D1241&gt;=13,(1+Assumptions!B46)^(D1241-12),1)</f>
        <v>1.09075461103819</v>
      </c>
      <c r="H1241" s="21" t="n">
        <f aca="false">H1240*(1+IF(C1241=1,Assumptions!B22,Assumptions!B23))</f>
        <v>24.0231184393045</v>
      </c>
      <c r="I1241" s="16" t="n">
        <f aca="false">ROUND(H1241*F1241,0)</f>
        <v>24</v>
      </c>
      <c r="J1241" s="22" t="n">
        <f aca="false">I1241*Assumptions!B24</f>
        <v>14400</v>
      </c>
      <c r="K1241" s="21" t="n">
        <f aca="false">K1240*(1+Assumptions!B30)</f>
        <v>19.7019093646669</v>
      </c>
      <c r="L1241" s="16" t="n">
        <f aca="false">ROUND(K1241*F1241,0)</f>
        <v>20</v>
      </c>
      <c r="M1241" s="22" t="n">
        <f aca="false">L1241*Assumptions!B31</f>
        <v>6000</v>
      </c>
      <c r="N1241" s="22" t="n">
        <f aca="false">J1241+M1241</f>
        <v>20400</v>
      </c>
      <c r="O1241" s="22" t="n">
        <f aca="false">IF(DAY(B1241)=1,Assumptions!B38*G1241,0)</f>
        <v>0</v>
      </c>
      <c r="P1241" s="22" t="n">
        <f aca="false">IF(DAY(B1241)=1,Assumptions!B39*G1241,0)</f>
        <v>0</v>
      </c>
      <c r="Q1241" s="22" t="n">
        <f aca="false">IF(DAY(B1241)=1,Assumptions!B40*G1241,0)</f>
        <v>0</v>
      </c>
      <c r="R1241" s="22" t="n">
        <f aca="false">IF(DAY(B1241)=1,Assumptions!B41*G1241,0)</f>
        <v>0</v>
      </c>
      <c r="S1241" s="22" t="n">
        <f aca="false">IF(AND(DAY(B1241)=1,D1241&gt;=13),Assumptions!B42*G1241,0)</f>
        <v>0</v>
      </c>
      <c r="T1241" s="22" t="n">
        <f aca="false">IF(DAY(B1241)=1,Assumptions!B43*G1241,0)</f>
        <v>0</v>
      </c>
      <c r="U1241" s="22" t="n">
        <f aca="false">SUM(O1241:T1241)</f>
        <v>0</v>
      </c>
      <c r="V1241" s="22" t="n">
        <f aca="false">N1241-U1241</f>
        <v>20400</v>
      </c>
      <c r="W1241" s="22" t="n">
        <f aca="false">W1240+V1241</f>
        <v>-1213939.56574581</v>
      </c>
      <c r="X1241" s="23" t="str">
        <f aca="false">IF(W1241&gt;=0,"YES","No")</f>
        <v>No</v>
      </c>
    </row>
    <row r="1242" customFormat="false" ht="15" hidden="false" customHeight="false" outlineLevel="0" collapsed="false">
      <c r="A1242" s="16" t="n">
        <v>1241</v>
      </c>
      <c r="B1242" s="17" t="n">
        <f aca="false">B1241+1</f>
        <v>47263</v>
      </c>
      <c r="C1242" s="18" t="n">
        <f aca="false">MIN(ROUNDUP(A1242/365,0),5)</f>
        <v>4</v>
      </c>
      <c r="D1242" s="18" t="n">
        <f aca="false">DATEDIF(Assumptions!B5,B1242,"m")+1</f>
        <v>41</v>
      </c>
      <c r="E1242" s="18" t="str">
        <f aca="false">TEXT(B1242,"ddd")</f>
        <v>Fri</v>
      </c>
      <c r="F1242" s="19" t="n">
        <f aca="false">IF(WEEKDAY(B1242,2)&gt;=6,Assumptions!B34,Assumptions!B35)</f>
        <v>1</v>
      </c>
      <c r="G1242" s="20" t="n">
        <f aca="false">IF(D1242&gt;=13,(1+Assumptions!B46)^(D1242-12),1)</f>
        <v>1.09075461103819</v>
      </c>
      <c r="H1242" s="21" t="n">
        <f aca="false">H1241*(1+IF(C1242=1,Assumptions!B22,Assumptions!B23))</f>
        <v>24.0270549083197</v>
      </c>
      <c r="I1242" s="16" t="n">
        <f aca="false">ROUND(H1242*F1242,0)</f>
        <v>24</v>
      </c>
      <c r="J1242" s="22" t="n">
        <f aca="false">I1242*Assumptions!B24</f>
        <v>14400</v>
      </c>
      <c r="K1242" s="21" t="n">
        <f aca="false">K1241*(1+Assumptions!B30)</f>
        <v>19.7083506446047</v>
      </c>
      <c r="L1242" s="16" t="n">
        <f aca="false">ROUND(K1242*F1242,0)</f>
        <v>20</v>
      </c>
      <c r="M1242" s="22" t="n">
        <f aca="false">L1242*Assumptions!B31</f>
        <v>6000</v>
      </c>
      <c r="N1242" s="22" t="n">
        <f aca="false">J1242+M1242</f>
        <v>20400</v>
      </c>
      <c r="O1242" s="22" t="n">
        <f aca="false">IF(DAY(B1242)=1,Assumptions!B38*G1242,0)</f>
        <v>0</v>
      </c>
      <c r="P1242" s="22" t="n">
        <f aca="false">IF(DAY(B1242)=1,Assumptions!B39*G1242,0)</f>
        <v>0</v>
      </c>
      <c r="Q1242" s="22" t="n">
        <f aca="false">IF(DAY(B1242)=1,Assumptions!B40*G1242,0)</f>
        <v>0</v>
      </c>
      <c r="R1242" s="22" t="n">
        <f aca="false">IF(DAY(B1242)=1,Assumptions!B41*G1242,0)</f>
        <v>0</v>
      </c>
      <c r="S1242" s="22" t="n">
        <f aca="false">IF(AND(DAY(B1242)=1,D1242&gt;=13),Assumptions!B42*G1242,0)</f>
        <v>0</v>
      </c>
      <c r="T1242" s="22" t="n">
        <f aca="false">IF(DAY(B1242)=1,Assumptions!B43*G1242,0)</f>
        <v>0</v>
      </c>
      <c r="U1242" s="22" t="n">
        <f aca="false">SUM(O1242:T1242)</f>
        <v>0</v>
      </c>
      <c r="V1242" s="22" t="n">
        <f aca="false">N1242-U1242</f>
        <v>20400</v>
      </c>
      <c r="W1242" s="22" t="n">
        <f aca="false">W1241+V1242</f>
        <v>-1193539.56574581</v>
      </c>
      <c r="X1242" s="23" t="str">
        <f aca="false">IF(W1242&gt;=0,"YES","No")</f>
        <v>No</v>
      </c>
    </row>
    <row r="1243" customFormat="false" ht="15" hidden="false" customHeight="false" outlineLevel="0" collapsed="false">
      <c r="A1243" s="16" t="n">
        <v>1242</v>
      </c>
      <c r="B1243" s="17" t="n">
        <f aca="false">B1242+1</f>
        <v>47264</v>
      </c>
      <c r="C1243" s="18" t="n">
        <f aca="false">MIN(ROUNDUP(A1243/365,0),5)</f>
        <v>4</v>
      </c>
      <c r="D1243" s="18" t="n">
        <f aca="false">DATEDIF(Assumptions!B5,B1243,"m")+1</f>
        <v>41</v>
      </c>
      <c r="E1243" s="18" t="str">
        <f aca="false">TEXT(B1243,"ddd")</f>
        <v>Sat</v>
      </c>
      <c r="F1243" s="19" t="n">
        <f aca="false">IF(WEEKDAY(B1243,2)&gt;=6,Assumptions!B34,Assumptions!B35)</f>
        <v>0.6</v>
      </c>
      <c r="G1243" s="20" t="n">
        <f aca="false">IF(D1243&gt;=13,(1+Assumptions!B46)^(D1243-12),1)</f>
        <v>1.09075461103819</v>
      </c>
      <c r="H1243" s="21" t="n">
        <f aca="false">H1242*(1+IF(C1243=1,Assumptions!B22,Assumptions!B23))</f>
        <v>24.0309920223714</v>
      </c>
      <c r="I1243" s="16" t="n">
        <f aca="false">ROUND(H1243*F1243,0)</f>
        <v>14</v>
      </c>
      <c r="J1243" s="22" t="n">
        <f aca="false">I1243*Assumptions!B24</f>
        <v>8400</v>
      </c>
      <c r="K1243" s="21" t="n">
        <f aca="false">K1242*(1+Assumptions!B30)</f>
        <v>19.7147940304341</v>
      </c>
      <c r="L1243" s="16" t="n">
        <f aca="false">ROUND(K1243*F1243,0)</f>
        <v>12</v>
      </c>
      <c r="M1243" s="22" t="n">
        <f aca="false">L1243*Assumptions!B31</f>
        <v>3600</v>
      </c>
      <c r="N1243" s="22" t="n">
        <f aca="false">J1243+M1243</f>
        <v>12000</v>
      </c>
      <c r="O1243" s="22" t="n">
        <f aca="false">IF(DAY(B1243)=1,Assumptions!B38*G1243,0)</f>
        <v>0</v>
      </c>
      <c r="P1243" s="22" t="n">
        <f aca="false">IF(DAY(B1243)=1,Assumptions!B39*G1243,0)</f>
        <v>0</v>
      </c>
      <c r="Q1243" s="22" t="n">
        <f aca="false">IF(DAY(B1243)=1,Assumptions!B40*G1243,0)</f>
        <v>0</v>
      </c>
      <c r="R1243" s="22" t="n">
        <f aca="false">IF(DAY(B1243)=1,Assumptions!B41*G1243,0)</f>
        <v>0</v>
      </c>
      <c r="S1243" s="22" t="n">
        <f aca="false">IF(AND(DAY(B1243)=1,D1243&gt;=13),Assumptions!B42*G1243,0)</f>
        <v>0</v>
      </c>
      <c r="T1243" s="22" t="n">
        <f aca="false">IF(DAY(B1243)=1,Assumptions!B43*G1243,0)</f>
        <v>0</v>
      </c>
      <c r="U1243" s="22" t="n">
        <f aca="false">SUM(O1243:T1243)</f>
        <v>0</v>
      </c>
      <c r="V1243" s="22" t="n">
        <f aca="false">N1243-U1243</f>
        <v>12000</v>
      </c>
      <c r="W1243" s="22" t="n">
        <f aca="false">W1242+V1243</f>
        <v>-1181539.56574581</v>
      </c>
      <c r="X1243" s="23" t="str">
        <f aca="false">IF(W1243&gt;=0,"YES","No")</f>
        <v>No</v>
      </c>
    </row>
    <row r="1244" customFormat="false" ht="15" hidden="false" customHeight="false" outlineLevel="0" collapsed="false">
      <c r="A1244" s="16" t="n">
        <v>1243</v>
      </c>
      <c r="B1244" s="17" t="n">
        <f aca="false">B1243+1</f>
        <v>47265</v>
      </c>
      <c r="C1244" s="18" t="n">
        <f aca="false">MIN(ROUNDUP(A1244/365,0),5)</f>
        <v>4</v>
      </c>
      <c r="D1244" s="18" t="n">
        <f aca="false">DATEDIF(Assumptions!B5,B1244,"m")+1</f>
        <v>41</v>
      </c>
      <c r="E1244" s="18" t="str">
        <f aca="false">TEXT(B1244,"ddd")</f>
        <v>Sun</v>
      </c>
      <c r="F1244" s="19" t="n">
        <f aca="false">IF(WEEKDAY(B1244,2)&gt;=6,Assumptions!B34,Assumptions!B35)</f>
        <v>0.6</v>
      </c>
      <c r="G1244" s="20" t="n">
        <f aca="false">IF(D1244&gt;=13,(1+Assumptions!B46)^(D1244-12),1)</f>
        <v>1.09075461103819</v>
      </c>
      <c r="H1244" s="21" t="n">
        <f aca="false">H1243*(1+IF(C1244=1,Assumptions!B22,Assumptions!B23))</f>
        <v>24.0349297815654</v>
      </c>
      <c r="I1244" s="16" t="n">
        <f aca="false">ROUND(H1244*F1244,0)</f>
        <v>14</v>
      </c>
      <c r="J1244" s="22" t="n">
        <f aca="false">I1244*Assumptions!B24</f>
        <v>8400</v>
      </c>
      <c r="K1244" s="21" t="n">
        <f aca="false">K1243*(1+Assumptions!B30)</f>
        <v>19.7212395228437</v>
      </c>
      <c r="L1244" s="16" t="n">
        <f aca="false">ROUND(K1244*F1244,0)</f>
        <v>12</v>
      </c>
      <c r="M1244" s="22" t="n">
        <f aca="false">L1244*Assumptions!B31</f>
        <v>3600</v>
      </c>
      <c r="N1244" s="22" t="n">
        <f aca="false">J1244+M1244</f>
        <v>12000</v>
      </c>
      <c r="O1244" s="22" t="n">
        <f aca="false">IF(DAY(B1244)=1,Assumptions!B38*G1244,0)</f>
        <v>0</v>
      </c>
      <c r="P1244" s="22" t="n">
        <f aca="false">IF(DAY(B1244)=1,Assumptions!B39*G1244,0)</f>
        <v>0</v>
      </c>
      <c r="Q1244" s="22" t="n">
        <f aca="false">IF(DAY(B1244)=1,Assumptions!B40*G1244,0)</f>
        <v>0</v>
      </c>
      <c r="R1244" s="22" t="n">
        <f aca="false">IF(DAY(B1244)=1,Assumptions!B41*G1244,0)</f>
        <v>0</v>
      </c>
      <c r="S1244" s="22" t="n">
        <f aca="false">IF(AND(DAY(B1244)=1,D1244&gt;=13),Assumptions!B42*G1244,0)</f>
        <v>0</v>
      </c>
      <c r="T1244" s="22" t="n">
        <f aca="false">IF(DAY(B1244)=1,Assumptions!B43*G1244,0)</f>
        <v>0</v>
      </c>
      <c r="U1244" s="22" t="n">
        <f aca="false">SUM(O1244:T1244)</f>
        <v>0</v>
      </c>
      <c r="V1244" s="22" t="n">
        <f aca="false">N1244-U1244</f>
        <v>12000</v>
      </c>
      <c r="W1244" s="22" t="n">
        <f aca="false">W1243+V1244</f>
        <v>-1169539.56574581</v>
      </c>
      <c r="X1244" s="23" t="str">
        <f aca="false">IF(W1244&gt;=0,"YES","No")</f>
        <v>No</v>
      </c>
    </row>
    <row r="1245" customFormat="false" ht="15" hidden="false" customHeight="false" outlineLevel="0" collapsed="false">
      <c r="A1245" s="16" t="n">
        <v>1244</v>
      </c>
      <c r="B1245" s="17" t="n">
        <f aca="false">B1244+1</f>
        <v>47266</v>
      </c>
      <c r="C1245" s="18" t="n">
        <f aca="false">MIN(ROUNDUP(A1245/365,0),5)</f>
        <v>4</v>
      </c>
      <c r="D1245" s="18" t="n">
        <f aca="false">DATEDIF(Assumptions!B5,B1245,"m")+1</f>
        <v>41</v>
      </c>
      <c r="E1245" s="18" t="str">
        <f aca="false">TEXT(B1245,"ddd")</f>
        <v>Mon</v>
      </c>
      <c r="F1245" s="19" t="n">
        <f aca="false">IF(WEEKDAY(B1245,2)&gt;=6,Assumptions!B34,Assumptions!B35)</f>
        <v>1</v>
      </c>
      <c r="G1245" s="20" t="n">
        <f aca="false">IF(D1245&gt;=13,(1+Assumptions!B46)^(D1245-12),1)</f>
        <v>1.09075461103819</v>
      </c>
      <c r="H1245" s="21" t="n">
        <f aca="false">H1244*(1+IF(C1245=1,Assumptions!B22,Assumptions!B23))</f>
        <v>24.0388681860072</v>
      </c>
      <c r="I1245" s="16" t="n">
        <f aca="false">ROUND(H1245*F1245,0)</f>
        <v>24</v>
      </c>
      <c r="J1245" s="22" t="n">
        <f aca="false">I1245*Assumptions!B24</f>
        <v>14400</v>
      </c>
      <c r="K1245" s="21" t="n">
        <f aca="false">K1244*(1+Assumptions!B30)</f>
        <v>19.7276871225222</v>
      </c>
      <c r="L1245" s="16" t="n">
        <f aca="false">ROUND(K1245*F1245,0)</f>
        <v>20</v>
      </c>
      <c r="M1245" s="22" t="n">
        <f aca="false">L1245*Assumptions!B31</f>
        <v>6000</v>
      </c>
      <c r="N1245" s="22" t="n">
        <f aca="false">J1245+M1245</f>
        <v>20400</v>
      </c>
      <c r="O1245" s="22" t="n">
        <f aca="false">IF(DAY(B1245)=1,Assumptions!B38*G1245,0)</f>
        <v>0</v>
      </c>
      <c r="P1245" s="22" t="n">
        <f aca="false">IF(DAY(B1245)=1,Assumptions!B39*G1245,0)</f>
        <v>0</v>
      </c>
      <c r="Q1245" s="22" t="n">
        <f aca="false">IF(DAY(B1245)=1,Assumptions!B40*G1245,0)</f>
        <v>0</v>
      </c>
      <c r="R1245" s="22" t="n">
        <f aca="false">IF(DAY(B1245)=1,Assumptions!B41*G1245,0)</f>
        <v>0</v>
      </c>
      <c r="S1245" s="22" t="n">
        <f aca="false">IF(AND(DAY(B1245)=1,D1245&gt;=13),Assumptions!B42*G1245,0)</f>
        <v>0</v>
      </c>
      <c r="T1245" s="22" t="n">
        <f aca="false">IF(DAY(B1245)=1,Assumptions!B43*G1245,0)</f>
        <v>0</v>
      </c>
      <c r="U1245" s="22" t="n">
        <f aca="false">SUM(O1245:T1245)</f>
        <v>0</v>
      </c>
      <c r="V1245" s="22" t="n">
        <f aca="false">N1245-U1245</f>
        <v>20400</v>
      </c>
      <c r="W1245" s="22" t="n">
        <f aca="false">W1244+V1245</f>
        <v>-1149139.56574581</v>
      </c>
      <c r="X1245" s="23" t="str">
        <f aca="false">IF(W1245&gt;=0,"YES","No")</f>
        <v>No</v>
      </c>
    </row>
    <row r="1246" customFormat="false" ht="15" hidden="false" customHeight="false" outlineLevel="0" collapsed="false">
      <c r="A1246" s="16" t="n">
        <v>1245</v>
      </c>
      <c r="B1246" s="17" t="n">
        <f aca="false">B1245+1</f>
        <v>47267</v>
      </c>
      <c r="C1246" s="18" t="n">
        <f aca="false">MIN(ROUNDUP(A1246/365,0),5)</f>
        <v>4</v>
      </c>
      <c r="D1246" s="18" t="n">
        <f aca="false">DATEDIF(Assumptions!B5,B1246,"m")+1</f>
        <v>41</v>
      </c>
      <c r="E1246" s="18" t="str">
        <f aca="false">TEXT(B1246,"ddd")</f>
        <v>Tue</v>
      </c>
      <c r="F1246" s="19" t="n">
        <f aca="false">IF(WEEKDAY(B1246,2)&gt;=6,Assumptions!B34,Assumptions!B35)</f>
        <v>1</v>
      </c>
      <c r="G1246" s="20" t="n">
        <f aca="false">IF(D1246&gt;=13,(1+Assumptions!B46)^(D1246-12),1)</f>
        <v>1.09075461103819</v>
      </c>
      <c r="H1246" s="21" t="n">
        <f aca="false">H1245*(1+IF(C1246=1,Assumptions!B22,Assumptions!B23))</f>
        <v>24.0428072358027</v>
      </c>
      <c r="I1246" s="16" t="n">
        <f aca="false">ROUND(H1246*F1246,0)</f>
        <v>24</v>
      </c>
      <c r="J1246" s="22" t="n">
        <f aca="false">I1246*Assumptions!B24</f>
        <v>14400</v>
      </c>
      <c r="K1246" s="21" t="n">
        <f aca="false">K1245*(1+Assumptions!B30)</f>
        <v>19.7341368301586</v>
      </c>
      <c r="L1246" s="16" t="n">
        <f aca="false">ROUND(K1246*F1246,0)</f>
        <v>20</v>
      </c>
      <c r="M1246" s="22" t="n">
        <f aca="false">L1246*Assumptions!B31</f>
        <v>6000</v>
      </c>
      <c r="N1246" s="22" t="n">
        <f aca="false">J1246+M1246</f>
        <v>20400</v>
      </c>
      <c r="O1246" s="22" t="n">
        <f aca="false">IF(DAY(B1246)=1,Assumptions!B38*G1246,0)</f>
        <v>0</v>
      </c>
      <c r="P1246" s="22" t="n">
        <f aca="false">IF(DAY(B1246)=1,Assumptions!B39*G1246,0)</f>
        <v>0</v>
      </c>
      <c r="Q1246" s="22" t="n">
        <f aca="false">IF(DAY(B1246)=1,Assumptions!B40*G1246,0)</f>
        <v>0</v>
      </c>
      <c r="R1246" s="22" t="n">
        <f aca="false">IF(DAY(B1246)=1,Assumptions!B41*G1246,0)</f>
        <v>0</v>
      </c>
      <c r="S1246" s="22" t="n">
        <f aca="false">IF(AND(DAY(B1246)=1,D1246&gt;=13),Assumptions!B42*G1246,0)</f>
        <v>0</v>
      </c>
      <c r="T1246" s="22" t="n">
        <f aca="false">IF(DAY(B1246)=1,Assumptions!B43*G1246,0)</f>
        <v>0</v>
      </c>
      <c r="U1246" s="22" t="n">
        <f aca="false">SUM(O1246:T1246)</f>
        <v>0</v>
      </c>
      <c r="V1246" s="22" t="n">
        <f aca="false">N1246-U1246</f>
        <v>20400</v>
      </c>
      <c r="W1246" s="22" t="n">
        <f aca="false">W1245+V1246</f>
        <v>-1128739.56574581</v>
      </c>
      <c r="X1246" s="23" t="str">
        <f aca="false">IF(W1246&gt;=0,"YES","No")</f>
        <v>No</v>
      </c>
    </row>
    <row r="1247" customFormat="false" ht="15" hidden="false" customHeight="false" outlineLevel="0" collapsed="false">
      <c r="A1247" s="16" t="n">
        <v>1246</v>
      </c>
      <c r="B1247" s="17" t="n">
        <f aca="false">B1246+1</f>
        <v>47268</v>
      </c>
      <c r="C1247" s="18" t="n">
        <f aca="false">MIN(ROUNDUP(A1247/365,0),5)</f>
        <v>4</v>
      </c>
      <c r="D1247" s="18" t="n">
        <f aca="false">DATEDIF(Assumptions!B5,B1247,"m")+1</f>
        <v>41</v>
      </c>
      <c r="E1247" s="18" t="str">
        <f aca="false">TEXT(B1247,"ddd")</f>
        <v>Wed</v>
      </c>
      <c r="F1247" s="19" t="n">
        <f aca="false">IF(WEEKDAY(B1247,2)&gt;=6,Assumptions!B34,Assumptions!B35)</f>
        <v>1</v>
      </c>
      <c r="G1247" s="20" t="n">
        <f aca="false">IF(D1247&gt;=13,(1+Assumptions!B46)^(D1247-12),1)</f>
        <v>1.09075461103819</v>
      </c>
      <c r="H1247" s="21" t="n">
        <f aca="false">H1246*(1+IF(C1247=1,Assumptions!B22,Assumptions!B23))</f>
        <v>24.0467469310576</v>
      </c>
      <c r="I1247" s="16" t="n">
        <f aca="false">ROUND(H1247*F1247,0)</f>
        <v>24</v>
      </c>
      <c r="J1247" s="22" t="n">
        <f aca="false">I1247*Assumptions!B24</f>
        <v>14400</v>
      </c>
      <c r="K1247" s="21" t="n">
        <f aca="false">K1246*(1+Assumptions!B30)</f>
        <v>19.740588646442</v>
      </c>
      <c r="L1247" s="16" t="n">
        <f aca="false">ROUND(K1247*F1247,0)</f>
        <v>20</v>
      </c>
      <c r="M1247" s="22" t="n">
        <f aca="false">L1247*Assumptions!B31</f>
        <v>6000</v>
      </c>
      <c r="N1247" s="22" t="n">
        <f aca="false">J1247+M1247</f>
        <v>20400</v>
      </c>
      <c r="O1247" s="22" t="n">
        <f aca="false">IF(DAY(B1247)=1,Assumptions!B38*G1247,0)</f>
        <v>0</v>
      </c>
      <c r="P1247" s="22" t="n">
        <f aca="false">IF(DAY(B1247)=1,Assumptions!B39*G1247,0)</f>
        <v>0</v>
      </c>
      <c r="Q1247" s="22" t="n">
        <f aca="false">IF(DAY(B1247)=1,Assumptions!B40*G1247,0)</f>
        <v>0</v>
      </c>
      <c r="R1247" s="22" t="n">
        <f aca="false">IF(DAY(B1247)=1,Assumptions!B41*G1247,0)</f>
        <v>0</v>
      </c>
      <c r="S1247" s="22" t="n">
        <f aca="false">IF(AND(DAY(B1247)=1,D1247&gt;=13),Assumptions!B42*G1247,0)</f>
        <v>0</v>
      </c>
      <c r="T1247" s="22" t="n">
        <f aca="false">IF(DAY(B1247)=1,Assumptions!B43*G1247,0)</f>
        <v>0</v>
      </c>
      <c r="U1247" s="22" t="n">
        <f aca="false">SUM(O1247:T1247)</f>
        <v>0</v>
      </c>
      <c r="V1247" s="22" t="n">
        <f aca="false">N1247-U1247</f>
        <v>20400</v>
      </c>
      <c r="W1247" s="22" t="n">
        <f aca="false">W1246+V1247</f>
        <v>-1108339.56574581</v>
      </c>
      <c r="X1247" s="23" t="str">
        <f aca="false">IF(W1247&gt;=0,"YES","No")</f>
        <v>No</v>
      </c>
    </row>
    <row r="1248" customFormat="false" ht="15" hidden="false" customHeight="false" outlineLevel="0" collapsed="false">
      <c r="A1248" s="16" t="n">
        <v>1247</v>
      </c>
      <c r="B1248" s="17" t="n">
        <f aca="false">B1247+1</f>
        <v>47269</v>
      </c>
      <c r="C1248" s="18" t="n">
        <f aca="false">MIN(ROUNDUP(A1248/365,0),5)</f>
        <v>4</v>
      </c>
      <c r="D1248" s="18" t="n">
        <f aca="false">DATEDIF(Assumptions!B5,B1248,"m")+1</f>
        <v>41</v>
      </c>
      <c r="E1248" s="18" t="str">
        <f aca="false">TEXT(B1248,"ddd")</f>
        <v>Thu</v>
      </c>
      <c r="F1248" s="19" t="n">
        <f aca="false">IF(WEEKDAY(B1248,2)&gt;=6,Assumptions!B34,Assumptions!B35)</f>
        <v>1</v>
      </c>
      <c r="G1248" s="20" t="n">
        <f aca="false">IF(D1248&gt;=13,(1+Assumptions!B46)^(D1248-12),1)</f>
        <v>1.09075461103819</v>
      </c>
      <c r="H1248" s="21" t="n">
        <f aca="false">H1247*(1+IF(C1248=1,Assumptions!B22,Assumptions!B23))</f>
        <v>24.0506872718777</v>
      </c>
      <c r="I1248" s="16" t="n">
        <f aca="false">ROUND(H1248*F1248,0)</f>
        <v>24</v>
      </c>
      <c r="J1248" s="22" t="n">
        <f aca="false">I1248*Assumptions!B24</f>
        <v>14400</v>
      </c>
      <c r="K1248" s="21" t="n">
        <f aca="false">K1247*(1+Assumptions!B30)</f>
        <v>19.7470425720618</v>
      </c>
      <c r="L1248" s="16" t="n">
        <f aca="false">ROUND(K1248*F1248,0)</f>
        <v>20</v>
      </c>
      <c r="M1248" s="22" t="n">
        <f aca="false">L1248*Assumptions!B31</f>
        <v>6000</v>
      </c>
      <c r="N1248" s="22" t="n">
        <f aca="false">J1248+M1248</f>
        <v>20400</v>
      </c>
      <c r="O1248" s="22" t="n">
        <f aca="false">IF(DAY(B1248)=1,Assumptions!B38*G1248,0)</f>
        <v>0</v>
      </c>
      <c r="P1248" s="22" t="n">
        <f aca="false">IF(DAY(B1248)=1,Assumptions!B39*G1248,0)</f>
        <v>0</v>
      </c>
      <c r="Q1248" s="22" t="n">
        <f aca="false">IF(DAY(B1248)=1,Assumptions!B40*G1248,0)</f>
        <v>0</v>
      </c>
      <c r="R1248" s="22" t="n">
        <f aca="false">IF(DAY(B1248)=1,Assumptions!B41*G1248,0)</f>
        <v>0</v>
      </c>
      <c r="S1248" s="22" t="n">
        <f aca="false">IF(AND(DAY(B1248)=1,D1248&gt;=13),Assumptions!B42*G1248,0)</f>
        <v>0</v>
      </c>
      <c r="T1248" s="22" t="n">
        <f aca="false">IF(DAY(B1248)=1,Assumptions!B43*G1248,0)</f>
        <v>0</v>
      </c>
      <c r="U1248" s="22" t="n">
        <f aca="false">SUM(O1248:T1248)</f>
        <v>0</v>
      </c>
      <c r="V1248" s="22" t="n">
        <f aca="false">N1248-U1248</f>
        <v>20400</v>
      </c>
      <c r="W1248" s="22" t="n">
        <f aca="false">W1247+V1248</f>
        <v>-1087939.56574581</v>
      </c>
      <c r="X1248" s="23" t="str">
        <f aca="false">IF(W1248&gt;=0,"YES","No")</f>
        <v>No</v>
      </c>
    </row>
    <row r="1249" customFormat="false" ht="15" hidden="false" customHeight="false" outlineLevel="0" collapsed="false">
      <c r="A1249" s="16" t="n">
        <v>1248</v>
      </c>
      <c r="B1249" s="17" t="n">
        <f aca="false">B1248+1</f>
        <v>47270</v>
      </c>
      <c r="C1249" s="18" t="n">
        <f aca="false">MIN(ROUNDUP(A1249/365,0),5)</f>
        <v>4</v>
      </c>
      <c r="D1249" s="18" t="n">
        <f aca="false">DATEDIF(Assumptions!B5,B1249,"m")+1</f>
        <v>42</v>
      </c>
      <c r="E1249" s="18" t="str">
        <f aca="false">TEXT(B1249,"ddd")</f>
        <v>Fri</v>
      </c>
      <c r="F1249" s="19" t="n">
        <f aca="false">IF(WEEKDAY(B1249,2)&gt;=6,Assumptions!B34,Assumptions!B35)</f>
        <v>1</v>
      </c>
      <c r="G1249" s="20" t="n">
        <f aca="false">IF(D1249&gt;=13,(1+Assumptions!B46)^(D1249-12),1)</f>
        <v>1.09402687487131</v>
      </c>
      <c r="H1249" s="21" t="n">
        <f aca="false">H1248*(1+IF(C1249=1,Assumptions!B22,Assumptions!B23))</f>
        <v>24.0546282583687</v>
      </c>
      <c r="I1249" s="16" t="n">
        <f aca="false">ROUND(H1249*F1249,0)</f>
        <v>24</v>
      </c>
      <c r="J1249" s="22" t="n">
        <f aca="false">I1249*Assumptions!B24</f>
        <v>14400</v>
      </c>
      <c r="K1249" s="21" t="n">
        <f aca="false">K1248*(1+Assumptions!B30)</f>
        <v>19.7534986077076</v>
      </c>
      <c r="L1249" s="16" t="n">
        <f aca="false">ROUND(K1249*F1249,0)</f>
        <v>20</v>
      </c>
      <c r="M1249" s="22" t="n">
        <f aca="false">L1249*Assumptions!B31</f>
        <v>6000</v>
      </c>
      <c r="N1249" s="22" t="n">
        <f aca="false">J1249+M1249</f>
        <v>20400</v>
      </c>
      <c r="O1249" s="22" t="n">
        <f aca="false">IF(DAY(B1249)=1,Assumptions!B38*G1249,0)</f>
        <v>164104.031230696</v>
      </c>
      <c r="P1249" s="22" t="n">
        <f aca="false">IF(DAY(B1249)=1,Assumptions!B39*G1249,0)</f>
        <v>43761.0749948523</v>
      </c>
      <c r="Q1249" s="22" t="n">
        <f aca="false">IF(DAY(B1249)=1,Assumptions!B40*G1249,0)</f>
        <v>32820.8062461392</v>
      </c>
      <c r="R1249" s="22" t="n">
        <f aca="false">IF(DAY(B1249)=1,Assumptions!B41*G1249,0)</f>
        <v>21880.5374974261</v>
      </c>
      <c r="S1249" s="22" t="n">
        <f aca="false">IF(AND(DAY(B1249)=1,D1249&gt;=13),Assumptions!B42*G1249,0)</f>
        <v>164104.031230696</v>
      </c>
      <c r="T1249" s="22" t="n">
        <f aca="false">IF(DAY(B1249)=1,Assumptions!B43*G1249,0)</f>
        <v>21880.5374974261</v>
      </c>
      <c r="U1249" s="22" t="n">
        <f aca="false">SUM(O1249:T1249)</f>
        <v>448551.018697236</v>
      </c>
      <c r="V1249" s="22" t="n">
        <f aca="false">N1249-U1249</f>
        <v>-428151.018697236</v>
      </c>
      <c r="W1249" s="22" t="n">
        <f aca="false">W1248+V1249</f>
        <v>-1516090.58444305</v>
      </c>
      <c r="X1249" s="23" t="str">
        <f aca="false">IF(W1249&gt;=0,"YES","No")</f>
        <v>No</v>
      </c>
    </row>
    <row r="1250" customFormat="false" ht="15" hidden="false" customHeight="false" outlineLevel="0" collapsed="false">
      <c r="A1250" s="16" t="n">
        <v>1249</v>
      </c>
      <c r="B1250" s="17" t="n">
        <f aca="false">B1249+1</f>
        <v>47271</v>
      </c>
      <c r="C1250" s="18" t="n">
        <f aca="false">MIN(ROUNDUP(A1250/365,0),5)</f>
        <v>4</v>
      </c>
      <c r="D1250" s="18" t="n">
        <f aca="false">DATEDIF(Assumptions!B5,B1250,"m")+1</f>
        <v>42</v>
      </c>
      <c r="E1250" s="18" t="str">
        <f aca="false">TEXT(B1250,"ddd")</f>
        <v>Sat</v>
      </c>
      <c r="F1250" s="19" t="n">
        <f aca="false">IF(WEEKDAY(B1250,2)&gt;=6,Assumptions!B34,Assumptions!B35)</f>
        <v>0.6</v>
      </c>
      <c r="G1250" s="20" t="n">
        <f aca="false">IF(D1250&gt;=13,(1+Assumptions!B46)^(D1250-12),1)</f>
        <v>1.09402687487131</v>
      </c>
      <c r="H1250" s="21" t="n">
        <f aca="false">H1249*(1+IF(C1250=1,Assumptions!B22,Assumptions!B23))</f>
        <v>24.0585698906364</v>
      </c>
      <c r="I1250" s="16" t="n">
        <f aca="false">ROUND(H1250*F1250,0)</f>
        <v>14</v>
      </c>
      <c r="J1250" s="22" t="n">
        <f aca="false">I1250*Assumptions!B24</f>
        <v>8400</v>
      </c>
      <c r="K1250" s="21" t="n">
        <f aca="false">K1249*(1+Assumptions!B30)</f>
        <v>19.7599567540693</v>
      </c>
      <c r="L1250" s="16" t="n">
        <f aca="false">ROUND(K1250*F1250,0)</f>
        <v>12</v>
      </c>
      <c r="M1250" s="22" t="n">
        <f aca="false">L1250*Assumptions!B31</f>
        <v>3600</v>
      </c>
      <c r="N1250" s="22" t="n">
        <f aca="false">J1250+M1250</f>
        <v>12000</v>
      </c>
      <c r="O1250" s="22" t="n">
        <f aca="false">IF(DAY(B1250)=1,Assumptions!B38*G1250,0)</f>
        <v>0</v>
      </c>
      <c r="P1250" s="22" t="n">
        <f aca="false">IF(DAY(B1250)=1,Assumptions!B39*G1250,0)</f>
        <v>0</v>
      </c>
      <c r="Q1250" s="22" t="n">
        <f aca="false">IF(DAY(B1250)=1,Assumptions!B40*G1250,0)</f>
        <v>0</v>
      </c>
      <c r="R1250" s="22" t="n">
        <f aca="false">IF(DAY(B1250)=1,Assumptions!B41*G1250,0)</f>
        <v>0</v>
      </c>
      <c r="S1250" s="22" t="n">
        <f aca="false">IF(AND(DAY(B1250)=1,D1250&gt;=13),Assumptions!B42*G1250,0)</f>
        <v>0</v>
      </c>
      <c r="T1250" s="22" t="n">
        <f aca="false">IF(DAY(B1250)=1,Assumptions!B43*G1250,0)</f>
        <v>0</v>
      </c>
      <c r="U1250" s="22" t="n">
        <f aca="false">SUM(O1250:T1250)</f>
        <v>0</v>
      </c>
      <c r="V1250" s="22" t="n">
        <f aca="false">N1250-U1250</f>
        <v>12000</v>
      </c>
      <c r="W1250" s="22" t="n">
        <f aca="false">W1249+V1250</f>
        <v>-1504090.58444305</v>
      </c>
      <c r="X1250" s="23" t="str">
        <f aca="false">IF(W1250&gt;=0,"YES","No")</f>
        <v>No</v>
      </c>
    </row>
    <row r="1251" customFormat="false" ht="15" hidden="false" customHeight="false" outlineLevel="0" collapsed="false">
      <c r="A1251" s="16" t="n">
        <v>1250</v>
      </c>
      <c r="B1251" s="17" t="n">
        <f aca="false">B1250+1</f>
        <v>47272</v>
      </c>
      <c r="C1251" s="18" t="n">
        <f aca="false">MIN(ROUNDUP(A1251/365,0),5)</f>
        <v>4</v>
      </c>
      <c r="D1251" s="18" t="n">
        <f aca="false">DATEDIF(Assumptions!B5,B1251,"m")+1</f>
        <v>42</v>
      </c>
      <c r="E1251" s="18" t="str">
        <f aca="false">TEXT(B1251,"ddd")</f>
        <v>Sun</v>
      </c>
      <c r="F1251" s="19" t="n">
        <f aca="false">IF(WEEKDAY(B1251,2)&gt;=6,Assumptions!B34,Assumptions!B35)</f>
        <v>0.6</v>
      </c>
      <c r="G1251" s="20" t="n">
        <f aca="false">IF(D1251&gt;=13,(1+Assumptions!B46)^(D1251-12),1)</f>
        <v>1.09402687487131</v>
      </c>
      <c r="H1251" s="21" t="n">
        <f aca="false">H1250*(1+IF(C1251=1,Assumptions!B22,Assumptions!B23))</f>
        <v>24.0625121687867</v>
      </c>
      <c r="I1251" s="16" t="n">
        <f aca="false">ROUND(H1251*F1251,0)</f>
        <v>14</v>
      </c>
      <c r="J1251" s="22" t="n">
        <f aca="false">I1251*Assumptions!B24</f>
        <v>8400</v>
      </c>
      <c r="K1251" s="21" t="n">
        <f aca="false">K1250*(1+Assumptions!B30)</f>
        <v>19.766417011837</v>
      </c>
      <c r="L1251" s="16" t="n">
        <f aca="false">ROUND(K1251*F1251,0)</f>
        <v>12</v>
      </c>
      <c r="M1251" s="22" t="n">
        <f aca="false">L1251*Assumptions!B31</f>
        <v>3600</v>
      </c>
      <c r="N1251" s="22" t="n">
        <f aca="false">J1251+M1251</f>
        <v>12000</v>
      </c>
      <c r="O1251" s="22" t="n">
        <f aca="false">IF(DAY(B1251)=1,Assumptions!B38*G1251,0)</f>
        <v>0</v>
      </c>
      <c r="P1251" s="22" t="n">
        <f aca="false">IF(DAY(B1251)=1,Assumptions!B39*G1251,0)</f>
        <v>0</v>
      </c>
      <c r="Q1251" s="22" t="n">
        <f aca="false">IF(DAY(B1251)=1,Assumptions!B40*G1251,0)</f>
        <v>0</v>
      </c>
      <c r="R1251" s="22" t="n">
        <f aca="false">IF(DAY(B1251)=1,Assumptions!B41*G1251,0)</f>
        <v>0</v>
      </c>
      <c r="S1251" s="22" t="n">
        <f aca="false">IF(AND(DAY(B1251)=1,D1251&gt;=13),Assumptions!B42*G1251,0)</f>
        <v>0</v>
      </c>
      <c r="T1251" s="22" t="n">
        <f aca="false">IF(DAY(B1251)=1,Assumptions!B43*G1251,0)</f>
        <v>0</v>
      </c>
      <c r="U1251" s="22" t="n">
        <f aca="false">SUM(O1251:T1251)</f>
        <v>0</v>
      </c>
      <c r="V1251" s="22" t="n">
        <f aca="false">N1251-U1251</f>
        <v>12000</v>
      </c>
      <c r="W1251" s="22" t="n">
        <f aca="false">W1250+V1251</f>
        <v>-1492090.58444305</v>
      </c>
      <c r="X1251" s="23" t="str">
        <f aca="false">IF(W1251&gt;=0,"YES","No")</f>
        <v>No</v>
      </c>
    </row>
    <row r="1252" customFormat="false" ht="15" hidden="false" customHeight="false" outlineLevel="0" collapsed="false">
      <c r="A1252" s="16" t="n">
        <v>1251</v>
      </c>
      <c r="B1252" s="17" t="n">
        <f aca="false">B1251+1</f>
        <v>47273</v>
      </c>
      <c r="C1252" s="18" t="n">
        <f aca="false">MIN(ROUNDUP(A1252/365,0),5)</f>
        <v>4</v>
      </c>
      <c r="D1252" s="18" t="n">
        <f aca="false">DATEDIF(Assumptions!B5,B1252,"m")+1</f>
        <v>42</v>
      </c>
      <c r="E1252" s="18" t="str">
        <f aca="false">TEXT(B1252,"ddd")</f>
        <v>Mon</v>
      </c>
      <c r="F1252" s="19" t="n">
        <f aca="false">IF(WEEKDAY(B1252,2)&gt;=6,Assumptions!B34,Assumptions!B35)</f>
        <v>1</v>
      </c>
      <c r="G1252" s="20" t="n">
        <f aca="false">IF(D1252&gt;=13,(1+Assumptions!B46)^(D1252-12),1)</f>
        <v>1.09402687487131</v>
      </c>
      <c r="H1252" s="21" t="n">
        <f aca="false">H1251*(1+IF(C1252=1,Assumptions!B22,Assumptions!B23))</f>
        <v>24.0664550929254</v>
      </c>
      <c r="I1252" s="16" t="n">
        <f aca="false">ROUND(H1252*F1252,0)</f>
        <v>24</v>
      </c>
      <c r="J1252" s="22" t="n">
        <f aca="false">I1252*Assumptions!B24</f>
        <v>14400</v>
      </c>
      <c r="K1252" s="21" t="n">
        <f aca="false">K1251*(1+Assumptions!B30)</f>
        <v>19.7728793817009</v>
      </c>
      <c r="L1252" s="16" t="n">
        <f aca="false">ROUND(K1252*F1252,0)</f>
        <v>20</v>
      </c>
      <c r="M1252" s="22" t="n">
        <f aca="false">L1252*Assumptions!B31</f>
        <v>6000</v>
      </c>
      <c r="N1252" s="22" t="n">
        <f aca="false">J1252+M1252</f>
        <v>20400</v>
      </c>
      <c r="O1252" s="22" t="n">
        <f aca="false">IF(DAY(B1252)=1,Assumptions!B38*G1252,0)</f>
        <v>0</v>
      </c>
      <c r="P1252" s="22" t="n">
        <f aca="false">IF(DAY(B1252)=1,Assumptions!B39*G1252,0)</f>
        <v>0</v>
      </c>
      <c r="Q1252" s="22" t="n">
        <f aca="false">IF(DAY(B1252)=1,Assumptions!B40*G1252,0)</f>
        <v>0</v>
      </c>
      <c r="R1252" s="22" t="n">
        <f aca="false">IF(DAY(B1252)=1,Assumptions!B41*G1252,0)</f>
        <v>0</v>
      </c>
      <c r="S1252" s="22" t="n">
        <f aca="false">IF(AND(DAY(B1252)=1,D1252&gt;=13),Assumptions!B42*G1252,0)</f>
        <v>0</v>
      </c>
      <c r="T1252" s="22" t="n">
        <f aca="false">IF(DAY(B1252)=1,Assumptions!B43*G1252,0)</f>
        <v>0</v>
      </c>
      <c r="U1252" s="22" t="n">
        <f aca="false">SUM(O1252:T1252)</f>
        <v>0</v>
      </c>
      <c r="V1252" s="22" t="n">
        <f aca="false">N1252-U1252</f>
        <v>20400</v>
      </c>
      <c r="W1252" s="22" t="n">
        <f aca="false">W1251+V1252</f>
        <v>-1471690.58444305</v>
      </c>
      <c r="X1252" s="23" t="str">
        <f aca="false">IF(W1252&gt;=0,"YES","No")</f>
        <v>No</v>
      </c>
    </row>
    <row r="1253" customFormat="false" ht="15" hidden="false" customHeight="false" outlineLevel="0" collapsed="false">
      <c r="A1253" s="16" t="n">
        <v>1252</v>
      </c>
      <c r="B1253" s="17" t="n">
        <f aca="false">B1252+1</f>
        <v>47274</v>
      </c>
      <c r="C1253" s="18" t="n">
        <f aca="false">MIN(ROUNDUP(A1253/365,0),5)</f>
        <v>4</v>
      </c>
      <c r="D1253" s="18" t="n">
        <f aca="false">DATEDIF(Assumptions!B5,B1253,"m")+1</f>
        <v>42</v>
      </c>
      <c r="E1253" s="18" t="str">
        <f aca="false">TEXT(B1253,"ddd")</f>
        <v>Tue</v>
      </c>
      <c r="F1253" s="19" t="n">
        <f aca="false">IF(WEEKDAY(B1253,2)&gt;=6,Assumptions!B34,Assumptions!B35)</f>
        <v>1</v>
      </c>
      <c r="G1253" s="20" t="n">
        <f aca="false">IF(D1253&gt;=13,(1+Assumptions!B46)^(D1253-12),1)</f>
        <v>1.09402687487131</v>
      </c>
      <c r="H1253" s="21" t="n">
        <f aca="false">H1252*(1+IF(C1253=1,Assumptions!B22,Assumptions!B23))</f>
        <v>24.0703986631584</v>
      </c>
      <c r="I1253" s="16" t="n">
        <f aca="false">ROUND(H1253*F1253,0)</f>
        <v>24</v>
      </c>
      <c r="J1253" s="22" t="n">
        <f aca="false">I1253*Assumptions!B24</f>
        <v>14400</v>
      </c>
      <c r="K1253" s="21" t="n">
        <f aca="false">K1252*(1+Assumptions!B30)</f>
        <v>19.7793438643515</v>
      </c>
      <c r="L1253" s="16" t="n">
        <f aca="false">ROUND(K1253*F1253,0)</f>
        <v>20</v>
      </c>
      <c r="M1253" s="22" t="n">
        <f aca="false">L1253*Assumptions!B31</f>
        <v>6000</v>
      </c>
      <c r="N1253" s="22" t="n">
        <f aca="false">J1253+M1253</f>
        <v>20400</v>
      </c>
      <c r="O1253" s="22" t="n">
        <f aca="false">IF(DAY(B1253)=1,Assumptions!B38*G1253,0)</f>
        <v>0</v>
      </c>
      <c r="P1253" s="22" t="n">
        <f aca="false">IF(DAY(B1253)=1,Assumptions!B39*G1253,0)</f>
        <v>0</v>
      </c>
      <c r="Q1253" s="22" t="n">
        <f aca="false">IF(DAY(B1253)=1,Assumptions!B40*G1253,0)</f>
        <v>0</v>
      </c>
      <c r="R1253" s="22" t="n">
        <f aca="false">IF(DAY(B1253)=1,Assumptions!B41*G1253,0)</f>
        <v>0</v>
      </c>
      <c r="S1253" s="22" t="n">
        <f aca="false">IF(AND(DAY(B1253)=1,D1253&gt;=13),Assumptions!B42*G1253,0)</f>
        <v>0</v>
      </c>
      <c r="T1253" s="22" t="n">
        <f aca="false">IF(DAY(B1253)=1,Assumptions!B43*G1253,0)</f>
        <v>0</v>
      </c>
      <c r="U1253" s="22" t="n">
        <f aca="false">SUM(O1253:T1253)</f>
        <v>0</v>
      </c>
      <c r="V1253" s="22" t="n">
        <f aca="false">N1253-U1253</f>
        <v>20400</v>
      </c>
      <c r="W1253" s="22" t="n">
        <f aca="false">W1252+V1253</f>
        <v>-1451290.58444305</v>
      </c>
      <c r="X1253" s="23" t="str">
        <f aca="false">IF(W1253&gt;=0,"YES","No")</f>
        <v>No</v>
      </c>
    </row>
    <row r="1254" customFormat="false" ht="15" hidden="false" customHeight="false" outlineLevel="0" collapsed="false">
      <c r="A1254" s="16" t="n">
        <v>1253</v>
      </c>
      <c r="B1254" s="17" t="n">
        <f aca="false">B1253+1</f>
        <v>47275</v>
      </c>
      <c r="C1254" s="18" t="n">
        <f aca="false">MIN(ROUNDUP(A1254/365,0),5)</f>
        <v>4</v>
      </c>
      <c r="D1254" s="18" t="n">
        <f aca="false">DATEDIF(Assumptions!B5,B1254,"m")+1</f>
        <v>42</v>
      </c>
      <c r="E1254" s="18" t="str">
        <f aca="false">TEXT(B1254,"ddd")</f>
        <v>Wed</v>
      </c>
      <c r="F1254" s="19" t="n">
        <f aca="false">IF(WEEKDAY(B1254,2)&gt;=6,Assumptions!B34,Assumptions!B35)</f>
        <v>1</v>
      </c>
      <c r="G1254" s="20" t="n">
        <f aca="false">IF(D1254&gt;=13,(1+Assumptions!B46)^(D1254-12),1)</f>
        <v>1.09402687487131</v>
      </c>
      <c r="H1254" s="21" t="n">
        <f aca="false">H1253*(1+IF(C1254=1,Assumptions!B22,Assumptions!B23))</f>
        <v>24.0743428795914</v>
      </c>
      <c r="I1254" s="16" t="n">
        <f aca="false">ROUND(H1254*F1254,0)</f>
        <v>24</v>
      </c>
      <c r="J1254" s="22" t="n">
        <f aca="false">I1254*Assumptions!B24</f>
        <v>14400</v>
      </c>
      <c r="K1254" s="21" t="n">
        <f aca="false">K1253*(1+Assumptions!B30)</f>
        <v>19.7858104604797</v>
      </c>
      <c r="L1254" s="16" t="n">
        <f aca="false">ROUND(K1254*F1254,0)</f>
        <v>20</v>
      </c>
      <c r="M1254" s="22" t="n">
        <f aca="false">L1254*Assumptions!B31</f>
        <v>6000</v>
      </c>
      <c r="N1254" s="22" t="n">
        <f aca="false">J1254+M1254</f>
        <v>20400</v>
      </c>
      <c r="O1254" s="22" t="n">
        <f aca="false">IF(DAY(B1254)=1,Assumptions!B38*G1254,0)</f>
        <v>0</v>
      </c>
      <c r="P1254" s="22" t="n">
        <f aca="false">IF(DAY(B1254)=1,Assumptions!B39*G1254,0)</f>
        <v>0</v>
      </c>
      <c r="Q1254" s="22" t="n">
        <f aca="false">IF(DAY(B1254)=1,Assumptions!B40*G1254,0)</f>
        <v>0</v>
      </c>
      <c r="R1254" s="22" t="n">
        <f aca="false">IF(DAY(B1254)=1,Assumptions!B41*G1254,0)</f>
        <v>0</v>
      </c>
      <c r="S1254" s="22" t="n">
        <f aca="false">IF(AND(DAY(B1254)=1,D1254&gt;=13),Assumptions!B42*G1254,0)</f>
        <v>0</v>
      </c>
      <c r="T1254" s="22" t="n">
        <f aca="false">IF(DAY(B1254)=1,Assumptions!B43*G1254,0)</f>
        <v>0</v>
      </c>
      <c r="U1254" s="22" t="n">
        <f aca="false">SUM(O1254:T1254)</f>
        <v>0</v>
      </c>
      <c r="V1254" s="22" t="n">
        <f aca="false">N1254-U1254</f>
        <v>20400</v>
      </c>
      <c r="W1254" s="22" t="n">
        <f aca="false">W1253+V1254</f>
        <v>-1430890.58444305</v>
      </c>
      <c r="X1254" s="23" t="str">
        <f aca="false">IF(W1254&gt;=0,"YES","No")</f>
        <v>No</v>
      </c>
    </row>
    <row r="1255" customFormat="false" ht="15" hidden="false" customHeight="false" outlineLevel="0" collapsed="false">
      <c r="A1255" s="16" t="n">
        <v>1254</v>
      </c>
      <c r="B1255" s="17" t="n">
        <f aca="false">B1254+1</f>
        <v>47276</v>
      </c>
      <c r="C1255" s="18" t="n">
        <f aca="false">MIN(ROUNDUP(A1255/365,0),5)</f>
        <v>4</v>
      </c>
      <c r="D1255" s="18" t="n">
        <f aca="false">DATEDIF(Assumptions!B5,B1255,"m")+1</f>
        <v>42</v>
      </c>
      <c r="E1255" s="18" t="str">
        <f aca="false">TEXT(B1255,"ddd")</f>
        <v>Thu</v>
      </c>
      <c r="F1255" s="19" t="n">
        <f aca="false">IF(WEEKDAY(B1255,2)&gt;=6,Assumptions!B34,Assumptions!B35)</f>
        <v>1</v>
      </c>
      <c r="G1255" s="20" t="n">
        <f aca="false">IF(D1255&gt;=13,(1+Assumptions!B46)^(D1255-12),1)</f>
        <v>1.09402687487131</v>
      </c>
      <c r="H1255" s="21" t="n">
        <f aca="false">H1254*(1+IF(C1255=1,Assumptions!B22,Assumptions!B23))</f>
        <v>24.0782877423305</v>
      </c>
      <c r="I1255" s="16" t="n">
        <f aca="false">ROUND(H1255*F1255,0)</f>
        <v>24</v>
      </c>
      <c r="J1255" s="22" t="n">
        <f aca="false">I1255*Assumptions!B24</f>
        <v>14400</v>
      </c>
      <c r="K1255" s="21" t="n">
        <f aca="false">K1254*(1+Assumptions!B30)</f>
        <v>19.7922791707764</v>
      </c>
      <c r="L1255" s="16" t="n">
        <f aca="false">ROUND(K1255*F1255,0)</f>
        <v>20</v>
      </c>
      <c r="M1255" s="22" t="n">
        <f aca="false">L1255*Assumptions!B31</f>
        <v>6000</v>
      </c>
      <c r="N1255" s="22" t="n">
        <f aca="false">J1255+M1255</f>
        <v>20400</v>
      </c>
      <c r="O1255" s="22" t="n">
        <f aca="false">IF(DAY(B1255)=1,Assumptions!B38*G1255,0)</f>
        <v>0</v>
      </c>
      <c r="P1255" s="22" t="n">
        <f aca="false">IF(DAY(B1255)=1,Assumptions!B39*G1255,0)</f>
        <v>0</v>
      </c>
      <c r="Q1255" s="22" t="n">
        <f aca="false">IF(DAY(B1255)=1,Assumptions!B40*G1255,0)</f>
        <v>0</v>
      </c>
      <c r="R1255" s="22" t="n">
        <f aca="false">IF(DAY(B1255)=1,Assumptions!B41*G1255,0)</f>
        <v>0</v>
      </c>
      <c r="S1255" s="22" t="n">
        <f aca="false">IF(AND(DAY(B1255)=1,D1255&gt;=13),Assumptions!B42*G1255,0)</f>
        <v>0</v>
      </c>
      <c r="T1255" s="22" t="n">
        <f aca="false">IF(DAY(B1255)=1,Assumptions!B43*G1255,0)</f>
        <v>0</v>
      </c>
      <c r="U1255" s="22" t="n">
        <f aca="false">SUM(O1255:T1255)</f>
        <v>0</v>
      </c>
      <c r="V1255" s="22" t="n">
        <f aca="false">N1255-U1255</f>
        <v>20400</v>
      </c>
      <c r="W1255" s="22" t="n">
        <f aca="false">W1254+V1255</f>
        <v>-1410490.58444305</v>
      </c>
      <c r="X1255" s="23" t="str">
        <f aca="false">IF(W1255&gt;=0,"YES","No")</f>
        <v>No</v>
      </c>
    </row>
    <row r="1256" customFormat="false" ht="15" hidden="false" customHeight="false" outlineLevel="0" collapsed="false">
      <c r="A1256" s="16" t="n">
        <v>1255</v>
      </c>
      <c r="B1256" s="17" t="n">
        <f aca="false">B1255+1</f>
        <v>47277</v>
      </c>
      <c r="C1256" s="18" t="n">
        <f aca="false">MIN(ROUNDUP(A1256/365,0),5)</f>
        <v>4</v>
      </c>
      <c r="D1256" s="18" t="n">
        <f aca="false">DATEDIF(Assumptions!B5,B1256,"m")+1</f>
        <v>42</v>
      </c>
      <c r="E1256" s="18" t="str">
        <f aca="false">TEXT(B1256,"ddd")</f>
        <v>Fri</v>
      </c>
      <c r="F1256" s="19" t="n">
        <f aca="false">IF(WEEKDAY(B1256,2)&gt;=6,Assumptions!B34,Assumptions!B35)</f>
        <v>1</v>
      </c>
      <c r="G1256" s="20" t="n">
        <f aca="false">IF(D1256&gt;=13,(1+Assumptions!B46)^(D1256-12),1)</f>
        <v>1.09402687487131</v>
      </c>
      <c r="H1256" s="21" t="n">
        <f aca="false">H1255*(1+IF(C1256=1,Assumptions!B22,Assumptions!B23))</f>
        <v>24.0822332514815</v>
      </c>
      <c r="I1256" s="16" t="n">
        <f aca="false">ROUND(H1256*F1256,0)</f>
        <v>24</v>
      </c>
      <c r="J1256" s="22" t="n">
        <f aca="false">I1256*Assumptions!B24</f>
        <v>14400</v>
      </c>
      <c r="K1256" s="21" t="n">
        <f aca="false">K1255*(1+Assumptions!B30)</f>
        <v>19.7987499959327</v>
      </c>
      <c r="L1256" s="16" t="n">
        <f aca="false">ROUND(K1256*F1256,0)</f>
        <v>20</v>
      </c>
      <c r="M1256" s="22" t="n">
        <f aca="false">L1256*Assumptions!B31</f>
        <v>6000</v>
      </c>
      <c r="N1256" s="22" t="n">
        <f aca="false">J1256+M1256</f>
        <v>20400</v>
      </c>
      <c r="O1256" s="22" t="n">
        <f aca="false">IF(DAY(B1256)=1,Assumptions!B38*G1256,0)</f>
        <v>0</v>
      </c>
      <c r="P1256" s="22" t="n">
        <f aca="false">IF(DAY(B1256)=1,Assumptions!B39*G1256,0)</f>
        <v>0</v>
      </c>
      <c r="Q1256" s="22" t="n">
        <f aca="false">IF(DAY(B1256)=1,Assumptions!B40*G1256,0)</f>
        <v>0</v>
      </c>
      <c r="R1256" s="22" t="n">
        <f aca="false">IF(DAY(B1256)=1,Assumptions!B41*G1256,0)</f>
        <v>0</v>
      </c>
      <c r="S1256" s="22" t="n">
        <f aca="false">IF(AND(DAY(B1256)=1,D1256&gt;=13),Assumptions!B42*G1256,0)</f>
        <v>0</v>
      </c>
      <c r="T1256" s="22" t="n">
        <f aca="false">IF(DAY(B1256)=1,Assumptions!B43*G1256,0)</f>
        <v>0</v>
      </c>
      <c r="U1256" s="22" t="n">
        <f aca="false">SUM(O1256:T1256)</f>
        <v>0</v>
      </c>
      <c r="V1256" s="22" t="n">
        <f aca="false">N1256-U1256</f>
        <v>20400</v>
      </c>
      <c r="W1256" s="22" t="n">
        <f aca="false">W1255+V1256</f>
        <v>-1390090.58444305</v>
      </c>
      <c r="X1256" s="23" t="str">
        <f aca="false">IF(W1256&gt;=0,"YES","No")</f>
        <v>No</v>
      </c>
    </row>
    <row r="1257" customFormat="false" ht="15" hidden="false" customHeight="false" outlineLevel="0" collapsed="false">
      <c r="A1257" s="16" t="n">
        <v>1256</v>
      </c>
      <c r="B1257" s="17" t="n">
        <f aca="false">B1256+1</f>
        <v>47278</v>
      </c>
      <c r="C1257" s="18" t="n">
        <f aca="false">MIN(ROUNDUP(A1257/365,0),5)</f>
        <v>4</v>
      </c>
      <c r="D1257" s="18" t="n">
        <f aca="false">DATEDIF(Assumptions!B5,B1257,"m")+1</f>
        <v>42</v>
      </c>
      <c r="E1257" s="18" t="str">
        <f aca="false">TEXT(B1257,"ddd")</f>
        <v>Sat</v>
      </c>
      <c r="F1257" s="19" t="n">
        <f aca="false">IF(WEEKDAY(B1257,2)&gt;=6,Assumptions!B34,Assumptions!B35)</f>
        <v>0.6</v>
      </c>
      <c r="G1257" s="20" t="n">
        <f aca="false">IF(D1257&gt;=13,(1+Assumptions!B46)^(D1257-12),1)</f>
        <v>1.09402687487131</v>
      </c>
      <c r="H1257" s="21" t="n">
        <f aca="false">H1256*(1+IF(C1257=1,Assumptions!B22,Assumptions!B23))</f>
        <v>24.0861794071503</v>
      </c>
      <c r="I1257" s="16" t="n">
        <f aca="false">ROUND(H1257*F1257,0)</f>
        <v>14</v>
      </c>
      <c r="J1257" s="22" t="n">
        <f aca="false">I1257*Assumptions!B24</f>
        <v>8400</v>
      </c>
      <c r="K1257" s="21" t="n">
        <f aca="false">K1256*(1+Assumptions!B30)</f>
        <v>19.8052229366402</v>
      </c>
      <c r="L1257" s="16" t="n">
        <f aca="false">ROUND(K1257*F1257,0)</f>
        <v>12</v>
      </c>
      <c r="M1257" s="22" t="n">
        <f aca="false">L1257*Assumptions!B31</f>
        <v>3600</v>
      </c>
      <c r="N1257" s="22" t="n">
        <f aca="false">J1257+M1257</f>
        <v>12000</v>
      </c>
      <c r="O1257" s="22" t="n">
        <f aca="false">IF(DAY(B1257)=1,Assumptions!B38*G1257,0)</f>
        <v>0</v>
      </c>
      <c r="P1257" s="22" t="n">
        <f aca="false">IF(DAY(B1257)=1,Assumptions!B39*G1257,0)</f>
        <v>0</v>
      </c>
      <c r="Q1257" s="22" t="n">
        <f aca="false">IF(DAY(B1257)=1,Assumptions!B40*G1257,0)</f>
        <v>0</v>
      </c>
      <c r="R1257" s="22" t="n">
        <f aca="false">IF(DAY(B1257)=1,Assumptions!B41*G1257,0)</f>
        <v>0</v>
      </c>
      <c r="S1257" s="22" t="n">
        <f aca="false">IF(AND(DAY(B1257)=1,D1257&gt;=13),Assumptions!B42*G1257,0)</f>
        <v>0</v>
      </c>
      <c r="T1257" s="22" t="n">
        <f aca="false">IF(DAY(B1257)=1,Assumptions!B43*G1257,0)</f>
        <v>0</v>
      </c>
      <c r="U1257" s="22" t="n">
        <f aca="false">SUM(O1257:T1257)</f>
        <v>0</v>
      </c>
      <c r="V1257" s="22" t="n">
        <f aca="false">N1257-U1257</f>
        <v>12000</v>
      </c>
      <c r="W1257" s="22" t="n">
        <f aca="false">W1256+V1257</f>
        <v>-1378090.58444305</v>
      </c>
      <c r="X1257" s="23" t="str">
        <f aca="false">IF(W1257&gt;=0,"YES","No")</f>
        <v>No</v>
      </c>
    </row>
    <row r="1258" customFormat="false" ht="15" hidden="false" customHeight="false" outlineLevel="0" collapsed="false">
      <c r="A1258" s="16" t="n">
        <v>1257</v>
      </c>
      <c r="B1258" s="17" t="n">
        <f aca="false">B1257+1</f>
        <v>47279</v>
      </c>
      <c r="C1258" s="18" t="n">
        <f aca="false">MIN(ROUNDUP(A1258/365,0),5)</f>
        <v>4</v>
      </c>
      <c r="D1258" s="18" t="n">
        <f aca="false">DATEDIF(Assumptions!B5,B1258,"m")+1</f>
        <v>42</v>
      </c>
      <c r="E1258" s="18" t="str">
        <f aca="false">TEXT(B1258,"ddd")</f>
        <v>Sun</v>
      </c>
      <c r="F1258" s="19" t="n">
        <f aca="false">IF(WEEKDAY(B1258,2)&gt;=6,Assumptions!B34,Assumptions!B35)</f>
        <v>0.6</v>
      </c>
      <c r="G1258" s="20" t="n">
        <f aca="false">IF(D1258&gt;=13,(1+Assumptions!B46)^(D1258-12),1)</f>
        <v>1.09402687487131</v>
      </c>
      <c r="H1258" s="21" t="n">
        <f aca="false">H1257*(1+IF(C1258=1,Assumptions!B22,Assumptions!B23))</f>
        <v>24.0901262094429</v>
      </c>
      <c r="I1258" s="16" t="n">
        <f aca="false">ROUND(H1258*F1258,0)</f>
        <v>14</v>
      </c>
      <c r="J1258" s="22" t="n">
        <f aca="false">I1258*Assumptions!B24</f>
        <v>8400</v>
      </c>
      <c r="K1258" s="21" t="n">
        <f aca="false">K1257*(1+Assumptions!B30)</f>
        <v>19.8116979935904</v>
      </c>
      <c r="L1258" s="16" t="n">
        <f aca="false">ROUND(K1258*F1258,0)</f>
        <v>12</v>
      </c>
      <c r="M1258" s="22" t="n">
        <f aca="false">L1258*Assumptions!B31</f>
        <v>3600</v>
      </c>
      <c r="N1258" s="22" t="n">
        <f aca="false">J1258+M1258</f>
        <v>12000</v>
      </c>
      <c r="O1258" s="22" t="n">
        <f aca="false">IF(DAY(B1258)=1,Assumptions!B38*G1258,0)</f>
        <v>0</v>
      </c>
      <c r="P1258" s="22" t="n">
        <f aca="false">IF(DAY(B1258)=1,Assumptions!B39*G1258,0)</f>
        <v>0</v>
      </c>
      <c r="Q1258" s="22" t="n">
        <f aca="false">IF(DAY(B1258)=1,Assumptions!B40*G1258,0)</f>
        <v>0</v>
      </c>
      <c r="R1258" s="22" t="n">
        <f aca="false">IF(DAY(B1258)=1,Assumptions!B41*G1258,0)</f>
        <v>0</v>
      </c>
      <c r="S1258" s="22" t="n">
        <f aca="false">IF(AND(DAY(B1258)=1,D1258&gt;=13),Assumptions!B42*G1258,0)</f>
        <v>0</v>
      </c>
      <c r="T1258" s="22" t="n">
        <f aca="false">IF(DAY(B1258)=1,Assumptions!B43*G1258,0)</f>
        <v>0</v>
      </c>
      <c r="U1258" s="22" t="n">
        <f aca="false">SUM(O1258:T1258)</f>
        <v>0</v>
      </c>
      <c r="V1258" s="22" t="n">
        <f aca="false">N1258-U1258</f>
        <v>12000</v>
      </c>
      <c r="W1258" s="22" t="n">
        <f aca="false">W1257+V1258</f>
        <v>-1366090.58444305</v>
      </c>
      <c r="X1258" s="23" t="str">
        <f aca="false">IF(W1258&gt;=0,"YES","No")</f>
        <v>No</v>
      </c>
    </row>
    <row r="1259" customFormat="false" ht="15" hidden="false" customHeight="false" outlineLevel="0" collapsed="false">
      <c r="A1259" s="16" t="n">
        <v>1258</v>
      </c>
      <c r="B1259" s="17" t="n">
        <f aca="false">B1258+1</f>
        <v>47280</v>
      </c>
      <c r="C1259" s="18" t="n">
        <f aca="false">MIN(ROUNDUP(A1259/365,0),5)</f>
        <v>4</v>
      </c>
      <c r="D1259" s="18" t="n">
        <f aca="false">DATEDIF(Assumptions!B5,B1259,"m")+1</f>
        <v>42</v>
      </c>
      <c r="E1259" s="18" t="str">
        <f aca="false">TEXT(B1259,"ddd")</f>
        <v>Mon</v>
      </c>
      <c r="F1259" s="19" t="n">
        <f aca="false">IF(WEEKDAY(B1259,2)&gt;=6,Assumptions!B34,Assumptions!B35)</f>
        <v>1</v>
      </c>
      <c r="G1259" s="20" t="n">
        <f aca="false">IF(D1259&gt;=13,(1+Assumptions!B46)^(D1259-12),1)</f>
        <v>1.09402687487131</v>
      </c>
      <c r="H1259" s="21" t="n">
        <f aca="false">H1258*(1+IF(C1259=1,Assumptions!B22,Assumptions!B23))</f>
        <v>24.0940736584653</v>
      </c>
      <c r="I1259" s="16" t="n">
        <f aca="false">ROUND(H1259*F1259,0)</f>
        <v>24</v>
      </c>
      <c r="J1259" s="22" t="n">
        <f aca="false">I1259*Assumptions!B24</f>
        <v>14400</v>
      </c>
      <c r="K1259" s="21" t="n">
        <f aca="false">K1258*(1+Assumptions!B30)</f>
        <v>19.8181751674752</v>
      </c>
      <c r="L1259" s="16" t="n">
        <f aca="false">ROUND(K1259*F1259,0)</f>
        <v>20</v>
      </c>
      <c r="M1259" s="22" t="n">
        <f aca="false">L1259*Assumptions!B31</f>
        <v>6000</v>
      </c>
      <c r="N1259" s="22" t="n">
        <f aca="false">J1259+M1259</f>
        <v>20400</v>
      </c>
      <c r="O1259" s="22" t="n">
        <f aca="false">IF(DAY(B1259)=1,Assumptions!B38*G1259,0)</f>
        <v>0</v>
      </c>
      <c r="P1259" s="22" t="n">
        <f aca="false">IF(DAY(B1259)=1,Assumptions!B39*G1259,0)</f>
        <v>0</v>
      </c>
      <c r="Q1259" s="22" t="n">
        <f aca="false">IF(DAY(B1259)=1,Assumptions!B40*G1259,0)</f>
        <v>0</v>
      </c>
      <c r="R1259" s="22" t="n">
        <f aca="false">IF(DAY(B1259)=1,Assumptions!B41*G1259,0)</f>
        <v>0</v>
      </c>
      <c r="S1259" s="22" t="n">
        <f aca="false">IF(AND(DAY(B1259)=1,D1259&gt;=13),Assumptions!B42*G1259,0)</f>
        <v>0</v>
      </c>
      <c r="T1259" s="22" t="n">
        <f aca="false">IF(DAY(B1259)=1,Assumptions!B43*G1259,0)</f>
        <v>0</v>
      </c>
      <c r="U1259" s="22" t="n">
        <f aca="false">SUM(O1259:T1259)</f>
        <v>0</v>
      </c>
      <c r="V1259" s="22" t="n">
        <f aca="false">N1259-U1259</f>
        <v>20400</v>
      </c>
      <c r="W1259" s="22" t="n">
        <f aca="false">W1258+V1259</f>
        <v>-1345690.58444305</v>
      </c>
      <c r="X1259" s="23" t="str">
        <f aca="false">IF(W1259&gt;=0,"YES","No")</f>
        <v>No</v>
      </c>
    </row>
    <row r="1260" customFormat="false" ht="15" hidden="false" customHeight="false" outlineLevel="0" collapsed="false">
      <c r="A1260" s="16" t="n">
        <v>1259</v>
      </c>
      <c r="B1260" s="17" t="n">
        <f aca="false">B1259+1</f>
        <v>47281</v>
      </c>
      <c r="C1260" s="18" t="n">
        <f aca="false">MIN(ROUNDUP(A1260/365,0),5)</f>
        <v>4</v>
      </c>
      <c r="D1260" s="18" t="n">
        <f aca="false">DATEDIF(Assumptions!B5,B1260,"m")+1</f>
        <v>42</v>
      </c>
      <c r="E1260" s="18" t="str">
        <f aca="false">TEXT(B1260,"ddd")</f>
        <v>Tue</v>
      </c>
      <c r="F1260" s="19" t="n">
        <f aca="false">IF(WEEKDAY(B1260,2)&gt;=6,Assumptions!B34,Assumptions!B35)</f>
        <v>1</v>
      </c>
      <c r="G1260" s="20" t="n">
        <f aca="false">IF(D1260&gt;=13,(1+Assumptions!B46)^(D1260-12),1)</f>
        <v>1.09402687487131</v>
      </c>
      <c r="H1260" s="21" t="n">
        <f aca="false">H1259*(1+IF(C1260=1,Assumptions!B22,Assumptions!B23))</f>
        <v>24.0980217543233</v>
      </c>
      <c r="I1260" s="16" t="n">
        <f aca="false">ROUND(H1260*F1260,0)</f>
        <v>24</v>
      </c>
      <c r="J1260" s="22" t="n">
        <f aca="false">I1260*Assumptions!B24</f>
        <v>14400</v>
      </c>
      <c r="K1260" s="21" t="n">
        <f aca="false">K1259*(1+Assumptions!B30)</f>
        <v>19.8246544589868</v>
      </c>
      <c r="L1260" s="16" t="n">
        <f aca="false">ROUND(K1260*F1260,0)</f>
        <v>20</v>
      </c>
      <c r="M1260" s="22" t="n">
        <f aca="false">L1260*Assumptions!B31</f>
        <v>6000</v>
      </c>
      <c r="N1260" s="22" t="n">
        <f aca="false">J1260+M1260</f>
        <v>20400</v>
      </c>
      <c r="O1260" s="22" t="n">
        <f aca="false">IF(DAY(B1260)=1,Assumptions!B38*G1260,0)</f>
        <v>0</v>
      </c>
      <c r="P1260" s="22" t="n">
        <f aca="false">IF(DAY(B1260)=1,Assumptions!B39*G1260,0)</f>
        <v>0</v>
      </c>
      <c r="Q1260" s="22" t="n">
        <f aca="false">IF(DAY(B1260)=1,Assumptions!B40*G1260,0)</f>
        <v>0</v>
      </c>
      <c r="R1260" s="22" t="n">
        <f aca="false">IF(DAY(B1260)=1,Assumptions!B41*G1260,0)</f>
        <v>0</v>
      </c>
      <c r="S1260" s="22" t="n">
        <f aca="false">IF(AND(DAY(B1260)=1,D1260&gt;=13),Assumptions!B42*G1260,0)</f>
        <v>0</v>
      </c>
      <c r="T1260" s="22" t="n">
        <f aca="false">IF(DAY(B1260)=1,Assumptions!B43*G1260,0)</f>
        <v>0</v>
      </c>
      <c r="U1260" s="22" t="n">
        <f aca="false">SUM(O1260:T1260)</f>
        <v>0</v>
      </c>
      <c r="V1260" s="22" t="n">
        <f aca="false">N1260-U1260</f>
        <v>20400</v>
      </c>
      <c r="W1260" s="22" t="n">
        <f aca="false">W1259+V1260</f>
        <v>-1325290.58444305</v>
      </c>
      <c r="X1260" s="23" t="str">
        <f aca="false">IF(W1260&gt;=0,"YES","No")</f>
        <v>No</v>
      </c>
    </row>
    <row r="1261" customFormat="false" ht="15" hidden="false" customHeight="false" outlineLevel="0" collapsed="false">
      <c r="A1261" s="16" t="n">
        <v>1260</v>
      </c>
      <c r="B1261" s="17" t="n">
        <f aca="false">B1260+1</f>
        <v>47282</v>
      </c>
      <c r="C1261" s="18" t="n">
        <f aca="false">MIN(ROUNDUP(A1261/365,0),5)</f>
        <v>4</v>
      </c>
      <c r="D1261" s="18" t="n">
        <f aca="false">DATEDIF(Assumptions!B5,B1261,"m")+1</f>
        <v>42</v>
      </c>
      <c r="E1261" s="18" t="str">
        <f aca="false">TEXT(B1261,"ddd")</f>
        <v>Wed</v>
      </c>
      <c r="F1261" s="19" t="n">
        <f aca="false">IF(WEEKDAY(B1261,2)&gt;=6,Assumptions!B34,Assumptions!B35)</f>
        <v>1</v>
      </c>
      <c r="G1261" s="20" t="n">
        <f aca="false">IF(D1261&gt;=13,(1+Assumptions!B46)^(D1261-12),1)</f>
        <v>1.09402687487131</v>
      </c>
      <c r="H1261" s="21" t="n">
        <f aca="false">H1260*(1+IF(C1261=1,Assumptions!B22,Assumptions!B23))</f>
        <v>24.1019704971231</v>
      </c>
      <c r="I1261" s="16" t="n">
        <f aca="false">ROUND(H1261*F1261,0)</f>
        <v>24</v>
      </c>
      <c r="J1261" s="22" t="n">
        <f aca="false">I1261*Assumptions!B24</f>
        <v>14400</v>
      </c>
      <c r="K1261" s="21" t="n">
        <f aca="false">K1260*(1+Assumptions!B30)</f>
        <v>19.8311358688175</v>
      </c>
      <c r="L1261" s="16" t="n">
        <f aca="false">ROUND(K1261*F1261,0)</f>
        <v>20</v>
      </c>
      <c r="M1261" s="22" t="n">
        <f aca="false">L1261*Assumptions!B31</f>
        <v>6000</v>
      </c>
      <c r="N1261" s="22" t="n">
        <f aca="false">J1261+M1261</f>
        <v>20400</v>
      </c>
      <c r="O1261" s="22" t="n">
        <f aca="false">IF(DAY(B1261)=1,Assumptions!B38*G1261,0)</f>
        <v>0</v>
      </c>
      <c r="P1261" s="22" t="n">
        <f aca="false">IF(DAY(B1261)=1,Assumptions!B39*G1261,0)</f>
        <v>0</v>
      </c>
      <c r="Q1261" s="22" t="n">
        <f aca="false">IF(DAY(B1261)=1,Assumptions!B40*G1261,0)</f>
        <v>0</v>
      </c>
      <c r="R1261" s="22" t="n">
        <f aca="false">IF(DAY(B1261)=1,Assumptions!B41*G1261,0)</f>
        <v>0</v>
      </c>
      <c r="S1261" s="22" t="n">
        <f aca="false">IF(AND(DAY(B1261)=1,D1261&gt;=13),Assumptions!B42*G1261,0)</f>
        <v>0</v>
      </c>
      <c r="T1261" s="22" t="n">
        <f aca="false">IF(DAY(B1261)=1,Assumptions!B43*G1261,0)</f>
        <v>0</v>
      </c>
      <c r="U1261" s="22" t="n">
        <f aca="false">SUM(O1261:T1261)</f>
        <v>0</v>
      </c>
      <c r="V1261" s="22" t="n">
        <f aca="false">N1261-U1261</f>
        <v>20400</v>
      </c>
      <c r="W1261" s="22" t="n">
        <f aca="false">W1260+V1261</f>
        <v>-1304890.58444305</v>
      </c>
      <c r="X1261" s="23" t="str">
        <f aca="false">IF(W1261&gt;=0,"YES","No")</f>
        <v>No</v>
      </c>
    </row>
    <row r="1262" customFormat="false" ht="15" hidden="false" customHeight="false" outlineLevel="0" collapsed="false">
      <c r="A1262" s="16" t="n">
        <v>1261</v>
      </c>
      <c r="B1262" s="17" t="n">
        <f aca="false">B1261+1</f>
        <v>47283</v>
      </c>
      <c r="C1262" s="18" t="n">
        <f aca="false">MIN(ROUNDUP(A1262/365,0),5)</f>
        <v>4</v>
      </c>
      <c r="D1262" s="18" t="n">
        <f aca="false">DATEDIF(Assumptions!B5,B1262,"m")+1</f>
        <v>42</v>
      </c>
      <c r="E1262" s="18" t="str">
        <f aca="false">TEXT(B1262,"ddd")</f>
        <v>Thu</v>
      </c>
      <c r="F1262" s="19" t="n">
        <f aca="false">IF(WEEKDAY(B1262,2)&gt;=6,Assumptions!B34,Assumptions!B35)</f>
        <v>1</v>
      </c>
      <c r="G1262" s="20" t="n">
        <f aca="false">IF(D1262&gt;=13,(1+Assumptions!B46)^(D1262-12),1)</f>
        <v>1.09402687487131</v>
      </c>
      <c r="H1262" s="21" t="n">
        <f aca="false">H1261*(1+IF(C1262=1,Assumptions!B22,Assumptions!B23))</f>
        <v>24.1059198869705</v>
      </c>
      <c r="I1262" s="16" t="n">
        <f aca="false">ROUND(H1262*F1262,0)</f>
        <v>24</v>
      </c>
      <c r="J1262" s="22" t="n">
        <f aca="false">I1262*Assumptions!B24</f>
        <v>14400</v>
      </c>
      <c r="K1262" s="21" t="n">
        <f aca="false">K1261*(1+Assumptions!B30)</f>
        <v>19.8376193976598</v>
      </c>
      <c r="L1262" s="16" t="n">
        <f aca="false">ROUND(K1262*F1262,0)</f>
        <v>20</v>
      </c>
      <c r="M1262" s="22" t="n">
        <f aca="false">L1262*Assumptions!B31</f>
        <v>6000</v>
      </c>
      <c r="N1262" s="22" t="n">
        <f aca="false">J1262+M1262</f>
        <v>20400</v>
      </c>
      <c r="O1262" s="22" t="n">
        <f aca="false">IF(DAY(B1262)=1,Assumptions!B38*G1262,0)</f>
        <v>0</v>
      </c>
      <c r="P1262" s="22" t="n">
        <f aca="false">IF(DAY(B1262)=1,Assumptions!B39*G1262,0)</f>
        <v>0</v>
      </c>
      <c r="Q1262" s="22" t="n">
        <f aca="false">IF(DAY(B1262)=1,Assumptions!B40*G1262,0)</f>
        <v>0</v>
      </c>
      <c r="R1262" s="22" t="n">
        <f aca="false">IF(DAY(B1262)=1,Assumptions!B41*G1262,0)</f>
        <v>0</v>
      </c>
      <c r="S1262" s="22" t="n">
        <f aca="false">IF(AND(DAY(B1262)=1,D1262&gt;=13),Assumptions!B42*G1262,0)</f>
        <v>0</v>
      </c>
      <c r="T1262" s="22" t="n">
        <f aca="false">IF(DAY(B1262)=1,Assumptions!B43*G1262,0)</f>
        <v>0</v>
      </c>
      <c r="U1262" s="22" t="n">
        <f aca="false">SUM(O1262:T1262)</f>
        <v>0</v>
      </c>
      <c r="V1262" s="22" t="n">
        <f aca="false">N1262-U1262</f>
        <v>20400</v>
      </c>
      <c r="W1262" s="22" t="n">
        <f aca="false">W1261+V1262</f>
        <v>-1284490.58444305</v>
      </c>
      <c r="X1262" s="23" t="str">
        <f aca="false">IF(W1262&gt;=0,"YES","No")</f>
        <v>No</v>
      </c>
    </row>
    <row r="1263" customFormat="false" ht="15" hidden="false" customHeight="false" outlineLevel="0" collapsed="false">
      <c r="A1263" s="16" t="n">
        <v>1262</v>
      </c>
      <c r="B1263" s="17" t="n">
        <f aca="false">B1262+1</f>
        <v>47284</v>
      </c>
      <c r="C1263" s="18" t="n">
        <f aca="false">MIN(ROUNDUP(A1263/365,0),5)</f>
        <v>4</v>
      </c>
      <c r="D1263" s="18" t="n">
        <f aca="false">DATEDIF(Assumptions!B5,B1263,"m")+1</f>
        <v>42</v>
      </c>
      <c r="E1263" s="18" t="str">
        <f aca="false">TEXT(B1263,"ddd")</f>
        <v>Fri</v>
      </c>
      <c r="F1263" s="19" t="n">
        <f aca="false">IF(WEEKDAY(B1263,2)&gt;=6,Assumptions!B34,Assumptions!B35)</f>
        <v>1</v>
      </c>
      <c r="G1263" s="20" t="n">
        <f aca="false">IF(D1263&gt;=13,(1+Assumptions!B46)^(D1263-12),1)</f>
        <v>1.09402687487131</v>
      </c>
      <c r="H1263" s="21" t="n">
        <f aca="false">H1262*(1+IF(C1263=1,Assumptions!B22,Assumptions!B23))</f>
        <v>24.1098699239717</v>
      </c>
      <c r="I1263" s="16" t="n">
        <f aca="false">ROUND(H1263*F1263,0)</f>
        <v>24</v>
      </c>
      <c r="J1263" s="22" t="n">
        <f aca="false">I1263*Assumptions!B24</f>
        <v>14400</v>
      </c>
      <c r="K1263" s="21" t="n">
        <f aca="false">K1262*(1+Assumptions!B30)</f>
        <v>19.8441050462066</v>
      </c>
      <c r="L1263" s="16" t="n">
        <f aca="false">ROUND(K1263*F1263,0)</f>
        <v>20</v>
      </c>
      <c r="M1263" s="22" t="n">
        <f aca="false">L1263*Assumptions!B31</f>
        <v>6000</v>
      </c>
      <c r="N1263" s="22" t="n">
        <f aca="false">J1263+M1263</f>
        <v>20400</v>
      </c>
      <c r="O1263" s="22" t="n">
        <f aca="false">IF(DAY(B1263)=1,Assumptions!B38*G1263,0)</f>
        <v>0</v>
      </c>
      <c r="P1263" s="22" t="n">
        <f aca="false">IF(DAY(B1263)=1,Assumptions!B39*G1263,0)</f>
        <v>0</v>
      </c>
      <c r="Q1263" s="22" t="n">
        <f aca="false">IF(DAY(B1263)=1,Assumptions!B40*G1263,0)</f>
        <v>0</v>
      </c>
      <c r="R1263" s="22" t="n">
        <f aca="false">IF(DAY(B1263)=1,Assumptions!B41*G1263,0)</f>
        <v>0</v>
      </c>
      <c r="S1263" s="22" t="n">
        <f aca="false">IF(AND(DAY(B1263)=1,D1263&gt;=13),Assumptions!B42*G1263,0)</f>
        <v>0</v>
      </c>
      <c r="T1263" s="22" t="n">
        <f aca="false">IF(DAY(B1263)=1,Assumptions!B43*G1263,0)</f>
        <v>0</v>
      </c>
      <c r="U1263" s="22" t="n">
        <f aca="false">SUM(O1263:T1263)</f>
        <v>0</v>
      </c>
      <c r="V1263" s="22" t="n">
        <f aca="false">N1263-U1263</f>
        <v>20400</v>
      </c>
      <c r="W1263" s="22" t="n">
        <f aca="false">W1262+V1263</f>
        <v>-1264090.58444305</v>
      </c>
      <c r="X1263" s="23" t="str">
        <f aca="false">IF(W1263&gt;=0,"YES","No")</f>
        <v>No</v>
      </c>
    </row>
    <row r="1264" customFormat="false" ht="15" hidden="false" customHeight="false" outlineLevel="0" collapsed="false">
      <c r="A1264" s="16" t="n">
        <v>1263</v>
      </c>
      <c r="B1264" s="17" t="n">
        <f aca="false">B1263+1</f>
        <v>47285</v>
      </c>
      <c r="C1264" s="18" t="n">
        <f aca="false">MIN(ROUNDUP(A1264/365,0),5)</f>
        <v>4</v>
      </c>
      <c r="D1264" s="18" t="n">
        <f aca="false">DATEDIF(Assumptions!B5,B1264,"m")+1</f>
        <v>42</v>
      </c>
      <c r="E1264" s="18" t="str">
        <f aca="false">TEXT(B1264,"ddd")</f>
        <v>Sat</v>
      </c>
      <c r="F1264" s="19" t="n">
        <f aca="false">IF(WEEKDAY(B1264,2)&gt;=6,Assumptions!B34,Assumptions!B35)</f>
        <v>0.6</v>
      </c>
      <c r="G1264" s="20" t="n">
        <f aca="false">IF(D1264&gt;=13,(1+Assumptions!B46)^(D1264-12),1)</f>
        <v>1.09402687487131</v>
      </c>
      <c r="H1264" s="21" t="n">
        <f aca="false">H1263*(1+IF(C1264=1,Assumptions!B22,Assumptions!B23))</f>
        <v>24.1138206082326</v>
      </c>
      <c r="I1264" s="16" t="n">
        <f aca="false">ROUND(H1264*F1264,0)</f>
        <v>14</v>
      </c>
      <c r="J1264" s="22" t="n">
        <f aca="false">I1264*Assumptions!B24</f>
        <v>8400</v>
      </c>
      <c r="K1264" s="21" t="n">
        <f aca="false">K1263*(1+Assumptions!B30)</f>
        <v>19.8505928151507</v>
      </c>
      <c r="L1264" s="16" t="n">
        <f aca="false">ROUND(K1264*F1264,0)</f>
        <v>12</v>
      </c>
      <c r="M1264" s="22" t="n">
        <f aca="false">L1264*Assumptions!B31</f>
        <v>3600</v>
      </c>
      <c r="N1264" s="22" t="n">
        <f aca="false">J1264+M1264</f>
        <v>12000</v>
      </c>
      <c r="O1264" s="22" t="n">
        <f aca="false">IF(DAY(B1264)=1,Assumptions!B38*G1264,0)</f>
        <v>0</v>
      </c>
      <c r="P1264" s="22" t="n">
        <f aca="false">IF(DAY(B1264)=1,Assumptions!B39*G1264,0)</f>
        <v>0</v>
      </c>
      <c r="Q1264" s="22" t="n">
        <f aca="false">IF(DAY(B1264)=1,Assumptions!B40*G1264,0)</f>
        <v>0</v>
      </c>
      <c r="R1264" s="22" t="n">
        <f aca="false">IF(DAY(B1264)=1,Assumptions!B41*G1264,0)</f>
        <v>0</v>
      </c>
      <c r="S1264" s="22" t="n">
        <f aca="false">IF(AND(DAY(B1264)=1,D1264&gt;=13),Assumptions!B42*G1264,0)</f>
        <v>0</v>
      </c>
      <c r="T1264" s="22" t="n">
        <f aca="false">IF(DAY(B1264)=1,Assumptions!B43*G1264,0)</f>
        <v>0</v>
      </c>
      <c r="U1264" s="22" t="n">
        <f aca="false">SUM(O1264:T1264)</f>
        <v>0</v>
      </c>
      <c r="V1264" s="22" t="n">
        <f aca="false">N1264-U1264</f>
        <v>12000</v>
      </c>
      <c r="W1264" s="22" t="n">
        <f aca="false">W1263+V1264</f>
        <v>-1252090.58444305</v>
      </c>
      <c r="X1264" s="23" t="str">
        <f aca="false">IF(W1264&gt;=0,"YES","No")</f>
        <v>No</v>
      </c>
    </row>
    <row r="1265" customFormat="false" ht="15" hidden="false" customHeight="false" outlineLevel="0" collapsed="false">
      <c r="A1265" s="16" t="n">
        <v>1264</v>
      </c>
      <c r="B1265" s="17" t="n">
        <f aca="false">B1264+1</f>
        <v>47286</v>
      </c>
      <c r="C1265" s="18" t="n">
        <f aca="false">MIN(ROUNDUP(A1265/365,0),5)</f>
        <v>4</v>
      </c>
      <c r="D1265" s="18" t="n">
        <f aca="false">DATEDIF(Assumptions!B5,B1265,"m")+1</f>
        <v>42</v>
      </c>
      <c r="E1265" s="18" t="str">
        <f aca="false">TEXT(B1265,"ddd")</f>
        <v>Sun</v>
      </c>
      <c r="F1265" s="19" t="n">
        <f aca="false">IF(WEEKDAY(B1265,2)&gt;=6,Assumptions!B34,Assumptions!B35)</f>
        <v>0.6</v>
      </c>
      <c r="G1265" s="20" t="n">
        <f aca="false">IF(D1265&gt;=13,(1+Assumptions!B46)^(D1265-12),1)</f>
        <v>1.09402687487131</v>
      </c>
      <c r="H1265" s="21" t="n">
        <f aca="false">H1264*(1+IF(C1265=1,Assumptions!B22,Assumptions!B23))</f>
        <v>24.1177719398594</v>
      </c>
      <c r="I1265" s="16" t="n">
        <f aca="false">ROUND(H1265*F1265,0)</f>
        <v>14</v>
      </c>
      <c r="J1265" s="22" t="n">
        <f aca="false">I1265*Assumptions!B24</f>
        <v>8400</v>
      </c>
      <c r="K1265" s="21" t="n">
        <f aca="false">K1264*(1+Assumptions!B30)</f>
        <v>19.8570827051855</v>
      </c>
      <c r="L1265" s="16" t="n">
        <f aca="false">ROUND(K1265*F1265,0)</f>
        <v>12</v>
      </c>
      <c r="M1265" s="22" t="n">
        <f aca="false">L1265*Assumptions!B31</f>
        <v>3600</v>
      </c>
      <c r="N1265" s="22" t="n">
        <f aca="false">J1265+M1265</f>
        <v>12000</v>
      </c>
      <c r="O1265" s="22" t="n">
        <f aca="false">IF(DAY(B1265)=1,Assumptions!B38*G1265,0)</f>
        <v>0</v>
      </c>
      <c r="P1265" s="22" t="n">
        <f aca="false">IF(DAY(B1265)=1,Assumptions!B39*G1265,0)</f>
        <v>0</v>
      </c>
      <c r="Q1265" s="22" t="n">
        <f aca="false">IF(DAY(B1265)=1,Assumptions!B40*G1265,0)</f>
        <v>0</v>
      </c>
      <c r="R1265" s="22" t="n">
        <f aca="false">IF(DAY(B1265)=1,Assumptions!B41*G1265,0)</f>
        <v>0</v>
      </c>
      <c r="S1265" s="22" t="n">
        <f aca="false">IF(AND(DAY(B1265)=1,D1265&gt;=13),Assumptions!B42*G1265,0)</f>
        <v>0</v>
      </c>
      <c r="T1265" s="22" t="n">
        <f aca="false">IF(DAY(B1265)=1,Assumptions!B43*G1265,0)</f>
        <v>0</v>
      </c>
      <c r="U1265" s="22" t="n">
        <f aca="false">SUM(O1265:T1265)</f>
        <v>0</v>
      </c>
      <c r="V1265" s="22" t="n">
        <f aca="false">N1265-U1265</f>
        <v>12000</v>
      </c>
      <c r="W1265" s="22" t="n">
        <f aca="false">W1264+V1265</f>
        <v>-1240090.58444305</v>
      </c>
      <c r="X1265" s="23" t="str">
        <f aca="false">IF(W1265&gt;=0,"YES","No")</f>
        <v>No</v>
      </c>
    </row>
    <row r="1266" customFormat="false" ht="15" hidden="false" customHeight="false" outlineLevel="0" collapsed="false">
      <c r="A1266" s="16" t="n">
        <v>1265</v>
      </c>
      <c r="B1266" s="17" t="n">
        <f aca="false">B1265+1</f>
        <v>47287</v>
      </c>
      <c r="C1266" s="18" t="n">
        <f aca="false">MIN(ROUNDUP(A1266/365,0),5)</f>
        <v>4</v>
      </c>
      <c r="D1266" s="18" t="n">
        <f aca="false">DATEDIF(Assumptions!B5,B1266,"m")+1</f>
        <v>42</v>
      </c>
      <c r="E1266" s="18" t="str">
        <f aca="false">TEXT(B1266,"ddd")</f>
        <v>Mon</v>
      </c>
      <c r="F1266" s="19" t="n">
        <f aca="false">IF(WEEKDAY(B1266,2)&gt;=6,Assumptions!B34,Assumptions!B35)</f>
        <v>1</v>
      </c>
      <c r="G1266" s="20" t="n">
        <f aca="false">IF(D1266&gt;=13,(1+Assumptions!B46)^(D1266-12),1)</f>
        <v>1.09402687487131</v>
      </c>
      <c r="H1266" s="21" t="n">
        <f aca="false">H1265*(1+IF(C1266=1,Assumptions!B22,Assumptions!B23))</f>
        <v>24.1217239189581</v>
      </c>
      <c r="I1266" s="16" t="n">
        <f aca="false">ROUND(H1266*F1266,0)</f>
        <v>24</v>
      </c>
      <c r="J1266" s="22" t="n">
        <f aca="false">I1266*Assumptions!B24</f>
        <v>14400</v>
      </c>
      <c r="K1266" s="21" t="n">
        <f aca="false">K1265*(1+Assumptions!B30)</f>
        <v>19.8635747170045</v>
      </c>
      <c r="L1266" s="16" t="n">
        <f aca="false">ROUND(K1266*F1266,0)</f>
        <v>20</v>
      </c>
      <c r="M1266" s="22" t="n">
        <f aca="false">L1266*Assumptions!B31</f>
        <v>6000</v>
      </c>
      <c r="N1266" s="22" t="n">
        <f aca="false">J1266+M1266</f>
        <v>20400</v>
      </c>
      <c r="O1266" s="22" t="n">
        <f aca="false">IF(DAY(B1266)=1,Assumptions!B38*G1266,0)</f>
        <v>0</v>
      </c>
      <c r="P1266" s="22" t="n">
        <f aca="false">IF(DAY(B1266)=1,Assumptions!B39*G1266,0)</f>
        <v>0</v>
      </c>
      <c r="Q1266" s="22" t="n">
        <f aca="false">IF(DAY(B1266)=1,Assumptions!B40*G1266,0)</f>
        <v>0</v>
      </c>
      <c r="R1266" s="22" t="n">
        <f aca="false">IF(DAY(B1266)=1,Assumptions!B41*G1266,0)</f>
        <v>0</v>
      </c>
      <c r="S1266" s="22" t="n">
        <f aca="false">IF(AND(DAY(B1266)=1,D1266&gt;=13),Assumptions!B42*G1266,0)</f>
        <v>0</v>
      </c>
      <c r="T1266" s="22" t="n">
        <f aca="false">IF(DAY(B1266)=1,Assumptions!B43*G1266,0)</f>
        <v>0</v>
      </c>
      <c r="U1266" s="22" t="n">
        <f aca="false">SUM(O1266:T1266)</f>
        <v>0</v>
      </c>
      <c r="V1266" s="22" t="n">
        <f aca="false">N1266-U1266</f>
        <v>20400</v>
      </c>
      <c r="W1266" s="22" t="n">
        <f aca="false">W1265+V1266</f>
        <v>-1219690.58444305</v>
      </c>
      <c r="X1266" s="23" t="str">
        <f aca="false">IF(W1266&gt;=0,"YES","No")</f>
        <v>No</v>
      </c>
    </row>
    <row r="1267" customFormat="false" ht="15" hidden="false" customHeight="false" outlineLevel="0" collapsed="false">
      <c r="A1267" s="16" t="n">
        <v>1266</v>
      </c>
      <c r="B1267" s="17" t="n">
        <f aca="false">B1266+1</f>
        <v>47288</v>
      </c>
      <c r="C1267" s="18" t="n">
        <f aca="false">MIN(ROUNDUP(A1267/365,0),5)</f>
        <v>4</v>
      </c>
      <c r="D1267" s="18" t="n">
        <f aca="false">DATEDIF(Assumptions!B5,B1267,"m")+1</f>
        <v>42</v>
      </c>
      <c r="E1267" s="18" t="str">
        <f aca="false">TEXT(B1267,"ddd")</f>
        <v>Tue</v>
      </c>
      <c r="F1267" s="19" t="n">
        <f aca="false">IF(WEEKDAY(B1267,2)&gt;=6,Assumptions!B34,Assumptions!B35)</f>
        <v>1</v>
      </c>
      <c r="G1267" s="20" t="n">
        <f aca="false">IF(D1267&gt;=13,(1+Assumptions!B46)^(D1267-12),1)</f>
        <v>1.09402687487131</v>
      </c>
      <c r="H1267" s="21" t="n">
        <f aca="false">H1266*(1+IF(C1267=1,Assumptions!B22,Assumptions!B23))</f>
        <v>24.1256765456348</v>
      </c>
      <c r="I1267" s="16" t="n">
        <f aca="false">ROUND(H1267*F1267,0)</f>
        <v>24</v>
      </c>
      <c r="J1267" s="22" t="n">
        <f aca="false">I1267*Assumptions!B24</f>
        <v>14400</v>
      </c>
      <c r="K1267" s="21" t="n">
        <f aca="false">K1266*(1+Assumptions!B30)</f>
        <v>19.8700688513012</v>
      </c>
      <c r="L1267" s="16" t="n">
        <f aca="false">ROUND(K1267*F1267,0)</f>
        <v>20</v>
      </c>
      <c r="M1267" s="22" t="n">
        <f aca="false">L1267*Assumptions!B31</f>
        <v>6000</v>
      </c>
      <c r="N1267" s="22" t="n">
        <f aca="false">J1267+M1267</f>
        <v>20400</v>
      </c>
      <c r="O1267" s="22" t="n">
        <f aca="false">IF(DAY(B1267)=1,Assumptions!B38*G1267,0)</f>
        <v>0</v>
      </c>
      <c r="P1267" s="22" t="n">
        <f aca="false">IF(DAY(B1267)=1,Assumptions!B39*G1267,0)</f>
        <v>0</v>
      </c>
      <c r="Q1267" s="22" t="n">
        <f aca="false">IF(DAY(B1267)=1,Assumptions!B40*G1267,0)</f>
        <v>0</v>
      </c>
      <c r="R1267" s="22" t="n">
        <f aca="false">IF(DAY(B1267)=1,Assumptions!B41*G1267,0)</f>
        <v>0</v>
      </c>
      <c r="S1267" s="22" t="n">
        <f aca="false">IF(AND(DAY(B1267)=1,D1267&gt;=13),Assumptions!B42*G1267,0)</f>
        <v>0</v>
      </c>
      <c r="T1267" s="22" t="n">
        <f aca="false">IF(DAY(B1267)=1,Assumptions!B43*G1267,0)</f>
        <v>0</v>
      </c>
      <c r="U1267" s="22" t="n">
        <f aca="false">SUM(O1267:T1267)</f>
        <v>0</v>
      </c>
      <c r="V1267" s="22" t="n">
        <f aca="false">N1267-U1267</f>
        <v>20400</v>
      </c>
      <c r="W1267" s="22" t="n">
        <f aca="false">W1266+V1267</f>
        <v>-1199290.58444305</v>
      </c>
      <c r="X1267" s="23" t="str">
        <f aca="false">IF(W1267&gt;=0,"YES","No")</f>
        <v>No</v>
      </c>
    </row>
    <row r="1268" customFormat="false" ht="15" hidden="false" customHeight="false" outlineLevel="0" collapsed="false">
      <c r="A1268" s="16" t="n">
        <v>1267</v>
      </c>
      <c r="B1268" s="17" t="n">
        <f aca="false">B1267+1</f>
        <v>47289</v>
      </c>
      <c r="C1268" s="18" t="n">
        <f aca="false">MIN(ROUNDUP(A1268/365,0),5)</f>
        <v>4</v>
      </c>
      <c r="D1268" s="18" t="n">
        <f aca="false">DATEDIF(Assumptions!B5,B1268,"m")+1</f>
        <v>42</v>
      </c>
      <c r="E1268" s="18" t="str">
        <f aca="false">TEXT(B1268,"ddd")</f>
        <v>Wed</v>
      </c>
      <c r="F1268" s="19" t="n">
        <f aca="false">IF(WEEKDAY(B1268,2)&gt;=6,Assumptions!B34,Assumptions!B35)</f>
        <v>1</v>
      </c>
      <c r="G1268" s="20" t="n">
        <f aca="false">IF(D1268&gt;=13,(1+Assumptions!B46)^(D1268-12),1)</f>
        <v>1.09402687487131</v>
      </c>
      <c r="H1268" s="21" t="n">
        <f aca="false">H1267*(1+IF(C1268=1,Assumptions!B22,Assumptions!B23))</f>
        <v>24.1296298199957</v>
      </c>
      <c r="I1268" s="16" t="n">
        <f aca="false">ROUND(H1268*F1268,0)</f>
        <v>24</v>
      </c>
      <c r="J1268" s="22" t="n">
        <f aca="false">I1268*Assumptions!B24</f>
        <v>14400</v>
      </c>
      <c r="K1268" s="21" t="n">
        <f aca="false">K1267*(1+Assumptions!B30)</f>
        <v>19.8765651087697</v>
      </c>
      <c r="L1268" s="16" t="n">
        <f aca="false">ROUND(K1268*F1268,0)</f>
        <v>20</v>
      </c>
      <c r="M1268" s="22" t="n">
        <f aca="false">L1268*Assumptions!B31</f>
        <v>6000</v>
      </c>
      <c r="N1268" s="22" t="n">
        <f aca="false">J1268+M1268</f>
        <v>20400</v>
      </c>
      <c r="O1268" s="22" t="n">
        <f aca="false">IF(DAY(B1268)=1,Assumptions!B38*G1268,0)</f>
        <v>0</v>
      </c>
      <c r="P1268" s="22" t="n">
        <f aca="false">IF(DAY(B1268)=1,Assumptions!B39*G1268,0)</f>
        <v>0</v>
      </c>
      <c r="Q1268" s="22" t="n">
        <f aca="false">IF(DAY(B1268)=1,Assumptions!B40*G1268,0)</f>
        <v>0</v>
      </c>
      <c r="R1268" s="22" t="n">
        <f aca="false">IF(DAY(B1268)=1,Assumptions!B41*G1268,0)</f>
        <v>0</v>
      </c>
      <c r="S1268" s="22" t="n">
        <f aca="false">IF(AND(DAY(B1268)=1,D1268&gt;=13),Assumptions!B42*G1268,0)</f>
        <v>0</v>
      </c>
      <c r="T1268" s="22" t="n">
        <f aca="false">IF(DAY(B1268)=1,Assumptions!B43*G1268,0)</f>
        <v>0</v>
      </c>
      <c r="U1268" s="22" t="n">
        <f aca="false">SUM(O1268:T1268)</f>
        <v>0</v>
      </c>
      <c r="V1268" s="22" t="n">
        <f aca="false">N1268-U1268</f>
        <v>20400</v>
      </c>
      <c r="W1268" s="22" t="n">
        <f aca="false">W1267+V1268</f>
        <v>-1178890.58444305</v>
      </c>
      <c r="X1268" s="23" t="str">
        <f aca="false">IF(W1268&gt;=0,"YES","No")</f>
        <v>No</v>
      </c>
    </row>
    <row r="1269" customFormat="false" ht="15" hidden="false" customHeight="false" outlineLevel="0" collapsed="false">
      <c r="A1269" s="16" t="n">
        <v>1268</v>
      </c>
      <c r="B1269" s="17" t="n">
        <f aca="false">B1268+1</f>
        <v>47290</v>
      </c>
      <c r="C1269" s="18" t="n">
        <f aca="false">MIN(ROUNDUP(A1269/365,0),5)</f>
        <v>4</v>
      </c>
      <c r="D1269" s="18" t="n">
        <f aca="false">DATEDIF(Assumptions!B5,B1269,"m")+1</f>
        <v>42</v>
      </c>
      <c r="E1269" s="18" t="str">
        <f aca="false">TEXT(B1269,"ddd")</f>
        <v>Thu</v>
      </c>
      <c r="F1269" s="19" t="n">
        <f aca="false">IF(WEEKDAY(B1269,2)&gt;=6,Assumptions!B34,Assumptions!B35)</f>
        <v>1</v>
      </c>
      <c r="G1269" s="20" t="n">
        <f aca="false">IF(D1269&gt;=13,(1+Assumptions!B46)^(D1269-12),1)</f>
        <v>1.09402687487131</v>
      </c>
      <c r="H1269" s="21" t="n">
        <f aca="false">H1268*(1+IF(C1269=1,Assumptions!B22,Assumptions!B23))</f>
        <v>24.1335837421468</v>
      </c>
      <c r="I1269" s="16" t="n">
        <f aca="false">ROUND(H1269*F1269,0)</f>
        <v>24</v>
      </c>
      <c r="J1269" s="22" t="n">
        <f aca="false">I1269*Assumptions!B24</f>
        <v>14400</v>
      </c>
      <c r="K1269" s="21" t="n">
        <f aca="false">K1268*(1+Assumptions!B30)</f>
        <v>19.883063490104</v>
      </c>
      <c r="L1269" s="16" t="n">
        <f aca="false">ROUND(K1269*F1269,0)</f>
        <v>20</v>
      </c>
      <c r="M1269" s="22" t="n">
        <f aca="false">L1269*Assumptions!B31</f>
        <v>6000</v>
      </c>
      <c r="N1269" s="22" t="n">
        <f aca="false">J1269+M1269</f>
        <v>20400</v>
      </c>
      <c r="O1269" s="22" t="n">
        <f aca="false">IF(DAY(B1269)=1,Assumptions!B38*G1269,0)</f>
        <v>0</v>
      </c>
      <c r="P1269" s="22" t="n">
        <f aca="false">IF(DAY(B1269)=1,Assumptions!B39*G1269,0)</f>
        <v>0</v>
      </c>
      <c r="Q1269" s="22" t="n">
        <f aca="false">IF(DAY(B1269)=1,Assumptions!B40*G1269,0)</f>
        <v>0</v>
      </c>
      <c r="R1269" s="22" t="n">
        <f aca="false">IF(DAY(B1269)=1,Assumptions!B41*G1269,0)</f>
        <v>0</v>
      </c>
      <c r="S1269" s="22" t="n">
        <f aca="false">IF(AND(DAY(B1269)=1,D1269&gt;=13),Assumptions!B42*G1269,0)</f>
        <v>0</v>
      </c>
      <c r="T1269" s="22" t="n">
        <f aca="false">IF(DAY(B1269)=1,Assumptions!B43*G1269,0)</f>
        <v>0</v>
      </c>
      <c r="U1269" s="22" t="n">
        <f aca="false">SUM(O1269:T1269)</f>
        <v>0</v>
      </c>
      <c r="V1269" s="22" t="n">
        <f aca="false">N1269-U1269</f>
        <v>20400</v>
      </c>
      <c r="W1269" s="22" t="n">
        <f aca="false">W1268+V1269</f>
        <v>-1158490.58444305</v>
      </c>
      <c r="X1269" s="23" t="str">
        <f aca="false">IF(W1269&gt;=0,"YES","No")</f>
        <v>No</v>
      </c>
    </row>
    <row r="1270" customFormat="false" ht="15" hidden="false" customHeight="false" outlineLevel="0" collapsed="false">
      <c r="A1270" s="16" t="n">
        <v>1269</v>
      </c>
      <c r="B1270" s="17" t="n">
        <f aca="false">B1269+1</f>
        <v>47291</v>
      </c>
      <c r="C1270" s="18" t="n">
        <f aca="false">MIN(ROUNDUP(A1270/365,0),5)</f>
        <v>4</v>
      </c>
      <c r="D1270" s="18" t="n">
        <f aca="false">DATEDIF(Assumptions!B5,B1270,"m")+1</f>
        <v>42</v>
      </c>
      <c r="E1270" s="18" t="str">
        <f aca="false">TEXT(B1270,"ddd")</f>
        <v>Fri</v>
      </c>
      <c r="F1270" s="19" t="n">
        <f aca="false">IF(WEEKDAY(B1270,2)&gt;=6,Assumptions!B34,Assumptions!B35)</f>
        <v>1</v>
      </c>
      <c r="G1270" s="20" t="n">
        <f aca="false">IF(D1270&gt;=13,(1+Assumptions!B46)^(D1270-12),1)</f>
        <v>1.09402687487131</v>
      </c>
      <c r="H1270" s="21" t="n">
        <f aca="false">H1269*(1+IF(C1270=1,Assumptions!B22,Assumptions!B23))</f>
        <v>24.1375383121943</v>
      </c>
      <c r="I1270" s="16" t="n">
        <f aca="false">ROUND(H1270*F1270,0)</f>
        <v>24</v>
      </c>
      <c r="J1270" s="22" t="n">
        <f aca="false">I1270*Assumptions!B24</f>
        <v>14400</v>
      </c>
      <c r="K1270" s="21" t="n">
        <f aca="false">K1269*(1+Assumptions!B30)</f>
        <v>19.8895639959986</v>
      </c>
      <c r="L1270" s="16" t="n">
        <f aca="false">ROUND(K1270*F1270,0)</f>
        <v>20</v>
      </c>
      <c r="M1270" s="22" t="n">
        <f aca="false">L1270*Assumptions!B31</f>
        <v>6000</v>
      </c>
      <c r="N1270" s="22" t="n">
        <f aca="false">J1270+M1270</f>
        <v>20400</v>
      </c>
      <c r="O1270" s="22" t="n">
        <f aca="false">IF(DAY(B1270)=1,Assumptions!B38*G1270,0)</f>
        <v>0</v>
      </c>
      <c r="P1270" s="22" t="n">
        <f aca="false">IF(DAY(B1270)=1,Assumptions!B39*G1270,0)</f>
        <v>0</v>
      </c>
      <c r="Q1270" s="22" t="n">
        <f aca="false">IF(DAY(B1270)=1,Assumptions!B40*G1270,0)</f>
        <v>0</v>
      </c>
      <c r="R1270" s="22" t="n">
        <f aca="false">IF(DAY(B1270)=1,Assumptions!B41*G1270,0)</f>
        <v>0</v>
      </c>
      <c r="S1270" s="22" t="n">
        <f aca="false">IF(AND(DAY(B1270)=1,D1270&gt;=13),Assumptions!B42*G1270,0)</f>
        <v>0</v>
      </c>
      <c r="T1270" s="22" t="n">
        <f aca="false">IF(DAY(B1270)=1,Assumptions!B43*G1270,0)</f>
        <v>0</v>
      </c>
      <c r="U1270" s="22" t="n">
        <f aca="false">SUM(O1270:T1270)</f>
        <v>0</v>
      </c>
      <c r="V1270" s="22" t="n">
        <f aca="false">N1270-U1270</f>
        <v>20400</v>
      </c>
      <c r="W1270" s="22" t="n">
        <f aca="false">W1269+V1270</f>
        <v>-1138090.58444305</v>
      </c>
      <c r="X1270" s="23" t="str">
        <f aca="false">IF(W1270&gt;=0,"YES","No")</f>
        <v>No</v>
      </c>
    </row>
    <row r="1271" customFormat="false" ht="15" hidden="false" customHeight="false" outlineLevel="0" collapsed="false">
      <c r="A1271" s="16" t="n">
        <v>1270</v>
      </c>
      <c r="B1271" s="17" t="n">
        <f aca="false">B1270+1</f>
        <v>47292</v>
      </c>
      <c r="C1271" s="18" t="n">
        <f aca="false">MIN(ROUNDUP(A1271/365,0),5)</f>
        <v>4</v>
      </c>
      <c r="D1271" s="18" t="n">
        <f aca="false">DATEDIF(Assumptions!B5,B1271,"m")+1</f>
        <v>42</v>
      </c>
      <c r="E1271" s="18" t="str">
        <f aca="false">TEXT(B1271,"ddd")</f>
        <v>Sat</v>
      </c>
      <c r="F1271" s="19" t="n">
        <f aca="false">IF(WEEKDAY(B1271,2)&gt;=6,Assumptions!B34,Assumptions!B35)</f>
        <v>0.6</v>
      </c>
      <c r="G1271" s="20" t="n">
        <f aca="false">IF(D1271&gt;=13,(1+Assumptions!B46)^(D1271-12),1)</f>
        <v>1.09402687487131</v>
      </c>
      <c r="H1271" s="21" t="n">
        <f aca="false">H1270*(1+IF(C1271=1,Assumptions!B22,Assumptions!B23))</f>
        <v>24.1414935302443</v>
      </c>
      <c r="I1271" s="16" t="n">
        <f aca="false">ROUND(H1271*F1271,0)</f>
        <v>14</v>
      </c>
      <c r="J1271" s="22" t="n">
        <f aca="false">I1271*Assumptions!B24</f>
        <v>8400</v>
      </c>
      <c r="K1271" s="21" t="n">
        <f aca="false">K1270*(1+Assumptions!B30)</f>
        <v>19.896066627148</v>
      </c>
      <c r="L1271" s="16" t="n">
        <f aca="false">ROUND(K1271*F1271,0)</f>
        <v>12</v>
      </c>
      <c r="M1271" s="22" t="n">
        <f aca="false">L1271*Assumptions!B31</f>
        <v>3600</v>
      </c>
      <c r="N1271" s="22" t="n">
        <f aca="false">J1271+M1271</f>
        <v>12000</v>
      </c>
      <c r="O1271" s="22" t="n">
        <f aca="false">IF(DAY(B1271)=1,Assumptions!B38*G1271,0)</f>
        <v>0</v>
      </c>
      <c r="P1271" s="22" t="n">
        <f aca="false">IF(DAY(B1271)=1,Assumptions!B39*G1271,0)</f>
        <v>0</v>
      </c>
      <c r="Q1271" s="22" t="n">
        <f aca="false">IF(DAY(B1271)=1,Assumptions!B40*G1271,0)</f>
        <v>0</v>
      </c>
      <c r="R1271" s="22" t="n">
        <f aca="false">IF(DAY(B1271)=1,Assumptions!B41*G1271,0)</f>
        <v>0</v>
      </c>
      <c r="S1271" s="22" t="n">
        <f aca="false">IF(AND(DAY(B1271)=1,D1271&gt;=13),Assumptions!B42*G1271,0)</f>
        <v>0</v>
      </c>
      <c r="T1271" s="22" t="n">
        <f aca="false">IF(DAY(B1271)=1,Assumptions!B43*G1271,0)</f>
        <v>0</v>
      </c>
      <c r="U1271" s="22" t="n">
        <f aca="false">SUM(O1271:T1271)</f>
        <v>0</v>
      </c>
      <c r="V1271" s="22" t="n">
        <f aca="false">N1271-U1271</f>
        <v>12000</v>
      </c>
      <c r="W1271" s="22" t="n">
        <f aca="false">W1270+V1271</f>
        <v>-1126090.58444305</v>
      </c>
      <c r="X1271" s="23" t="str">
        <f aca="false">IF(W1271&gt;=0,"YES","No")</f>
        <v>No</v>
      </c>
    </row>
    <row r="1272" customFormat="false" ht="15" hidden="false" customHeight="false" outlineLevel="0" collapsed="false">
      <c r="A1272" s="16" t="n">
        <v>1271</v>
      </c>
      <c r="B1272" s="17" t="n">
        <f aca="false">B1271+1</f>
        <v>47293</v>
      </c>
      <c r="C1272" s="18" t="n">
        <f aca="false">MIN(ROUNDUP(A1272/365,0),5)</f>
        <v>4</v>
      </c>
      <c r="D1272" s="18" t="n">
        <f aca="false">DATEDIF(Assumptions!B5,B1272,"m")+1</f>
        <v>42</v>
      </c>
      <c r="E1272" s="18" t="str">
        <f aca="false">TEXT(B1272,"ddd")</f>
        <v>Sun</v>
      </c>
      <c r="F1272" s="19" t="n">
        <f aca="false">IF(WEEKDAY(B1272,2)&gt;=6,Assumptions!B34,Assumptions!B35)</f>
        <v>0.6</v>
      </c>
      <c r="G1272" s="20" t="n">
        <f aca="false">IF(D1272&gt;=13,(1+Assumptions!B46)^(D1272-12),1)</f>
        <v>1.09402687487131</v>
      </c>
      <c r="H1272" s="21" t="n">
        <f aca="false">H1271*(1+IF(C1272=1,Assumptions!B22,Assumptions!B23))</f>
        <v>24.1454493964031</v>
      </c>
      <c r="I1272" s="16" t="n">
        <f aca="false">ROUND(H1272*F1272,0)</f>
        <v>14</v>
      </c>
      <c r="J1272" s="22" t="n">
        <f aca="false">I1272*Assumptions!B24</f>
        <v>8400</v>
      </c>
      <c r="K1272" s="21" t="n">
        <f aca="false">K1271*(1+Assumptions!B30)</f>
        <v>19.9025713842471</v>
      </c>
      <c r="L1272" s="16" t="n">
        <f aca="false">ROUND(K1272*F1272,0)</f>
        <v>12</v>
      </c>
      <c r="M1272" s="22" t="n">
        <f aca="false">L1272*Assumptions!B31</f>
        <v>3600</v>
      </c>
      <c r="N1272" s="22" t="n">
        <f aca="false">J1272+M1272</f>
        <v>12000</v>
      </c>
      <c r="O1272" s="22" t="n">
        <f aca="false">IF(DAY(B1272)=1,Assumptions!B38*G1272,0)</f>
        <v>0</v>
      </c>
      <c r="P1272" s="22" t="n">
        <f aca="false">IF(DAY(B1272)=1,Assumptions!B39*G1272,0)</f>
        <v>0</v>
      </c>
      <c r="Q1272" s="22" t="n">
        <f aca="false">IF(DAY(B1272)=1,Assumptions!B40*G1272,0)</f>
        <v>0</v>
      </c>
      <c r="R1272" s="22" t="n">
        <f aca="false">IF(DAY(B1272)=1,Assumptions!B41*G1272,0)</f>
        <v>0</v>
      </c>
      <c r="S1272" s="22" t="n">
        <f aca="false">IF(AND(DAY(B1272)=1,D1272&gt;=13),Assumptions!B42*G1272,0)</f>
        <v>0</v>
      </c>
      <c r="T1272" s="22" t="n">
        <f aca="false">IF(DAY(B1272)=1,Assumptions!B43*G1272,0)</f>
        <v>0</v>
      </c>
      <c r="U1272" s="22" t="n">
        <f aca="false">SUM(O1272:T1272)</f>
        <v>0</v>
      </c>
      <c r="V1272" s="22" t="n">
        <f aca="false">N1272-U1272</f>
        <v>12000</v>
      </c>
      <c r="W1272" s="22" t="n">
        <f aca="false">W1271+V1272</f>
        <v>-1114090.58444305</v>
      </c>
      <c r="X1272" s="23" t="str">
        <f aca="false">IF(W1272&gt;=0,"YES","No")</f>
        <v>No</v>
      </c>
    </row>
    <row r="1273" customFormat="false" ht="15" hidden="false" customHeight="false" outlineLevel="0" collapsed="false">
      <c r="A1273" s="16" t="n">
        <v>1272</v>
      </c>
      <c r="B1273" s="17" t="n">
        <f aca="false">B1272+1</f>
        <v>47294</v>
      </c>
      <c r="C1273" s="18" t="n">
        <f aca="false">MIN(ROUNDUP(A1273/365,0),5)</f>
        <v>4</v>
      </c>
      <c r="D1273" s="18" t="n">
        <f aca="false">DATEDIF(Assumptions!B5,B1273,"m")+1</f>
        <v>42</v>
      </c>
      <c r="E1273" s="18" t="str">
        <f aca="false">TEXT(B1273,"ddd")</f>
        <v>Mon</v>
      </c>
      <c r="F1273" s="19" t="n">
        <f aca="false">IF(WEEKDAY(B1273,2)&gt;=6,Assumptions!B34,Assumptions!B35)</f>
        <v>1</v>
      </c>
      <c r="G1273" s="20" t="n">
        <f aca="false">IF(D1273&gt;=13,(1+Assumptions!B46)^(D1273-12),1)</f>
        <v>1.09402687487131</v>
      </c>
      <c r="H1273" s="21" t="n">
        <f aca="false">H1272*(1+IF(C1273=1,Assumptions!B22,Assumptions!B23))</f>
        <v>24.1494059107769</v>
      </c>
      <c r="I1273" s="16" t="n">
        <f aca="false">ROUND(H1273*F1273,0)</f>
        <v>24</v>
      </c>
      <c r="J1273" s="22" t="n">
        <f aca="false">I1273*Assumptions!B24</f>
        <v>14400</v>
      </c>
      <c r="K1273" s="21" t="n">
        <f aca="false">K1272*(1+Assumptions!B30)</f>
        <v>19.9090782679909</v>
      </c>
      <c r="L1273" s="16" t="n">
        <f aca="false">ROUND(K1273*F1273,0)</f>
        <v>20</v>
      </c>
      <c r="M1273" s="22" t="n">
        <f aca="false">L1273*Assumptions!B31</f>
        <v>6000</v>
      </c>
      <c r="N1273" s="22" t="n">
        <f aca="false">J1273+M1273</f>
        <v>20400</v>
      </c>
      <c r="O1273" s="22" t="n">
        <f aca="false">IF(DAY(B1273)=1,Assumptions!B38*G1273,0)</f>
        <v>0</v>
      </c>
      <c r="P1273" s="22" t="n">
        <f aca="false">IF(DAY(B1273)=1,Assumptions!B39*G1273,0)</f>
        <v>0</v>
      </c>
      <c r="Q1273" s="22" t="n">
        <f aca="false">IF(DAY(B1273)=1,Assumptions!B40*G1273,0)</f>
        <v>0</v>
      </c>
      <c r="R1273" s="22" t="n">
        <f aca="false">IF(DAY(B1273)=1,Assumptions!B41*G1273,0)</f>
        <v>0</v>
      </c>
      <c r="S1273" s="22" t="n">
        <f aca="false">IF(AND(DAY(B1273)=1,D1273&gt;=13),Assumptions!B42*G1273,0)</f>
        <v>0</v>
      </c>
      <c r="T1273" s="22" t="n">
        <f aca="false">IF(DAY(B1273)=1,Assumptions!B43*G1273,0)</f>
        <v>0</v>
      </c>
      <c r="U1273" s="22" t="n">
        <f aca="false">SUM(O1273:T1273)</f>
        <v>0</v>
      </c>
      <c r="V1273" s="22" t="n">
        <f aca="false">N1273-U1273</f>
        <v>20400</v>
      </c>
      <c r="W1273" s="22" t="n">
        <f aca="false">W1272+V1273</f>
        <v>-1093690.58444305</v>
      </c>
      <c r="X1273" s="23" t="str">
        <f aca="false">IF(W1273&gt;=0,"YES","No")</f>
        <v>No</v>
      </c>
    </row>
    <row r="1274" customFormat="false" ht="15" hidden="false" customHeight="false" outlineLevel="0" collapsed="false">
      <c r="A1274" s="16" t="n">
        <v>1273</v>
      </c>
      <c r="B1274" s="17" t="n">
        <f aca="false">B1273+1</f>
        <v>47295</v>
      </c>
      <c r="C1274" s="18" t="n">
        <f aca="false">MIN(ROUNDUP(A1274/365,0),5)</f>
        <v>4</v>
      </c>
      <c r="D1274" s="18" t="n">
        <f aca="false">DATEDIF(Assumptions!B5,B1274,"m")+1</f>
        <v>42</v>
      </c>
      <c r="E1274" s="18" t="str">
        <f aca="false">TEXT(B1274,"ddd")</f>
        <v>Tue</v>
      </c>
      <c r="F1274" s="19" t="n">
        <f aca="false">IF(WEEKDAY(B1274,2)&gt;=6,Assumptions!B34,Assumptions!B35)</f>
        <v>1</v>
      </c>
      <c r="G1274" s="20" t="n">
        <f aca="false">IF(D1274&gt;=13,(1+Assumptions!B46)^(D1274-12),1)</f>
        <v>1.09402687487131</v>
      </c>
      <c r="H1274" s="21" t="n">
        <f aca="false">H1273*(1+IF(C1274=1,Assumptions!B22,Assumptions!B23))</f>
        <v>24.1533630734719</v>
      </c>
      <c r="I1274" s="16" t="n">
        <f aca="false">ROUND(H1274*F1274,0)</f>
        <v>24</v>
      </c>
      <c r="J1274" s="22" t="n">
        <f aca="false">I1274*Assumptions!B24</f>
        <v>14400</v>
      </c>
      <c r="K1274" s="21" t="n">
        <f aca="false">K1273*(1+Assumptions!B30)</f>
        <v>19.9155872790747</v>
      </c>
      <c r="L1274" s="16" t="n">
        <f aca="false">ROUND(K1274*F1274,0)</f>
        <v>20</v>
      </c>
      <c r="M1274" s="22" t="n">
        <f aca="false">L1274*Assumptions!B31</f>
        <v>6000</v>
      </c>
      <c r="N1274" s="22" t="n">
        <f aca="false">J1274+M1274</f>
        <v>20400</v>
      </c>
      <c r="O1274" s="22" t="n">
        <f aca="false">IF(DAY(B1274)=1,Assumptions!B38*G1274,0)</f>
        <v>0</v>
      </c>
      <c r="P1274" s="22" t="n">
        <f aca="false">IF(DAY(B1274)=1,Assumptions!B39*G1274,0)</f>
        <v>0</v>
      </c>
      <c r="Q1274" s="22" t="n">
        <f aca="false">IF(DAY(B1274)=1,Assumptions!B40*G1274,0)</f>
        <v>0</v>
      </c>
      <c r="R1274" s="22" t="n">
        <f aca="false">IF(DAY(B1274)=1,Assumptions!B41*G1274,0)</f>
        <v>0</v>
      </c>
      <c r="S1274" s="22" t="n">
        <f aca="false">IF(AND(DAY(B1274)=1,D1274&gt;=13),Assumptions!B42*G1274,0)</f>
        <v>0</v>
      </c>
      <c r="T1274" s="22" t="n">
        <f aca="false">IF(DAY(B1274)=1,Assumptions!B43*G1274,0)</f>
        <v>0</v>
      </c>
      <c r="U1274" s="22" t="n">
        <f aca="false">SUM(O1274:T1274)</f>
        <v>0</v>
      </c>
      <c r="V1274" s="22" t="n">
        <f aca="false">N1274-U1274</f>
        <v>20400</v>
      </c>
      <c r="W1274" s="22" t="n">
        <f aca="false">W1273+V1274</f>
        <v>-1073290.58444305</v>
      </c>
      <c r="X1274" s="23" t="str">
        <f aca="false">IF(W1274&gt;=0,"YES","No")</f>
        <v>No</v>
      </c>
    </row>
    <row r="1275" customFormat="false" ht="15" hidden="false" customHeight="false" outlineLevel="0" collapsed="false">
      <c r="A1275" s="16" t="n">
        <v>1274</v>
      </c>
      <c r="B1275" s="17" t="n">
        <f aca="false">B1274+1</f>
        <v>47296</v>
      </c>
      <c r="C1275" s="18" t="n">
        <f aca="false">MIN(ROUNDUP(A1275/365,0),5)</f>
        <v>4</v>
      </c>
      <c r="D1275" s="18" t="n">
        <f aca="false">DATEDIF(Assumptions!B5,B1275,"m")+1</f>
        <v>42</v>
      </c>
      <c r="E1275" s="18" t="str">
        <f aca="false">TEXT(B1275,"ddd")</f>
        <v>Wed</v>
      </c>
      <c r="F1275" s="19" t="n">
        <f aca="false">IF(WEEKDAY(B1275,2)&gt;=6,Assumptions!B34,Assumptions!B35)</f>
        <v>1</v>
      </c>
      <c r="G1275" s="20" t="n">
        <f aca="false">IF(D1275&gt;=13,(1+Assumptions!B46)^(D1275-12),1)</f>
        <v>1.09402687487131</v>
      </c>
      <c r="H1275" s="21" t="n">
        <f aca="false">H1274*(1+IF(C1275=1,Assumptions!B22,Assumptions!B23))</f>
        <v>24.1573208845942</v>
      </c>
      <c r="I1275" s="16" t="n">
        <f aca="false">ROUND(H1275*F1275,0)</f>
        <v>24</v>
      </c>
      <c r="J1275" s="22" t="n">
        <f aca="false">I1275*Assumptions!B24</f>
        <v>14400</v>
      </c>
      <c r="K1275" s="21" t="n">
        <f aca="false">K1274*(1+Assumptions!B30)</f>
        <v>19.922098418194</v>
      </c>
      <c r="L1275" s="16" t="n">
        <f aca="false">ROUND(K1275*F1275,0)</f>
        <v>20</v>
      </c>
      <c r="M1275" s="22" t="n">
        <f aca="false">L1275*Assumptions!B31</f>
        <v>6000</v>
      </c>
      <c r="N1275" s="22" t="n">
        <f aca="false">J1275+M1275</f>
        <v>20400</v>
      </c>
      <c r="O1275" s="22" t="n">
        <f aca="false">IF(DAY(B1275)=1,Assumptions!B38*G1275,0)</f>
        <v>0</v>
      </c>
      <c r="P1275" s="22" t="n">
        <f aca="false">IF(DAY(B1275)=1,Assumptions!B39*G1275,0)</f>
        <v>0</v>
      </c>
      <c r="Q1275" s="22" t="n">
        <f aca="false">IF(DAY(B1275)=1,Assumptions!B40*G1275,0)</f>
        <v>0</v>
      </c>
      <c r="R1275" s="22" t="n">
        <f aca="false">IF(DAY(B1275)=1,Assumptions!B41*G1275,0)</f>
        <v>0</v>
      </c>
      <c r="S1275" s="22" t="n">
        <f aca="false">IF(AND(DAY(B1275)=1,D1275&gt;=13),Assumptions!B42*G1275,0)</f>
        <v>0</v>
      </c>
      <c r="T1275" s="22" t="n">
        <f aca="false">IF(DAY(B1275)=1,Assumptions!B43*G1275,0)</f>
        <v>0</v>
      </c>
      <c r="U1275" s="22" t="n">
        <f aca="false">SUM(O1275:T1275)</f>
        <v>0</v>
      </c>
      <c r="V1275" s="22" t="n">
        <f aca="false">N1275-U1275</f>
        <v>20400</v>
      </c>
      <c r="W1275" s="22" t="n">
        <f aca="false">W1274+V1275</f>
        <v>-1052890.58444305</v>
      </c>
      <c r="X1275" s="23" t="str">
        <f aca="false">IF(W1275&gt;=0,"YES","No")</f>
        <v>No</v>
      </c>
    </row>
    <row r="1276" customFormat="false" ht="15" hidden="false" customHeight="false" outlineLevel="0" collapsed="false">
      <c r="A1276" s="16" t="n">
        <v>1275</v>
      </c>
      <c r="B1276" s="17" t="n">
        <f aca="false">B1275+1</f>
        <v>47297</v>
      </c>
      <c r="C1276" s="18" t="n">
        <f aca="false">MIN(ROUNDUP(A1276/365,0),5)</f>
        <v>4</v>
      </c>
      <c r="D1276" s="18" t="n">
        <f aca="false">DATEDIF(Assumptions!B5,B1276,"m")+1</f>
        <v>42</v>
      </c>
      <c r="E1276" s="18" t="str">
        <f aca="false">TEXT(B1276,"ddd")</f>
        <v>Thu</v>
      </c>
      <c r="F1276" s="19" t="n">
        <f aca="false">IF(WEEKDAY(B1276,2)&gt;=6,Assumptions!B34,Assumptions!B35)</f>
        <v>1</v>
      </c>
      <c r="G1276" s="20" t="n">
        <f aca="false">IF(D1276&gt;=13,(1+Assumptions!B46)^(D1276-12),1)</f>
        <v>1.09402687487131</v>
      </c>
      <c r="H1276" s="21" t="n">
        <f aca="false">H1275*(1+IF(C1276=1,Assumptions!B22,Assumptions!B23))</f>
        <v>24.1612793442502</v>
      </c>
      <c r="I1276" s="16" t="n">
        <f aca="false">ROUND(H1276*F1276,0)</f>
        <v>24</v>
      </c>
      <c r="J1276" s="22" t="n">
        <f aca="false">I1276*Assumptions!B24</f>
        <v>14400</v>
      </c>
      <c r="K1276" s="21" t="n">
        <f aca="false">K1275*(1+Assumptions!B30)</f>
        <v>19.9286116860446</v>
      </c>
      <c r="L1276" s="16" t="n">
        <f aca="false">ROUND(K1276*F1276,0)</f>
        <v>20</v>
      </c>
      <c r="M1276" s="22" t="n">
        <f aca="false">L1276*Assumptions!B31</f>
        <v>6000</v>
      </c>
      <c r="N1276" s="22" t="n">
        <f aca="false">J1276+M1276</f>
        <v>20400</v>
      </c>
      <c r="O1276" s="22" t="n">
        <f aca="false">IF(DAY(B1276)=1,Assumptions!B38*G1276,0)</f>
        <v>0</v>
      </c>
      <c r="P1276" s="22" t="n">
        <f aca="false">IF(DAY(B1276)=1,Assumptions!B39*G1276,0)</f>
        <v>0</v>
      </c>
      <c r="Q1276" s="22" t="n">
        <f aca="false">IF(DAY(B1276)=1,Assumptions!B40*G1276,0)</f>
        <v>0</v>
      </c>
      <c r="R1276" s="22" t="n">
        <f aca="false">IF(DAY(B1276)=1,Assumptions!B41*G1276,0)</f>
        <v>0</v>
      </c>
      <c r="S1276" s="22" t="n">
        <f aca="false">IF(AND(DAY(B1276)=1,D1276&gt;=13),Assumptions!B42*G1276,0)</f>
        <v>0</v>
      </c>
      <c r="T1276" s="22" t="n">
        <f aca="false">IF(DAY(B1276)=1,Assumptions!B43*G1276,0)</f>
        <v>0</v>
      </c>
      <c r="U1276" s="22" t="n">
        <f aca="false">SUM(O1276:T1276)</f>
        <v>0</v>
      </c>
      <c r="V1276" s="22" t="n">
        <f aca="false">N1276-U1276</f>
        <v>20400</v>
      </c>
      <c r="W1276" s="22" t="n">
        <f aca="false">W1275+V1276</f>
        <v>-1032490.58444305</v>
      </c>
      <c r="X1276" s="23" t="str">
        <f aca="false">IF(W1276&gt;=0,"YES","No")</f>
        <v>No</v>
      </c>
    </row>
    <row r="1277" customFormat="false" ht="15" hidden="false" customHeight="false" outlineLevel="0" collapsed="false">
      <c r="A1277" s="16" t="n">
        <v>1276</v>
      </c>
      <c r="B1277" s="17" t="n">
        <f aca="false">B1276+1</f>
        <v>47298</v>
      </c>
      <c r="C1277" s="18" t="n">
        <f aca="false">MIN(ROUNDUP(A1277/365,0),5)</f>
        <v>4</v>
      </c>
      <c r="D1277" s="18" t="n">
        <f aca="false">DATEDIF(Assumptions!B5,B1277,"m")+1</f>
        <v>42</v>
      </c>
      <c r="E1277" s="18" t="str">
        <f aca="false">TEXT(B1277,"ddd")</f>
        <v>Fri</v>
      </c>
      <c r="F1277" s="19" t="n">
        <f aca="false">IF(WEEKDAY(B1277,2)&gt;=6,Assumptions!B34,Assumptions!B35)</f>
        <v>1</v>
      </c>
      <c r="G1277" s="20" t="n">
        <f aca="false">IF(D1277&gt;=13,(1+Assumptions!B46)^(D1277-12),1)</f>
        <v>1.09402687487131</v>
      </c>
      <c r="H1277" s="21" t="n">
        <f aca="false">H1276*(1+IF(C1277=1,Assumptions!B22,Assumptions!B23))</f>
        <v>24.1652384525461</v>
      </c>
      <c r="I1277" s="16" t="n">
        <f aca="false">ROUND(H1277*F1277,0)</f>
        <v>24</v>
      </c>
      <c r="J1277" s="22" t="n">
        <f aca="false">I1277*Assumptions!B24</f>
        <v>14400</v>
      </c>
      <c r="K1277" s="21" t="n">
        <f aca="false">K1276*(1+Assumptions!B30)</f>
        <v>19.9351270833223</v>
      </c>
      <c r="L1277" s="16" t="n">
        <f aca="false">ROUND(K1277*F1277,0)</f>
        <v>20</v>
      </c>
      <c r="M1277" s="22" t="n">
        <f aca="false">L1277*Assumptions!B31</f>
        <v>6000</v>
      </c>
      <c r="N1277" s="22" t="n">
        <f aca="false">J1277+M1277</f>
        <v>20400</v>
      </c>
      <c r="O1277" s="22" t="n">
        <f aca="false">IF(DAY(B1277)=1,Assumptions!B38*G1277,0)</f>
        <v>0</v>
      </c>
      <c r="P1277" s="22" t="n">
        <f aca="false">IF(DAY(B1277)=1,Assumptions!B39*G1277,0)</f>
        <v>0</v>
      </c>
      <c r="Q1277" s="22" t="n">
        <f aca="false">IF(DAY(B1277)=1,Assumptions!B40*G1277,0)</f>
        <v>0</v>
      </c>
      <c r="R1277" s="22" t="n">
        <f aca="false">IF(DAY(B1277)=1,Assumptions!B41*G1277,0)</f>
        <v>0</v>
      </c>
      <c r="S1277" s="22" t="n">
        <f aca="false">IF(AND(DAY(B1277)=1,D1277&gt;=13),Assumptions!B42*G1277,0)</f>
        <v>0</v>
      </c>
      <c r="T1277" s="22" t="n">
        <f aca="false">IF(DAY(B1277)=1,Assumptions!B43*G1277,0)</f>
        <v>0</v>
      </c>
      <c r="U1277" s="22" t="n">
        <f aca="false">SUM(O1277:T1277)</f>
        <v>0</v>
      </c>
      <c r="V1277" s="22" t="n">
        <f aca="false">N1277-U1277</f>
        <v>20400</v>
      </c>
      <c r="W1277" s="22" t="n">
        <f aca="false">W1276+V1277</f>
        <v>-1012090.58444305</v>
      </c>
      <c r="X1277" s="23" t="str">
        <f aca="false">IF(W1277&gt;=0,"YES","No")</f>
        <v>No</v>
      </c>
    </row>
    <row r="1278" customFormat="false" ht="15" hidden="false" customHeight="false" outlineLevel="0" collapsed="false">
      <c r="A1278" s="16" t="n">
        <v>1277</v>
      </c>
      <c r="B1278" s="17" t="n">
        <f aca="false">B1277+1</f>
        <v>47299</v>
      </c>
      <c r="C1278" s="18" t="n">
        <f aca="false">MIN(ROUNDUP(A1278/365,0),5)</f>
        <v>4</v>
      </c>
      <c r="D1278" s="18" t="n">
        <f aca="false">DATEDIF(Assumptions!B5,B1278,"m")+1</f>
        <v>42</v>
      </c>
      <c r="E1278" s="18" t="str">
        <f aca="false">TEXT(B1278,"ddd")</f>
        <v>Sat</v>
      </c>
      <c r="F1278" s="19" t="n">
        <f aca="false">IF(WEEKDAY(B1278,2)&gt;=6,Assumptions!B34,Assumptions!B35)</f>
        <v>0.6</v>
      </c>
      <c r="G1278" s="20" t="n">
        <f aca="false">IF(D1278&gt;=13,(1+Assumptions!B46)^(D1278-12),1)</f>
        <v>1.09402687487131</v>
      </c>
      <c r="H1278" s="21" t="n">
        <f aca="false">H1277*(1+IF(C1278=1,Assumptions!B22,Assumptions!B23))</f>
        <v>24.1691982095883</v>
      </c>
      <c r="I1278" s="16" t="n">
        <f aca="false">ROUND(H1278*F1278,0)</f>
        <v>15</v>
      </c>
      <c r="J1278" s="22" t="n">
        <f aca="false">I1278*Assumptions!B24</f>
        <v>9000</v>
      </c>
      <c r="K1278" s="21" t="n">
        <f aca="false">K1277*(1+Assumptions!B30)</f>
        <v>19.9416446107234</v>
      </c>
      <c r="L1278" s="16" t="n">
        <f aca="false">ROUND(K1278*F1278,0)</f>
        <v>12</v>
      </c>
      <c r="M1278" s="22" t="n">
        <f aca="false">L1278*Assumptions!B31</f>
        <v>3600</v>
      </c>
      <c r="N1278" s="22" t="n">
        <f aca="false">J1278+M1278</f>
        <v>12600</v>
      </c>
      <c r="O1278" s="22" t="n">
        <f aca="false">IF(DAY(B1278)=1,Assumptions!B38*G1278,0)</f>
        <v>0</v>
      </c>
      <c r="P1278" s="22" t="n">
        <f aca="false">IF(DAY(B1278)=1,Assumptions!B39*G1278,0)</f>
        <v>0</v>
      </c>
      <c r="Q1278" s="22" t="n">
        <f aca="false">IF(DAY(B1278)=1,Assumptions!B40*G1278,0)</f>
        <v>0</v>
      </c>
      <c r="R1278" s="22" t="n">
        <f aca="false">IF(DAY(B1278)=1,Assumptions!B41*G1278,0)</f>
        <v>0</v>
      </c>
      <c r="S1278" s="22" t="n">
        <f aca="false">IF(AND(DAY(B1278)=1,D1278&gt;=13),Assumptions!B42*G1278,0)</f>
        <v>0</v>
      </c>
      <c r="T1278" s="22" t="n">
        <f aca="false">IF(DAY(B1278)=1,Assumptions!B43*G1278,0)</f>
        <v>0</v>
      </c>
      <c r="U1278" s="22" t="n">
        <f aca="false">SUM(O1278:T1278)</f>
        <v>0</v>
      </c>
      <c r="V1278" s="22" t="n">
        <f aca="false">N1278-U1278</f>
        <v>12600</v>
      </c>
      <c r="W1278" s="22" t="n">
        <f aca="false">W1277+V1278</f>
        <v>-999490.584443047</v>
      </c>
      <c r="X1278" s="23" t="str">
        <f aca="false">IF(W1278&gt;=0,"YES","No")</f>
        <v>No</v>
      </c>
    </row>
    <row r="1279" customFormat="false" ht="15" hidden="false" customHeight="false" outlineLevel="0" collapsed="false">
      <c r="A1279" s="16" t="n">
        <v>1278</v>
      </c>
      <c r="B1279" s="17" t="n">
        <f aca="false">B1278+1</f>
        <v>47300</v>
      </c>
      <c r="C1279" s="18" t="n">
        <f aca="false">MIN(ROUNDUP(A1279/365,0),5)</f>
        <v>4</v>
      </c>
      <c r="D1279" s="18" t="n">
        <f aca="false">DATEDIF(Assumptions!B5,B1279,"m")+1</f>
        <v>43</v>
      </c>
      <c r="E1279" s="18" t="str">
        <f aca="false">TEXT(B1279,"ddd")</f>
        <v>Sun</v>
      </c>
      <c r="F1279" s="19" t="n">
        <f aca="false">IF(WEEKDAY(B1279,2)&gt;=6,Assumptions!B34,Assumptions!B35)</f>
        <v>0.6</v>
      </c>
      <c r="G1279" s="20" t="n">
        <f aca="false">IF(D1279&gt;=13,(1+Assumptions!B46)^(D1279-12),1)</f>
        <v>1.09730895549592</v>
      </c>
      <c r="H1279" s="21" t="n">
        <f aca="false">H1278*(1+IF(C1279=1,Assumptions!B22,Assumptions!B23))</f>
        <v>24.1731586154829</v>
      </c>
      <c r="I1279" s="16" t="n">
        <f aca="false">ROUND(H1279*F1279,0)</f>
        <v>15</v>
      </c>
      <c r="J1279" s="22" t="n">
        <f aca="false">I1279*Assumptions!B24</f>
        <v>9000</v>
      </c>
      <c r="K1279" s="21" t="n">
        <f aca="false">K1278*(1+Assumptions!B30)</f>
        <v>19.9481642689443</v>
      </c>
      <c r="L1279" s="16" t="n">
        <f aca="false">ROUND(K1279*F1279,0)</f>
        <v>12</v>
      </c>
      <c r="M1279" s="22" t="n">
        <f aca="false">L1279*Assumptions!B31</f>
        <v>3600</v>
      </c>
      <c r="N1279" s="22" t="n">
        <f aca="false">J1279+M1279</f>
        <v>12600</v>
      </c>
      <c r="O1279" s="22" t="n">
        <f aca="false">IF(DAY(B1279)=1,Assumptions!B38*G1279,0)</f>
        <v>164596.343324388</v>
      </c>
      <c r="P1279" s="22" t="n">
        <f aca="false">IF(DAY(B1279)=1,Assumptions!B39*G1279,0)</f>
        <v>43892.3582198368</v>
      </c>
      <c r="Q1279" s="22" t="n">
        <f aca="false">IF(DAY(B1279)=1,Assumptions!B40*G1279,0)</f>
        <v>32919.2686648776</v>
      </c>
      <c r="R1279" s="22" t="n">
        <f aca="false">IF(DAY(B1279)=1,Assumptions!B41*G1279,0)</f>
        <v>21946.1791099184</v>
      </c>
      <c r="S1279" s="22" t="n">
        <f aca="false">IF(AND(DAY(B1279)=1,D1279&gt;=13),Assumptions!B42*G1279,0)</f>
        <v>164596.343324388</v>
      </c>
      <c r="T1279" s="22" t="n">
        <f aca="false">IF(DAY(B1279)=1,Assumptions!B43*G1279,0)</f>
        <v>21946.1791099184</v>
      </c>
      <c r="U1279" s="22" t="n">
        <f aca="false">SUM(O1279:T1279)</f>
        <v>449896.671753328</v>
      </c>
      <c r="V1279" s="22" t="n">
        <f aca="false">N1279-U1279</f>
        <v>-437296.671753328</v>
      </c>
      <c r="W1279" s="22" t="n">
        <f aca="false">W1278+V1279</f>
        <v>-1436787.25619637</v>
      </c>
      <c r="X1279" s="23" t="str">
        <f aca="false">IF(W1279&gt;=0,"YES","No")</f>
        <v>No</v>
      </c>
    </row>
    <row r="1280" customFormat="false" ht="15" hidden="false" customHeight="false" outlineLevel="0" collapsed="false">
      <c r="A1280" s="16" t="n">
        <v>1279</v>
      </c>
      <c r="B1280" s="17" t="n">
        <f aca="false">B1279+1</f>
        <v>47301</v>
      </c>
      <c r="C1280" s="18" t="n">
        <f aca="false">MIN(ROUNDUP(A1280/365,0),5)</f>
        <v>4</v>
      </c>
      <c r="D1280" s="18" t="n">
        <f aca="false">DATEDIF(Assumptions!B5,B1280,"m")+1</f>
        <v>43</v>
      </c>
      <c r="E1280" s="18" t="str">
        <f aca="false">TEXT(B1280,"ddd")</f>
        <v>Mon</v>
      </c>
      <c r="F1280" s="19" t="n">
        <f aca="false">IF(WEEKDAY(B1280,2)&gt;=6,Assumptions!B34,Assumptions!B35)</f>
        <v>1</v>
      </c>
      <c r="G1280" s="20" t="n">
        <f aca="false">IF(D1280&gt;=13,(1+Assumptions!B46)^(D1280-12),1)</f>
        <v>1.09730895549592</v>
      </c>
      <c r="H1280" s="21" t="n">
        <f aca="false">H1279*(1+IF(C1280=1,Assumptions!B22,Assumptions!B23))</f>
        <v>24.1771196703364</v>
      </c>
      <c r="I1280" s="16" t="n">
        <f aca="false">ROUND(H1280*F1280,0)</f>
        <v>24</v>
      </c>
      <c r="J1280" s="22" t="n">
        <f aca="false">I1280*Assumptions!B24</f>
        <v>14400</v>
      </c>
      <c r="K1280" s="21" t="n">
        <f aca="false">K1279*(1+Assumptions!B30)</f>
        <v>19.9546860586816</v>
      </c>
      <c r="L1280" s="16" t="n">
        <f aca="false">ROUND(K1280*F1280,0)</f>
        <v>20</v>
      </c>
      <c r="M1280" s="22" t="n">
        <f aca="false">L1280*Assumptions!B31</f>
        <v>6000</v>
      </c>
      <c r="N1280" s="22" t="n">
        <f aca="false">J1280+M1280</f>
        <v>20400</v>
      </c>
      <c r="O1280" s="22" t="n">
        <f aca="false">IF(DAY(B1280)=1,Assumptions!B38*G1280,0)</f>
        <v>0</v>
      </c>
      <c r="P1280" s="22" t="n">
        <f aca="false">IF(DAY(B1280)=1,Assumptions!B39*G1280,0)</f>
        <v>0</v>
      </c>
      <c r="Q1280" s="22" t="n">
        <f aca="false">IF(DAY(B1280)=1,Assumptions!B40*G1280,0)</f>
        <v>0</v>
      </c>
      <c r="R1280" s="22" t="n">
        <f aca="false">IF(DAY(B1280)=1,Assumptions!B41*G1280,0)</f>
        <v>0</v>
      </c>
      <c r="S1280" s="22" t="n">
        <f aca="false">IF(AND(DAY(B1280)=1,D1280&gt;=13),Assumptions!B42*G1280,0)</f>
        <v>0</v>
      </c>
      <c r="T1280" s="22" t="n">
        <f aca="false">IF(DAY(B1280)=1,Assumptions!B43*G1280,0)</f>
        <v>0</v>
      </c>
      <c r="U1280" s="22" t="n">
        <f aca="false">SUM(O1280:T1280)</f>
        <v>0</v>
      </c>
      <c r="V1280" s="22" t="n">
        <f aca="false">N1280-U1280</f>
        <v>20400</v>
      </c>
      <c r="W1280" s="22" t="n">
        <f aca="false">W1279+V1280</f>
        <v>-1416387.25619637</v>
      </c>
      <c r="X1280" s="23" t="str">
        <f aca="false">IF(W1280&gt;=0,"YES","No")</f>
        <v>No</v>
      </c>
    </row>
    <row r="1281" customFormat="false" ht="15" hidden="false" customHeight="false" outlineLevel="0" collapsed="false">
      <c r="A1281" s="16" t="n">
        <v>1280</v>
      </c>
      <c r="B1281" s="17" t="n">
        <f aca="false">B1280+1</f>
        <v>47302</v>
      </c>
      <c r="C1281" s="18" t="n">
        <f aca="false">MIN(ROUNDUP(A1281/365,0),5)</f>
        <v>4</v>
      </c>
      <c r="D1281" s="18" t="n">
        <f aca="false">DATEDIF(Assumptions!B5,B1281,"m")+1</f>
        <v>43</v>
      </c>
      <c r="E1281" s="18" t="str">
        <f aca="false">TEXT(B1281,"ddd")</f>
        <v>Tue</v>
      </c>
      <c r="F1281" s="19" t="n">
        <f aca="false">IF(WEEKDAY(B1281,2)&gt;=6,Assumptions!B34,Assumptions!B35)</f>
        <v>1</v>
      </c>
      <c r="G1281" s="20" t="n">
        <f aca="false">IF(D1281&gt;=13,(1+Assumptions!B46)^(D1281-12),1)</f>
        <v>1.09730895549592</v>
      </c>
      <c r="H1281" s="21" t="n">
        <f aca="false">H1280*(1+IF(C1281=1,Assumptions!B22,Assumptions!B23))</f>
        <v>24.1810813742551</v>
      </c>
      <c r="I1281" s="16" t="n">
        <f aca="false">ROUND(H1281*F1281,0)</f>
        <v>24</v>
      </c>
      <c r="J1281" s="22" t="n">
        <f aca="false">I1281*Assumptions!B24</f>
        <v>14400</v>
      </c>
      <c r="K1281" s="21" t="n">
        <f aca="false">K1280*(1+Assumptions!B30)</f>
        <v>19.9612099806322</v>
      </c>
      <c r="L1281" s="16" t="n">
        <f aca="false">ROUND(K1281*F1281,0)</f>
        <v>20</v>
      </c>
      <c r="M1281" s="22" t="n">
        <f aca="false">L1281*Assumptions!B31</f>
        <v>6000</v>
      </c>
      <c r="N1281" s="22" t="n">
        <f aca="false">J1281+M1281</f>
        <v>20400</v>
      </c>
      <c r="O1281" s="22" t="n">
        <f aca="false">IF(DAY(B1281)=1,Assumptions!B38*G1281,0)</f>
        <v>0</v>
      </c>
      <c r="P1281" s="22" t="n">
        <f aca="false">IF(DAY(B1281)=1,Assumptions!B39*G1281,0)</f>
        <v>0</v>
      </c>
      <c r="Q1281" s="22" t="n">
        <f aca="false">IF(DAY(B1281)=1,Assumptions!B40*G1281,0)</f>
        <v>0</v>
      </c>
      <c r="R1281" s="22" t="n">
        <f aca="false">IF(DAY(B1281)=1,Assumptions!B41*G1281,0)</f>
        <v>0</v>
      </c>
      <c r="S1281" s="22" t="n">
        <f aca="false">IF(AND(DAY(B1281)=1,D1281&gt;=13),Assumptions!B42*G1281,0)</f>
        <v>0</v>
      </c>
      <c r="T1281" s="22" t="n">
        <f aca="false">IF(DAY(B1281)=1,Assumptions!B43*G1281,0)</f>
        <v>0</v>
      </c>
      <c r="U1281" s="22" t="n">
        <f aca="false">SUM(O1281:T1281)</f>
        <v>0</v>
      </c>
      <c r="V1281" s="22" t="n">
        <f aca="false">N1281-U1281</f>
        <v>20400</v>
      </c>
      <c r="W1281" s="22" t="n">
        <f aca="false">W1280+V1281</f>
        <v>-1395987.25619637</v>
      </c>
      <c r="X1281" s="23" t="str">
        <f aca="false">IF(W1281&gt;=0,"YES","No")</f>
        <v>No</v>
      </c>
    </row>
    <row r="1282" customFormat="false" ht="15" hidden="false" customHeight="false" outlineLevel="0" collapsed="false">
      <c r="A1282" s="16" t="n">
        <v>1281</v>
      </c>
      <c r="B1282" s="17" t="n">
        <f aca="false">B1281+1</f>
        <v>47303</v>
      </c>
      <c r="C1282" s="18" t="n">
        <f aca="false">MIN(ROUNDUP(A1282/365,0),5)</f>
        <v>4</v>
      </c>
      <c r="D1282" s="18" t="n">
        <f aca="false">DATEDIF(Assumptions!B5,B1282,"m")+1</f>
        <v>43</v>
      </c>
      <c r="E1282" s="18" t="str">
        <f aca="false">TEXT(B1282,"ddd")</f>
        <v>Wed</v>
      </c>
      <c r="F1282" s="19" t="n">
        <f aca="false">IF(WEEKDAY(B1282,2)&gt;=6,Assumptions!B34,Assumptions!B35)</f>
        <v>1</v>
      </c>
      <c r="G1282" s="20" t="n">
        <f aca="false">IF(D1282&gt;=13,(1+Assumptions!B46)^(D1282-12),1)</f>
        <v>1.09730895549592</v>
      </c>
      <c r="H1282" s="21" t="n">
        <f aca="false">H1281*(1+IF(C1282=1,Assumptions!B22,Assumptions!B23))</f>
        <v>24.1850437273453</v>
      </c>
      <c r="I1282" s="16" t="n">
        <f aca="false">ROUND(H1282*F1282,0)</f>
        <v>24</v>
      </c>
      <c r="J1282" s="22" t="n">
        <f aca="false">I1282*Assumptions!B24</f>
        <v>14400</v>
      </c>
      <c r="K1282" s="21" t="n">
        <f aca="false">K1281*(1+Assumptions!B30)</f>
        <v>19.9677360354933</v>
      </c>
      <c r="L1282" s="16" t="n">
        <f aca="false">ROUND(K1282*F1282,0)</f>
        <v>20</v>
      </c>
      <c r="M1282" s="22" t="n">
        <f aca="false">L1282*Assumptions!B31</f>
        <v>6000</v>
      </c>
      <c r="N1282" s="22" t="n">
        <f aca="false">J1282+M1282</f>
        <v>20400</v>
      </c>
      <c r="O1282" s="22" t="n">
        <f aca="false">IF(DAY(B1282)=1,Assumptions!B38*G1282,0)</f>
        <v>0</v>
      </c>
      <c r="P1282" s="22" t="n">
        <f aca="false">IF(DAY(B1282)=1,Assumptions!B39*G1282,0)</f>
        <v>0</v>
      </c>
      <c r="Q1282" s="22" t="n">
        <f aca="false">IF(DAY(B1282)=1,Assumptions!B40*G1282,0)</f>
        <v>0</v>
      </c>
      <c r="R1282" s="22" t="n">
        <f aca="false">IF(DAY(B1282)=1,Assumptions!B41*G1282,0)</f>
        <v>0</v>
      </c>
      <c r="S1282" s="22" t="n">
        <f aca="false">IF(AND(DAY(B1282)=1,D1282&gt;=13),Assumptions!B42*G1282,0)</f>
        <v>0</v>
      </c>
      <c r="T1282" s="22" t="n">
        <f aca="false">IF(DAY(B1282)=1,Assumptions!B43*G1282,0)</f>
        <v>0</v>
      </c>
      <c r="U1282" s="22" t="n">
        <f aca="false">SUM(O1282:T1282)</f>
        <v>0</v>
      </c>
      <c r="V1282" s="22" t="n">
        <f aca="false">N1282-U1282</f>
        <v>20400</v>
      </c>
      <c r="W1282" s="22" t="n">
        <f aca="false">W1281+V1282</f>
        <v>-1375587.25619637</v>
      </c>
      <c r="X1282" s="23" t="str">
        <f aca="false">IF(W1282&gt;=0,"YES","No")</f>
        <v>No</v>
      </c>
    </row>
    <row r="1283" customFormat="false" ht="15" hidden="false" customHeight="false" outlineLevel="0" collapsed="false">
      <c r="A1283" s="16" t="n">
        <v>1282</v>
      </c>
      <c r="B1283" s="17" t="n">
        <f aca="false">B1282+1</f>
        <v>47304</v>
      </c>
      <c r="C1283" s="18" t="n">
        <f aca="false">MIN(ROUNDUP(A1283/365,0),5)</f>
        <v>4</v>
      </c>
      <c r="D1283" s="18" t="n">
        <f aca="false">DATEDIF(Assumptions!B5,B1283,"m")+1</f>
        <v>43</v>
      </c>
      <c r="E1283" s="18" t="str">
        <f aca="false">TEXT(B1283,"ddd")</f>
        <v>Thu</v>
      </c>
      <c r="F1283" s="19" t="n">
        <f aca="false">IF(WEEKDAY(B1283,2)&gt;=6,Assumptions!B34,Assumptions!B35)</f>
        <v>1</v>
      </c>
      <c r="G1283" s="20" t="n">
        <f aca="false">IF(D1283&gt;=13,(1+Assumptions!B46)^(D1283-12),1)</f>
        <v>1.09730895549592</v>
      </c>
      <c r="H1283" s="21" t="n">
        <f aca="false">H1282*(1+IF(C1283=1,Assumptions!B22,Assumptions!B23))</f>
        <v>24.1890067297135</v>
      </c>
      <c r="I1283" s="16" t="n">
        <f aca="false">ROUND(H1283*F1283,0)</f>
        <v>24</v>
      </c>
      <c r="J1283" s="22" t="n">
        <f aca="false">I1283*Assumptions!B24</f>
        <v>14400</v>
      </c>
      <c r="K1283" s="21" t="n">
        <f aca="false">K1282*(1+Assumptions!B30)</f>
        <v>19.9742642239621</v>
      </c>
      <c r="L1283" s="16" t="n">
        <f aca="false">ROUND(K1283*F1283,0)</f>
        <v>20</v>
      </c>
      <c r="M1283" s="22" t="n">
        <f aca="false">L1283*Assumptions!B31</f>
        <v>6000</v>
      </c>
      <c r="N1283" s="22" t="n">
        <f aca="false">J1283+M1283</f>
        <v>20400</v>
      </c>
      <c r="O1283" s="22" t="n">
        <f aca="false">IF(DAY(B1283)=1,Assumptions!B38*G1283,0)</f>
        <v>0</v>
      </c>
      <c r="P1283" s="22" t="n">
        <f aca="false">IF(DAY(B1283)=1,Assumptions!B39*G1283,0)</f>
        <v>0</v>
      </c>
      <c r="Q1283" s="22" t="n">
        <f aca="false">IF(DAY(B1283)=1,Assumptions!B40*G1283,0)</f>
        <v>0</v>
      </c>
      <c r="R1283" s="22" t="n">
        <f aca="false">IF(DAY(B1283)=1,Assumptions!B41*G1283,0)</f>
        <v>0</v>
      </c>
      <c r="S1283" s="22" t="n">
        <f aca="false">IF(AND(DAY(B1283)=1,D1283&gt;=13),Assumptions!B42*G1283,0)</f>
        <v>0</v>
      </c>
      <c r="T1283" s="22" t="n">
        <f aca="false">IF(DAY(B1283)=1,Assumptions!B43*G1283,0)</f>
        <v>0</v>
      </c>
      <c r="U1283" s="22" t="n">
        <f aca="false">SUM(O1283:T1283)</f>
        <v>0</v>
      </c>
      <c r="V1283" s="22" t="n">
        <f aca="false">N1283-U1283</f>
        <v>20400</v>
      </c>
      <c r="W1283" s="22" t="n">
        <f aca="false">W1282+V1283</f>
        <v>-1355187.25619637</v>
      </c>
      <c r="X1283" s="23" t="str">
        <f aca="false">IF(W1283&gt;=0,"YES","No")</f>
        <v>No</v>
      </c>
    </row>
    <row r="1284" customFormat="false" ht="15" hidden="false" customHeight="false" outlineLevel="0" collapsed="false">
      <c r="A1284" s="16" t="n">
        <v>1283</v>
      </c>
      <c r="B1284" s="17" t="n">
        <f aca="false">B1283+1</f>
        <v>47305</v>
      </c>
      <c r="C1284" s="18" t="n">
        <f aca="false">MIN(ROUNDUP(A1284/365,0),5)</f>
        <v>4</v>
      </c>
      <c r="D1284" s="18" t="n">
        <f aca="false">DATEDIF(Assumptions!B5,B1284,"m")+1</f>
        <v>43</v>
      </c>
      <c r="E1284" s="18" t="str">
        <f aca="false">TEXT(B1284,"ddd")</f>
        <v>Fri</v>
      </c>
      <c r="F1284" s="19" t="n">
        <f aca="false">IF(WEEKDAY(B1284,2)&gt;=6,Assumptions!B34,Assumptions!B35)</f>
        <v>1</v>
      </c>
      <c r="G1284" s="20" t="n">
        <f aca="false">IF(D1284&gt;=13,(1+Assumptions!B46)^(D1284-12),1)</f>
        <v>1.09730895549592</v>
      </c>
      <c r="H1284" s="21" t="n">
        <f aca="false">H1283*(1+IF(C1284=1,Assumptions!B22,Assumptions!B23))</f>
        <v>24.1929703814659</v>
      </c>
      <c r="I1284" s="16" t="n">
        <f aca="false">ROUND(H1284*F1284,0)</f>
        <v>24</v>
      </c>
      <c r="J1284" s="22" t="n">
        <f aca="false">I1284*Assumptions!B24</f>
        <v>14400</v>
      </c>
      <c r="K1284" s="21" t="n">
        <f aca="false">K1283*(1+Assumptions!B30)</f>
        <v>19.9807945467362</v>
      </c>
      <c r="L1284" s="16" t="n">
        <f aca="false">ROUND(K1284*F1284,0)</f>
        <v>20</v>
      </c>
      <c r="M1284" s="22" t="n">
        <f aca="false">L1284*Assumptions!B31</f>
        <v>6000</v>
      </c>
      <c r="N1284" s="22" t="n">
        <f aca="false">J1284+M1284</f>
        <v>20400</v>
      </c>
      <c r="O1284" s="22" t="n">
        <f aca="false">IF(DAY(B1284)=1,Assumptions!B38*G1284,0)</f>
        <v>0</v>
      </c>
      <c r="P1284" s="22" t="n">
        <f aca="false">IF(DAY(B1284)=1,Assumptions!B39*G1284,0)</f>
        <v>0</v>
      </c>
      <c r="Q1284" s="22" t="n">
        <f aca="false">IF(DAY(B1284)=1,Assumptions!B40*G1284,0)</f>
        <v>0</v>
      </c>
      <c r="R1284" s="22" t="n">
        <f aca="false">IF(DAY(B1284)=1,Assumptions!B41*G1284,0)</f>
        <v>0</v>
      </c>
      <c r="S1284" s="22" t="n">
        <f aca="false">IF(AND(DAY(B1284)=1,D1284&gt;=13),Assumptions!B42*G1284,0)</f>
        <v>0</v>
      </c>
      <c r="T1284" s="22" t="n">
        <f aca="false">IF(DAY(B1284)=1,Assumptions!B43*G1284,0)</f>
        <v>0</v>
      </c>
      <c r="U1284" s="22" t="n">
        <f aca="false">SUM(O1284:T1284)</f>
        <v>0</v>
      </c>
      <c r="V1284" s="22" t="n">
        <f aca="false">N1284-U1284</f>
        <v>20400</v>
      </c>
      <c r="W1284" s="22" t="n">
        <f aca="false">W1283+V1284</f>
        <v>-1334787.25619637</v>
      </c>
      <c r="X1284" s="23" t="str">
        <f aca="false">IF(W1284&gt;=0,"YES","No")</f>
        <v>No</v>
      </c>
    </row>
    <row r="1285" customFormat="false" ht="15" hidden="false" customHeight="false" outlineLevel="0" collapsed="false">
      <c r="A1285" s="16" t="n">
        <v>1284</v>
      </c>
      <c r="B1285" s="17" t="n">
        <f aca="false">B1284+1</f>
        <v>47306</v>
      </c>
      <c r="C1285" s="18" t="n">
        <f aca="false">MIN(ROUNDUP(A1285/365,0),5)</f>
        <v>4</v>
      </c>
      <c r="D1285" s="18" t="n">
        <f aca="false">DATEDIF(Assumptions!B5,B1285,"m")+1</f>
        <v>43</v>
      </c>
      <c r="E1285" s="18" t="str">
        <f aca="false">TEXT(B1285,"ddd")</f>
        <v>Sat</v>
      </c>
      <c r="F1285" s="19" t="n">
        <f aca="false">IF(WEEKDAY(B1285,2)&gt;=6,Assumptions!B34,Assumptions!B35)</f>
        <v>0.6</v>
      </c>
      <c r="G1285" s="20" t="n">
        <f aca="false">IF(D1285&gt;=13,(1+Assumptions!B46)^(D1285-12),1)</f>
        <v>1.09730895549592</v>
      </c>
      <c r="H1285" s="21" t="n">
        <f aca="false">H1284*(1+IF(C1285=1,Assumptions!B22,Assumptions!B23))</f>
        <v>24.1969346827091</v>
      </c>
      <c r="I1285" s="16" t="n">
        <f aca="false">ROUND(H1285*F1285,0)</f>
        <v>15</v>
      </c>
      <c r="J1285" s="22" t="n">
        <f aca="false">I1285*Assumptions!B24</f>
        <v>9000</v>
      </c>
      <c r="K1285" s="21" t="n">
        <f aca="false">K1284*(1+Assumptions!B30)</f>
        <v>19.9873270045133</v>
      </c>
      <c r="L1285" s="16" t="n">
        <f aca="false">ROUND(K1285*F1285,0)</f>
        <v>12</v>
      </c>
      <c r="M1285" s="22" t="n">
        <f aca="false">L1285*Assumptions!B31</f>
        <v>3600</v>
      </c>
      <c r="N1285" s="22" t="n">
        <f aca="false">J1285+M1285</f>
        <v>12600</v>
      </c>
      <c r="O1285" s="22" t="n">
        <f aca="false">IF(DAY(B1285)=1,Assumptions!B38*G1285,0)</f>
        <v>0</v>
      </c>
      <c r="P1285" s="22" t="n">
        <f aca="false">IF(DAY(B1285)=1,Assumptions!B39*G1285,0)</f>
        <v>0</v>
      </c>
      <c r="Q1285" s="22" t="n">
        <f aca="false">IF(DAY(B1285)=1,Assumptions!B40*G1285,0)</f>
        <v>0</v>
      </c>
      <c r="R1285" s="22" t="n">
        <f aca="false">IF(DAY(B1285)=1,Assumptions!B41*G1285,0)</f>
        <v>0</v>
      </c>
      <c r="S1285" s="22" t="n">
        <f aca="false">IF(AND(DAY(B1285)=1,D1285&gt;=13),Assumptions!B42*G1285,0)</f>
        <v>0</v>
      </c>
      <c r="T1285" s="22" t="n">
        <f aca="false">IF(DAY(B1285)=1,Assumptions!B43*G1285,0)</f>
        <v>0</v>
      </c>
      <c r="U1285" s="22" t="n">
        <f aca="false">SUM(O1285:T1285)</f>
        <v>0</v>
      </c>
      <c r="V1285" s="22" t="n">
        <f aca="false">N1285-U1285</f>
        <v>12600</v>
      </c>
      <c r="W1285" s="22" t="n">
        <f aca="false">W1284+V1285</f>
        <v>-1322187.25619637</v>
      </c>
      <c r="X1285" s="23" t="str">
        <f aca="false">IF(W1285&gt;=0,"YES","No")</f>
        <v>No</v>
      </c>
    </row>
    <row r="1286" customFormat="false" ht="15" hidden="false" customHeight="false" outlineLevel="0" collapsed="false">
      <c r="A1286" s="16" t="n">
        <v>1285</v>
      </c>
      <c r="B1286" s="17" t="n">
        <f aca="false">B1285+1</f>
        <v>47307</v>
      </c>
      <c r="C1286" s="18" t="n">
        <f aca="false">MIN(ROUNDUP(A1286/365,0),5)</f>
        <v>4</v>
      </c>
      <c r="D1286" s="18" t="n">
        <f aca="false">DATEDIF(Assumptions!B5,B1286,"m")+1</f>
        <v>43</v>
      </c>
      <c r="E1286" s="18" t="str">
        <f aca="false">TEXT(B1286,"ddd")</f>
        <v>Sun</v>
      </c>
      <c r="F1286" s="19" t="n">
        <f aca="false">IF(WEEKDAY(B1286,2)&gt;=6,Assumptions!B34,Assumptions!B35)</f>
        <v>0.6</v>
      </c>
      <c r="G1286" s="20" t="n">
        <f aca="false">IF(D1286&gt;=13,(1+Assumptions!B46)^(D1286-12),1)</f>
        <v>1.09730895549592</v>
      </c>
      <c r="H1286" s="21" t="n">
        <f aca="false">H1285*(1+IF(C1286=1,Assumptions!B22,Assumptions!B23))</f>
        <v>24.2008996335493</v>
      </c>
      <c r="I1286" s="16" t="n">
        <f aca="false">ROUND(H1286*F1286,0)</f>
        <v>15</v>
      </c>
      <c r="J1286" s="22" t="n">
        <f aca="false">I1286*Assumptions!B24</f>
        <v>9000</v>
      </c>
      <c r="K1286" s="21" t="n">
        <f aca="false">K1285*(1+Assumptions!B30)</f>
        <v>19.9938615979916</v>
      </c>
      <c r="L1286" s="16" t="n">
        <f aca="false">ROUND(K1286*F1286,0)</f>
        <v>12</v>
      </c>
      <c r="M1286" s="22" t="n">
        <f aca="false">L1286*Assumptions!B31</f>
        <v>3600</v>
      </c>
      <c r="N1286" s="22" t="n">
        <f aca="false">J1286+M1286</f>
        <v>12600</v>
      </c>
      <c r="O1286" s="22" t="n">
        <f aca="false">IF(DAY(B1286)=1,Assumptions!B38*G1286,0)</f>
        <v>0</v>
      </c>
      <c r="P1286" s="22" t="n">
        <f aca="false">IF(DAY(B1286)=1,Assumptions!B39*G1286,0)</f>
        <v>0</v>
      </c>
      <c r="Q1286" s="22" t="n">
        <f aca="false">IF(DAY(B1286)=1,Assumptions!B40*G1286,0)</f>
        <v>0</v>
      </c>
      <c r="R1286" s="22" t="n">
        <f aca="false">IF(DAY(B1286)=1,Assumptions!B41*G1286,0)</f>
        <v>0</v>
      </c>
      <c r="S1286" s="22" t="n">
        <f aca="false">IF(AND(DAY(B1286)=1,D1286&gt;=13),Assumptions!B42*G1286,0)</f>
        <v>0</v>
      </c>
      <c r="T1286" s="22" t="n">
        <f aca="false">IF(DAY(B1286)=1,Assumptions!B43*G1286,0)</f>
        <v>0</v>
      </c>
      <c r="U1286" s="22" t="n">
        <f aca="false">SUM(O1286:T1286)</f>
        <v>0</v>
      </c>
      <c r="V1286" s="22" t="n">
        <f aca="false">N1286-U1286</f>
        <v>12600</v>
      </c>
      <c r="W1286" s="22" t="n">
        <f aca="false">W1285+V1286</f>
        <v>-1309587.25619637</v>
      </c>
      <c r="X1286" s="23" t="str">
        <f aca="false">IF(W1286&gt;=0,"YES","No")</f>
        <v>No</v>
      </c>
    </row>
    <row r="1287" customFormat="false" ht="15" hidden="false" customHeight="false" outlineLevel="0" collapsed="false">
      <c r="A1287" s="16" t="n">
        <v>1286</v>
      </c>
      <c r="B1287" s="17" t="n">
        <f aca="false">B1286+1</f>
        <v>47308</v>
      </c>
      <c r="C1287" s="18" t="n">
        <f aca="false">MIN(ROUNDUP(A1287/365,0),5)</f>
        <v>4</v>
      </c>
      <c r="D1287" s="18" t="n">
        <f aca="false">DATEDIF(Assumptions!B5,B1287,"m")+1</f>
        <v>43</v>
      </c>
      <c r="E1287" s="18" t="str">
        <f aca="false">TEXT(B1287,"ddd")</f>
        <v>Mon</v>
      </c>
      <c r="F1287" s="19" t="n">
        <f aca="false">IF(WEEKDAY(B1287,2)&gt;=6,Assumptions!B34,Assumptions!B35)</f>
        <v>1</v>
      </c>
      <c r="G1287" s="20" t="n">
        <f aca="false">IF(D1287&gt;=13,(1+Assumptions!B46)^(D1287-12),1)</f>
        <v>1.09730895549592</v>
      </c>
      <c r="H1287" s="21" t="n">
        <f aca="false">H1286*(1+IF(C1287=1,Assumptions!B22,Assumptions!B23))</f>
        <v>24.2048652340932</v>
      </c>
      <c r="I1287" s="16" t="n">
        <f aca="false">ROUND(H1287*F1287,0)</f>
        <v>24</v>
      </c>
      <c r="J1287" s="22" t="n">
        <f aca="false">I1287*Assumptions!B24</f>
        <v>14400</v>
      </c>
      <c r="K1287" s="21" t="n">
        <f aca="false">K1286*(1+Assumptions!B30)</f>
        <v>20.0003983278691</v>
      </c>
      <c r="L1287" s="16" t="n">
        <f aca="false">ROUND(K1287*F1287,0)</f>
        <v>20</v>
      </c>
      <c r="M1287" s="22" t="n">
        <f aca="false">L1287*Assumptions!B31</f>
        <v>6000</v>
      </c>
      <c r="N1287" s="22" t="n">
        <f aca="false">J1287+M1287</f>
        <v>20400</v>
      </c>
      <c r="O1287" s="22" t="n">
        <f aca="false">IF(DAY(B1287)=1,Assumptions!B38*G1287,0)</f>
        <v>0</v>
      </c>
      <c r="P1287" s="22" t="n">
        <f aca="false">IF(DAY(B1287)=1,Assumptions!B39*G1287,0)</f>
        <v>0</v>
      </c>
      <c r="Q1287" s="22" t="n">
        <f aca="false">IF(DAY(B1287)=1,Assumptions!B40*G1287,0)</f>
        <v>0</v>
      </c>
      <c r="R1287" s="22" t="n">
        <f aca="false">IF(DAY(B1287)=1,Assumptions!B41*G1287,0)</f>
        <v>0</v>
      </c>
      <c r="S1287" s="22" t="n">
        <f aca="false">IF(AND(DAY(B1287)=1,D1287&gt;=13),Assumptions!B42*G1287,0)</f>
        <v>0</v>
      </c>
      <c r="T1287" s="22" t="n">
        <f aca="false">IF(DAY(B1287)=1,Assumptions!B43*G1287,0)</f>
        <v>0</v>
      </c>
      <c r="U1287" s="22" t="n">
        <f aca="false">SUM(O1287:T1287)</f>
        <v>0</v>
      </c>
      <c r="V1287" s="22" t="n">
        <f aca="false">N1287-U1287</f>
        <v>20400</v>
      </c>
      <c r="W1287" s="22" t="n">
        <f aca="false">W1286+V1287</f>
        <v>-1289187.25619637</v>
      </c>
      <c r="X1287" s="23" t="str">
        <f aca="false">IF(W1287&gt;=0,"YES","No")</f>
        <v>No</v>
      </c>
    </row>
    <row r="1288" customFormat="false" ht="15" hidden="false" customHeight="false" outlineLevel="0" collapsed="false">
      <c r="A1288" s="16" t="n">
        <v>1287</v>
      </c>
      <c r="B1288" s="17" t="n">
        <f aca="false">B1287+1</f>
        <v>47309</v>
      </c>
      <c r="C1288" s="18" t="n">
        <f aca="false">MIN(ROUNDUP(A1288/365,0),5)</f>
        <v>4</v>
      </c>
      <c r="D1288" s="18" t="n">
        <f aca="false">DATEDIF(Assumptions!B5,B1288,"m")+1</f>
        <v>43</v>
      </c>
      <c r="E1288" s="18" t="str">
        <f aca="false">TEXT(B1288,"ddd")</f>
        <v>Tue</v>
      </c>
      <c r="F1288" s="19" t="n">
        <f aca="false">IF(WEEKDAY(B1288,2)&gt;=6,Assumptions!B34,Assumptions!B35)</f>
        <v>1</v>
      </c>
      <c r="G1288" s="20" t="n">
        <f aca="false">IF(D1288&gt;=13,(1+Assumptions!B46)^(D1288-12),1)</f>
        <v>1.09730895549592</v>
      </c>
      <c r="H1288" s="21" t="n">
        <f aca="false">H1287*(1+IF(C1288=1,Assumptions!B22,Assumptions!B23))</f>
        <v>24.2088314844471</v>
      </c>
      <c r="I1288" s="16" t="n">
        <f aca="false">ROUND(H1288*F1288,0)</f>
        <v>24</v>
      </c>
      <c r="J1288" s="22" t="n">
        <f aca="false">I1288*Assumptions!B24</f>
        <v>14400</v>
      </c>
      <c r="K1288" s="21" t="n">
        <f aca="false">K1287*(1+Assumptions!B30)</f>
        <v>20.0069371948445</v>
      </c>
      <c r="L1288" s="16" t="n">
        <f aca="false">ROUND(K1288*F1288,0)</f>
        <v>20</v>
      </c>
      <c r="M1288" s="22" t="n">
        <f aca="false">L1288*Assumptions!B31</f>
        <v>6000</v>
      </c>
      <c r="N1288" s="22" t="n">
        <f aca="false">J1288+M1288</f>
        <v>20400</v>
      </c>
      <c r="O1288" s="22" t="n">
        <f aca="false">IF(DAY(B1288)=1,Assumptions!B38*G1288,0)</f>
        <v>0</v>
      </c>
      <c r="P1288" s="22" t="n">
        <f aca="false">IF(DAY(B1288)=1,Assumptions!B39*G1288,0)</f>
        <v>0</v>
      </c>
      <c r="Q1288" s="22" t="n">
        <f aca="false">IF(DAY(B1288)=1,Assumptions!B40*G1288,0)</f>
        <v>0</v>
      </c>
      <c r="R1288" s="22" t="n">
        <f aca="false">IF(DAY(B1288)=1,Assumptions!B41*G1288,0)</f>
        <v>0</v>
      </c>
      <c r="S1288" s="22" t="n">
        <f aca="false">IF(AND(DAY(B1288)=1,D1288&gt;=13),Assumptions!B42*G1288,0)</f>
        <v>0</v>
      </c>
      <c r="T1288" s="22" t="n">
        <f aca="false">IF(DAY(B1288)=1,Assumptions!B43*G1288,0)</f>
        <v>0</v>
      </c>
      <c r="U1288" s="22" t="n">
        <f aca="false">SUM(O1288:T1288)</f>
        <v>0</v>
      </c>
      <c r="V1288" s="22" t="n">
        <f aca="false">N1288-U1288</f>
        <v>20400</v>
      </c>
      <c r="W1288" s="22" t="n">
        <f aca="false">W1287+V1288</f>
        <v>-1268787.25619637</v>
      </c>
      <c r="X1288" s="23" t="str">
        <f aca="false">IF(W1288&gt;=0,"YES","No")</f>
        <v>No</v>
      </c>
    </row>
    <row r="1289" customFormat="false" ht="15" hidden="false" customHeight="false" outlineLevel="0" collapsed="false">
      <c r="A1289" s="16" t="n">
        <v>1288</v>
      </c>
      <c r="B1289" s="17" t="n">
        <f aca="false">B1288+1</f>
        <v>47310</v>
      </c>
      <c r="C1289" s="18" t="n">
        <f aca="false">MIN(ROUNDUP(A1289/365,0),5)</f>
        <v>4</v>
      </c>
      <c r="D1289" s="18" t="n">
        <f aca="false">DATEDIF(Assumptions!B5,B1289,"m")+1</f>
        <v>43</v>
      </c>
      <c r="E1289" s="18" t="str">
        <f aca="false">TEXT(B1289,"ddd")</f>
        <v>Wed</v>
      </c>
      <c r="F1289" s="19" t="n">
        <f aca="false">IF(WEEKDAY(B1289,2)&gt;=6,Assumptions!B34,Assumptions!B35)</f>
        <v>1</v>
      </c>
      <c r="G1289" s="20" t="n">
        <f aca="false">IF(D1289&gt;=13,(1+Assumptions!B46)^(D1289-12),1)</f>
        <v>1.09730895549592</v>
      </c>
      <c r="H1289" s="21" t="n">
        <f aca="false">H1288*(1+IF(C1289=1,Assumptions!B22,Assumptions!B23))</f>
        <v>24.2127983847176</v>
      </c>
      <c r="I1289" s="16" t="n">
        <f aca="false">ROUND(H1289*F1289,0)</f>
        <v>24</v>
      </c>
      <c r="J1289" s="22" t="n">
        <f aca="false">I1289*Assumptions!B24</f>
        <v>14400</v>
      </c>
      <c r="K1289" s="21" t="n">
        <f aca="false">K1288*(1+Assumptions!B30)</f>
        <v>20.0134781996163</v>
      </c>
      <c r="L1289" s="16" t="n">
        <f aca="false">ROUND(K1289*F1289,0)</f>
        <v>20</v>
      </c>
      <c r="M1289" s="22" t="n">
        <f aca="false">L1289*Assumptions!B31</f>
        <v>6000</v>
      </c>
      <c r="N1289" s="22" t="n">
        <f aca="false">J1289+M1289</f>
        <v>20400</v>
      </c>
      <c r="O1289" s="22" t="n">
        <f aca="false">IF(DAY(B1289)=1,Assumptions!B38*G1289,0)</f>
        <v>0</v>
      </c>
      <c r="P1289" s="22" t="n">
        <f aca="false">IF(DAY(B1289)=1,Assumptions!B39*G1289,0)</f>
        <v>0</v>
      </c>
      <c r="Q1289" s="22" t="n">
        <f aca="false">IF(DAY(B1289)=1,Assumptions!B40*G1289,0)</f>
        <v>0</v>
      </c>
      <c r="R1289" s="22" t="n">
        <f aca="false">IF(DAY(B1289)=1,Assumptions!B41*G1289,0)</f>
        <v>0</v>
      </c>
      <c r="S1289" s="22" t="n">
        <f aca="false">IF(AND(DAY(B1289)=1,D1289&gt;=13),Assumptions!B42*G1289,0)</f>
        <v>0</v>
      </c>
      <c r="T1289" s="22" t="n">
        <f aca="false">IF(DAY(B1289)=1,Assumptions!B43*G1289,0)</f>
        <v>0</v>
      </c>
      <c r="U1289" s="22" t="n">
        <f aca="false">SUM(O1289:T1289)</f>
        <v>0</v>
      </c>
      <c r="V1289" s="22" t="n">
        <f aca="false">N1289-U1289</f>
        <v>20400</v>
      </c>
      <c r="W1289" s="22" t="n">
        <f aca="false">W1288+V1289</f>
        <v>-1248387.25619637</v>
      </c>
      <c r="X1289" s="23" t="str">
        <f aca="false">IF(W1289&gt;=0,"YES","No")</f>
        <v>No</v>
      </c>
    </row>
    <row r="1290" customFormat="false" ht="15" hidden="false" customHeight="false" outlineLevel="0" collapsed="false">
      <c r="A1290" s="16" t="n">
        <v>1289</v>
      </c>
      <c r="B1290" s="17" t="n">
        <f aca="false">B1289+1</f>
        <v>47311</v>
      </c>
      <c r="C1290" s="18" t="n">
        <f aca="false">MIN(ROUNDUP(A1290/365,0),5)</f>
        <v>4</v>
      </c>
      <c r="D1290" s="18" t="n">
        <f aca="false">DATEDIF(Assumptions!B5,B1290,"m")+1</f>
        <v>43</v>
      </c>
      <c r="E1290" s="18" t="str">
        <f aca="false">TEXT(B1290,"ddd")</f>
        <v>Thu</v>
      </c>
      <c r="F1290" s="19" t="n">
        <f aca="false">IF(WEEKDAY(B1290,2)&gt;=6,Assumptions!B34,Assumptions!B35)</f>
        <v>1</v>
      </c>
      <c r="G1290" s="20" t="n">
        <f aca="false">IF(D1290&gt;=13,(1+Assumptions!B46)^(D1290-12),1)</f>
        <v>1.09730895549592</v>
      </c>
      <c r="H1290" s="21" t="n">
        <f aca="false">H1289*(1+IF(C1290=1,Assumptions!B22,Assumptions!B23))</f>
        <v>24.216765935011</v>
      </c>
      <c r="I1290" s="16" t="n">
        <f aca="false">ROUND(H1290*F1290,0)</f>
        <v>24</v>
      </c>
      <c r="J1290" s="22" t="n">
        <f aca="false">I1290*Assumptions!B24</f>
        <v>14400</v>
      </c>
      <c r="K1290" s="21" t="n">
        <f aca="false">K1289*(1+Assumptions!B30)</f>
        <v>20.0200213428836</v>
      </c>
      <c r="L1290" s="16" t="n">
        <f aca="false">ROUND(K1290*F1290,0)</f>
        <v>20</v>
      </c>
      <c r="M1290" s="22" t="n">
        <f aca="false">L1290*Assumptions!B31</f>
        <v>6000</v>
      </c>
      <c r="N1290" s="22" t="n">
        <f aca="false">J1290+M1290</f>
        <v>20400</v>
      </c>
      <c r="O1290" s="22" t="n">
        <f aca="false">IF(DAY(B1290)=1,Assumptions!B38*G1290,0)</f>
        <v>0</v>
      </c>
      <c r="P1290" s="22" t="n">
        <f aca="false">IF(DAY(B1290)=1,Assumptions!B39*G1290,0)</f>
        <v>0</v>
      </c>
      <c r="Q1290" s="22" t="n">
        <f aca="false">IF(DAY(B1290)=1,Assumptions!B40*G1290,0)</f>
        <v>0</v>
      </c>
      <c r="R1290" s="22" t="n">
        <f aca="false">IF(DAY(B1290)=1,Assumptions!B41*G1290,0)</f>
        <v>0</v>
      </c>
      <c r="S1290" s="22" t="n">
        <f aca="false">IF(AND(DAY(B1290)=1,D1290&gt;=13),Assumptions!B42*G1290,0)</f>
        <v>0</v>
      </c>
      <c r="T1290" s="22" t="n">
        <f aca="false">IF(DAY(B1290)=1,Assumptions!B43*G1290,0)</f>
        <v>0</v>
      </c>
      <c r="U1290" s="22" t="n">
        <f aca="false">SUM(O1290:T1290)</f>
        <v>0</v>
      </c>
      <c r="V1290" s="22" t="n">
        <f aca="false">N1290-U1290</f>
        <v>20400</v>
      </c>
      <c r="W1290" s="22" t="n">
        <f aca="false">W1289+V1290</f>
        <v>-1227987.25619637</v>
      </c>
      <c r="X1290" s="23" t="str">
        <f aca="false">IF(W1290&gt;=0,"YES","No")</f>
        <v>No</v>
      </c>
    </row>
    <row r="1291" customFormat="false" ht="15" hidden="false" customHeight="false" outlineLevel="0" collapsed="false">
      <c r="A1291" s="16" t="n">
        <v>1290</v>
      </c>
      <c r="B1291" s="17" t="n">
        <f aca="false">B1290+1</f>
        <v>47312</v>
      </c>
      <c r="C1291" s="18" t="n">
        <f aca="false">MIN(ROUNDUP(A1291/365,0),5)</f>
        <v>4</v>
      </c>
      <c r="D1291" s="18" t="n">
        <f aca="false">DATEDIF(Assumptions!B5,B1291,"m")+1</f>
        <v>43</v>
      </c>
      <c r="E1291" s="18" t="str">
        <f aca="false">TEXT(B1291,"ddd")</f>
        <v>Fri</v>
      </c>
      <c r="F1291" s="19" t="n">
        <f aca="false">IF(WEEKDAY(B1291,2)&gt;=6,Assumptions!B34,Assumptions!B35)</f>
        <v>1</v>
      </c>
      <c r="G1291" s="20" t="n">
        <f aca="false">IF(D1291&gt;=13,(1+Assumptions!B46)^(D1291-12),1)</f>
        <v>1.09730895549592</v>
      </c>
      <c r="H1291" s="21" t="n">
        <f aca="false">H1290*(1+IF(C1291=1,Assumptions!B22,Assumptions!B23))</f>
        <v>24.220734135434</v>
      </c>
      <c r="I1291" s="16" t="n">
        <f aca="false">ROUND(H1291*F1291,0)</f>
        <v>24</v>
      </c>
      <c r="J1291" s="22" t="n">
        <f aca="false">I1291*Assumptions!B24</f>
        <v>14400</v>
      </c>
      <c r="K1291" s="21" t="n">
        <f aca="false">K1290*(1+Assumptions!B30)</f>
        <v>20.0265666253454</v>
      </c>
      <c r="L1291" s="16" t="n">
        <f aca="false">ROUND(K1291*F1291,0)</f>
        <v>20</v>
      </c>
      <c r="M1291" s="22" t="n">
        <f aca="false">L1291*Assumptions!B31</f>
        <v>6000</v>
      </c>
      <c r="N1291" s="22" t="n">
        <f aca="false">J1291+M1291</f>
        <v>20400</v>
      </c>
      <c r="O1291" s="22" t="n">
        <f aca="false">IF(DAY(B1291)=1,Assumptions!B38*G1291,0)</f>
        <v>0</v>
      </c>
      <c r="P1291" s="22" t="n">
        <f aca="false">IF(DAY(B1291)=1,Assumptions!B39*G1291,0)</f>
        <v>0</v>
      </c>
      <c r="Q1291" s="22" t="n">
        <f aca="false">IF(DAY(B1291)=1,Assumptions!B40*G1291,0)</f>
        <v>0</v>
      </c>
      <c r="R1291" s="22" t="n">
        <f aca="false">IF(DAY(B1291)=1,Assumptions!B41*G1291,0)</f>
        <v>0</v>
      </c>
      <c r="S1291" s="22" t="n">
        <f aca="false">IF(AND(DAY(B1291)=1,D1291&gt;=13),Assumptions!B42*G1291,0)</f>
        <v>0</v>
      </c>
      <c r="T1291" s="22" t="n">
        <f aca="false">IF(DAY(B1291)=1,Assumptions!B43*G1291,0)</f>
        <v>0</v>
      </c>
      <c r="U1291" s="22" t="n">
        <f aca="false">SUM(O1291:T1291)</f>
        <v>0</v>
      </c>
      <c r="V1291" s="22" t="n">
        <f aca="false">N1291-U1291</f>
        <v>20400</v>
      </c>
      <c r="W1291" s="22" t="n">
        <f aca="false">W1290+V1291</f>
        <v>-1207587.25619637</v>
      </c>
      <c r="X1291" s="23" t="str">
        <f aca="false">IF(W1291&gt;=0,"YES","No")</f>
        <v>No</v>
      </c>
    </row>
    <row r="1292" customFormat="false" ht="15" hidden="false" customHeight="false" outlineLevel="0" collapsed="false">
      <c r="A1292" s="16" t="n">
        <v>1291</v>
      </c>
      <c r="B1292" s="17" t="n">
        <f aca="false">B1291+1</f>
        <v>47313</v>
      </c>
      <c r="C1292" s="18" t="n">
        <f aca="false">MIN(ROUNDUP(A1292/365,0),5)</f>
        <v>4</v>
      </c>
      <c r="D1292" s="18" t="n">
        <f aca="false">DATEDIF(Assumptions!B5,B1292,"m")+1</f>
        <v>43</v>
      </c>
      <c r="E1292" s="18" t="str">
        <f aca="false">TEXT(B1292,"ddd")</f>
        <v>Sat</v>
      </c>
      <c r="F1292" s="19" t="n">
        <f aca="false">IF(WEEKDAY(B1292,2)&gt;=6,Assumptions!B34,Assumptions!B35)</f>
        <v>0.6</v>
      </c>
      <c r="G1292" s="20" t="n">
        <f aca="false">IF(D1292&gt;=13,(1+Assumptions!B46)^(D1292-12),1)</f>
        <v>1.09730895549592</v>
      </c>
      <c r="H1292" s="21" t="n">
        <f aca="false">H1291*(1+IF(C1292=1,Assumptions!B22,Assumptions!B23))</f>
        <v>24.2247029860931</v>
      </c>
      <c r="I1292" s="16" t="n">
        <f aca="false">ROUND(H1292*F1292,0)</f>
        <v>15</v>
      </c>
      <c r="J1292" s="22" t="n">
        <f aca="false">I1292*Assumptions!B24</f>
        <v>9000</v>
      </c>
      <c r="K1292" s="21" t="n">
        <f aca="false">K1291*(1+Assumptions!B30)</f>
        <v>20.0331140477012</v>
      </c>
      <c r="L1292" s="16" t="n">
        <f aca="false">ROUND(K1292*F1292,0)</f>
        <v>12</v>
      </c>
      <c r="M1292" s="22" t="n">
        <f aca="false">L1292*Assumptions!B31</f>
        <v>3600</v>
      </c>
      <c r="N1292" s="22" t="n">
        <f aca="false">J1292+M1292</f>
        <v>12600</v>
      </c>
      <c r="O1292" s="22" t="n">
        <f aca="false">IF(DAY(B1292)=1,Assumptions!B38*G1292,0)</f>
        <v>0</v>
      </c>
      <c r="P1292" s="22" t="n">
        <f aca="false">IF(DAY(B1292)=1,Assumptions!B39*G1292,0)</f>
        <v>0</v>
      </c>
      <c r="Q1292" s="22" t="n">
        <f aca="false">IF(DAY(B1292)=1,Assumptions!B40*G1292,0)</f>
        <v>0</v>
      </c>
      <c r="R1292" s="22" t="n">
        <f aca="false">IF(DAY(B1292)=1,Assumptions!B41*G1292,0)</f>
        <v>0</v>
      </c>
      <c r="S1292" s="22" t="n">
        <f aca="false">IF(AND(DAY(B1292)=1,D1292&gt;=13),Assumptions!B42*G1292,0)</f>
        <v>0</v>
      </c>
      <c r="T1292" s="22" t="n">
        <f aca="false">IF(DAY(B1292)=1,Assumptions!B43*G1292,0)</f>
        <v>0</v>
      </c>
      <c r="U1292" s="22" t="n">
        <f aca="false">SUM(O1292:T1292)</f>
        <v>0</v>
      </c>
      <c r="V1292" s="22" t="n">
        <f aca="false">N1292-U1292</f>
        <v>12600</v>
      </c>
      <c r="W1292" s="22" t="n">
        <f aca="false">W1291+V1292</f>
        <v>-1194987.25619637</v>
      </c>
      <c r="X1292" s="23" t="str">
        <f aca="false">IF(W1292&gt;=0,"YES","No")</f>
        <v>No</v>
      </c>
    </row>
    <row r="1293" customFormat="false" ht="15" hidden="false" customHeight="false" outlineLevel="0" collapsed="false">
      <c r="A1293" s="16" t="n">
        <v>1292</v>
      </c>
      <c r="B1293" s="17" t="n">
        <f aca="false">B1292+1</f>
        <v>47314</v>
      </c>
      <c r="C1293" s="18" t="n">
        <f aca="false">MIN(ROUNDUP(A1293/365,0),5)</f>
        <v>4</v>
      </c>
      <c r="D1293" s="18" t="n">
        <f aca="false">DATEDIF(Assumptions!B5,B1293,"m")+1</f>
        <v>43</v>
      </c>
      <c r="E1293" s="18" t="str">
        <f aca="false">TEXT(B1293,"ddd")</f>
        <v>Sun</v>
      </c>
      <c r="F1293" s="19" t="n">
        <f aca="false">IF(WEEKDAY(B1293,2)&gt;=6,Assumptions!B34,Assumptions!B35)</f>
        <v>0.6</v>
      </c>
      <c r="G1293" s="20" t="n">
        <f aca="false">IF(D1293&gt;=13,(1+Assumptions!B46)^(D1293-12),1)</f>
        <v>1.09730895549592</v>
      </c>
      <c r="H1293" s="21" t="n">
        <f aca="false">H1292*(1+IF(C1293=1,Assumptions!B22,Assumptions!B23))</f>
        <v>24.2286724870947</v>
      </c>
      <c r="I1293" s="16" t="n">
        <f aca="false">ROUND(H1293*F1293,0)</f>
        <v>15</v>
      </c>
      <c r="J1293" s="22" t="n">
        <f aca="false">I1293*Assumptions!B24</f>
        <v>9000</v>
      </c>
      <c r="K1293" s="21" t="n">
        <f aca="false">K1292*(1+Assumptions!B30)</f>
        <v>20.0396636106505</v>
      </c>
      <c r="L1293" s="16" t="n">
        <f aca="false">ROUND(K1293*F1293,0)</f>
        <v>12</v>
      </c>
      <c r="M1293" s="22" t="n">
        <f aca="false">L1293*Assumptions!B31</f>
        <v>3600</v>
      </c>
      <c r="N1293" s="22" t="n">
        <f aca="false">J1293+M1293</f>
        <v>12600</v>
      </c>
      <c r="O1293" s="22" t="n">
        <f aca="false">IF(DAY(B1293)=1,Assumptions!B38*G1293,0)</f>
        <v>0</v>
      </c>
      <c r="P1293" s="22" t="n">
        <f aca="false">IF(DAY(B1293)=1,Assumptions!B39*G1293,0)</f>
        <v>0</v>
      </c>
      <c r="Q1293" s="22" t="n">
        <f aca="false">IF(DAY(B1293)=1,Assumptions!B40*G1293,0)</f>
        <v>0</v>
      </c>
      <c r="R1293" s="22" t="n">
        <f aca="false">IF(DAY(B1293)=1,Assumptions!B41*G1293,0)</f>
        <v>0</v>
      </c>
      <c r="S1293" s="22" t="n">
        <f aca="false">IF(AND(DAY(B1293)=1,D1293&gt;=13),Assumptions!B42*G1293,0)</f>
        <v>0</v>
      </c>
      <c r="T1293" s="22" t="n">
        <f aca="false">IF(DAY(B1293)=1,Assumptions!B43*G1293,0)</f>
        <v>0</v>
      </c>
      <c r="U1293" s="22" t="n">
        <f aca="false">SUM(O1293:T1293)</f>
        <v>0</v>
      </c>
      <c r="V1293" s="22" t="n">
        <f aca="false">N1293-U1293</f>
        <v>12600</v>
      </c>
      <c r="W1293" s="22" t="n">
        <f aca="false">W1292+V1293</f>
        <v>-1182387.25619637</v>
      </c>
      <c r="X1293" s="23" t="str">
        <f aca="false">IF(W1293&gt;=0,"YES","No")</f>
        <v>No</v>
      </c>
    </row>
    <row r="1294" customFormat="false" ht="15" hidden="false" customHeight="false" outlineLevel="0" collapsed="false">
      <c r="A1294" s="16" t="n">
        <v>1293</v>
      </c>
      <c r="B1294" s="17" t="n">
        <f aca="false">B1293+1</f>
        <v>47315</v>
      </c>
      <c r="C1294" s="18" t="n">
        <f aca="false">MIN(ROUNDUP(A1294/365,0),5)</f>
        <v>4</v>
      </c>
      <c r="D1294" s="18" t="n">
        <f aca="false">DATEDIF(Assumptions!B5,B1294,"m")+1</f>
        <v>43</v>
      </c>
      <c r="E1294" s="18" t="str">
        <f aca="false">TEXT(B1294,"ddd")</f>
        <v>Mon</v>
      </c>
      <c r="F1294" s="19" t="n">
        <f aca="false">IF(WEEKDAY(B1294,2)&gt;=6,Assumptions!B34,Assumptions!B35)</f>
        <v>1</v>
      </c>
      <c r="G1294" s="20" t="n">
        <f aca="false">IF(D1294&gt;=13,(1+Assumptions!B46)^(D1294-12),1)</f>
        <v>1.09730895549592</v>
      </c>
      <c r="H1294" s="21" t="n">
        <f aca="false">H1293*(1+IF(C1294=1,Assumptions!B22,Assumptions!B23))</f>
        <v>24.2326426385456</v>
      </c>
      <c r="I1294" s="16" t="n">
        <f aca="false">ROUND(H1294*F1294,0)</f>
        <v>24</v>
      </c>
      <c r="J1294" s="22" t="n">
        <f aca="false">I1294*Assumptions!B24</f>
        <v>14400</v>
      </c>
      <c r="K1294" s="21" t="n">
        <f aca="false">K1293*(1+Assumptions!B30)</f>
        <v>20.0462153148933</v>
      </c>
      <c r="L1294" s="16" t="n">
        <f aca="false">ROUND(K1294*F1294,0)</f>
        <v>20</v>
      </c>
      <c r="M1294" s="22" t="n">
        <f aca="false">L1294*Assumptions!B31</f>
        <v>6000</v>
      </c>
      <c r="N1294" s="22" t="n">
        <f aca="false">J1294+M1294</f>
        <v>20400</v>
      </c>
      <c r="O1294" s="22" t="n">
        <f aca="false">IF(DAY(B1294)=1,Assumptions!B38*G1294,0)</f>
        <v>0</v>
      </c>
      <c r="P1294" s="22" t="n">
        <f aca="false">IF(DAY(B1294)=1,Assumptions!B39*G1294,0)</f>
        <v>0</v>
      </c>
      <c r="Q1294" s="22" t="n">
        <f aca="false">IF(DAY(B1294)=1,Assumptions!B40*G1294,0)</f>
        <v>0</v>
      </c>
      <c r="R1294" s="22" t="n">
        <f aca="false">IF(DAY(B1294)=1,Assumptions!B41*G1294,0)</f>
        <v>0</v>
      </c>
      <c r="S1294" s="22" t="n">
        <f aca="false">IF(AND(DAY(B1294)=1,D1294&gt;=13),Assumptions!B42*G1294,0)</f>
        <v>0</v>
      </c>
      <c r="T1294" s="22" t="n">
        <f aca="false">IF(DAY(B1294)=1,Assumptions!B43*G1294,0)</f>
        <v>0</v>
      </c>
      <c r="U1294" s="22" t="n">
        <f aca="false">SUM(O1294:T1294)</f>
        <v>0</v>
      </c>
      <c r="V1294" s="22" t="n">
        <f aca="false">N1294-U1294</f>
        <v>20400</v>
      </c>
      <c r="W1294" s="22" t="n">
        <f aca="false">W1293+V1294</f>
        <v>-1161987.25619637</v>
      </c>
      <c r="X1294" s="23" t="str">
        <f aca="false">IF(W1294&gt;=0,"YES","No")</f>
        <v>No</v>
      </c>
    </row>
    <row r="1295" customFormat="false" ht="15" hidden="false" customHeight="false" outlineLevel="0" collapsed="false">
      <c r="A1295" s="16" t="n">
        <v>1294</v>
      </c>
      <c r="B1295" s="17" t="n">
        <f aca="false">B1294+1</f>
        <v>47316</v>
      </c>
      <c r="C1295" s="18" t="n">
        <f aca="false">MIN(ROUNDUP(A1295/365,0),5)</f>
        <v>4</v>
      </c>
      <c r="D1295" s="18" t="n">
        <f aca="false">DATEDIF(Assumptions!B5,B1295,"m")+1</f>
        <v>43</v>
      </c>
      <c r="E1295" s="18" t="str">
        <f aca="false">TEXT(B1295,"ddd")</f>
        <v>Tue</v>
      </c>
      <c r="F1295" s="19" t="n">
        <f aca="false">IF(WEEKDAY(B1295,2)&gt;=6,Assumptions!B34,Assumptions!B35)</f>
        <v>1</v>
      </c>
      <c r="G1295" s="20" t="n">
        <f aca="false">IF(D1295&gt;=13,(1+Assumptions!B46)^(D1295-12),1)</f>
        <v>1.09730895549592</v>
      </c>
      <c r="H1295" s="21" t="n">
        <f aca="false">H1294*(1+IF(C1295=1,Assumptions!B22,Assumptions!B23))</f>
        <v>24.2366134405522</v>
      </c>
      <c r="I1295" s="16" t="n">
        <f aca="false">ROUND(H1295*F1295,0)</f>
        <v>24</v>
      </c>
      <c r="J1295" s="22" t="n">
        <f aca="false">I1295*Assumptions!B24</f>
        <v>14400</v>
      </c>
      <c r="K1295" s="21" t="n">
        <f aca="false">K1294*(1+Assumptions!B30)</f>
        <v>20.0527691611295</v>
      </c>
      <c r="L1295" s="16" t="n">
        <f aca="false">ROUND(K1295*F1295,0)</f>
        <v>20</v>
      </c>
      <c r="M1295" s="22" t="n">
        <f aca="false">L1295*Assumptions!B31</f>
        <v>6000</v>
      </c>
      <c r="N1295" s="22" t="n">
        <f aca="false">J1295+M1295</f>
        <v>20400</v>
      </c>
      <c r="O1295" s="22" t="n">
        <f aca="false">IF(DAY(B1295)=1,Assumptions!B38*G1295,0)</f>
        <v>0</v>
      </c>
      <c r="P1295" s="22" t="n">
        <f aca="false">IF(DAY(B1295)=1,Assumptions!B39*G1295,0)</f>
        <v>0</v>
      </c>
      <c r="Q1295" s="22" t="n">
        <f aca="false">IF(DAY(B1295)=1,Assumptions!B40*G1295,0)</f>
        <v>0</v>
      </c>
      <c r="R1295" s="22" t="n">
        <f aca="false">IF(DAY(B1295)=1,Assumptions!B41*G1295,0)</f>
        <v>0</v>
      </c>
      <c r="S1295" s="22" t="n">
        <f aca="false">IF(AND(DAY(B1295)=1,D1295&gt;=13),Assumptions!B42*G1295,0)</f>
        <v>0</v>
      </c>
      <c r="T1295" s="22" t="n">
        <f aca="false">IF(DAY(B1295)=1,Assumptions!B43*G1295,0)</f>
        <v>0</v>
      </c>
      <c r="U1295" s="22" t="n">
        <f aca="false">SUM(O1295:T1295)</f>
        <v>0</v>
      </c>
      <c r="V1295" s="22" t="n">
        <f aca="false">N1295-U1295</f>
        <v>20400</v>
      </c>
      <c r="W1295" s="22" t="n">
        <f aca="false">W1294+V1295</f>
        <v>-1141587.25619637</v>
      </c>
      <c r="X1295" s="23" t="str">
        <f aca="false">IF(W1295&gt;=0,"YES","No")</f>
        <v>No</v>
      </c>
    </row>
    <row r="1296" customFormat="false" ht="15" hidden="false" customHeight="false" outlineLevel="0" collapsed="false">
      <c r="A1296" s="16" t="n">
        <v>1295</v>
      </c>
      <c r="B1296" s="17" t="n">
        <f aca="false">B1295+1</f>
        <v>47317</v>
      </c>
      <c r="C1296" s="18" t="n">
        <f aca="false">MIN(ROUNDUP(A1296/365,0),5)</f>
        <v>4</v>
      </c>
      <c r="D1296" s="18" t="n">
        <f aca="false">DATEDIF(Assumptions!B5,B1296,"m")+1</f>
        <v>43</v>
      </c>
      <c r="E1296" s="18" t="str">
        <f aca="false">TEXT(B1296,"ddd")</f>
        <v>Wed</v>
      </c>
      <c r="F1296" s="19" t="n">
        <f aca="false">IF(WEEKDAY(B1296,2)&gt;=6,Assumptions!B34,Assumptions!B35)</f>
        <v>1</v>
      </c>
      <c r="G1296" s="20" t="n">
        <f aca="false">IF(D1296&gt;=13,(1+Assumptions!B46)^(D1296-12),1)</f>
        <v>1.09730895549592</v>
      </c>
      <c r="H1296" s="21" t="n">
        <f aca="false">H1295*(1+IF(C1296=1,Assumptions!B22,Assumptions!B23))</f>
        <v>24.2405848932212</v>
      </c>
      <c r="I1296" s="16" t="n">
        <f aca="false">ROUND(H1296*F1296,0)</f>
        <v>24</v>
      </c>
      <c r="J1296" s="22" t="n">
        <f aca="false">I1296*Assumptions!B24</f>
        <v>14400</v>
      </c>
      <c r="K1296" s="21" t="n">
        <f aca="false">K1295*(1+Assumptions!B30)</f>
        <v>20.0593251500594</v>
      </c>
      <c r="L1296" s="16" t="n">
        <f aca="false">ROUND(K1296*F1296,0)</f>
        <v>20</v>
      </c>
      <c r="M1296" s="22" t="n">
        <f aca="false">L1296*Assumptions!B31</f>
        <v>6000</v>
      </c>
      <c r="N1296" s="22" t="n">
        <f aca="false">J1296+M1296</f>
        <v>20400</v>
      </c>
      <c r="O1296" s="22" t="n">
        <f aca="false">IF(DAY(B1296)=1,Assumptions!B38*G1296,0)</f>
        <v>0</v>
      </c>
      <c r="P1296" s="22" t="n">
        <f aca="false">IF(DAY(B1296)=1,Assumptions!B39*G1296,0)</f>
        <v>0</v>
      </c>
      <c r="Q1296" s="22" t="n">
        <f aca="false">IF(DAY(B1296)=1,Assumptions!B40*G1296,0)</f>
        <v>0</v>
      </c>
      <c r="R1296" s="22" t="n">
        <f aca="false">IF(DAY(B1296)=1,Assumptions!B41*G1296,0)</f>
        <v>0</v>
      </c>
      <c r="S1296" s="22" t="n">
        <f aca="false">IF(AND(DAY(B1296)=1,D1296&gt;=13),Assumptions!B42*G1296,0)</f>
        <v>0</v>
      </c>
      <c r="T1296" s="22" t="n">
        <f aca="false">IF(DAY(B1296)=1,Assumptions!B43*G1296,0)</f>
        <v>0</v>
      </c>
      <c r="U1296" s="22" t="n">
        <f aca="false">SUM(O1296:T1296)</f>
        <v>0</v>
      </c>
      <c r="V1296" s="22" t="n">
        <f aca="false">N1296-U1296</f>
        <v>20400</v>
      </c>
      <c r="W1296" s="22" t="n">
        <f aca="false">W1295+V1296</f>
        <v>-1121187.25619637</v>
      </c>
      <c r="X1296" s="23" t="str">
        <f aca="false">IF(W1296&gt;=0,"YES","No")</f>
        <v>No</v>
      </c>
    </row>
    <row r="1297" customFormat="false" ht="15" hidden="false" customHeight="false" outlineLevel="0" collapsed="false">
      <c r="A1297" s="16" t="n">
        <v>1296</v>
      </c>
      <c r="B1297" s="17" t="n">
        <f aca="false">B1296+1</f>
        <v>47318</v>
      </c>
      <c r="C1297" s="18" t="n">
        <f aca="false">MIN(ROUNDUP(A1297/365,0),5)</f>
        <v>4</v>
      </c>
      <c r="D1297" s="18" t="n">
        <f aca="false">DATEDIF(Assumptions!B5,B1297,"m")+1</f>
        <v>43</v>
      </c>
      <c r="E1297" s="18" t="str">
        <f aca="false">TEXT(B1297,"ddd")</f>
        <v>Thu</v>
      </c>
      <c r="F1297" s="19" t="n">
        <f aca="false">IF(WEEKDAY(B1297,2)&gt;=6,Assumptions!B34,Assumptions!B35)</f>
        <v>1</v>
      </c>
      <c r="G1297" s="20" t="n">
        <f aca="false">IF(D1297&gt;=13,(1+Assumptions!B46)^(D1297-12),1)</f>
        <v>1.09730895549592</v>
      </c>
      <c r="H1297" s="21" t="n">
        <f aca="false">H1296*(1+IF(C1297=1,Assumptions!B22,Assumptions!B23))</f>
        <v>24.2445569966591</v>
      </c>
      <c r="I1297" s="16" t="n">
        <f aca="false">ROUND(H1297*F1297,0)</f>
        <v>24</v>
      </c>
      <c r="J1297" s="22" t="n">
        <f aca="false">I1297*Assumptions!B24</f>
        <v>14400</v>
      </c>
      <c r="K1297" s="21" t="n">
        <f aca="false">K1296*(1+Assumptions!B30)</f>
        <v>20.0658832823837</v>
      </c>
      <c r="L1297" s="16" t="n">
        <f aca="false">ROUND(K1297*F1297,0)</f>
        <v>20</v>
      </c>
      <c r="M1297" s="22" t="n">
        <f aca="false">L1297*Assumptions!B31</f>
        <v>6000</v>
      </c>
      <c r="N1297" s="22" t="n">
        <f aca="false">J1297+M1297</f>
        <v>20400</v>
      </c>
      <c r="O1297" s="22" t="n">
        <f aca="false">IF(DAY(B1297)=1,Assumptions!B38*G1297,0)</f>
        <v>0</v>
      </c>
      <c r="P1297" s="22" t="n">
        <f aca="false">IF(DAY(B1297)=1,Assumptions!B39*G1297,0)</f>
        <v>0</v>
      </c>
      <c r="Q1297" s="22" t="n">
        <f aca="false">IF(DAY(B1297)=1,Assumptions!B40*G1297,0)</f>
        <v>0</v>
      </c>
      <c r="R1297" s="22" t="n">
        <f aca="false">IF(DAY(B1297)=1,Assumptions!B41*G1297,0)</f>
        <v>0</v>
      </c>
      <c r="S1297" s="22" t="n">
        <f aca="false">IF(AND(DAY(B1297)=1,D1297&gt;=13),Assumptions!B42*G1297,0)</f>
        <v>0</v>
      </c>
      <c r="T1297" s="22" t="n">
        <f aca="false">IF(DAY(B1297)=1,Assumptions!B43*G1297,0)</f>
        <v>0</v>
      </c>
      <c r="U1297" s="22" t="n">
        <f aca="false">SUM(O1297:T1297)</f>
        <v>0</v>
      </c>
      <c r="V1297" s="22" t="n">
        <f aca="false">N1297-U1297</f>
        <v>20400</v>
      </c>
      <c r="W1297" s="22" t="n">
        <f aca="false">W1296+V1297</f>
        <v>-1100787.25619637</v>
      </c>
      <c r="X1297" s="23" t="str">
        <f aca="false">IF(W1297&gt;=0,"YES","No")</f>
        <v>No</v>
      </c>
    </row>
    <row r="1298" customFormat="false" ht="15" hidden="false" customHeight="false" outlineLevel="0" collapsed="false">
      <c r="A1298" s="16" t="n">
        <v>1297</v>
      </c>
      <c r="B1298" s="17" t="n">
        <f aca="false">B1297+1</f>
        <v>47319</v>
      </c>
      <c r="C1298" s="18" t="n">
        <f aca="false">MIN(ROUNDUP(A1298/365,0),5)</f>
        <v>4</v>
      </c>
      <c r="D1298" s="18" t="n">
        <f aca="false">DATEDIF(Assumptions!B5,B1298,"m")+1</f>
        <v>43</v>
      </c>
      <c r="E1298" s="18" t="str">
        <f aca="false">TEXT(B1298,"ddd")</f>
        <v>Fri</v>
      </c>
      <c r="F1298" s="19" t="n">
        <f aca="false">IF(WEEKDAY(B1298,2)&gt;=6,Assumptions!B34,Assumptions!B35)</f>
        <v>1</v>
      </c>
      <c r="G1298" s="20" t="n">
        <f aca="false">IF(D1298&gt;=13,(1+Assumptions!B46)^(D1298-12),1)</f>
        <v>1.09730895549592</v>
      </c>
      <c r="H1298" s="21" t="n">
        <f aca="false">H1297*(1+IF(C1298=1,Assumptions!B22,Assumptions!B23))</f>
        <v>24.2485297509727</v>
      </c>
      <c r="I1298" s="16" t="n">
        <f aca="false">ROUND(H1298*F1298,0)</f>
        <v>24</v>
      </c>
      <c r="J1298" s="22" t="n">
        <f aca="false">I1298*Assumptions!B24</f>
        <v>14400</v>
      </c>
      <c r="K1298" s="21" t="n">
        <f aca="false">K1297*(1+Assumptions!B30)</f>
        <v>20.0724435588029</v>
      </c>
      <c r="L1298" s="16" t="n">
        <f aca="false">ROUND(K1298*F1298,0)</f>
        <v>20</v>
      </c>
      <c r="M1298" s="22" t="n">
        <f aca="false">L1298*Assumptions!B31</f>
        <v>6000</v>
      </c>
      <c r="N1298" s="22" t="n">
        <f aca="false">J1298+M1298</f>
        <v>20400</v>
      </c>
      <c r="O1298" s="22" t="n">
        <f aca="false">IF(DAY(B1298)=1,Assumptions!B38*G1298,0)</f>
        <v>0</v>
      </c>
      <c r="P1298" s="22" t="n">
        <f aca="false">IF(DAY(B1298)=1,Assumptions!B39*G1298,0)</f>
        <v>0</v>
      </c>
      <c r="Q1298" s="22" t="n">
        <f aca="false">IF(DAY(B1298)=1,Assumptions!B40*G1298,0)</f>
        <v>0</v>
      </c>
      <c r="R1298" s="22" t="n">
        <f aca="false">IF(DAY(B1298)=1,Assumptions!B41*G1298,0)</f>
        <v>0</v>
      </c>
      <c r="S1298" s="22" t="n">
        <f aca="false">IF(AND(DAY(B1298)=1,D1298&gt;=13),Assumptions!B42*G1298,0)</f>
        <v>0</v>
      </c>
      <c r="T1298" s="22" t="n">
        <f aca="false">IF(DAY(B1298)=1,Assumptions!B43*G1298,0)</f>
        <v>0</v>
      </c>
      <c r="U1298" s="22" t="n">
        <f aca="false">SUM(O1298:T1298)</f>
        <v>0</v>
      </c>
      <c r="V1298" s="22" t="n">
        <f aca="false">N1298-U1298</f>
        <v>20400</v>
      </c>
      <c r="W1298" s="22" t="n">
        <f aca="false">W1297+V1298</f>
        <v>-1080387.25619637</v>
      </c>
      <c r="X1298" s="23" t="str">
        <f aca="false">IF(W1298&gt;=0,"YES","No")</f>
        <v>No</v>
      </c>
    </row>
    <row r="1299" customFormat="false" ht="15" hidden="false" customHeight="false" outlineLevel="0" collapsed="false">
      <c r="A1299" s="16" t="n">
        <v>1298</v>
      </c>
      <c r="B1299" s="17" t="n">
        <f aca="false">B1298+1</f>
        <v>47320</v>
      </c>
      <c r="C1299" s="18" t="n">
        <f aca="false">MIN(ROUNDUP(A1299/365,0),5)</f>
        <v>4</v>
      </c>
      <c r="D1299" s="18" t="n">
        <f aca="false">DATEDIF(Assumptions!B5,B1299,"m")+1</f>
        <v>43</v>
      </c>
      <c r="E1299" s="18" t="str">
        <f aca="false">TEXT(B1299,"ddd")</f>
        <v>Sat</v>
      </c>
      <c r="F1299" s="19" t="n">
        <f aca="false">IF(WEEKDAY(B1299,2)&gt;=6,Assumptions!B34,Assumptions!B35)</f>
        <v>0.6</v>
      </c>
      <c r="G1299" s="20" t="n">
        <f aca="false">IF(D1299&gt;=13,(1+Assumptions!B46)^(D1299-12),1)</f>
        <v>1.09730895549592</v>
      </c>
      <c r="H1299" s="21" t="n">
        <f aca="false">H1298*(1+IF(C1299=1,Assumptions!B22,Assumptions!B23))</f>
        <v>24.2525031562686</v>
      </c>
      <c r="I1299" s="16" t="n">
        <f aca="false">ROUND(H1299*F1299,0)</f>
        <v>15</v>
      </c>
      <c r="J1299" s="22" t="n">
        <f aca="false">I1299*Assumptions!B24</f>
        <v>9000</v>
      </c>
      <c r="K1299" s="21" t="n">
        <f aca="false">K1298*(1+Assumptions!B30)</f>
        <v>20.0790059800182</v>
      </c>
      <c r="L1299" s="16" t="n">
        <f aca="false">ROUND(K1299*F1299,0)</f>
        <v>12</v>
      </c>
      <c r="M1299" s="22" t="n">
        <f aca="false">L1299*Assumptions!B31</f>
        <v>3600</v>
      </c>
      <c r="N1299" s="22" t="n">
        <f aca="false">J1299+M1299</f>
        <v>12600</v>
      </c>
      <c r="O1299" s="22" t="n">
        <f aca="false">IF(DAY(B1299)=1,Assumptions!B38*G1299,0)</f>
        <v>0</v>
      </c>
      <c r="P1299" s="22" t="n">
        <f aca="false">IF(DAY(B1299)=1,Assumptions!B39*G1299,0)</f>
        <v>0</v>
      </c>
      <c r="Q1299" s="22" t="n">
        <f aca="false">IF(DAY(B1299)=1,Assumptions!B40*G1299,0)</f>
        <v>0</v>
      </c>
      <c r="R1299" s="22" t="n">
        <f aca="false">IF(DAY(B1299)=1,Assumptions!B41*G1299,0)</f>
        <v>0</v>
      </c>
      <c r="S1299" s="22" t="n">
        <f aca="false">IF(AND(DAY(B1299)=1,D1299&gt;=13),Assumptions!B42*G1299,0)</f>
        <v>0</v>
      </c>
      <c r="T1299" s="22" t="n">
        <f aca="false">IF(DAY(B1299)=1,Assumptions!B43*G1299,0)</f>
        <v>0</v>
      </c>
      <c r="U1299" s="22" t="n">
        <f aca="false">SUM(O1299:T1299)</f>
        <v>0</v>
      </c>
      <c r="V1299" s="22" t="n">
        <f aca="false">N1299-U1299</f>
        <v>12600</v>
      </c>
      <c r="W1299" s="22" t="n">
        <f aca="false">W1298+V1299</f>
        <v>-1067787.25619637</v>
      </c>
      <c r="X1299" s="23" t="str">
        <f aca="false">IF(W1299&gt;=0,"YES","No")</f>
        <v>No</v>
      </c>
    </row>
    <row r="1300" customFormat="false" ht="15" hidden="false" customHeight="false" outlineLevel="0" collapsed="false">
      <c r="A1300" s="16" t="n">
        <v>1299</v>
      </c>
      <c r="B1300" s="17" t="n">
        <f aca="false">B1299+1</f>
        <v>47321</v>
      </c>
      <c r="C1300" s="18" t="n">
        <f aca="false">MIN(ROUNDUP(A1300/365,0),5)</f>
        <v>4</v>
      </c>
      <c r="D1300" s="18" t="n">
        <f aca="false">DATEDIF(Assumptions!B5,B1300,"m")+1</f>
        <v>43</v>
      </c>
      <c r="E1300" s="18" t="str">
        <f aca="false">TEXT(B1300,"ddd")</f>
        <v>Sun</v>
      </c>
      <c r="F1300" s="19" t="n">
        <f aca="false">IF(WEEKDAY(B1300,2)&gt;=6,Assumptions!B34,Assumptions!B35)</f>
        <v>0.6</v>
      </c>
      <c r="G1300" s="20" t="n">
        <f aca="false">IF(D1300&gt;=13,(1+Assumptions!B46)^(D1300-12),1)</f>
        <v>1.09730895549592</v>
      </c>
      <c r="H1300" s="21" t="n">
        <f aca="false">H1299*(1+IF(C1300=1,Assumptions!B22,Assumptions!B23))</f>
        <v>24.2564772126534</v>
      </c>
      <c r="I1300" s="16" t="n">
        <f aca="false">ROUND(H1300*F1300,0)</f>
        <v>15</v>
      </c>
      <c r="J1300" s="22" t="n">
        <f aca="false">I1300*Assumptions!B24</f>
        <v>9000</v>
      </c>
      <c r="K1300" s="21" t="n">
        <f aca="false">K1299*(1+Assumptions!B30)</f>
        <v>20.0855705467308</v>
      </c>
      <c r="L1300" s="16" t="n">
        <f aca="false">ROUND(K1300*F1300,0)</f>
        <v>12</v>
      </c>
      <c r="M1300" s="22" t="n">
        <f aca="false">L1300*Assumptions!B31</f>
        <v>3600</v>
      </c>
      <c r="N1300" s="22" t="n">
        <f aca="false">J1300+M1300</f>
        <v>12600</v>
      </c>
      <c r="O1300" s="22" t="n">
        <f aca="false">IF(DAY(B1300)=1,Assumptions!B38*G1300,0)</f>
        <v>0</v>
      </c>
      <c r="P1300" s="22" t="n">
        <f aca="false">IF(DAY(B1300)=1,Assumptions!B39*G1300,0)</f>
        <v>0</v>
      </c>
      <c r="Q1300" s="22" t="n">
        <f aca="false">IF(DAY(B1300)=1,Assumptions!B40*G1300,0)</f>
        <v>0</v>
      </c>
      <c r="R1300" s="22" t="n">
        <f aca="false">IF(DAY(B1300)=1,Assumptions!B41*G1300,0)</f>
        <v>0</v>
      </c>
      <c r="S1300" s="22" t="n">
        <f aca="false">IF(AND(DAY(B1300)=1,D1300&gt;=13),Assumptions!B42*G1300,0)</f>
        <v>0</v>
      </c>
      <c r="T1300" s="22" t="n">
        <f aca="false">IF(DAY(B1300)=1,Assumptions!B43*G1300,0)</f>
        <v>0</v>
      </c>
      <c r="U1300" s="22" t="n">
        <f aca="false">SUM(O1300:T1300)</f>
        <v>0</v>
      </c>
      <c r="V1300" s="22" t="n">
        <f aca="false">N1300-U1300</f>
        <v>12600</v>
      </c>
      <c r="W1300" s="22" t="n">
        <f aca="false">W1299+V1300</f>
        <v>-1055187.25619637</v>
      </c>
      <c r="X1300" s="23" t="str">
        <f aca="false">IF(W1300&gt;=0,"YES","No")</f>
        <v>No</v>
      </c>
    </row>
    <row r="1301" customFormat="false" ht="15" hidden="false" customHeight="false" outlineLevel="0" collapsed="false">
      <c r="A1301" s="16" t="n">
        <v>1300</v>
      </c>
      <c r="B1301" s="17" t="n">
        <f aca="false">B1300+1</f>
        <v>47322</v>
      </c>
      <c r="C1301" s="18" t="n">
        <f aca="false">MIN(ROUNDUP(A1301/365,0),5)</f>
        <v>4</v>
      </c>
      <c r="D1301" s="18" t="n">
        <f aca="false">DATEDIF(Assumptions!B5,B1301,"m")+1</f>
        <v>43</v>
      </c>
      <c r="E1301" s="18" t="str">
        <f aca="false">TEXT(B1301,"ddd")</f>
        <v>Mon</v>
      </c>
      <c r="F1301" s="19" t="n">
        <f aca="false">IF(WEEKDAY(B1301,2)&gt;=6,Assumptions!B34,Assumptions!B35)</f>
        <v>1</v>
      </c>
      <c r="G1301" s="20" t="n">
        <f aca="false">IF(D1301&gt;=13,(1+Assumptions!B46)^(D1301-12),1)</f>
        <v>1.09730895549592</v>
      </c>
      <c r="H1301" s="21" t="n">
        <f aca="false">H1300*(1+IF(C1301=1,Assumptions!B22,Assumptions!B23))</f>
        <v>24.2604519202338</v>
      </c>
      <c r="I1301" s="16" t="n">
        <f aca="false">ROUND(H1301*F1301,0)</f>
        <v>24</v>
      </c>
      <c r="J1301" s="22" t="n">
        <f aca="false">I1301*Assumptions!B24</f>
        <v>14400</v>
      </c>
      <c r="K1301" s="21" t="n">
        <f aca="false">K1300*(1+Assumptions!B30)</f>
        <v>20.092137259642</v>
      </c>
      <c r="L1301" s="16" t="n">
        <f aca="false">ROUND(K1301*F1301,0)</f>
        <v>20</v>
      </c>
      <c r="M1301" s="22" t="n">
        <f aca="false">L1301*Assumptions!B31</f>
        <v>6000</v>
      </c>
      <c r="N1301" s="22" t="n">
        <f aca="false">J1301+M1301</f>
        <v>20400</v>
      </c>
      <c r="O1301" s="22" t="n">
        <f aca="false">IF(DAY(B1301)=1,Assumptions!B38*G1301,0)</f>
        <v>0</v>
      </c>
      <c r="P1301" s="22" t="n">
        <f aca="false">IF(DAY(B1301)=1,Assumptions!B39*G1301,0)</f>
        <v>0</v>
      </c>
      <c r="Q1301" s="22" t="n">
        <f aca="false">IF(DAY(B1301)=1,Assumptions!B40*G1301,0)</f>
        <v>0</v>
      </c>
      <c r="R1301" s="22" t="n">
        <f aca="false">IF(DAY(B1301)=1,Assumptions!B41*G1301,0)</f>
        <v>0</v>
      </c>
      <c r="S1301" s="22" t="n">
        <f aca="false">IF(AND(DAY(B1301)=1,D1301&gt;=13),Assumptions!B42*G1301,0)</f>
        <v>0</v>
      </c>
      <c r="T1301" s="22" t="n">
        <f aca="false">IF(DAY(B1301)=1,Assumptions!B43*G1301,0)</f>
        <v>0</v>
      </c>
      <c r="U1301" s="22" t="n">
        <f aca="false">SUM(O1301:T1301)</f>
        <v>0</v>
      </c>
      <c r="V1301" s="22" t="n">
        <f aca="false">N1301-U1301</f>
        <v>20400</v>
      </c>
      <c r="W1301" s="22" t="n">
        <f aca="false">W1300+V1301</f>
        <v>-1034787.25619637</v>
      </c>
      <c r="X1301" s="23" t="str">
        <f aca="false">IF(W1301&gt;=0,"YES","No")</f>
        <v>No</v>
      </c>
    </row>
    <row r="1302" customFormat="false" ht="15" hidden="false" customHeight="false" outlineLevel="0" collapsed="false">
      <c r="A1302" s="16" t="n">
        <v>1301</v>
      </c>
      <c r="B1302" s="17" t="n">
        <f aca="false">B1301+1</f>
        <v>47323</v>
      </c>
      <c r="C1302" s="18" t="n">
        <f aca="false">MIN(ROUNDUP(A1302/365,0),5)</f>
        <v>4</v>
      </c>
      <c r="D1302" s="18" t="n">
        <f aca="false">DATEDIF(Assumptions!B5,B1302,"m")+1</f>
        <v>43</v>
      </c>
      <c r="E1302" s="18" t="str">
        <f aca="false">TEXT(B1302,"ddd")</f>
        <v>Tue</v>
      </c>
      <c r="F1302" s="19" t="n">
        <f aca="false">IF(WEEKDAY(B1302,2)&gt;=6,Assumptions!B34,Assumptions!B35)</f>
        <v>1</v>
      </c>
      <c r="G1302" s="20" t="n">
        <f aca="false">IF(D1302&gt;=13,(1+Assumptions!B46)^(D1302-12),1)</f>
        <v>1.09730895549592</v>
      </c>
      <c r="H1302" s="21" t="n">
        <f aca="false">H1301*(1+IF(C1302=1,Assumptions!B22,Assumptions!B23))</f>
        <v>24.2644272791166</v>
      </c>
      <c r="I1302" s="16" t="n">
        <f aca="false">ROUND(H1302*F1302,0)</f>
        <v>24</v>
      </c>
      <c r="J1302" s="22" t="n">
        <f aca="false">I1302*Assumptions!B24</f>
        <v>14400</v>
      </c>
      <c r="K1302" s="21" t="n">
        <f aca="false">K1301*(1+Assumptions!B30)</f>
        <v>20.0987061194536</v>
      </c>
      <c r="L1302" s="16" t="n">
        <f aca="false">ROUND(K1302*F1302,0)</f>
        <v>20</v>
      </c>
      <c r="M1302" s="22" t="n">
        <f aca="false">L1302*Assumptions!B31</f>
        <v>6000</v>
      </c>
      <c r="N1302" s="22" t="n">
        <f aca="false">J1302+M1302</f>
        <v>20400</v>
      </c>
      <c r="O1302" s="22" t="n">
        <f aca="false">IF(DAY(B1302)=1,Assumptions!B38*G1302,0)</f>
        <v>0</v>
      </c>
      <c r="P1302" s="22" t="n">
        <f aca="false">IF(DAY(B1302)=1,Assumptions!B39*G1302,0)</f>
        <v>0</v>
      </c>
      <c r="Q1302" s="22" t="n">
        <f aca="false">IF(DAY(B1302)=1,Assumptions!B40*G1302,0)</f>
        <v>0</v>
      </c>
      <c r="R1302" s="22" t="n">
        <f aca="false">IF(DAY(B1302)=1,Assumptions!B41*G1302,0)</f>
        <v>0</v>
      </c>
      <c r="S1302" s="22" t="n">
        <f aca="false">IF(AND(DAY(B1302)=1,D1302&gt;=13),Assumptions!B42*G1302,0)</f>
        <v>0</v>
      </c>
      <c r="T1302" s="22" t="n">
        <f aca="false">IF(DAY(B1302)=1,Assumptions!B43*G1302,0)</f>
        <v>0</v>
      </c>
      <c r="U1302" s="22" t="n">
        <f aca="false">SUM(O1302:T1302)</f>
        <v>0</v>
      </c>
      <c r="V1302" s="22" t="n">
        <f aca="false">N1302-U1302</f>
        <v>20400</v>
      </c>
      <c r="W1302" s="22" t="n">
        <f aca="false">W1301+V1302</f>
        <v>-1014387.25619637</v>
      </c>
      <c r="X1302" s="23" t="str">
        <f aca="false">IF(W1302&gt;=0,"YES","No")</f>
        <v>No</v>
      </c>
    </row>
    <row r="1303" customFormat="false" ht="15" hidden="false" customHeight="false" outlineLevel="0" collapsed="false">
      <c r="A1303" s="16" t="n">
        <v>1302</v>
      </c>
      <c r="B1303" s="17" t="n">
        <f aca="false">B1302+1</f>
        <v>47324</v>
      </c>
      <c r="C1303" s="18" t="n">
        <f aca="false">MIN(ROUNDUP(A1303/365,0),5)</f>
        <v>4</v>
      </c>
      <c r="D1303" s="18" t="n">
        <f aca="false">DATEDIF(Assumptions!B5,B1303,"m")+1</f>
        <v>43</v>
      </c>
      <c r="E1303" s="18" t="str">
        <f aca="false">TEXT(B1303,"ddd")</f>
        <v>Wed</v>
      </c>
      <c r="F1303" s="19" t="n">
        <f aca="false">IF(WEEKDAY(B1303,2)&gt;=6,Assumptions!B34,Assumptions!B35)</f>
        <v>1</v>
      </c>
      <c r="G1303" s="20" t="n">
        <f aca="false">IF(D1303&gt;=13,(1+Assumptions!B46)^(D1303-12),1)</f>
        <v>1.09730895549592</v>
      </c>
      <c r="H1303" s="21" t="n">
        <f aca="false">H1302*(1+IF(C1303=1,Assumptions!B22,Assumptions!B23))</f>
        <v>24.2684032894084</v>
      </c>
      <c r="I1303" s="16" t="n">
        <f aca="false">ROUND(H1303*F1303,0)</f>
        <v>24</v>
      </c>
      <c r="J1303" s="22" t="n">
        <f aca="false">I1303*Assumptions!B24</f>
        <v>14400</v>
      </c>
      <c r="K1303" s="21" t="n">
        <f aca="false">K1302*(1+Assumptions!B30)</f>
        <v>20.1052771268674</v>
      </c>
      <c r="L1303" s="16" t="n">
        <f aca="false">ROUND(K1303*F1303,0)</f>
        <v>20</v>
      </c>
      <c r="M1303" s="22" t="n">
        <f aca="false">L1303*Assumptions!B31</f>
        <v>6000</v>
      </c>
      <c r="N1303" s="22" t="n">
        <f aca="false">J1303+M1303</f>
        <v>20400</v>
      </c>
      <c r="O1303" s="22" t="n">
        <f aca="false">IF(DAY(B1303)=1,Assumptions!B38*G1303,0)</f>
        <v>0</v>
      </c>
      <c r="P1303" s="22" t="n">
        <f aca="false">IF(DAY(B1303)=1,Assumptions!B39*G1303,0)</f>
        <v>0</v>
      </c>
      <c r="Q1303" s="22" t="n">
        <f aca="false">IF(DAY(B1303)=1,Assumptions!B40*G1303,0)</f>
        <v>0</v>
      </c>
      <c r="R1303" s="22" t="n">
        <f aca="false">IF(DAY(B1303)=1,Assumptions!B41*G1303,0)</f>
        <v>0</v>
      </c>
      <c r="S1303" s="22" t="n">
        <f aca="false">IF(AND(DAY(B1303)=1,D1303&gt;=13),Assumptions!B42*G1303,0)</f>
        <v>0</v>
      </c>
      <c r="T1303" s="22" t="n">
        <f aca="false">IF(DAY(B1303)=1,Assumptions!B43*G1303,0)</f>
        <v>0</v>
      </c>
      <c r="U1303" s="22" t="n">
        <f aca="false">SUM(O1303:T1303)</f>
        <v>0</v>
      </c>
      <c r="V1303" s="22" t="n">
        <f aca="false">N1303-U1303</f>
        <v>20400</v>
      </c>
      <c r="W1303" s="22" t="n">
        <f aca="false">W1302+V1303</f>
        <v>-993987.256196374</v>
      </c>
      <c r="X1303" s="23" t="str">
        <f aca="false">IF(W1303&gt;=0,"YES","No")</f>
        <v>No</v>
      </c>
    </row>
    <row r="1304" customFormat="false" ht="15" hidden="false" customHeight="false" outlineLevel="0" collapsed="false">
      <c r="A1304" s="16" t="n">
        <v>1303</v>
      </c>
      <c r="B1304" s="17" t="n">
        <f aca="false">B1303+1</f>
        <v>47325</v>
      </c>
      <c r="C1304" s="18" t="n">
        <f aca="false">MIN(ROUNDUP(A1304/365,0),5)</f>
        <v>4</v>
      </c>
      <c r="D1304" s="18" t="n">
        <f aca="false">DATEDIF(Assumptions!B5,B1304,"m")+1</f>
        <v>43</v>
      </c>
      <c r="E1304" s="18" t="str">
        <f aca="false">TEXT(B1304,"ddd")</f>
        <v>Thu</v>
      </c>
      <c r="F1304" s="19" t="n">
        <f aca="false">IF(WEEKDAY(B1304,2)&gt;=6,Assumptions!B34,Assumptions!B35)</f>
        <v>1</v>
      </c>
      <c r="G1304" s="20" t="n">
        <f aca="false">IF(D1304&gt;=13,(1+Assumptions!B46)^(D1304-12),1)</f>
        <v>1.09730895549592</v>
      </c>
      <c r="H1304" s="21" t="n">
        <f aca="false">H1303*(1+IF(C1304=1,Assumptions!B22,Assumptions!B23))</f>
        <v>24.2723799512161</v>
      </c>
      <c r="I1304" s="16" t="n">
        <f aca="false">ROUND(H1304*F1304,0)</f>
        <v>24</v>
      </c>
      <c r="J1304" s="22" t="n">
        <f aca="false">I1304*Assumptions!B24</f>
        <v>14400</v>
      </c>
      <c r="K1304" s="21" t="n">
        <f aca="false">K1303*(1+Assumptions!B30)</f>
        <v>20.1118502825856</v>
      </c>
      <c r="L1304" s="16" t="n">
        <f aca="false">ROUND(K1304*F1304,0)</f>
        <v>20</v>
      </c>
      <c r="M1304" s="22" t="n">
        <f aca="false">L1304*Assumptions!B31</f>
        <v>6000</v>
      </c>
      <c r="N1304" s="22" t="n">
        <f aca="false">J1304+M1304</f>
        <v>20400</v>
      </c>
      <c r="O1304" s="22" t="n">
        <f aca="false">IF(DAY(B1304)=1,Assumptions!B38*G1304,0)</f>
        <v>0</v>
      </c>
      <c r="P1304" s="22" t="n">
        <f aca="false">IF(DAY(B1304)=1,Assumptions!B39*G1304,0)</f>
        <v>0</v>
      </c>
      <c r="Q1304" s="22" t="n">
        <f aca="false">IF(DAY(B1304)=1,Assumptions!B40*G1304,0)</f>
        <v>0</v>
      </c>
      <c r="R1304" s="22" t="n">
        <f aca="false">IF(DAY(B1304)=1,Assumptions!B41*G1304,0)</f>
        <v>0</v>
      </c>
      <c r="S1304" s="22" t="n">
        <f aca="false">IF(AND(DAY(B1304)=1,D1304&gt;=13),Assumptions!B42*G1304,0)</f>
        <v>0</v>
      </c>
      <c r="T1304" s="22" t="n">
        <f aca="false">IF(DAY(B1304)=1,Assumptions!B43*G1304,0)</f>
        <v>0</v>
      </c>
      <c r="U1304" s="22" t="n">
        <f aca="false">SUM(O1304:T1304)</f>
        <v>0</v>
      </c>
      <c r="V1304" s="22" t="n">
        <f aca="false">N1304-U1304</f>
        <v>20400</v>
      </c>
      <c r="W1304" s="22" t="n">
        <f aca="false">W1303+V1304</f>
        <v>-973587.256196374</v>
      </c>
      <c r="X1304" s="23" t="str">
        <f aca="false">IF(W1304&gt;=0,"YES","No")</f>
        <v>No</v>
      </c>
    </row>
    <row r="1305" customFormat="false" ht="15" hidden="false" customHeight="false" outlineLevel="0" collapsed="false">
      <c r="A1305" s="16" t="n">
        <v>1304</v>
      </c>
      <c r="B1305" s="17" t="n">
        <f aca="false">B1304+1</f>
        <v>47326</v>
      </c>
      <c r="C1305" s="18" t="n">
        <f aca="false">MIN(ROUNDUP(A1305/365,0),5)</f>
        <v>4</v>
      </c>
      <c r="D1305" s="18" t="n">
        <f aca="false">DATEDIF(Assumptions!B5,B1305,"m")+1</f>
        <v>43</v>
      </c>
      <c r="E1305" s="18" t="str">
        <f aca="false">TEXT(B1305,"ddd")</f>
        <v>Fri</v>
      </c>
      <c r="F1305" s="19" t="n">
        <f aca="false">IF(WEEKDAY(B1305,2)&gt;=6,Assumptions!B34,Assumptions!B35)</f>
        <v>1</v>
      </c>
      <c r="G1305" s="20" t="n">
        <f aca="false">IF(D1305&gt;=13,(1+Assumptions!B46)^(D1305-12),1)</f>
        <v>1.09730895549592</v>
      </c>
      <c r="H1305" s="21" t="n">
        <f aca="false">H1304*(1+IF(C1305=1,Assumptions!B22,Assumptions!B23))</f>
        <v>24.2763572646463</v>
      </c>
      <c r="I1305" s="16" t="n">
        <f aca="false">ROUND(H1305*F1305,0)</f>
        <v>24</v>
      </c>
      <c r="J1305" s="22" t="n">
        <f aca="false">I1305*Assumptions!B24</f>
        <v>14400</v>
      </c>
      <c r="K1305" s="21" t="n">
        <f aca="false">K1304*(1+Assumptions!B30)</f>
        <v>20.1184255873106</v>
      </c>
      <c r="L1305" s="16" t="n">
        <f aca="false">ROUND(K1305*F1305,0)</f>
        <v>20</v>
      </c>
      <c r="M1305" s="22" t="n">
        <f aca="false">L1305*Assumptions!B31</f>
        <v>6000</v>
      </c>
      <c r="N1305" s="22" t="n">
        <f aca="false">J1305+M1305</f>
        <v>20400</v>
      </c>
      <c r="O1305" s="22" t="n">
        <f aca="false">IF(DAY(B1305)=1,Assumptions!B38*G1305,0)</f>
        <v>0</v>
      </c>
      <c r="P1305" s="22" t="n">
        <f aca="false">IF(DAY(B1305)=1,Assumptions!B39*G1305,0)</f>
        <v>0</v>
      </c>
      <c r="Q1305" s="22" t="n">
        <f aca="false">IF(DAY(B1305)=1,Assumptions!B40*G1305,0)</f>
        <v>0</v>
      </c>
      <c r="R1305" s="22" t="n">
        <f aca="false">IF(DAY(B1305)=1,Assumptions!B41*G1305,0)</f>
        <v>0</v>
      </c>
      <c r="S1305" s="22" t="n">
        <f aca="false">IF(AND(DAY(B1305)=1,D1305&gt;=13),Assumptions!B42*G1305,0)</f>
        <v>0</v>
      </c>
      <c r="T1305" s="22" t="n">
        <f aca="false">IF(DAY(B1305)=1,Assumptions!B43*G1305,0)</f>
        <v>0</v>
      </c>
      <c r="U1305" s="22" t="n">
        <f aca="false">SUM(O1305:T1305)</f>
        <v>0</v>
      </c>
      <c r="V1305" s="22" t="n">
        <f aca="false">N1305-U1305</f>
        <v>20400</v>
      </c>
      <c r="W1305" s="22" t="n">
        <f aca="false">W1304+V1305</f>
        <v>-953187.256196374</v>
      </c>
      <c r="X1305" s="23" t="str">
        <f aca="false">IF(W1305&gt;=0,"YES","No")</f>
        <v>No</v>
      </c>
    </row>
    <row r="1306" customFormat="false" ht="15" hidden="false" customHeight="false" outlineLevel="0" collapsed="false">
      <c r="A1306" s="16" t="n">
        <v>1305</v>
      </c>
      <c r="B1306" s="17" t="n">
        <f aca="false">B1305+1</f>
        <v>47327</v>
      </c>
      <c r="C1306" s="18" t="n">
        <f aca="false">MIN(ROUNDUP(A1306/365,0),5)</f>
        <v>4</v>
      </c>
      <c r="D1306" s="18" t="n">
        <f aca="false">DATEDIF(Assumptions!B5,B1306,"m")+1</f>
        <v>43</v>
      </c>
      <c r="E1306" s="18" t="str">
        <f aca="false">TEXT(B1306,"ddd")</f>
        <v>Sat</v>
      </c>
      <c r="F1306" s="19" t="n">
        <f aca="false">IF(WEEKDAY(B1306,2)&gt;=6,Assumptions!B34,Assumptions!B35)</f>
        <v>0.6</v>
      </c>
      <c r="G1306" s="20" t="n">
        <f aca="false">IF(D1306&gt;=13,(1+Assumptions!B46)^(D1306-12),1)</f>
        <v>1.09730895549592</v>
      </c>
      <c r="H1306" s="21" t="n">
        <f aca="false">H1305*(1+IF(C1306=1,Assumptions!B22,Assumptions!B23))</f>
        <v>24.2803352298058</v>
      </c>
      <c r="I1306" s="16" t="n">
        <f aca="false">ROUND(H1306*F1306,0)</f>
        <v>15</v>
      </c>
      <c r="J1306" s="22" t="n">
        <f aca="false">I1306*Assumptions!B24</f>
        <v>9000</v>
      </c>
      <c r="K1306" s="21" t="n">
        <f aca="false">K1305*(1+Assumptions!B30)</f>
        <v>20.1250030417449</v>
      </c>
      <c r="L1306" s="16" t="n">
        <f aca="false">ROUND(K1306*F1306,0)</f>
        <v>12</v>
      </c>
      <c r="M1306" s="22" t="n">
        <f aca="false">L1306*Assumptions!B31</f>
        <v>3600</v>
      </c>
      <c r="N1306" s="22" t="n">
        <f aca="false">J1306+M1306</f>
        <v>12600</v>
      </c>
      <c r="O1306" s="22" t="n">
        <f aca="false">IF(DAY(B1306)=1,Assumptions!B38*G1306,0)</f>
        <v>0</v>
      </c>
      <c r="P1306" s="22" t="n">
        <f aca="false">IF(DAY(B1306)=1,Assumptions!B39*G1306,0)</f>
        <v>0</v>
      </c>
      <c r="Q1306" s="22" t="n">
        <f aca="false">IF(DAY(B1306)=1,Assumptions!B40*G1306,0)</f>
        <v>0</v>
      </c>
      <c r="R1306" s="22" t="n">
        <f aca="false">IF(DAY(B1306)=1,Assumptions!B41*G1306,0)</f>
        <v>0</v>
      </c>
      <c r="S1306" s="22" t="n">
        <f aca="false">IF(AND(DAY(B1306)=1,D1306&gt;=13),Assumptions!B42*G1306,0)</f>
        <v>0</v>
      </c>
      <c r="T1306" s="22" t="n">
        <f aca="false">IF(DAY(B1306)=1,Assumptions!B43*G1306,0)</f>
        <v>0</v>
      </c>
      <c r="U1306" s="22" t="n">
        <f aca="false">SUM(O1306:T1306)</f>
        <v>0</v>
      </c>
      <c r="V1306" s="22" t="n">
        <f aca="false">N1306-U1306</f>
        <v>12600</v>
      </c>
      <c r="W1306" s="22" t="n">
        <f aca="false">W1305+V1306</f>
        <v>-940587.256196374</v>
      </c>
      <c r="X1306" s="23" t="str">
        <f aca="false">IF(W1306&gt;=0,"YES","No")</f>
        <v>No</v>
      </c>
    </row>
    <row r="1307" customFormat="false" ht="15" hidden="false" customHeight="false" outlineLevel="0" collapsed="false">
      <c r="A1307" s="16" t="n">
        <v>1306</v>
      </c>
      <c r="B1307" s="17" t="n">
        <f aca="false">B1306+1</f>
        <v>47328</v>
      </c>
      <c r="C1307" s="18" t="n">
        <f aca="false">MIN(ROUNDUP(A1307/365,0),5)</f>
        <v>4</v>
      </c>
      <c r="D1307" s="18" t="n">
        <f aca="false">DATEDIF(Assumptions!B5,B1307,"m")+1</f>
        <v>43</v>
      </c>
      <c r="E1307" s="18" t="str">
        <f aca="false">TEXT(B1307,"ddd")</f>
        <v>Sun</v>
      </c>
      <c r="F1307" s="19" t="n">
        <f aca="false">IF(WEEKDAY(B1307,2)&gt;=6,Assumptions!B34,Assumptions!B35)</f>
        <v>0.6</v>
      </c>
      <c r="G1307" s="20" t="n">
        <f aca="false">IF(D1307&gt;=13,(1+Assumptions!B46)^(D1307-12),1)</f>
        <v>1.09730895549592</v>
      </c>
      <c r="H1307" s="21" t="n">
        <f aca="false">H1306*(1+IF(C1307=1,Assumptions!B22,Assumptions!B23))</f>
        <v>24.2843138468015</v>
      </c>
      <c r="I1307" s="16" t="n">
        <f aca="false">ROUND(H1307*F1307,0)</f>
        <v>15</v>
      </c>
      <c r="J1307" s="22" t="n">
        <f aca="false">I1307*Assumptions!B24</f>
        <v>9000</v>
      </c>
      <c r="K1307" s="21" t="n">
        <f aca="false">K1306*(1+Assumptions!B30)</f>
        <v>20.1315826465913</v>
      </c>
      <c r="L1307" s="16" t="n">
        <f aca="false">ROUND(K1307*F1307,0)</f>
        <v>12</v>
      </c>
      <c r="M1307" s="22" t="n">
        <f aca="false">L1307*Assumptions!B31</f>
        <v>3600</v>
      </c>
      <c r="N1307" s="22" t="n">
        <f aca="false">J1307+M1307</f>
        <v>12600</v>
      </c>
      <c r="O1307" s="22" t="n">
        <f aca="false">IF(DAY(B1307)=1,Assumptions!B38*G1307,0)</f>
        <v>0</v>
      </c>
      <c r="P1307" s="22" t="n">
        <f aca="false">IF(DAY(B1307)=1,Assumptions!B39*G1307,0)</f>
        <v>0</v>
      </c>
      <c r="Q1307" s="22" t="n">
        <f aca="false">IF(DAY(B1307)=1,Assumptions!B40*G1307,0)</f>
        <v>0</v>
      </c>
      <c r="R1307" s="22" t="n">
        <f aca="false">IF(DAY(B1307)=1,Assumptions!B41*G1307,0)</f>
        <v>0</v>
      </c>
      <c r="S1307" s="22" t="n">
        <f aca="false">IF(AND(DAY(B1307)=1,D1307&gt;=13),Assumptions!B42*G1307,0)</f>
        <v>0</v>
      </c>
      <c r="T1307" s="22" t="n">
        <f aca="false">IF(DAY(B1307)=1,Assumptions!B43*G1307,0)</f>
        <v>0</v>
      </c>
      <c r="U1307" s="22" t="n">
        <f aca="false">SUM(O1307:T1307)</f>
        <v>0</v>
      </c>
      <c r="V1307" s="22" t="n">
        <f aca="false">N1307-U1307</f>
        <v>12600</v>
      </c>
      <c r="W1307" s="22" t="n">
        <f aca="false">W1306+V1307</f>
        <v>-927987.256196374</v>
      </c>
      <c r="X1307" s="23" t="str">
        <f aca="false">IF(W1307&gt;=0,"YES","No")</f>
        <v>No</v>
      </c>
    </row>
    <row r="1308" customFormat="false" ht="15" hidden="false" customHeight="false" outlineLevel="0" collapsed="false">
      <c r="A1308" s="16" t="n">
        <v>1307</v>
      </c>
      <c r="B1308" s="17" t="n">
        <f aca="false">B1307+1</f>
        <v>47329</v>
      </c>
      <c r="C1308" s="18" t="n">
        <f aca="false">MIN(ROUNDUP(A1308/365,0),5)</f>
        <v>4</v>
      </c>
      <c r="D1308" s="18" t="n">
        <f aca="false">DATEDIF(Assumptions!B5,B1308,"m")+1</f>
        <v>43</v>
      </c>
      <c r="E1308" s="18" t="str">
        <f aca="false">TEXT(B1308,"ddd")</f>
        <v>Mon</v>
      </c>
      <c r="F1308" s="19" t="n">
        <f aca="false">IF(WEEKDAY(B1308,2)&gt;=6,Assumptions!B34,Assumptions!B35)</f>
        <v>1</v>
      </c>
      <c r="G1308" s="20" t="n">
        <f aca="false">IF(D1308&gt;=13,(1+Assumptions!B46)^(D1308-12),1)</f>
        <v>1.09730895549592</v>
      </c>
      <c r="H1308" s="21" t="n">
        <f aca="false">H1307*(1+IF(C1308=1,Assumptions!B22,Assumptions!B23))</f>
        <v>24.2882931157401</v>
      </c>
      <c r="I1308" s="16" t="n">
        <f aca="false">ROUND(H1308*F1308,0)</f>
        <v>24</v>
      </c>
      <c r="J1308" s="22" t="n">
        <f aca="false">I1308*Assumptions!B24</f>
        <v>14400</v>
      </c>
      <c r="K1308" s="21" t="n">
        <f aca="false">K1307*(1+Assumptions!B30)</f>
        <v>20.1381644025529</v>
      </c>
      <c r="L1308" s="16" t="n">
        <f aca="false">ROUND(K1308*F1308,0)</f>
        <v>20</v>
      </c>
      <c r="M1308" s="22" t="n">
        <f aca="false">L1308*Assumptions!B31</f>
        <v>6000</v>
      </c>
      <c r="N1308" s="22" t="n">
        <f aca="false">J1308+M1308</f>
        <v>20400</v>
      </c>
      <c r="O1308" s="22" t="n">
        <f aca="false">IF(DAY(B1308)=1,Assumptions!B38*G1308,0)</f>
        <v>0</v>
      </c>
      <c r="P1308" s="22" t="n">
        <f aca="false">IF(DAY(B1308)=1,Assumptions!B39*G1308,0)</f>
        <v>0</v>
      </c>
      <c r="Q1308" s="22" t="n">
        <f aca="false">IF(DAY(B1308)=1,Assumptions!B40*G1308,0)</f>
        <v>0</v>
      </c>
      <c r="R1308" s="22" t="n">
        <f aca="false">IF(DAY(B1308)=1,Assumptions!B41*G1308,0)</f>
        <v>0</v>
      </c>
      <c r="S1308" s="22" t="n">
        <f aca="false">IF(AND(DAY(B1308)=1,D1308&gt;=13),Assumptions!B42*G1308,0)</f>
        <v>0</v>
      </c>
      <c r="T1308" s="22" t="n">
        <f aca="false">IF(DAY(B1308)=1,Assumptions!B43*G1308,0)</f>
        <v>0</v>
      </c>
      <c r="U1308" s="22" t="n">
        <f aca="false">SUM(O1308:T1308)</f>
        <v>0</v>
      </c>
      <c r="V1308" s="22" t="n">
        <f aca="false">N1308-U1308</f>
        <v>20400</v>
      </c>
      <c r="W1308" s="22" t="n">
        <f aca="false">W1307+V1308</f>
        <v>-907587.256196374</v>
      </c>
      <c r="X1308" s="23" t="str">
        <f aca="false">IF(W1308&gt;=0,"YES","No")</f>
        <v>No</v>
      </c>
    </row>
    <row r="1309" customFormat="false" ht="15" hidden="false" customHeight="false" outlineLevel="0" collapsed="false">
      <c r="A1309" s="16" t="n">
        <v>1308</v>
      </c>
      <c r="B1309" s="17" t="n">
        <f aca="false">B1308+1</f>
        <v>47330</v>
      </c>
      <c r="C1309" s="18" t="n">
        <f aca="false">MIN(ROUNDUP(A1309/365,0),5)</f>
        <v>4</v>
      </c>
      <c r="D1309" s="18" t="n">
        <f aca="false">DATEDIF(Assumptions!B5,B1309,"m")+1</f>
        <v>43</v>
      </c>
      <c r="E1309" s="18" t="str">
        <f aca="false">TEXT(B1309,"ddd")</f>
        <v>Tue</v>
      </c>
      <c r="F1309" s="19" t="n">
        <f aca="false">IF(WEEKDAY(B1309,2)&gt;=6,Assumptions!B34,Assumptions!B35)</f>
        <v>1</v>
      </c>
      <c r="G1309" s="20" t="n">
        <f aca="false">IF(D1309&gt;=13,(1+Assumptions!B46)^(D1309-12),1)</f>
        <v>1.09730895549592</v>
      </c>
      <c r="H1309" s="21" t="n">
        <f aca="false">H1308*(1+IF(C1309=1,Assumptions!B22,Assumptions!B23))</f>
        <v>24.2922730367285</v>
      </c>
      <c r="I1309" s="16" t="n">
        <f aca="false">ROUND(H1309*F1309,0)</f>
        <v>24</v>
      </c>
      <c r="J1309" s="22" t="n">
        <f aca="false">I1309*Assumptions!B24</f>
        <v>14400</v>
      </c>
      <c r="K1309" s="21" t="n">
        <f aca="false">K1308*(1+Assumptions!B30)</f>
        <v>20.1447483103331</v>
      </c>
      <c r="L1309" s="16" t="n">
        <f aca="false">ROUND(K1309*F1309,0)</f>
        <v>20</v>
      </c>
      <c r="M1309" s="22" t="n">
        <f aca="false">L1309*Assumptions!B31</f>
        <v>6000</v>
      </c>
      <c r="N1309" s="22" t="n">
        <f aca="false">J1309+M1309</f>
        <v>20400</v>
      </c>
      <c r="O1309" s="22" t="n">
        <f aca="false">IF(DAY(B1309)=1,Assumptions!B38*G1309,0)</f>
        <v>0</v>
      </c>
      <c r="P1309" s="22" t="n">
        <f aca="false">IF(DAY(B1309)=1,Assumptions!B39*G1309,0)</f>
        <v>0</v>
      </c>
      <c r="Q1309" s="22" t="n">
        <f aca="false">IF(DAY(B1309)=1,Assumptions!B40*G1309,0)</f>
        <v>0</v>
      </c>
      <c r="R1309" s="22" t="n">
        <f aca="false">IF(DAY(B1309)=1,Assumptions!B41*G1309,0)</f>
        <v>0</v>
      </c>
      <c r="S1309" s="22" t="n">
        <f aca="false">IF(AND(DAY(B1309)=1,D1309&gt;=13),Assumptions!B42*G1309,0)</f>
        <v>0</v>
      </c>
      <c r="T1309" s="22" t="n">
        <f aca="false">IF(DAY(B1309)=1,Assumptions!B43*G1309,0)</f>
        <v>0</v>
      </c>
      <c r="U1309" s="22" t="n">
        <f aca="false">SUM(O1309:T1309)</f>
        <v>0</v>
      </c>
      <c r="V1309" s="22" t="n">
        <f aca="false">N1309-U1309</f>
        <v>20400</v>
      </c>
      <c r="W1309" s="22" t="n">
        <f aca="false">W1308+V1309</f>
        <v>-887187.256196374</v>
      </c>
      <c r="X1309" s="23" t="str">
        <f aca="false">IF(W1309&gt;=0,"YES","No")</f>
        <v>No</v>
      </c>
    </row>
    <row r="1310" customFormat="false" ht="15" hidden="false" customHeight="false" outlineLevel="0" collapsed="false">
      <c r="A1310" s="16" t="n">
        <v>1309</v>
      </c>
      <c r="B1310" s="17" t="n">
        <f aca="false">B1309+1</f>
        <v>47331</v>
      </c>
      <c r="C1310" s="18" t="n">
        <f aca="false">MIN(ROUNDUP(A1310/365,0),5)</f>
        <v>4</v>
      </c>
      <c r="D1310" s="18" t="n">
        <f aca="false">DATEDIF(Assumptions!B5,B1310,"m")+1</f>
        <v>44</v>
      </c>
      <c r="E1310" s="18" t="str">
        <f aca="false">TEXT(B1310,"ddd")</f>
        <v>Wed</v>
      </c>
      <c r="F1310" s="19" t="n">
        <f aca="false">IF(WEEKDAY(B1310,2)&gt;=6,Assumptions!B34,Assumptions!B35)</f>
        <v>1</v>
      </c>
      <c r="G1310" s="20" t="n">
        <f aca="false">IF(D1310&gt;=13,(1+Assumptions!B46)^(D1310-12),1)</f>
        <v>1.10060088236241</v>
      </c>
      <c r="H1310" s="21" t="n">
        <f aca="false">H1309*(1+IF(C1310=1,Assumptions!B22,Assumptions!B23))</f>
        <v>24.2962536098735</v>
      </c>
      <c r="I1310" s="16" t="n">
        <f aca="false">ROUND(H1310*F1310,0)</f>
        <v>24</v>
      </c>
      <c r="J1310" s="22" t="n">
        <f aca="false">I1310*Assumptions!B24</f>
        <v>14400</v>
      </c>
      <c r="K1310" s="21" t="n">
        <f aca="false">K1309*(1+Assumptions!B30)</f>
        <v>20.1513343706352</v>
      </c>
      <c r="L1310" s="16" t="n">
        <f aca="false">ROUND(K1310*F1310,0)</f>
        <v>20</v>
      </c>
      <c r="M1310" s="22" t="n">
        <f aca="false">L1310*Assumptions!B31</f>
        <v>6000</v>
      </c>
      <c r="N1310" s="22" t="n">
        <f aca="false">J1310+M1310</f>
        <v>20400</v>
      </c>
      <c r="O1310" s="22" t="n">
        <f aca="false">IF(DAY(B1310)=1,Assumptions!B38*G1310,0)</f>
        <v>165090.132354361</v>
      </c>
      <c r="P1310" s="22" t="n">
        <f aca="false">IF(DAY(B1310)=1,Assumptions!B39*G1310,0)</f>
        <v>44024.0352944964</v>
      </c>
      <c r="Q1310" s="22" t="n">
        <f aca="false">IF(DAY(B1310)=1,Assumptions!B40*G1310,0)</f>
        <v>33018.0264708723</v>
      </c>
      <c r="R1310" s="22" t="n">
        <f aca="false">IF(DAY(B1310)=1,Assumptions!B41*G1310,0)</f>
        <v>22012.0176472482</v>
      </c>
      <c r="S1310" s="22" t="n">
        <f aca="false">IF(AND(DAY(B1310)=1,D1310&gt;=13),Assumptions!B42*G1310,0)</f>
        <v>165090.132354361</v>
      </c>
      <c r="T1310" s="22" t="n">
        <f aca="false">IF(DAY(B1310)=1,Assumptions!B43*G1310,0)</f>
        <v>22012.0176472482</v>
      </c>
      <c r="U1310" s="22" t="n">
        <f aca="false">SUM(O1310:T1310)</f>
        <v>451246.361768588</v>
      </c>
      <c r="V1310" s="22" t="n">
        <f aca="false">N1310-U1310</f>
        <v>-430846.361768588</v>
      </c>
      <c r="W1310" s="22" t="n">
        <f aca="false">W1309+V1310</f>
        <v>-1318033.61796496</v>
      </c>
      <c r="X1310" s="23" t="str">
        <f aca="false">IF(W1310&gt;=0,"YES","No")</f>
        <v>No</v>
      </c>
    </row>
    <row r="1311" customFormat="false" ht="15" hidden="false" customHeight="false" outlineLevel="0" collapsed="false">
      <c r="A1311" s="16" t="n">
        <v>1310</v>
      </c>
      <c r="B1311" s="17" t="n">
        <f aca="false">B1310+1</f>
        <v>47332</v>
      </c>
      <c r="C1311" s="18" t="n">
        <f aca="false">MIN(ROUNDUP(A1311/365,0),5)</f>
        <v>4</v>
      </c>
      <c r="D1311" s="18" t="n">
        <f aca="false">DATEDIF(Assumptions!B5,B1311,"m")+1</f>
        <v>44</v>
      </c>
      <c r="E1311" s="18" t="str">
        <f aca="false">TEXT(B1311,"ddd")</f>
        <v>Thu</v>
      </c>
      <c r="F1311" s="19" t="n">
        <f aca="false">IF(WEEKDAY(B1311,2)&gt;=6,Assumptions!B34,Assumptions!B35)</f>
        <v>1</v>
      </c>
      <c r="G1311" s="20" t="n">
        <f aca="false">IF(D1311&gt;=13,(1+Assumptions!B46)^(D1311-12),1)</f>
        <v>1.10060088236241</v>
      </c>
      <c r="H1311" s="21" t="n">
        <f aca="false">H1310*(1+IF(C1311=1,Assumptions!B22,Assumptions!B23))</f>
        <v>24.300234835282</v>
      </c>
      <c r="I1311" s="16" t="n">
        <f aca="false">ROUND(H1311*F1311,0)</f>
        <v>24</v>
      </c>
      <c r="J1311" s="22" t="n">
        <f aca="false">I1311*Assumptions!B24</f>
        <v>14400</v>
      </c>
      <c r="K1311" s="21" t="n">
        <f aca="false">K1310*(1+Assumptions!B30)</f>
        <v>20.157922584163</v>
      </c>
      <c r="L1311" s="16" t="n">
        <f aca="false">ROUND(K1311*F1311,0)</f>
        <v>20</v>
      </c>
      <c r="M1311" s="22" t="n">
        <f aca="false">L1311*Assumptions!B31</f>
        <v>6000</v>
      </c>
      <c r="N1311" s="22" t="n">
        <f aca="false">J1311+M1311</f>
        <v>20400</v>
      </c>
      <c r="O1311" s="22" t="n">
        <f aca="false">IF(DAY(B1311)=1,Assumptions!B38*G1311,0)</f>
        <v>0</v>
      </c>
      <c r="P1311" s="22" t="n">
        <f aca="false">IF(DAY(B1311)=1,Assumptions!B39*G1311,0)</f>
        <v>0</v>
      </c>
      <c r="Q1311" s="22" t="n">
        <f aca="false">IF(DAY(B1311)=1,Assumptions!B40*G1311,0)</f>
        <v>0</v>
      </c>
      <c r="R1311" s="22" t="n">
        <f aca="false">IF(DAY(B1311)=1,Assumptions!B41*G1311,0)</f>
        <v>0</v>
      </c>
      <c r="S1311" s="22" t="n">
        <f aca="false">IF(AND(DAY(B1311)=1,D1311&gt;=13),Assumptions!B42*G1311,0)</f>
        <v>0</v>
      </c>
      <c r="T1311" s="22" t="n">
        <f aca="false">IF(DAY(B1311)=1,Assumptions!B43*G1311,0)</f>
        <v>0</v>
      </c>
      <c r="U1311" s="22" t="n">
        <f aca="false">SUM(O1311:T1311)</f>
        <v>0</v>
      </c>
      <c r="V1311" s="22" t="n">
        <f aca="false">N1311-U1311</f>
        <v>20400</v>
      </c>
      <c r="W1311" s="22" t="n">
        <f aca="false">W1310+V1311</f>
        <v>-1297633.61796496</v>
      </c>
      <c r="X1311" s="23" t="str">
        <f aca="false">IF(W1311&gt;=0,"YES","No")</f>
        <v>No</v>
      </c>
    </row>
    <row r="1312" customFormat="false" ht="15" hidden="false" customHeight="false" outlineLevel="0" collapsed="false">
      <c r="A1312" s="16" t="n">
        <v>1311</v>
      </c>
      <c r="B1312" s="17" t="n">
        <f aca="false">B1311+1</f>
        <v>47333</v>
      </c>
      <c r="C1312" s="18" t="n">
        <f aca="false">MIN(ROUNDUP(A1312/365,0),5)</f>
        <v>4</v>
      </c>
      <c r="D1312" s="18" t="n">
        <f aca="false">DATEDIF(Assumptions!B5,B1312,"m")+1</f>
        <v>44</v>
      </c>
      <c r="E1312" s="18" t="str">
        <f aca="false">TEXT(B1312,"ddd")</f>
        <v>Fri</v>
      </c>
      <c r="F1312" s="19" t="n">
        <f aca="false">IF(WEEKDAY(B1312,2)&gt;=6,Assumptions!B34,Assumptions!B35)</f>
        <v>1</v>
      </c>
      <c r="G1312" s="20" t="n">
        <f aca="false">IF(D1312&gt;=13,(1+Assumptions!B46)^(D1312-12),1)</f>
        <v>1.10060088236241</v>
      </c>
      <c r="H1312" s="21" t="n">
        <f aca="false">H1311*(1+IF(C1312=1,Assumptions!B22,Assumptions!B23))</f>
        <v>24.3042167130608</v>
      </c>
      <c r="I1312" s="16" t="n">
        <f aca="false">ROUND(H1312*F1312,0)</f>
        <v>24</v>
      </c>
      <c r="J1312" s="22" t="n">
        <f aca="false">I1312*Assumptions!B24</f>
        <v>14400</v>
      </c>
      <c r="K1312" s="21" t="n">
        <f aca="false">K1311*(1+Assumptions!B30)</f>
        <v>20.1645129516205</v>
      </c>
      <c r="L1312" s="16" t="n">
        <f aca="false">ROUND(K1312*F1312,0)</f>
        <v>20</v>
      </c>
      <c r="M1312" s="22" t="n">
        <f aca="false">L1312*Assumptions!B31</f>
        <v>6000</v>
      </c>
      <c r="N1312" s="22" t="n">
        <f aca="false">J1312+M1312</f>
        <v>20400</v>
      </c>
      <c r="O1312" s="22" t="n">
        <f aca="false">IF(DAY(B1312)=1,Assumptions!B38*G1312,0)</f>
        <v>0</v>
      </c>
      <c r="P1312" s="22" t="n">
        <f aca="false">IF(DAY(B1312)=1,Assumptions!B39*G1312,0)</f>
        <v>0</v>
      </c>
      <c r="Q1312" s="22" t="n">
        <f aca="false">IF(DAY(B1312)=1,Assumptions!B40*G1312,0)</f>
        <v>0</v>
      </c>
      <c r="R1312" s="22" t="n">
        <f aca="false">IF(DAY(B1312)=1,Assumptions!B41*G1312,0)</f>
        <v>0</v>
      </c>
      <c r="S1312" s="22" t="n">
        <f aca="false">IF(AND(DAY(B1312)=1,D1312&gt;=13),Assumptions!B42*G1312,0)</f>
        <v>0</v>
      </c>
      <c r="T1312" s="22" t="n">
        <f aca="false">IF(DAY(B1312)=1,Assumptions!B43*G1312,0)</f>
        <v>0</v>
      </c>
      <c r="U1312" s="22" t="n">
        <f aca="false">SUM(O1312:T1312)</f>
        <v>0</v>
      </c>
      <c r="V1312" s="22" t="n">
        <f aca="false">N1312-U1312</f>
        <v>20400</v>
      </c>
      <c r="W1312" s="22" t="n">
        <f aca="false">W1311+V1312</f>
        <v>-1277233.61796496</v>
      </c>
      <c r="X1312" s="23" t="str">
        <f aca="false">IF(W1312&gt;=0,"YES","No")</f>
        <v>No</v>
      </c>
    </row>
    <row r="1313" customFormat="false" ht="15" hidden="false" customHeight="false" outlineLevel="0" collapsed="false">
      <c r="A1313" s="16" t="n">
        <v>1312</v>
      </c>
      <c r="B1313" s="17" t="n">
        <f aca="false">B1312+1</f>
        <v>47334</v>
      </c>
      <c r="C1313" s="18" t="n">
        <f aca="false">MIN(ROUNDUP(A1313/365,0),5)</f>
        <v>4</v>
      </c>
      <c r="D1313" s="18" t="n">
        <f aca="false">DATEDIF(Assumptions!B5,B1313,"m")+1</f>
        <v>44</v>
      </c>
      <c r="E1313" s="18" t="str">
        <f aca="false">TEXT(B1313,"ddd")</f>
        <v>Sat</v>
      </c>
      <c r="F1313" s="19" t="n">
        <f aca="false">IF(WEEKDAY(B1313,2)&gt;=6,Assumptions!B34,Assumptions!B35)</f>
        <v>0.6</v>
      </c>
      <c r="G1313" s="20" t="n">
        <f aca="false">IF(D1313&gt;=13,(1+Assumptions!B46)^(D1313-12),1)</f>
        <v>1.10060088236241</v>
      </c>
      <c r="H1313" s="21" t="n">
        <f aca="false">H1312*(1+IF(C1313=1,Assumptions!B22,Assumptions!B23))</f>
        <v>24.3081992433169</v>
      </c>
      <c r="I1313" s="16" t="n">
        <f aca="false">ROUND(H1313*F1313,0)</f>
        <v>15</v>
      </c>
      <c r="J1313" s="22" t="n">
        <f aca="false">I1313*Assumptions!B24</f>
        <v>9000</v>
      </c>
      <c r="K1313" s="21" t="n">
        <f aca="false">K1312*(1+Assumptions!B30)</f>
        <v>20.1711054737119</v>
      </c>
      <c r="L1313" s="16" t="n">
        <f aca="false">ROUND(K1313*F1313,0)</f>
        <v>12</v>
      </c>
      <c r="M1313" s="22" t="n">
        <f aca="false">L1313*Assumptions!B31</f>
        <v>3600</v>
      </c>
      <c r="N1313" s="22" t="n">
        <f aca="false">J1313+M1313</f>
        <v>12600</v>
      </c>
      <c r="O1313" s="22" t="n">
        <f aca="false">IF(DAY(B1313)=1,Assumptions!B38*G1313,0)</f>
        <v>0</v>
      </c>
      <c r="P1313" s="22" t="n">
        <f aca="false">IF(DAY(B1313)=1,Assumptions!B39*G1313,0)</f>
        <v>0</v>
      </c>
      <c r="Q1313" s="22" t="n">
        <f aca="false">IF(DAY(B1313)=1,Assumptions!B40*G1313,0)</f>
        <v>0</v>
      </c>
      <c r="R1313" s="22" t="n">
        <f aca="false">IF(DAY(B1313)=1,Assumptions!B41*G1313,0)</f>
        <v>0</v>
      </c>
      <c r="S1313" s="22" t="n">
        <f aca="false">IF(AND(DAY(B1313)=1,D1313&gt;=13),Assumptions!B42*G1313,0)</f>
        <v>0</v>
      </c>
      <c r="T1313" s="22" t="n">
        <f aca="false">IF(DAY(B1313)=1,Assumptions!B43*G1313,0)</f>
        <v>0</v>
      </c>
      <c r="U1313" s="22" t="n">
        <f aca="false">SUM(O1313:T1313)</f>
        <v>0</v>
      </c>
      <c r="V1313" s="22" t="n">
        <f aca="false">N1313-U1313</f>
        <v>12600</v>
      </c>
      <c r="W1313" s="22" t="n">
        <f aca="false">W1312+V1313</f>
        <v>-1264633.61796496</v>
      </c>
      <c r="X1313" s="23" t="str">
        <f aca="false">IF(W1313&gt;=0,"YES","No")</f>
        <v>No</v>
      </c>
    </row>
    <row r="1314" customFormat="false" ht="15" hidden="false" customHeight="false" outlineLevel="0" collapsed="false">
      <c r="A1314" s="16" t="n">
        <v>1313</v>
      </c>
      <c r="B1314" s="17" t="n">
        <f aca="false">B1313+1</f>
        <v>47335</v>
      </c>
      <c r="C1314" s="18" t="n">
        <f aca="false">MIN(ROUNDUP(A1314/365,0),5)</f>
        <v>4</v>
      </c>
      <c r="D1314" s="18" t="n">
        <f aca="false">DATEDIF(Assumptions!B5,B1314,"m")+1</f>
        <v>44</v>
      </c>
      <c r="E1314" s="18" t="str">
        <f aca="false">TEXT(B1314,"ddd")</f>
        <v>Sun</v>
      </c>
      <c r="F1314" s="19" t="n">
        <f aca="false">IF(WEEKDAY(B1314,2)&gt;=6,Assumptions!B34,Assumptions!B35)</f>
        <v>0.6</v>
      </c>
      <c r="G1314" s="20" t="n">
        <f aca="false">IF(D1314&gt;=13,(1+Assumptions!B46)^(D1314-12),1)</f>
        <v>1.10060088236241</v>
      </c>
      <c r="H1314" s="21" t="n">
        <f aca="false">H1313*(1+IF(C1314=1,Assumptions!B22,Assumptions!B23))</f>
        <v>24.3121824261572</v>
      </c>
      <c r="I1314" s="16" t="n">
        <f aca="false">ROUND(H1314*F1314,0)</f>
        <v>15</v>
      </c>
      <c r="J1314" s="22" t="n">
        <f aca="false">I1314*Assumptions!B24</f>
        <v>9000</v>
      </c>
      <c r="K1314" s="21" t="n">
        <f aca="false">K1313*(1+Assumptions!B30)</f>
        <v>20.1777001511417</v>
      </c>
      <c r="L1314" s="16" t="n">
        <f aca="false">ROUND(K1314*F1314,0)</f>
        <v>12</v>
      </c>
      <c r="M1314" s="22" t="n">
        <f aca="false">L1314*Assumptions!B31</f>
        <v>3600</v>
      </c>
      <c r="N1314" s="22" t="n">
        <f aca="false">J1314+M1314</f>
        <v>12600</v>
      </c>
      <c r="O1314" s="22" t="n">
        <f aca="false">IF(DAY(B1314)=1,Assumptions!B38*G1314,0)</f>
        <v>0</v>
      </c>
      <c r="P1314" s="22" t="n">
        <f aca="false">IF(DAY(B1314)=1,Assumptions!B39*G1314,0)</f>
        <v>0</v>
      </c>
      <c r="Q1314" s="22" t="n">
        <f aca="false">IF(DAY(B1314)=1,Assumptions!B40*G1314,0)</f>
        <v>0</v>
      </c>
      <c r="R1314" s="22" t="n">
        <f aca="false">IF(DAY(B1314)=1,Assumptions!B41*G1314,0)</f>
        <v>0</v>
      </c>
      <c r="S1314" s="22" t="n">
        <f aca="false">IF(AND(DAY(B1314)=1,D1314&gt;=13),Assumptions!B42*G1314,0)</f>
        <v>0</v>
      </c>
      <c r="T1314" s="22" t="n">
        <f aca="false">IF(DAY(B1314)=1,Assumptions!B43*G1314,0)</f>
        <v>0</v>
      </c>
      <c r="U1314" s="22" t="n">
        <f aca="false">SUM(O1314:T1314)</f>
        <v>0</v>
      </c>
      <c r="V1314" s="22" t="n">
        <f aca="false">N1314-U1314</f>
        <v>12600</v>
      </c>
      <c r="W1314" s="22" t="n">
        <f aca="false">W1313+V1314</f>
        <v>-1252033.61796496</v>
      </c>
      <c r="X1314" s="23" t="str">
        <f aca="false">IF(W1314&gt;=0,"YES","No")</f>
        <v>No</v>
      </c>
    </row>
    <row r="1315" customFormat="false" ht="15" hidden="false" customHeight="false" outlineLevel="0" collapsed="false">
      <c r="A1315" s="16" t="n">
        <v>1314</v>
      </c>
      <c r="B1315" s="17" t="n">
        <f aca="false">B1314+1</f>
        <v>47336</v>
      </c>
      <c r="C1315" s="18" t="n">
        <f aca="false">MIN(ROUNDUP(A1315/365,0),5)</f>
        <v>4</v>
      </c>
      <c r="D1315" s="18" t="n">
        <f aca="false">DATEDIF(Assumptions!B5,B1315,"m")+1</f>
        <v>44</v>
      </c>
      <c r="E1315" s="18" t="str">
        <f aca="false">TEXT(B1315,"ddd")</f>
        <v>Mon</v>
      </c>
      <c r="F1315" s="19" t="n">
        <f aca="false">IF(WEEKDAY(B1315,2)&gt;=6,Assumptions!B34,Assumptions!B35)</f>
        <v>1</v>
      </c>
      <c r="G1315" s="20" t="n">
        <f aca="false">IF(D1315&gt;=13,(1+Assumptions!B46)^(D1315-12),1)</f>
        <v>1.10060088236241</v>
      </c>
      <c r="H1315" s="21" t="n">
        <f aca="false">H1314*(1+IF(C1315=1,Assumptions!B22,Assumptions!B23))</f>
        <v>24.3161662616886</v>
      </c>
      <c r="I1315" s="16" t="n">
        <f aca="false">ROUND(H1315*F1315,0)</f>
        <v>24</v>
      </c>
      <c r="J1315" s="22" t="n">
        <f aca="false">I1315*Assumptions!B24</f>
        <v>14400</v>
      </c>
      <c r="K1315" s="21" t="n">
        <f aca="false">K1314*(1+Assumptions!B30)</f>
        <v>20.1842969846144</v>
      </c>
      <c r="L1315" s="16" t="n">
        <f aca="false">ROUND(K1315*F1315,0)</f>
        <v>20</v>
      </c>
      <c r="M1315" s="22" t="n">
        <f aca="false">L1315*Assumptions!B31</f>
        <v>6000</v>
      </c>
      <c r="N1315" s="22" t="n">
        <f aca="false">J1315+M1315</f>
        <v>20400</v>
      </c>
      <c r="O1315" s="22" t="n">
        <f aca="false">IF(DAY(B1315)=1,Assumptions!B38*G1315,0)</f>
        <v>0</v>
      </c>
      <c r="P1315" s="22" t="n">
        <f aca="false">IF(DAY(B1315)=1,Assumptions!B39*G1315,0)</f>
        <v>0</v>
      </c>
      <c r="Q1315" s="22" t="n">
        <f aca="false">IF(DAY(B1315)=1,Assumptions!B40*G1315,0)</f>
        <v>0</v>
      </c>
      <c r="R1315" s="22" t="n">
        <f aca="false">IF(DAY(B1315)=1,Assumptions!B41*G1315,0)</f>
        <v>0</v>
      </c>
      <c r="S1315" s="22" t="n">
        <f aca="false">IF(AND(DAY(B1315)=1,D1315&gt;=13),Assumptions!B42*G1315,0)</f>
        <v>0</v>
      </c>
      <c r="T1315" s="22" t="n">
        <f aca="false">IF(DAY(B1315)=1,Assumptions!B43*G1315,0)</f>
        <v>0</v>
      </c>
      <c r="U1315" s="22" t="n">
        <f aca="false">SUM(O1315:T1315)</f>
        <v>0</v>
      </c>
      <c r="V1315" s="22" t="n">
        <f aca="false">N1315-U1315</f>
        <v>20400</v>
      </c>
      <c r="W1315" s="22" t="n">
        <f aca="false">W1314+V1315</f>
        <v>-1231633.61796496</v>
      </c>
      <c r="X1315" s="23" t="str">
        <f aca="false">IF(W1315&gt;=0,"YES","No")</f>
        <v>No</v>
      </c>
    </row>
    <row r="1316" customFormat="false" ht="15" hidden="false" customHeight="false" outlineLevel="0" collapsed="false">
      <c r="A1316" s="16" t="n">
        <v>1315</v>
      </c>
      <c r="B1316" s="17" t="n">
        <f aca="false">B1315+1</f>
        <v>47337</v>
      </c>
      <c r="C1316" s="18" t="n">
        <f aca="false">MIN(ROUNDUP(A1316/365,0),5)</f>
        <v>4</v>
      </c>
      <c r="D1316" s="18" t="n">
        <f aca="false">DATEDIF(Assumptions!B5,B1316,"m")+1</f>
        <v>44</v>
      </c>
      <c r="E1316" s="18" t="str">
        <f aca="false">TEXT(B1316,"ddd")</f>
        <v>Tue</v>
      </c>
      <c r="F1316" s="19" t="n">
        <f aca="false">IF(WEEKDAY(B1316,2)&gt;=6,Assumptions!B34,Assumptions!B35)</f>
        <v>1</v>
      </c>
      <c r="G1316" s="20" t="n">
        <f aca="false">IF(D1316&gt;=13,(1+Assumptions!B46)^(D1316-12),1)</f>
        <v>1.10060088236241</v>
      </c>
      <c r="H1316" s="21" t="n">
        <f aca="false">H1315*(1+IF(C1316=1,Assumptions!B22,Assumptions!B23))</f>
        <v>24.3201507500181</v>
      </c>
      <c r="I1316" s="16" t="n">
        <f aca="false">ROUND(H1316*F1316,0)</f>
        <v>24</v>
      </c>
      <c r="J1316" s="22" t="n">
        <f aca="false">I1316*Assumptions!B24</f>
        <v>14400</v>
      </c>
      <c r="K1316" s="21" t="n">
        <f aca="false">K1315*(1+Assumptions!B30)</f>
        <v>20.190895974835</v>
      </c>
      <c r="L1316" s="16" t="n">
        <f aca="false">ROUND(K1316*F1316,0)</f>
        <v>20</v>
      </c>
      <c r="M1316" s="22" t="n">
        <f aca="false">L1316*Assumptions!B31</f>
        <v>6000</v>
      </c>
      <c r="N1316" s="22" t="n">
        <f aca="false">J1316+M1316</f>
        <v>20400</v>
      </c>
      <c r="O1316" s="22" t="n">
        <f aca="false">IF(DAY(B1316)=1,Assumptions!B38*G1316,0)</f>
        <v>0</v>
      </c>
      <c r="P1316" s="22" t="n">
        <f aca="false">IF(DAY(B1316)=1,Assumptions!B39*G1316,0)</f>
        <v>0</v>
      </c>
      <c r="Q1316" s="22" t="n">
        <f aca="false">IF(DAY(B1316)=1,Assumptions!B40*G1316,0)</f>
        <v>0</v>
      </c>
      <c r="R1316" s="22" t="n">
        <f aca="false">IF(DAY(B1316)=1,Assumptions!B41*G1316,0)</f>
        <v>0</v>
      </c>
      <c r="S1316" s="22" t="n">
        <f aca="false">IF(AND(DAY(B1316)=1,D1316&gt;=13),Assumptions!B42*G1316,0)</f>
        <v>0</v>
      </c>
      <c r="T1316" s="22" t="n">
        <f aca="false">IF(DAY(B1316)=1,Assumptions!B43*G1316,0)</f>
        <v>0</v>
      </c>
      <c r="U1316" s="22" t="n">
        <f aca="false">SUM(O1316:T1316)</f>
        <v>0</v>
      </c>
      <c r="V1316" s="22" t="n">
        <f aca="false">N1316-U1316</f>
        <v>20400</v>
      </c>
      <c r="W1316" s="22" t="n">
        <f aca="false">W1315+V1316</f>
        <v>-1211233.61796496</v>
      </c>
      <c r="X1316" s="23" t="str">
        <f aca="false">IF(W1316&gt;=0,"YES","No")</f>
        <v>No</v>
      </c>
    </row>
    <row r="1317" customFormat="false" ht="15" hidden="false" customHeight="false" outlineLevel="0" collapsed="false">
      <c r="A1317" s="16" t="n">
        <v>1316</v>
      </c>
      <c r="B1317" s="17" t="n">
        <f aca="false">B1316+1</f>
        <v>47338</v>
      </c>
      <c r="C1317" s="18" t="n">
        <f aca="false">MIN(ROUNDUP(A1317/365,0),5)</f>
        <v>4</v>
      </c>
      <c r="D1317" s="18" t="n">
        <f aca="false">DATEDIF(Assumptions!B5,B1317,"m")+1</f>
        <v>44</v>
      </c>
      <c r="E1317" s="18" t="str">
        <f aca="false">TEXT(B1317,"ddd")</f>
        <v>Wed</v>
      </c>
      <c r="F1317" s="19" t="n">
        <f aca="false">IF(WEEKDAY(B1317,2)&gt;=6,Assumptions!B34,Assumptions!B35)</f>
        <v>1</v>
      </c>
      <c r="G1317" s="20" t="n">
        <f aca="false">IF(D1317&gt;=13,(1+Assumptions!B46)^(D1317-12),1)</f>
        <v>1.10060088236241</v>
      </c>
      <c r="H1317" s="21" t="n">
        <f aca="false">H1316*(1+IF(C1317=1,Assumptions!B22,Assumptions!B23))</f>
        <v>24.3241358912526</v>
      </c>
      <c r="I1317" s="16" t="n">
        <f aca="false">ROUND(H1317*F1317,0)</f>
        <v>24</v>
      </c>
      <c r="J1317" s="22" t="n">
        <f aca="false">I1317*Assumptions!B24</f>
        <v>14400</v>
      </c>
      <c r="K1317" s="21" t="n">
        <f aca="false">K1316*(1+Assumptions!B30)</f>
        <v>20.1974971225085</v>
      </c>
      <c r="L1317" s="16" t="n">
        <f aca="false">ROUND(K1317*F1317,0)</f>
        <v>20</v>
      </c>
      <c r="M1317" s="22" t="n">
        <f aca="false">L1317*Assumptions!B31</f>
        <v>6000</v>
      </c>
      <c r="N1317" s="22" t="n">
        <f aca="false">J1317+M1317</f>
        <v>20400</v>
      </c>
      <c r="O1317" s="22" t="n">
        <f aca="false">IF(DAY(B1317)=1,Assumptions!B38*G1317,0)</f>
        <v>0</v>
      </c>
      <c r="P1317" s="22" t="n">
        <f aca="false">IF(DAY(B1317)=1,Assumptions!B39*G1317,0)</f>
        <v>0</v>
      </c>
      <c r="Q1317" s="22" t="n">
        <f aca="false">IF(DAY(B1317)=1,Assumptions!B40*G1317,0)</f>
        <v>0</v>
      </c>
      <c r="R1317" s="22" t="n">
        <f aca="false">IF(DAY(B1317)=1,Assumptions!B41*G1317,0)</f>
        <v>0</v>
      </c>
      <c r="S1317" s="22" t="n">
        <f aca="false">IF(AND(DAY(B1317)=1,D1317&gt;=13),Assumptions!B42*G1317,0)</f>
        <v>0</v>
      </c>
      <c r="T1317" s="22" t="n">
        <f aca="false">IF(DAY(B1317)=1,Assumptions!B43*G1317,0)</f>
        <v>0</v>
      </c>
      <c r="U1317" s="22" t="n">
        <f aca="false">SUM(O1317:T1317)</f>
        <v>0</v>
      </c>
      <c r="V1317" s="22" t="n">
        <f aca="false">N1317-U1317</f>
        <v>20400</v>
      </c>
      <c r="W1317" s="22" t="n">
        <f aca="false">W1316+V1317</f>
        <v>-1190833.61796496</v>
      </c>
      <c r="X1317" s="23" t="str">
        <f aca="false">IF(W1317&gt;=0,"YES","No")</f>
        <v>No</v>
      </c>
    </row>
    <row r="1318" customFormat="false" ht="15" hidden="false" customHeight="false" outlineLevel="0" collapsed="false">
      <c r="A1318" s="16" t="n">
        <v>1317</v>
      </c>
      <c r="B1318" s="17" t="n">
        <f aca="false">B1317+1</f>
        <v>47339</v>
      </c>
      <c r="C1318" s="18" t="n">
        <f aca="false">MIN(ROUNDUP(A1318/365,0),5)</f>
        <v>4</v>
      </c>
      <c r="D1318" s="18" t="n">
        <f aca="false">DATEDIF(Assumptions!B5,B1318,"m")+1</f>
        <v>44</v>
      </c>
      <c r="E1318" s="18" t="str">
        <f aca="false">TEXT(B1318,"ddd")</f>
        <v>Thu</v>
      </c>
      <c r="F1318" s="19" t="n">
        <f aca="false">IF(WEEKDAY(B1318,2)&gt;=6,Assumptions!B34,Assumptions!B35)</f>
        <v>1</v>
      </c>
      <c r="G1318" s="20" t="n">
        <f aca="false">IF(D1318&gt;=13,(1+Assumptions!B46)^(D1318-12),1)</f>
        <v>1.10060088236241</v>
      </c>
      <c r="H1318" s="21" t="n">
        <f aca="false">H1317*(1+IF(C1318=1,Assumptions!B22,Assumptions!B23))</f>
        <v>24.3281216854991</v>
      </c>
      <c r="I1318" s="16" t="n">
        <f aca="false">ROUND(H1318*F1318,0)</f>
        <v>24</v>
      </c>
      <c r="J1318" s="22" t="n">
        <f aca="false">I1318*Assumptions!B24</f>
        <v>14400</v>
      </c>
      <c r="K1318" s="21" t="n">
        <f aca="false">K1317*(1+Assumptions!B30)</f>
        <v>20.2041004283405</v>
      </c>
      <c r="L1318" s="16" t="n">
        <f aca="false">ROUND(K1318*F1318,0)</f>
        <v>20</v>
      </c>
      <c r="M1318" s="22" t="n">
        <f aca="false">L1318*Assumptions!B31</f>
        <v>6000</v>
      </c>
      <c r="N1318" s="22" t="n">
        <f aca="false">J1318+M1318</f>
        <v>20400</v>
      </c>
      <c r="O1318" s="22" t="n">
        <f aca="false">IF(DAY(B1318)=1,Assumptions!B38*G1318,0)</f>
        <v>0</v>
      </c>
      <c r="P1318" s="22" t="n">
        <f aca="false">IF(DAY(B1318)=1,Assumptions!B39*G1318,0)</f>
        <v>0</v>
      </c>
      <c r="Q1318" s="22" t="n">
        <f aca="false">IF(DAY(B1318)=1,Assumptions!B40*G1318,0)</f>
        <v>0</v>
      </c>
      <c r="R1318" s="22" t="n">
        <f aca="false">IF(DAY(B1318)=1,Assumptions!B41*G1318,0)</f>
        <v>0</v>
      </c>
      <c r="S1318" s="22" t="n">
        <f aca="false">IF(AND(DAY(B1318)=1,D1318&gt;=13),Assumptions!B42*G1318,0)</f>
        <v>0</v>
      </c>
      <c r="T1318" s="22" t="n">
        <f aca="false">IF(DAY(B1318)=1,Assumptions!B43*G1318,0)</f>
        <v>0</v>
      </c>
      <c r="U1318" s="22" t="n">
        <f aca="false">SUM(O1318:T1318)</f>
        <v>0</v>
      </c>
      <c r="V1318" s="22" t="n">
        <f aca="false">N1318-U1318</f>
        <v>20400</v>
      </c>
      <c r="W1318" s="22" t="n">
        <f aca="false">W1317+V1318</f>
        <v>-1170433.61796496</v>
      </c>
      <c r="X1318" s="23" t="str">
        <f aca="false">IF(W1318&gt;=0,"YES","No")</f>
        <v>No</v>
      </c>
    </row>
    <row r="1319" customFormat="false" ht="15" hidden="false" customHeight="false" outlineLevel="0" collapsed="false">
      <c r="A1319" s="16" t="n">
        <v>1318</v>
      </c>
      <c r="B1319" s="17" t="n">
        <f aca="false">B1318+1</f>
        <v>47340</v>
      </c>
      <c r="C1319" s="18" t="n">
        <f aca="false">MIN(ROUNDUP(A1319/365,0),5)</f>
        <v>4</v>
      </c>
      <c r="D1319" s="18" t="n">
        <f aca="false">DATEDIF(Assumptions!B5,B1319,"m")+1</f>
        <v>44</v>
      </c>
      <c r="E1319" s="18" t="str">
        <f aca="false">TEXT(B1319,"ddd")</f>
        <v>Fri</v>
      </c>
      <c r="F1319" s="19" t="n">
        <f aca="false">IF(WEEKDAY(B1319,2)&gt;=6,Assumptions!B34,Assumptions!B35)</f>
        <v>1</v>
      </c>
      <c r="G1319" s="20" t="n">
        <f aca="false">IF(D1319&gt;=13,(1+Assumptions!B46)^(D1319-12),1)</f>
        <v>1.10060088236241</v>
      </c>
      <c r="H1319" s="21" t="n">
        <f aca="false">H1318*(1+IF(C1319=1,Assumptions!B22,Assumptions!B23))</f>
        <v>24.3321081328646</v>
      </c>
      <c r="I1319" s="16" t="n">
        <f aca="false">ROUND(H1319*F1319,0)</f>
        <v>24</v>
      </c>
      <c r="J1319" s="22" t="n">
        <f aca="false">I1319*Assumptions!B24</f>
        <v>14400</v>
      </c>
      <c r="K1319" s="21" t="n">
        <f aca="false">K1318*(1+Assumptions!B30)</f>
        <v>20.2107058930363</v>
      </c>
      <c r="L1319" s="16" t="n">
        <f aca="false">ROUND(K1319*F1319,0)</f>
        <v>20</v>
      </c>
      <c r="M1319" s="22" t="n">
        <f aca="false">L1319*Assumptions!B31</f>
        <v>6000</v>
      </c>
      <c r="N1319" s="22" t="n">
        <f aca="false">J1319+M1319</f>
        <v>20400</v>
      </c>
      <c r="O1319" s="22" t="n">
        <f aca="false">IF(DAY(B1319)=1,Assumptions!B38*G1319,0)</f>
        <v>0</v>
      </c>
      <c r="P1319" s="22" t="n">
        <f aca="false">IF(DAY(B1319)=1,Assumptions!B39*G1319,0)</f>
        <v>0</v>
      </c>
      <c r="Q1319" s="22" t="n">
        <f aca="false">IF(DAY(B1319)=1,Assumptions!B40*G1319,0)</f>
        <v>0</v>
      </c>
      <c r="R1319" s="22" t="n">
        <f aca="false">IF(DAY(B1319)=1,Assumptions!B41*G1319,0)</f>
        <v>0</v>
      </c>
      <c r="S1319" s="22" t="n">
        <f aca="false">IF(AND(DAY(B1319)=1,D1319&gt;=13),Assumptions!B42*G1319,0)</f>
        <v>0</v>
      </c>
      <c r="T1319" s="22" t="n">
        <f aca="false">IF(DAY(B1319)=1,Assumptions!B43*G1319,0)</f>
        <v>0</v>
      </c>
      <c r="U1319" s="22" t="n">
        <f aca="false">SUM(O1319:T1319)</f>
        <v>0</v>
      </c>
      <c r="V1319" s="22" t="n">
        <f aca="false">N1319-U1319</f>
        <v>20400</v>
      </c>
      <c r="W1319" s="22" t="n">
        <f aca="false">W1318+V1319</f>
        <v>-1150033.61796496</v>
      </c>
      <c r="X1319" s="23" t="str">
        <f aca="false">IF(W1319&gt;=0,"YES","No")</f>
        <v>No</v>
      </c>
    </row>
    <row r="1320" customFormat="false" ht="15" hidden="false" customHeight="false" outlineLevel="0" collapsed="false">
      <c r="A1320" s="16" t="n">
        <v>1319</v>
      </c>
      <c r="B1320" s="17" t="n">
        <f aca="false">B1319+1</f>
        <v>47341</v>
      </c>
      <c r="C1320" s="18" t="n">
        <f aca="false">MIN(ROUNDUP(A1320/365,0),5)</f>
        <v>4</v>
      </c>
      <c r="D1320" s="18" t="n">
        <f aca="false">DATEDIF(Assumptions!B5,B1320,"m")+1</f>
        <v>44</v>
      </c>
      <c r="E1320" s="18" t="str">
        <f aca="false">TEXT(B1320,"ddd")</f>
        <v>Sat</v>
      </c>
      <c r="F1320" s="19" t="n">
        <f aca="false">IF(WEEKDAY(B1320,2)&gt;=6,Assumptions!B34,Assumptions!B35)</f>
        <v>0.6</v>
      </c>
      <c r="G1320" s="20" t="n">
        <f aca="false">IF(D1320&gt;=13,(1+Assumptions!B46)^(D1320-12),1)</f>
        <v>1.10060088236241</v>
      </c>
      <c r="H1320" s="21" t="n">
        <f aca="false">H1319*(1+IF(C1320=1,Assumptions!B22,Assumptions!B23))</f>
        <v>24.3360952334561</v>
      </c>
      <c r="I1320" s="16" t="n">
        <f aca="false">ROUND(H1320*F1320,0)</f>
        <v>15</v>
      </c>
      <c r="J1320" s="22" t="n">
        <f aca="false">I1320*Assumptions!B24</f>
        <v>9000</v>
      </c>
      <c r="K1320" s="21" t="n">
        <f aca="false">K1319*(1+Assumptions!B30)</f>
        <v>20.2173135173019</v>
      </c>
      <c r="L1320" s="16" t="n">
        <f aca="false">ROUND(K1320*F1320,0)</f>
        <v>12</v>
      </c>
      <c r="M1320" s="22" t="n">
        <f aca="false">L1320*Assumptions!B31</f>
        <v>3600</v>
      </c>
      <c r="N1320" s="22" t="n">
        <f aca="false">J1320+M1320</f>
        <v>12600</v>
      </c>
      <c r="O1320" s="22" t="n">
        <f aca="false">IF(DAY(B1320)=1,Assumptions!B38*G1320,0)</f>
        <v>0</v>
      </c>
      <c r="P1320" s="22" t="n">
        <f aca="false">IF(DAY(B1320)=1,Assumptions!B39*G1320,0)</f>
        <v>0</v>
      </c>
      <c r="Q1320" s="22" t="n">
        <f aca="false">IF(DAY(B1320)=1,Assumptions!B40*G1320,0)</f>
        <v>0</v>
      </c>
      <c r="R1320" s="22" t="n">
        <f aca="false">IF(DAY(B1320)=1,Assumptions!B41*G1320,0)</f>
        <v>0</v>
      </c>
      <c r="S1320" s="22" t="n">
        <f aca="false">IF(AND(DAY(B1320)=1,D1320&gt;=13),Assumptions!B42*G1320,0)</f>
        <v>0</v>
      </c>
      <c r="T1320" s="22" t="n">
        <f aca="false">IF(DAY(B1320)=1,Assumptions!B43*G1320,0)</f>
        <v>0</v>
      </c>
      <c r="U1320" s="22" t="n">
        <f aca="false">SUM(O1320:T1320)</f>
        <v>0</v>
      </c>
      <c r="V1320" s="22" t="n">
        <f aca="false">N1320-U1320</f>
        <v>12600</v>
      </c>
      <c r="W1320" s="22" t="n">
        <f aca="false">W1319+V1320</f>
        <v>-1137433.61796496</v>
      </c>
      <c r="X1320" s="23" t="str">
        <f aca="false">IF(W1320&gt;=0,"YES","No")</f>
        <v>No</v>
      </c>
    </row>
    <row r="1321" customFormat="false" ht="15" hidden="false" customHeight="false" outlineLevel="0" collapsed="false">
      <c r="A1321" s="16" t="n">
        <v>1320</v>
      </c>
      <c r="B1321" s="17" t="n">
        <f aca="false">B1320+1</f>
        <v>47342</v>
      </c>
      <c r="C1321" s="18" t="n">
        <f aca="false">MIN(ROUNDUP(A1321/365,0),5)</f>
        <v>4</v>
      </c>
      <c r="D1321" s="18" t="n">
        <f aca="false">DATEDIF(Assumptions!B5,B1321,"m")+1</f>
        <v>44</v>
      </c>
      <c r="E1321" s="18" t="str">
        <f aca="false">TEXT(B1321,"ddd")</f>
        <v>Sun</v>
      </c>
      <c r="F1321" s="19" t="n">
        <f aca="false">IF(WEEKDAY(B1321,2)&gt;=6,Assumptions!B34,Assumptions!B35)</f>
        <v>0.6</v>
      </c>
      <c r="G1321" s="20" t="n">
        <f aca="false">IF(D1321&gt;=13,(1+Assumptions!B46)^(D1321-12),1)</f>
        <v>1.10060088236241</v>
      </c>
      <c r="H1321" s="21" t="n">
        <f aca="false">H1320*(1+IF(C1321=1,Assumptions!B22,Assumptions!B23))</f>
        <v>24.3400829873808</v>
      </c>
      <c r="I1321" s="16" t="n">
        <f aca="false">ROUND(H1321*F1321,0)</f>
        <v>15</v>
      </c>
      <c r="J1321" s="22" t="n">
        <f aca="false">I1321*Assumptions!B24</f>
        <v>9000</v>
      </c>
      <c r="K1321" s="21" t="n">
        <f aca="false">K1320*(1+Assumptions!B30)</f>
        <v>20.2239233018433</v>
      </c>
      <c r="L1321" s="16" t="n">
        <f aca="false">ROUND(K1321*F1321,0)</f>
        <v>12</v>
      </c>
      <c r="M1321" s="22" t="n">
        <f aca="false">L1321*Assumptions!B31</f>
        <v>3600</v>
      </c>
      <c r="N1321" s="22" t="n">
        <f aca="false">J1321+M1321</f>
        <v>12600</v>
      </c>
      <c r="O1321" s="22" t="n">
        <f aca="false">IF(DAY(B1321)=1,Assumptions!B38*G1321,0)</f>
        <v>0</v>
      </c>
      <c r="P1321" s="22" t="n">
        <f aca="false">IF(DAY(B1321)=1,Assumptions!B39*G1321,0)</f>
        <v>0</v>
      </c>
      <c r="Q1321" s="22" t="n">
        <f aca="false">IF(DAY(B1321)=1,Assumptions!B40*G1321,0)</f>
        <v>0</v>
      </c>
      <c r="R1321" s="22" t="n">
        <f aca="false">IF(DAY(B1321)=1,Assumptions!B41*G1321,0)</f>
        <v>0</v>
      </c>
      <c r="S1321" s="22" t="n">
        <f aca="false">IF(AND(DAY(B1321)=1,D1321&gt;=13),Assumptions!B42*G1321,0)</f>
        <v>0</v>
      </c>
      <c r="T1321" s="22" t="n">
        <f aca="false">IF(DAY(B1321)=1,Assumptions!B43*G1321,0)</f>
        <v>0</v>
      </c>
      <c r="U1321" s="22" t="n">
        <f aca="false">SUM(O1321:T1321)</f>
        <v>0</v>
      </c>
      <c r="V1321" s="22" t="n">
        <f aca="false">N1321-U1321</f>
        <v>12600</v>
      </c>
      <c r="W1321" s="22" t="n">
        <f aca="false">W1320+V1321</f>
        <v>-1124833.61796496</v>
      </c>
      <c r="X1321" s="23" t="str">
        <f aca="false">IF(W1321&gt;=0,"YES","No")</f>
        <v>No</v>
      </c>
    </row>
    <row r="1322" customFormat="false" ht="15" hidden="false" customHeight="false" outlineLevel="0" collapsed="false">
      <c r="A1322" s="16" t="n">
        <v>1321</v>
      </c>
      <c r="B1322" s="17" t="n">
        <f aca="false">B1321+1</f>
        <v>47343</v>
      </c>
      <c r="C1322" s="18" t="n">
        <f aca="false">MIN(ROUNDUP(A1322/365,0),5)</f>
        <v>4</v>
      </c>
      <c r="D1322" s="18" t="n">
        <f aca="false">DATEDIF(Assumptions!B5,B1322,"m")+1</f>
        <v>44</v>
      </c>
      <c r="E1322" s="18" t="str">
        <f aca="false">TEXT(B1322,"ddd")</f>
        <v>Mon</v>
      </c>
      <c r="F1322" s="19" t="n">
        <f aca="false">IF(WEEKDAY(B1322,2)&gt;=6,Assumptions!B34,Assumptions!B35)</f>
        <v>1</v>
      </c>
      <c r="G1322" s="20" t="n">
        <f aca="false">IF(D1322&gt;=13,(1+Assumptions!B46)^(D1322-12),1)</f>
        <v>1.10060088236241</v>
      </c>
      <c r="H1322" s="21" t="n">
        <f aca="false">H1321*(1+IF(C1322=1,Assumptions!B22,Assumptions!B23))</f>
        <v>24.3440713947455</v>
      </c>
      <c r="I1322" s="16" t="n">
        <f aca="false">ROUND(H1322*F1322,0)</f>
        <v>24</v>
      </c>
      <c r="J1322" s="22" t="n">
        <f aca="false">I1322*Assumptions!B24</f>
        <v>14400</v>
      </c>
      <c r="K1322" s="21" t="n">
        <f aca="false">K1321*(1+Assumptions!B30)</f>
        <v>20.2305352473667</v>
      </c>
      <c r="L1322" s="16" t="n">
        <f aca="false">ROUND(K1322*F1322,0)</f>
        <v>20</v>
      </c>
      <c r="M1322" s="22" t="n">
        <f aca="false">L1322*Assumptions!B31</f>
        <v>6000</v>
      </c>
      <c r="N1322" s="22" t="n">
        <f aca="false">J1322+M1322</f>
        <v>20400</v>
      </c>
      <c r="O1322" s="22" t="n">
        <f aca="false">IF(DAY(B1322)=1,Assumptions!B38*G1322,0)</f>
        <v>0</v>
      </c>
      <c r="P1322" s="22" t="n">
        <f aca="false">IF(DAY(B1322)=1,Assumptions!B39*G1322,0)</f>
        <v>0</v>
      </c>
      <c r="Q1322" s="22" t="n">
        <f aca="false">IF(DAY(B1322)=1,Assumptions!B40*G1322,0)</f>
        <v>0</v>
      </c>
      <c r="R1322" s="22" t="n">
        <f aca="false">IF(DAY(B1322)=1,Assumptions!B41*G1322,0)</f>
        <v>0</v>
      </c>
      <c r="S1322" s="22" t="n">
        <f aca="false">IF(AND(DAY(B1322)=1,D1322&gt;=13),Assumptions!B42*G1322,0)</f>
        <v>0</v>
      </c>
      <c r="T1322" s="22" t="n">
        <f aca="false">IF(DAY(B1322)=1,Assumptions!B43*G1322,0)</f>
        <v>0</v>
      </c>
      <c r="U1322" s="22" t="n">
        <f aca="false">SUM(O1322:T1322)</f>
        <v>0</v>
      </c>
      <c r="V1322" s="22" t="n">
        <f aca="false">N1322-U1322</f>
        <v>20400</v>
      </c>
      <c r="W1322" s="22" t="n">
        <f aca="false">W1321+V1322</f>
        <v>-1104433.61796496</v>
      </c>
      <c r="X1322" s="23" t="str">
        <f aca="false">IF(W1322&gt;=0,"YES","No")</f>
        <v>No</v>
      </c>
    </row>
    <row r="1323" customFormat="false" ht="15" hidden="false" customHeight="false" outlineLevel="0" collapsed="false">
      <c r="A1323" s="16" t="n">
        <v>1322</v>
      </c>
      <c r="B1323" s="17" t="n">
        <f aca="false">B1322+1</f>
        <v>47344</v>
      </c>
      <c r="C1323" s="18" t="n">
        <f aca="false">MIN(ROUNDUP(A1323/365,0),5)</f>
        <v>4</v>
      </c>
      <c r="D1323" s="18" t="n">
        <f aca="false">DATEDIF(Assumptions!B5,B1323,"m")+1</f>
        <v>44</v>
      </c>
      <c r="E1323" s="18" t="str">
        <f aca="false">TEXT(B1323,"ddd")</f>
        <v>Tue</v>
      </c>
      <c r="F1323" s="19" t="n">
        <f aca="false">IF(WEEKDAY(B1323,2)&gt;=6,Assumptions!B34,Assumptions!B35)</f>
        <v>1</v>
      </c>
      <c r="G1323" s="20" t="n">
        <f aca="false">IF(D1323&gt;=13,(1+Assumptions!B46)^(D1323-12),1)</f>
        <v>1.10060088236241</v>
      </c>
      <c r="H1323" s="21" t="n">
        <f aca="false">H1322*(1+IF(C1323=1,Assumptions!B22,Assumptions!B23))</f>
        <v>24.3480604556575</v>
      </c>
      <c r="I1323" s="16" t="n">
        <f aca="false">ROUND(H1323*F1323,0)</f>
        <v>24</v>
      </c>
      <c r="J1323" s="22" t="n">
        <f aca="false">I1323*Assumptions!B24</f>
        <v>14400</v>
      </c>
      <c r="K1323" s="21" t="n">
        <f aca="false">K1322*(1+Assumptions!B30)</f>
        <v>20.2371493545787</v>
      </c>
      <c r="L1323" s="16" t="n">
        <f aca="false">ROUND(K1323*F1323,0)</f>
        <v>20</v>
      </c>
      <c r="M1323" s="22" t="n">
        <f aca="false">L1323*Assumptions!B31</f>
        <v>6000</v>
      </c>
      <c r="N1323" s="22" t="n">
        <f aca="false">J1323+M1323</f>
        <v>20400</v>
      </c>
      <c r="O1323" s="22" t="n">
        <f aca="false">IF(DAY(B1323)=1,Assumptions!B38*G1323,0)</f>
        <v>0</v>
      </c>
      <c r="P1323" s="22" t="n">
        <f aca="false">IF(DAY(B1323)=1,Assumptions!B39*G1323,0)</f>
        <v>0</v>
      </c>
      <c r="Q1323" s="22" t="n">
        <f aca="false">IF(DAY(B1323)=1,Assumptions!B40*G1323,0)</f>
        <v>0</v>
      </c>
      <c r="R1323" s="22" t="n">
        <f aca="false">IF(DAY(B1323)=1,Assumptions!B41*G1323,0)</f>
        <v>0</v>
      </c>
      <c r="S1323" s="22" t="n">
        <f aca="false">IF(AND(DAY(B1323)=1,D1323&gt;=13),Assumptions!B42*G1323,0)</f>
        <v>0</v>
      </c>
      <c r="T1323" s="22" t="n">
        <f aca="false">IF(DAY(B1323)=1,Assumptions!B43*G1323,0)</f>
        <v>0</v>
      </c>
      <c r="U1323" s="22" t="n">
        <f aca="false">SUM(O1323:T1323)</f>
        <v>0</v>
      </c>
      <c r="V1323" s="22" t="n">
        <f aca="false">N1323-U1323</f>
        <v>20400</v>
      </c>
      <c r="W1323" s="22" t="n">
        <f aca="false">W1322+V1323</f>
        <v>-1084033.61796496</v>
      </c>
      <c r="X1323" s="23" t="str">
        <f aca="false">IF(W1323&gt;=0,"YES","No")</f>
        <v>No</v>
      </c>
    </row>
    <row r="1324" customFormat="false" ht="15" hidden="false" customHeight="false" outlineLevel="0" collapsed="false">
      <c r="A1324" s="16" t="n">
        <v>1323</v>
      </c>
      <c r="B1324" s="17" t="n">
        <f aca="false">B1323+1</f>
        <v>47345</v>
      </c>
      <c r="C1324" s="18" t="n">
        <f aca="false">MIN(ROUNDUP(A1324/365,0),5)</f>
        <v>4</v>
      </c>
      <c r="D1324" s="18" t="n">
        <f aca="false">DATEDIF(Assumptions!B5,B1324,"m")+1</f>
        <v>44</v>
      </c>
      <c r="E1324" s="18" t="str">
        <f aca="false">TEXT(B1324,"ddd")</f>
        <v>Wed</v>
      </c>
      <c r="F1324" s="19" t="n">
        <f aca="false">IF(WEEKDAY(B1324,2)&gt;=6,Assumptions!B34,Assumptions!B35)</f>
        <v>1</v>
      </c>
      <c r="G1324" s="20" t="n">
        <f aca="false">IF(D1324&gt;=13,(1+Assumptions!B46)^(D1324-12),1)</f>
        <v>1.10060088236241</v>
      </c>
      <c r="H1324" s="21" t="n">
        <f aca="false">H1323*(1+IF(C1324=1,Assumptions!B22,Assumptions!B23))</f>
        <v>24.3520501702238</v>
      </c>
      <c r="I1324" s="16" t="n">
        <f aca="false">ROUND(H1324*F1324,0)</f>
        <v>24</v>
      </c>
      <c r="J1324" s="22" t="n">
        <f aca="false">I1324*Assumptions!B24</f>
        <v>14400</v>
      </c>
      <c r="K1324" s="21" t="n">
        <f aca="false">K1323*(1+Assumptions!B30)</f>
        <v>20.243765624186</v>
      </c>
      <c r="L1324" s="16" t="n">
        <f aca="false">ROUND(K1324*F1324,0)</f>
        <v>20</v>
      </c>
      <c r="M1324" s="22" t="n">
        <f aca="false">L1324*Assumptions!B31</f>
        <v>6000</v>
      </c>
      <c r="N1324" s="22" t="n">
        <f aca="false">J1324+M1324</f>
        <v>20400</v>
      </c>
      <c r="O1324" s="22" t="n">
        <f aca="false">IF(DAY(B1324)=1,Assumptions!B38*G1324,0)</f>
        <v>0</v>
      </c>
      <c r="P1324" s="22" t="n">
        <f aca="false">IF(DAY(B1324)=1,Assumptions!B39*G1324,0)</f>
        <v>0</v>
      </c>
      <c r="Q1324" s="22" t="n">
        <f aca="false">IF(DAY(B1324)=1,Assumptions!B40*G1324,0)</f>
        <v>0</v>
      </c>
      <c r="R1324" s="22" t="n">
        <f aca="false">IF(DAY(B1324)=1,Assumptions!B41*G1324,0)</f>
        <v>0</v>
      </c>
      <c r="S1324" s="22" t="n">
        <f aca="false">IF(AND(DAY(B1324)=1,D1324&gt;=13),Assumptions!B42*G1324,0)</f>
        <v>0</v>
      </c>
      <c r="T1324" s="22" t="n">
        <f aca="false">IF(DAY(B1324)=1,Assumptions!B43*G1324,0)</f>
        <v>0</v>
      </c>
      <c r="U1324" s="22" t="n">
        <f aca="false">SUM(O1324:T1324)</f>
        <v>0</v>
      </c>
      <c r="V1324" s="22" t="n">
        <f aca="false">N1324-U1324</f>
        <v>20400</v>
      </c>
      <c r="W1324" s="22" t="n">
        <f aca="false">W1323+V1324</f>
        <v>-1063633.61796496</v>
      </c>
      <c r="X1324" s="23" t="str">
        <f aca="false">IF(W1324&gt;=0,"YES","No")</f>
        <v>No</v>
      </c>
    </row>
    <row r="1325" customFormat="false" ht="15" hidden="false" customHeight="false" outlineLevel="0" collapsed="false">
      <c r="A1325" s="16" t="n">
        <v>1324</v>
      </c>
      <c r="B1325" s="17" t="n">
        <f aca="false">B1324+1</f>
        <v>47346</v>
      </c>
      <c r="C1325" s="18" t="n">
        <f aca="false">MIN(ROUNDUP(A1325/365,0),5)</f>
        <v>4</v>
      </c>
      <c r="D1325" s="18" t="n">
        <f aca="false">DATEDIF(Assumptions!B5,B1325,"m")+1</f>
        <v>44</v>
      </c>
      <c r="E1325" s="18" t="str">
        <f aca="false">TEXT(B1325,"ddd")</f>
        <v>Thu</v>
      </c>
      <c r="F1325" s="19" t="n">
        <f aca="false">IF(WEEKDAY(B1325,2)&gt;=6,Assumptions!B34,Assumptions!B35)</f>
        <v>1</v>
      </c>
      <c r="G1325" s="20" t="n">
        <f aca="false">IF(D1325&gt;=13,(1+Assumptions!B46)^(D1325-12),1)</f>
        <v>1.10060088236241</v>
      </c>
      <c r="H1325" s="21" t="n">
        <f aca="false">H1324*(1+IF(C1325=1,Assumptions!B22,Assumptions!B23))</f>
        <v>24.3560405385515</v>
      </c>
      <c r="I1325" s="16" t="n">
        <f aca="false">ROUND(H1325*F1325,0)</f>
        <v>24</v>
      </c>
      <c r="J1325" s="22" t="n">
        <f aca="false">I1325*Assumptions!B24</f>
        <v>14400</v>
      </c>
      <c r="K1325" s="21" t="n">
        <f aca="false">K1324*(1+Assumptions!B30)</f>
        <v>20.2503840568955</v>
      </c>
      <c r="L1325" s="16" t="n">
        <f aca="false">ROUND(K1325*F1325,0)</f>
        <v>20</v>
      </c>
      <c r="M1325" s="22" t="n">
        <f aca="false">L1325*Assumptions!B31</f>
        <v>6000</v>
      </c>
      <c r="N1325" s="22" t="n">
        <f aca="false">J1325+M1325</f>
        <v>20400</v>
      </c>
      <c r="O1325" s="22" t="n">
        <f aca="false">IF(DAY(B1325)=1,Assumptions!B38*G1325,0)</f>
        <v>0</v>
      </c>
      <c r="P1325" s="22" t="n">
        <f aca="false">IF(DAY(B1325)=1,Assumptions!B39*G1325,0)</f>
        <v>0</v>
      </c>
      <c r="Q1325" s="22" t="n">
        <f aca="false">IF(DAY(B1325)=1,Assumptions!B40*G1325,0)</f>
        <v>0</v>
      </c>
      <c r="R1325" s="22" t="n">
        <f aca="false">IF(DAY(B1325)=1,Assumptions!B41*G1325,0)</f>
        <v>0</v>
      </c>
      <c r="S1325" s="22" t="n">
        <f aca="false">IF(AND(DAY(B1325)=1,D1325&gt;=13),Assumptions!B42*G1325,0)</f>
        <v>0</v>
      </c>
      <c r="T1325" s="22" t="n">
        <f aca="false">IF(DAY(B1325)=1,Assumptions!B43*G1325,0)</f>
        <v>0</v>
      </c>
      <c r="U1325" s="22" t="n">
        <f aca="false">SUM(O1325:T1325)</f>
        <v>0</v>
      </c>
      <c r="V1325" s="22" t="n">
        <f aca="false">N1325-U1325</f>
        <v>20400</v>
      </c>
      <c r="W1325" s="22" t="n">
        <f aca="false">W1324+V1325</f>
        <v>-1043233.61796496</v>
      </c>
      <c r="X1325" s="23" t="str">
        <f aca="false">IF(W1325&gt;=0,"YES","No")</f>
        <v>No</v>
      </c>
    </row>
    <row r="1326" customFormat="false" ht="15" hidden="false" customHeight="false" outlineLevel="0" collapsed="false">
      <c r="A1326" s="16" t="n">
        <v>1325</v>
      </c>
      <c r="B1326" s="17" t="n">
        <f aca="false">B1325+1</f>
        <v>47347</v>
      </c>
      <c r="C1326" s="18" t="n">
        <f aca="false">MIN(ROUNDUP(A1326/365,0),5)</f>
        <v>4</v>
      </c>
      <c r="D1326" s="18" t="n">
        <f aca="false">DATEDIF(Assumptions!B5,B1326,"m")+1</f>
        <v>44</v>
      </c>
      <c r="E1326" s="18" t="str">
        <f aca="false">TEXT(B1326,"ddd")</f>
        <v>Fri</v>
      </c>
      <c r="F1326" s="19" t="n">
        <f aca="false">IF(WEEKDAY(B1326,2)&gt;=6,Assumptions!B34,Assumptions!B35)</f>
        <v>1</v>
      </c>
      <c r="G1326" s="20" t="n">
        <f aca="false">IF(D1326&gt;=13,(1+Assumptions!B46)^(D1326-12),1)</f>
        <v>1.10060088236241</v>
      </c>
      <c r="H1326" s="21" t="n">
        <f aca="false">H1325*(1+IF(C1326=1,Assumptions!B22,Assumptions!B23))</f>
        <v>24.3600315607477</v>
      </c>
      <c r="I1326" s="16" t="n">
        <f aca="false">ROUND(H1326*F1326,0)</f>
        <v>24</v>
      </c>
      <c r="J1326" s="22" t="n">
        <f aca="false">I1326*Assumptions!B24</f>
        <v>14400</v>
      </c>
      <c r="K1326" s="21" t="n">
        <f aca="false">K1325*(1+Assumptions!B30)</f>
        <v>20.2570046534145</v>
      </c>
      <c r="L1326" s="16" t="n">
        <f aca="false">ROUND(K1326*F1326,0)</f>
        <v>20</v>
      </c>
      <c r="M1326" s="22" t="n">
        <f aca="false">L1326*Assumptions!B31</f>
        <v>6000</v>
      </c>
      <c r="N1326" s="22" t="n">
        <f aca="false">J1326+M1326</f>
        <v>20400</v>
      </c>
      <c r="O1326" s="22" t="n">
        <f aca="false">IF(DAY(B1326)=1,Assumptions!B38*G1326,0)</f>
        <v>0</v>
      </c>
      <c r="P1326" s="22" t="n">
        <f aca="false">IF(DAY(B1326)=1,Assumptions!B39*G1326,0)</f>
        <v>0</v>
      </c>
      <c r="Q1326" s="22" t="n">
        <f aca="false">IF(DAY(B1326)=1,Assumptions!B40*G1326,0)</f>
        <v>0</v>
      </c>
      <c r="R1326" s="22" t="n">
        <f aca="false">IF(DAY(B1326)=1,Assumptions!B41*G1326,0)</f>
        <v>0</v>
      </c>
      <c r="S1326" s="22" t="n">
        <f aca="false">IF(AND(DAY(B1326)=1,D1326&gt;=13),Assumptions!B42*G1326,0)</f>
        <v>0</v>
      </c>
      <c r="T1326" s="22" t="n">
        <f aca="false">IF(DAY(B1326)=1,Assumptions!B43*G1326,0)</f>
        <v>0</v>
      </c>
      <c r="U1326" s="22" t="n">
        <f aca="false">SUM(O1326:T1326)</f>
        <v>0</v>
      </c>
      <c r="V1326" s="22" t="n">
        <f aca="false">N1326-U1326</f>
        <v>20400</v>
      </c>
      <c r="W1326" s="22" t="n">
        <f aca="false">W1325+V1326</f>
        <v>-1022833.61796496</v>
      </c>
      <c r="X1326" s="23" t="str">
        <f aca="false">IF(W1326&gt;=0,"YES","No")</f>
        <v>No</v>
      </c>
    </row>
    <row r="1327" customFormat="false" ht="15" hidden="false" customHeight="false" outlineLevel="0" collapsed="false">
      <c r="A1327" s="16" t="n">
        <v>1326</v>
      </c>
      <c r="B1327" s="17" t="n">
        <f aca="false">B1326+1</f>
        <v>47348</v>
      </c>
      <c r="C1327" s="18" t="n">
        <f aca="false">MIN(ROUNDUP(A1327/365,0),5)</f>
        <v>4</v>
      </c>
      <c r="D1327" s="18" t="n">
        <f aca="false">DATEDIF(Assumptions!B5,B1327,"m")+1</f>
        <v>44</v>
      </c>
      <c r="E1327" s="18" t="str">
        <f aca="false">TEXT(B1327,"ddd")</f>
        <v>Sat</v>
      </c>
      <c r="F1327" s="19" t="n">
        <f aca="false">IF(WEEKDAY(B1327,2)&gt;=6,Assumptions!B34,Assumptions!B35)</f>
        <v>0.6</v>
      </c>
      <c r="G1327" s="20" t="n">
        <f aca="false">IF(D1327&gt;=13,(1+Assumptions!B46)^(D1327-12),1)</f>
        <v>1.10060088236241</v>
      </c>
      <c r="H1327" s="21" t="n">
        <f aca="false">H1326*(1+IF(C1327=1,Assumptions!B22,Assumptions!B23))</f>
        <v>24.3640232369196</v>
      </c>
      <c r="I1327" s="16" t="n">
        <f aca="false">ROUND(H1327*F1327,0)</f>
        <v>15</v>
      </c>
      <c r="J1327" s="22" t="n">
        <f aca="false">I1327*Assumptions!B24</f>
        <v>9000</v>
      </c>
      <c r="K1327" s="21" t="n">
        <f aca="false">K1326*(1+Assumptions!B30)</f>
        <v>20.2636274144504</v>
      </c>
      <c r="L1327" s="16" t="n">
        <f aca="false">ROUND(K1327*F1327,0)</f>
        <v>12</v>
      </c>
      <c r="M1327" s="22" t="n">
        <f aca="false">L1327*Assumptions!B31</f>
        <v>3600</v>
      </c>
      <c r="N1327" s="22" t="n">
        <f aca="false">J1327+M1327</f>
        <v>12600</v>
      </c>
      <c r="O1327" s="22" t="n">
        <f aca="false">IF(DAY(B1327)=1,Assumptions!B38*G1327,0)</f>
        <v>0</v>
      </c>
      <c r="P1327" s="22" t="n">
        <f aca="false">IF(DAY(B1327)=1,Assumptions!B39*G1327,0)</f>
        <v>0</v>
      </c>
      <c r="Q1327" s="22" t="n">
        <f aca="false">IF(DAY(B1327)=1,Assumptions!B40*G1327,0)</f>
        <v>0</v>
      </c>
      <c r="R1327" s="22" t="n">
        <f aca="false">IF(DAY(B1327)=1,Assumptions!B41*G1327,0)</f>
        <v>0</v>
      </c>
      <c r="S1327" s="22" t="n">
        <f aca="false">IF(AND(DAY(B1327)=1,D1327&gt;=13),Assumptions!B42*G1327,0)</f>
        <v>0</v>
      </c>
      <c r="T1327" s="22" t="n">
        <f aca="false">IF(DAY(B1327)=1,Assumptions!B43*G1327,0)</f>
        <v>0</v>
      </c>
      <c r="U1327" s="22" t="n">
        <f aca="false">SUM(O1327:T1327)</f>
        <v>0</v>
      </c>
      <c r="V1327" s="22" t="n">
        <f aca="false">N1327-U1327</f>
        <v>12600</v>
      </c>
      <c r="W1327" s="22" t="n">
        <f aca="false">W1326+V1327</f>
        <v>-1010233.61796496</v>
      </c>
      <c r="X1327" s="23" t="str">
        <f aca="false">IF(W1327&gt;=0,"YES","No")</f>
        <v>No</v>
      </c>
    </row>
    <row r="1328" customFormat="false" ht="15" hidden="false" customHeight="false" outlineLevel="0" collapsed="false">
      <c r="A1328" s="16" t="n">
        <v>1327</v>
      </c>
      <c r="B1328" s="17" t="n">
        <f aca="false">B1327+1</f>
        <v>47349</v>
      </c>
      <c r="C1328" s="18" t="n">
        <f aca="false">MIN(ROUNDUP(A1328/365,0),5)</f>
        <v>4</v>
      </c>
      <c r="D1328" s="18" t="n">
        <f aca="false">DATEDIF(Assumptions!B5,B1328,"m")+1</f>
        <v>44</v>
      </c>
      <c r="E1328" s="18" t="str">
        <f aca="false">TEXT(B1328,"ddd")</f>
        <v>Sun</v>
      </c>
      <c r="F1328" s="19" t="n">
        <f aca="false">IF(WEEKDAY(B1328,2)&gt;=6,Assumptions!B34,Assumptions!B35)</f>
        <v>0.6</v>
      </c>
      <c r="G1328" s="20" t="n">
        <f aca="false">IF(D1328&gt;=13,(1+Assumptions!B46)^(D1328-12),1)</f>
        <v>1.10060088236241</v>
      </c>
      <c r="H1328" s="21" t="n">
        <f aca="false">H1327*(1+IF(C1328=1,Assumptions!B22,Assumptions!B23))</f>
        <v>24.3680155671744</v>
      </c>
      <c r="I1328" s="16" t="n">
        <f aca="false">ROUND(H1328*F1328,0)</f>
        <v>15</v>
      </c>
      <c r="J1328" s="22" t="n">
        <f aca="false">I1328*Assumptions!B24</f>
        <v>9000</v>
      </c>
      <c r="K1328" s="21" t="n">
        <f aca="false">K1327*(1+Assumptions!B30)</f>
        <v>20.2702523407108</v>
      </c>
      <c r="L1328" s="16" t="n">
        <f aca="false">ROUND(K1328*F1328,0)</f>
        <v>12</v>
      </c>
      <c r="M1328" s="22" t="n">
        <f aca="false">L1328*Assumptions!B31</f>
        <v>3600</v>
      </c>
      <c r="N1328" s="22" t="n">
        <f aca="false">J1328+M1328</f>
        <v>12600</v>
      </c>
      <c r="O1328" s="22" t="n">
        <f aca="false">IF(DAY(B1328)=1,Assumptions!B38*G1328,0)</f>
        <v>0</v>
      </c>
      <c r="P1328" s="22" t="n">
        <f aca="false">IF(DAY(B1328)=1,Assumptions!B39*G1328,0)</f>
        <v>0</v>
      </c>
      <c r="Q1328" s="22" t="n">
        <f aca="false">IF(DAY(B1328)=1,Assumptions!B40*G1328,0)</f>
        <v>0</v>
      </c>
      <c r="R1328" s="22" t="n">
        <f aca="false">IF(DAY(B1328)=1,Assumptions!B41*G1328,0)</f>
        <v>0</v>
      </c>
      <c r="S1328" s="22" t="n">
        <f aca="false">IF(AND(DAY(B1328)=1,D1328&gt;=13),Assumptions!B42*G1328,0)</f>
        <v>0</v>
      </c>
      <c r="T1328" s="22" t="n">
        <f aca="false">IF(DAY(B1328)=1,Assumptions!B43*G1328,0)</f>
        <v>0</v>
      </c>
      <c r="U1328" s="22" t="n">
        <f aca="false">SUM(O1328:T1328)</f>
        <v>0</v>
      </c>
      <c r="V1328" s="22" t="n">
        <f aca="false">N1328-U1328</f>
        <v>12600</v>
      </c>
      <c r="W1328" s="22" t="n">
        <f aca="false">W1327+V1328</f>
        <v>-997633.617964962</v>
      </c>
      <c r="X1328" s="23" t="str">
        <f aca="false">IF(W1328&gt;=0,"YES","No")</f>
        <v>No</v>
      </c>
    </row>
    <row r="1329" customFormat="false" ht="15" hidden="false" customHeight="false" outlineLevel="0" collapsed="false">
      <c r="A1329" s="16" t="n">
        <v>1328</v>
      </c>
      <c r="B1329" s="17" t="n">
        <f aca="false">B1328+1</f>
        <v>47350</v>
      </c>
      <c r="C1329" s="18" t="n">
        <f aca="false">MIN(ROUNDUP(A1329/365,0),5)</f>
        <v>4</v>
      </c>
      <c r="D1329" s="18" t="n">
        <f aca="false">DATEDIF(Assumptions!B5,B1329,"m")+1</f>
        <v>44</v>
      </c>
      <c r="E1329" s="18" t="str">
        <f aca="false">TEXT(B1329,"ddd")</f>
        <v>Mon</v>
      </c>
      <c r="F1329" s="19" t="n">
        <f aca="false">IF(WEEKDAY(B1329,2)&gt;=6,Assumptions!B34,Assumptions!B35)</f>
        <v>1</v>
      </c>
      <c r="G1329" s="20" t="n">
        <f aca="false">IF(D1329&gt;=13,(1+Assumptions!B46)^(D1329-12),1)</f>
        <v>1.10060088236241</v>
      </c>
      <c r="H1329" s="21" t="n">
        <f aca="false">H1328*(1+IF(C1329=1,Assumptions!B22,Assumptions!B23))</f>
        <v>24.3720085516191</v>
      </c>
      <c r="I1329" s="16" t="n">
        <f aca="false">ROUND(H1329*F1329,0)</f>
        <v>24</v>
      </c>
      <c r="J1329" s="22" t="n">
        <f aca="false">I1329*Assumptions!B24</f>
        <v>14400</v>
      </c>
      <c r="K1329" s="21" t="n">
        <f aca="false">K1328*(1+Assumptions!B30)</f>
        <v>20.2768794329037</v>
      </c>
      <c r="L1329" s="16" t="n">
        <f aca="false">ROUND(K1329*F1329,0)</f>
        <v>20</v>
      </c>
      <c r="M1329" s="22" t="n">
        <f aca="false">L1329*Assumptions!B31</f>
        <v>6000</v>
      </c>
      <c r="N1329" s="22" t="n">
        <f aca="false">J1329+M1329</f>
        <v>20400</v>
      </c>
      <c r="O1329" s="22" t="n">
        <f aca="false">IF(DAY(B1329)=1,Assumptions!B38*G1329,0)</f>
        <v>0</v>
      </c>
      <c r="P1329" s="22" t="n">
        <f aca="false">IF(DAY(B1329)=1,Assumptions!B39*G1329,0)</f>
        <v>0</v>
      </c>
      <c r="Q1329" s="22" t="n">
        <f aca="false">IF(DAY(B1329)=1,Assumptions!B40*G1329,0)</f>
        <v>0</v>
      </c>
      <c r="R1329" s="22" t="n">
        <f aca="false">IF(DAY(B1329)=1,Assumptions!B41*G1329,0)</f>
        <v>0</v>
      </c>
      <c r="S1329" s="22" t="n">
        <f aca="false">IF(AND(DAY(B1329)=1,D1329&gt;=13),Assumptions!B42*G1329,0)</f>
        <v>0</v>
      </c>
      <c r="T1329" s="22" t="n">
        <f aca="false">IF(DAY(B1329)=1,Assumptions!B43*G1329,0)</f>
        <v>0</v>
      </c>
      <c r="U1329" s="22" t="n">
        <f aca="false">SUM(O1329:T1329)</f>
        <v>0</v>
      </c>
      <c r="V1329" s="22" t="n">
        <f aca="false">N1329-U1329</f>
        <v>20400</v>
      </c>
      <c r="W1329" s="22" t="n">
        <f aca="false">W1328+V1329</f>
        <v>-977233.617964962</v>
      </c>
      <c r="X1329" s="23" t="str">
        <f aca="false">IF(W1329&gt;=0,"YES","No")</f>
        <v>No</v>
      </c>
    </row>
    <row r="1330" customFormat="false" ht="15" hidden="false" customHeight="false" outlineLevel="0" collapsed="false">
      <c r="A1330" s="16" t="n">
        <v>1329</v>
      </c>
      <c r="B1330" s="17" t="n">
        <f aca="false">B1329+1</f>
        <v>47351</v>
      </c>
      <c r="C1330" s="18" t="n">
        <f aca="false">MIN(ROUNDUP(A1330/365,0),5)</f>
        <v>4</v>
      </c>
      <c r="D1330" s="18" t="n">
        <f aca="false">DATEDIF(Assumptions!B5,B1330,"m")+1</f>
        <v>44</v>
      </c>
      <c r="E1330" s="18" t="str">
        <f aca="false">TEXT(B1330,"ddd")</f>
        <v>Tue</v>
      </c>
      <c r="F1330" s="19" t="n">
        <f aca="false">IF(WEEKDAY(B1330,2)&gt;=6,Assumptions!B34,Assumptions!B35)</f>
        <v>1</v>
      </c>
      <c r="G1330" s="20" t="n">
        <f aca="false">IF(D1330&gt;=13,(1+Assumptions!B46)^(D1330-12),1)</f>
        <v>1.10060088236241</v>
      </c>
      <c r="H1330" s="21" t="n">
        <f aca="false">H1329*(1+IF(C1330=1,Assumptions!B22,Assumptions!B23))</f>
        <v>24.3760021903611</v>
      </c>
      <c r="I1330" s="16" t="n">
        <f aca="false">ROUND(H1330*F1330,0)</f>
        <v>24</v>
      </c>
      <c r="J1330" s="22" t="n">
        <f aca="false">I1330*Assumptions!B24</f>
        <v>14400</v>
      </c>
      <c r="K1330" s="21" t="n">
        <f aca="false">K1329*(1+Assumptions!B30)</f>
        <v>20.2835086917371</v>
      </c>
      <c r="L1330" s="16" t="n">
        <f aca="false">ROUND(K1330*F1330,0)</f>
        <v>20</v>
      </c>
      <c r="M1330" s="22" t="n">
        <f aca="false">L1330*Assumptions!B31</f>
        <v>6000</v>
      </c>
      <c r="N1330" s="22" t="n">
        <f aca="false">J1330+M1330</f>
        <v>20400</v>
      </c>
      <c r="O1330" s="22" t="n">
        <f aca="false">IF(DAY(B1330)=1,Assumptions!B38*G1330,0)</f>
        <v>0</v>
      </c>
      <c r="P1330" s="22" t="n">
        <f aca="false">IF(DAY(B1330)=1,Assumptions!B39*G1330,0)</f>
        <v>0</v>
      </c>
      <c r="Q1330" s="22" t="n">
        <f aca="false">IF(DAY(B1330)=1,Assumptions!B40*G1330,0)</f>
        <v>0</v>
      </c>
      <c r="R1330" s="22" t="n">
        <f aca="false">IF(DAY(B1330)=1,Assumptions!B41*G1330,0)</f>
        <v>0</v>
      </c>
      <c r="S1330" s="22" t="n">
        <f aca="false">IF(AND(DAY(B1330)=1,D1330&gt;=13),Assumptions!B42*G1330,0)</f>
        <v>0</v>
      </c>
      <c r="T1330" s="22" t="n">
        <f aca="false">IF(DAY(B1330)=1,Assumptions!B43*G1330,0)</f>
        <v>0</v>
      </c>
      <c r="U1330" s="22" t="n">
        <f aca="false">SUM(O1330:T1330)</f>
        <v>0</v>
      </c>
      <c r="V1330" s="22" t="n">
        <f aca="false">N1330-U1330</f>
        <v>20400</v>
      </c>
      <c r="W1330" s="22" t="n">
        <f aca="false">W1329+V1330</f>
        <v>-956833.617964962</v>
      </c>
      <c r="X1330" s="23" t="str">
        <f aca="false">IF(W1330&gt;=0,"YES","No")</f>
        <v>No</v>
      </c>
    </row>
    <row r="1331" customFormat="false" ht="15" hidden="false" customHeight="false" outlineLevel="0" collapsed="false">
      <c r="A1331" s="16" t="n">
        <v>1330</v>
      </c>
      <c r="B1331" s="17" t="n">
        <f aca="false">B1330+1</f>
        <v>47352</v>
      </c>
      <c r="C1331" s="18" t="n">
        <f aca="false">MIN(ROUNDUP(A1331/365,0),5)</f>
        <v>4</v>
      </c>
      <c r="D1331" s="18" t="n">
        <f aca="false">DATEDIF(Assumptions!B5,B1331,"m")+1</f>
        <v>44</v>
      </c>
      <c r="E1331" s="18" t="str">
        <f aca="false">TEXT(B1331,"ddd")</f>
        <v>Wed</v>
      </c>
      <c r="F1331" s="19" t="n">
        <f aca="false">IF(WEEKDAY(B1331,2)&gt;=6,Assumptions!B34,Assumptions!B35)</f>
        <v>1</v>
      </c>
      <c r="G1331" s="20" t="n">
        <f aca="false">IF(D1331&gt;=13,(1+Assumptions!B46)^(D1331-12),1)</f>
        <v>1.10060088236241</v>
      </c>
      <c r="H1331" s="21" t="n">
        <f aca="false">H1330*(1+IF(C1331=1,Assumptions!B22,Assumptions!B23))</f>
        <v>24.3799964835076</v>
      </c>
      <c r="I1331" s="16" t="n">
        <f aca="false">ROUND(H1331*F1331,0)</f>
        <v>24</v>
      </c>
      <c r="J1331" s="22" t="n">
        <f aca="false">I1331*Assumptions!B24</f>
        <v>14400</v>
      </c>
      <c r="K1331" s="21" t="n">
        <f aca="false">K1330*(1+Assumptions!B30)</f>
        <v>20.2901401179195</v>
      </c>
      <c r="L1331" s="16" t="n">
        <f aca="false">ROUND(K1331*F1331,0)</f>
        <v>20</v>
      </c>
      <c r="M1331" s="22" t="n">
        <f aca="false">L1331*Assumptions!B31</f>
        <v>6000</v>
      </c>
      <c r="N1331" s="22" t="n">
        <f aca="false">J1331+M1331</f>
        <v>20400</v>
      </c>
      <c r="O1331" s="22" t="n">
        <f aca="false">IF(DAY(B1331)=1,Assumptions!B38*G1331,0)</f>
        <v>0</v>
      </c>
      <c r="P1331" s="22" t="n">
        <f aca="false">IF(DAY(B1331)=1,Assumptions!B39*G1331,0)</f>
        <v>0</v>
      </c>
      <c r="Q1331" s="22" t="n">
        <f aca="false">IF(DAY(B1331)=1,Assumptions!B40*G1331,0)</f>
        <v>0</v>
      </c>
      <c r="R1331" s="22" t="n">
        <f aca="false">IF(DAY(B1331)=1,Assumptions!B41*G1331,0)</f>
        <v>0</v>
      </c>
      <c r="S1331" s="22" t="n">
        <f aca="false">IF(AND(DAY(B1331)=1,D1331&gt;=13),Assumptions!B42*G1331,0)</f>
        <v>0</v>
      </c>
      <c r="T1331" s="22" t="n">
        <f aca="false">IF(DAY(B1331)=1,Assumptions!B43*G1331,0)</f>
        <v>0</v>
      </c>
      <c r="U1331" s="22" t="n">
        <f aca="false">SUM(O1331:T1331)</f>
        <v>0</v>
      </c>
      <c r="V1331" s="22" t="n">
        <f aca="false">N1331-U1331</f>
        <v>20400</v>
      </c>
      <c r="W1331" s="22" t="n">
        <f aca="false">W1330+V1331</f>
        <v>-936433.617964962</v>
      </c>
      <c r="X1331" s="23" t="str">
        <f aca="false">IF(W1331&gt;=0,"YES","No")</f>
        <v>No</v>
      </c>
    </row>
    <row r="1332" customFormat="false" ht="15" hidden="false" customHeight="false" outlineLevel="0" collapsed="false">
      <c r="A1332" s="16" t="n">
        <v>1331</v>
      </c>
      <c r="B1332" s="17" t="n">
        <f aca="false">B1331+1</f>
        <v>47353</v>
      </c>
      <c r="C1332" s="18" t="n">
        <f aca="false">MIN(ROUNDUP(A1332/365,0),5)</f>
        <v>4</v>
      </c>
      <c r="D1332" s="18" t="n">
        <f aca="false">DATEDIF(Assumptions!B5,B1332,"m")+1</f>
        <v>44</v>
      </c>
      <c r="E1332" s="18" t="str">
        <f aca="false">TEXT(B1332,"ddd")</f>
        <v>Thu</v>
      </c>
      <c r="F1332" s="19" t="n">
        <f aca="false">IF(WEEKDAY(B1332,2)&gt;=6,Assumptions!B34,Assumptions!B35)</f>
        <v>1</v>
      </c>
      <c r="G1332" s="20" t="n">
        <f aca="false">IF(D1332&gt;=13,(1+Assumptions!B46)^(D1332-12),1)</f>
        <v>1.10060088236241</v>
      </c>
      <c r="H1332" s="21" t="n">
        <f aca="false">H1331*(1+IF(C1332=1,Assumptions!B22,Assumptions!B23))</f>
        <v>24.3839914311656</v>
      </c>
      <c r="I1332" s="16" t="n">
        <f aca="false">ROUND(H1332*F1332,0)</f>
        <v>24</v>
      </c>
      <c r="J1332" s="22" t="n">
        <f aca="false">I1332*Assumptions!B24</f>
        <v>14400</v>
      </c>
      <c r="K1332" s="21" t="n">
        <f aca="false">K1331*(1+Assumptions!B30)</f>
        <v>20.2967737121593</v>
      </c>
      <c r="L1332" s="16" t="n">
        <f aca="false">ROUND(K1332*F1332,0)</f>
        <v>20</v>
      </c>
      <c r="M1332" s="22" t="n">
        <f aca="false">L1332*Assumptions!B31</f>
        <v>6000</v>
      </c>
      <c r="N1332" s="22" t="n">
        <f aca="false">J1332+M1332</f>
        <v>20400</v>
      </c>
      <c r="O1332" s="22" t="n">
        <f aca="false">IF(DAY(B1332)=1,Assumptions!B38*G1332,0)</f>
        <v>0</v>
      </c>
      <c r="P1332" s="22" t="n">
        <f aca="false">IF(DAY(B1332)=1,Assumptions!B39*G1332,0)</f>
        <v>0</v>
      </c>
      <c r="Q1332" s="22" t="n">
        <f aca="false">IF(DAY(B1332)=1,Assumptions!B40*G1332,0)</f>
        <v>0</v>
      </c>
      <c r="R1332" s="22" t="n">
        <f aca="false">IF(DAY(B1332)=1,Assumptions!B41*G1332,0)</f>
        <v>0</v>
      </c>
      <c r="S1332" s="22" t="n">
        <f aca="false">IF(AND(DAY(B1332)=1,D1332&gt;=13),Assumptions!B42*G1332,0)</f>
        <v>0</v>
      </c>
      <c r="T1332" s="22" t="n">
        <f aca="false">IF(DAY(B1332)=1,Assumptions!B43*G1332,0)</f>
        <v>0</v>
      </c>
      <c r="U1332" s="22" t="n">
        <f aca="false">SUM(O1332:T1332)</f>
        <v>0</v>
      </c>
      <c r="V1332" s="22" t="n">
        <f aca="false">N1332-U1332</f>
        <v>20400</v>
      </c>
      <c r="W1332" s="22" t="n">
        <f aca="false">W1331+V1332</f>
        <v>-916033.617964962</v>
      </c>
      <c r="X1332" s="23" t="str">
        <f aca="false">IF(W1332&gt;=0,"YES","No")</f>
        <v>No</v>
      </c>
    </row>
    <row r="1333" customFormat="false" ht="15" hidden="false" customHeight="false" outlineLevel="0" collapsed="false">
      <c r="A1333" s="16" t="n">
        <v>1332</v>
      </c>
      <c r="B1333" s="17" t="n">
        <f aca="false">B1332+1</f>
        <v>47354</v>
      </c>
      <c r="C1333" s="18" t="n">
        <f aca="false">MIN(ROUNDUP(A1333/365,0),5)</f>
        <v>4</v>
      </c>
      <c r="D1333" s="18" t="n">
        <f aca="false">DATEDIF(Assumptions!B5,B1333,"m")+1</f>
        <v>44</v>
      </c>
      <c r="E1333" s="18" t="str">
        <f aca="false">TEXT(B1333,"ddd")</f>
        <v>Fri</v>
      </c>
      <c r="F1333" s="19" t="n">
        <f aca="false">IF(WEEKDAY(B1333,2)&gt;=6,Assumptions!B34,Assumptions!B35)</f>
        <v>1</v>
      </c>
      <c r="G1333" s="20" t="n">
        <f aca="false">IF(D1333&gt;=13,(1+Assumptions!B46)^(D1333-12),1)</f>
        <v>1.10060088236241</v>
      </c>
      <c r="H1333" s="21" t="n">
        <f aca="false">H1332*(1+IF(C1333=1,Assumptions!B22,Assumptions!B23))</f>
        <v>24.3879870334426</v>
      </c>
      <c r="I1333" s="16" t="n">
        <f aca="false">ROUND(H1333*F1333,0)</f>
        <v>24</v>
      </c>
      <c r="J1333" s="22" t="n">
        <f aca="false">I1333*Assumptions!B24</f>
        <v>14400</v>
      </c>
      <c r="K1333" s="21" t="n">
        <f aca="false">K1332*(1+Assumptions!B30)</f>
        <v>20.3034094751655</v>
      </c>
      <c r="L1333" s="16" t="n">
        <f aca="false">ROUND(K1333*F1333,0)</f>
        <v>20</v>
      </c>
      <c r="M1333" s="22" t="n">
        <f aca="false">L1333*Assumptions!B31</f>
        <v>6000</v>
      </c>
      <c r="N1333" s="22" t="n">
        <f aca="false">J1333+M1333</f>
        <v>20400</v>
      </c>
      <c r="O1333" s="22" t="n">
        <f aca="false">IF(DAY(B1333)=1,Assumptions!B38*G1333,0)</f>
        <v>0</v>
      </c>
      <c r="P1333" s="22" t="n">
        <f aca="false">IF(DAY(B1333)=1,Assumptions!B39*G1333,0)</f>
        <v>0</v>
      </c>
      <c r="Q1333" s="22" t="n">
        <f aca="false">IF(DAY(B1333)=1,Assumptions!B40*G1333,0)</f>
        <v>0</v>
      </c>
      <c r="R1333" s="22" t="n">
        <f aca="false">IF(DAY(B1333)=1,Assumptions!B41*G1333,0)</f>
        <v>0</v>
      </c>
      <c r="S1333" s="22" t="n">
        <f aca="false">IF(AND(DAY(B1333)=1,D1333&gt;=13),Assumptions!B42*G1333,0)</f>
        <v>0</v>
      </c>
      <c r="T1333" s="22" t="n">
        <f aca="false">IF(DAY(B1333)=1,Assumptions!B43*G1333,0)</f>
        <v>0</v>
      </c>
      <c r="U1333" s="22" t="n">
        <f aca="false">SUM(O1333:T1333)</f>
        <v>0</v>
      </c>
      <c r="V1333" s="22" t="n">
        <f aca="false">N1333-U1333</f>
        <v>20400</v>
      </c>
      <c r="W1333" s="22" t="n">
        <f aca="false">W1332+V1333</f>
        <v>-895633.617964962</v>
      </c>
      <c r="X1333" s="23" t="str">
        <f aca="false">IF(W1333&gt;=0,"YES","No")</f>
        <v>No</v>
      </c>
    </row>
    <row r="1334" customFormat="false" ht="15" hidden="false" customHeight="false" outlineLevel="0" collapsed="false">
      <c r="A1334" s="16" t="n">
        <v>1333</v>
      </c>
      <c r="B1334" s="17" t="n">
        <f aca="false">B1333+1</f>
        <v>47355</v>
      </c>
      <c r="C1334" s="18" t="n">
        <f aca="false">MIN(ROUNDUP(A1334/365,0),5)</f>
        <v>4</v>
      </c>
      <c r="D1334" s="18" t="n">
        <f aca="false">DATEDIF(Assumptions!B5,B1334,"m")+1</f>
        <v>44</v>
      </c>
      <c r="E1334" s="18" t="str">
        <f aca="false">TEXT(B1334,"ddd")</f>
        <v>Sat</v>
      </c>
      <c r="F1334" s="19" t="n">
        <f aca="false">IF(WEEKDAY(B1334,2)&gt;=6,Assumptions!B34,Assumptions!B35)</f>
        <v>0.6</v>
      </c>
      <c r="G1334" s="20" t="n">
        <f aca="false">IF(D1334&gt;=13,(1+Assumptions!B46)^(D1334-12),1)</f>
        <v>1.10060088236241</v>
      </c>
      <c r="H1334" s="21" t="n">
        <f aca="false">H1333*(1+IF(C1334=1,Assumptions!B22,Assumptions!B23))</f>
        <v>24.3919832904458</v>
      </c>
      <c r="I1334" s="16" t="n">
        <f aca="false">ROUND(H1334*F1334,0)</f>
        <v>15</v>
      </c>
      <c r="J1334" s="22" t="n">
        <f aca="false">I1334*Assumptions!B24</f>
        <v>9000</v>
      </c>
      <c r="K1334" s="21" t="n">
        <f aca="false">K1333*(1+Assumptions!B30)</f>
        <v>20.310047407647</v>
      </c>
      <c r="L1334" s="16" t="n">
        <f aca="false">ROUND(K1334*F1334,0)</f>
        <v>12</v>
      </c>
      <c r="M1334" s="22" t="n">
        <f aca="false">L1334*Assumptions!B31</f>
        <v>3600</v>
      </c>
      <c r="N1334" s="22" t="n">
        <f aca="false">J1334+M1334</f>
        <v>12600</v>
      </c>
      <c r="O1334" s="22" t="n">
        <f aca="false">IF(DAY(B1334)=1,Assumptions!B38*G1334,0)</f>
        <v>0</v>
      </c>
      <c r="P1334" s="22" t="n">
        <f aca="false">IF(DAY(B1334)=1,Assumptions!B39*G1334,0)</f>
        <v>0</v>
      </c>
      <c r="Q1334" s="22" t="n">
        <f aca="false">IF(DAY(B1334)=1,Assumptions!B40*G1334,0)</f>
        <v>0</v>
      </c>
      <c r="R1334" s="22" t="n">
        <f aca="false">IF(DAY(B1334)=1,Assumptions!B41*G1334,0)</f>
        <v>0</v>
      </c>
      <c r="S1334" s="22" t="n">
        <f aca="false">IF(AND(DAY(B1334)=1,D1334&gt;=13),Assumptions!B42*G1334,0)</f>
        <v>0</v>
      </c>
      <c r="T1334" s="22" t="n">
        <f aca="false">IF(DAY(B1334)=1,Assumptions!B43*G1334,0)</f>
        <v>0</v>
      </c>
      <c r="U1334" s="22" t="n">
        <f aca="false">SUM(O1334:T1334)</f>
        <v>0</v>
      </c>
      <c r="V1334" s="22" t="n">
        <f aca="false">N1334-U1334</f>
        <v>12600</v>
      </c>
      <c r="W1334" s="22" t="n">
        <f aca="false">W1333+V1334</f>
        <v>-883033.617964962</v>
      </c>
      <c r="X1334" s="23" t="str">
        <f aca="false">IF(W1334&gt;=0,"YES","No")</f>
        <v>No</v>
      </c>
    </row>
    <row r="1335" customFormat="false" ht="15" hidden="false" customHeight="false" outlineLevel="0" collapsed="false">
      <c r="A1335" s="16" t="n">
        <v>1334</v>
      </c>
      <c r="B1335" s="17" t="n">
        <f aca="false">B1334+1</f>
        <v>47356</v>
      </c>
      <c r="C1335" s="18" t="n">
        <f aca="false">MIN(ROUNDUP(A1335/365,0),5)</f>
        <v>4</v>
      </c>
      <c r="D1335" s="18" t="n">
        <f aca="false">DATEDIF(Assumptions!B5,B1335,"m")+1</f>
        <v>44</v>
      </c>
      <c r="E1335" s="18" t="str">
        <f aca="false">TEXT(B1335,"ddd")</f>
        <v>Sun</v>
      </c>
      <c r="F1335" s="19" t="n">
        <f aca="false">IF(WEEKDAY(B1335,2)&gt;=6,Assumptions!B34,Assumptions!B35)</f>
        <v>0.6</v>
      </c>
      <c r="G1335" s="20" t="n">
        <f aca="false">IF(D1335&gt;=13,(1+Assumptions!B46)^(D1335-12),1)</f>
        <v>1.10060088236241</v>
      </c>
      <c r="H1335" s="21" t="n">
        <f aca="false">H1334*(1+IF(C1335=1,Assumptions!B22,Assumptions!B23))</f>
        <v>24.3959802022824</v>
      </c>
      <c r="I1335" s="16" t="n">
        <f aca="false">ROUND(H1335*F1335,0)</f>
        <v>15</v>
      </c>
      <c r="J1335" s="22" t="n">
        <f aca="false">I1335*Assumptions!B24</f>
        <v>9000</v>
      </c>
      <c r="K1335" s="21" t="n">
        <f aca="false">K1334*(1+Assumptions!B30)</f>
        <v>20.3166875103132</v>
      </c>
      <c r="L1335" s="16" t="n">
        <f aca="false">ROUND(K1335*F1335,0)</f>
        <v>12</v>
      </c>
      <c r="M1335" s="22" t="n">
        <f aca="false">L1335*Assumptions!B31</f>
        <v>3600</v>
      </c>
      <c r="N1335" s="22" t="n">
        <f aca="false">J1335+M1335</f>
        <v>12600</v>
      </c>
      <c r="O1335" s="22" t="n">
        <f aca="false">IF(DAY(B1335)=1,Assumptions!B38*G1335,0)</f>
        <v>0</v>
      </c>
      <c r="P1335" s="22" t="n">
        <f aca="false">IF(DAY(B1335)=1,Assumptions!B39*G1335,0)</f>
        <v>0</v>
      </c>
      <c r="Q1335" s="22" t="n">
        <f aca="false">IF(DAY(B1335)=1,Assumptions!B40*G1335,0)</f>
        <v>0</v>
      </c>
      <c r="R1335" s="22" t="n">
        <f aca="false">IF(DAY(B1335)=1,Assumptions!B41*G1335,0)</f>
        <v>0</v>
      </c>
      <c r="S1335" s="22" t="n">
        <f aca="false">IF(AND(DAY(B1335)=1,D1335&gt;=13),Assumptions!B42*G1335,0)</f>
        <v>0</v>
      </c>
      <c r="T1335" s="22" t="n">
        <f aca="false">IF(DAY(B1335)=1,Assumptions!B43*G1335,0)</f>
        <v>0</v>
      </c>
      <c r="U1335" s="22" t="n">
        <f aca="false">SUM(O1335:T1335)</f>
        <v>0</v>
      </c>
      <c r="V1335" s="22" t="n">
        <f aca="false">N1335-U1335</f>
        <v>12600</v>
      </c>
      <c r="W1335" s="22" t="n">
        <f aca="false">W1334+V1335</f>
        <v>-870433.617964962</v>
      </c>
      <c r="X1335" s="23" t="str">
        <f aca="false">IF(W1335&gt;=0,"YES","No")</f>
        <v>No</v>
      </c>
    </row>
    <row r="1336" customFormat="false" ht="15" hidden="false" customHeight="false" outlineLevel="0" collapsed="false">
      <c r="A1336" s="16" t="n">
        <v>1335</v>
      </c>
      <c r="B1336" s="17" t="n">
        <f aca="false">B1335+1</f>
        <v>47357</v>
      </c>
      <c r="C1336" s="18" t="n">
        <f aca="false">MIN(ROUNDUP(A1336/365,0),5)</f>
        <v>4</v>
      </c>
      <c r="D1336" s="18" t="n">
        <f aca="false">DATEDIF(Assumptions!B5,B1336,"m")+1</f>
        <v>44</v>
      </c>
      <c r="E1336" s="18" t="str">
        <f aca="false">TEXT(B1336,"ddd")</f>
        <v>Mon</v>
      </c>
      <c r="F1336" s="19" t="n">
        <f aca="false">IF(WEEKDAY(B1336,2)&gt;=6,Assumptions!B34,Assumptions!B35)</f>
        <v>1</v>
      </c>
      <c r="G1336" s="20" t="n">
        <f aca="false">IF(D1336&gt;=13,(1+Assumptions!B46)^(D1336-12),1)</f>
        <v>1.10060088236241</v>
      </c>
      <c r="H1336" s="21" t="n">
        <f aca="false">H1335*(1+IF(C1336=1,Assumptions!B22,Assumptions!B23))</f>
        <v>24.3999777690598</v>
      </c>
      <c r="I1336" s="16" t="n">
        <f aca="false">ROUND(H1336*F1336,0)</f>
        <v>24</v>
      </c>
      <c r="J1336" s="22" t="n">
        <f aca="false">I1336*Assumptions!B24</f>
        <v>14400</v>
      </c>
      <c r="K1336" s="21" t="n">
        <f aca="false">K1335*(1+Assumptions!B30)</f>
        <v>20.3233297838736</v>
      </c>
      <c r="L1336" s="16" t="n">
        <f aca="false">ROUND(K1336*F1336,0)</f>
        <v>20</v>
      </c>
      <c r="M1336" s="22" t="n">
        <f aca="false">L1336*Assumptions!B31</f>
        <v>6000</v>
      </c>
      <c r="N1336" s="22" t="n">
        <f aca="false">J1336+M1336</f>
        <v>20400</v>
      </c>
      <c r="O1336" s="22" t="n">
        <f aca="false">IF(DAY(B1336)=1,Assumptions!B38*G1336,0)</f>
        <v>0</v>
      </c>
      <c r="P1336" s="22" t="n">
        <f aca="false">IF(DAY(B1336)=1,Assumptions!B39*G1336,0)</f>
        <v>0</v>
      </c>
      <c r="Q1336" s="22" t="n">
        <f aca="false">IF(DAY(B1336)=1,Assumptions!B40*G1336,0)</f>
        <v>0</v>
      </c>
      <c r="R1336" s="22" t="n">
        <f aca="false">IF(DAY(B1336)=1,Assumptions!B41*G1336,0)</f>
        <v>0</v>
      </c>
      <c r="S1336" s="22" t="n">
        <f aca="false">IF(AND(DAY(B1336)=1,D1336&gt;=13),Assumptions!B42*G1336,0)</f>
        <v>0</v>
      </c>
      <c r="T1336" s="22" t="n">
        <f aca="false">IF(DAY(B1336)=1,Assumptions!B43*G1336,0)</f>
        <v>0</v>
      </c>
      <c r="U1336" s="22" t="n">
        <f aca="false">SUM(O1336:T1336)</f>
        <v>0</v>
      </c>
      <c r="V1336" s="22" t="n">
        <f aca="false">N1336-U1336</f>
        <v>20400</v>
      </c>
      <c r="W1336" s="22" t="n">
        <f aca="false">W1335+V1336</f>
        <v>-850033.617964962</v>
      </c>
      <c r="X1336" s="23" t="str">
        <f aca="false">IF(W1336&gt;=0,"YES","No")</f>
        <v>No</v>
      </c>
    </row>
    <row r="1337" customFormat="false" ht="15" hidden="false" customHeight="false" outlineLevel="0" collapsed="false">
      <c r="A1337" s="16" t="n">
        <v>1336</v>
      </c>
      <c r="B1337" s="17" t="n">
        <f aca="false">B1336+1</f>
        <v>47358</v>
      </c>
      <c r="C1337" s="18" t="n">
        <f aca="false">MIN(ROUNDUP(A1337/365,0),5)</f>
        <v>4</v>
      </c>
      <c r="D1337" s="18" t="n">
        <f aca="false">DATEDIF(Assumptions!B5,B1337,"m")+1</f>
        <v>44</v>
      </c>
      <c r="E1337" s="18" t="str">
        <f aca="false">TEXT(B1337,"ddd")</f>
        <v>Tue</v>
      </c>
      <c r="F1337" s="19" t="n">
        <f aca="false">IF(WEEKDAY(B1337,2)&gt;=6,Assumptions!B34,Assumptions!B35)</f>
        <v>1</v>
      </c>
      <c r="G1337" s="20" t="n">
        <f aca="false">IF(D1337&gt;=13,(1+Assumptions!B46)^(D1337-12),1)</f>
        <v>1.10060088236241</v>
      </c>
      <c r="H1337" s="21" t="n">
        <f aca="false">H1336*(1+IF(C1337=1,Assumptions!B22,Assumptions!B23))</f>
        <v>24.4039759908853</v>
      </c>
      <c r="I1337" s="16" t="n">
        <f aca="false">ROUND(H1337*F1337,0)</f>
        <v>24</v>
      </c>
      <c r="J1337" s="22" t="n">
        <f aca="false">I1337*Assumptions!B24</f>
        <v>14400</v>
      </c>
      <c r="K1337" s="21" t="n">
        <f aca="false">K1336*(1+Assumptions!B30)</f>
        <v>20.3299742290379</v>
      </c>
      <c r="L1337" s="16" t="n">
        <f aca="false">ROUND(K1337*F1337,0)</f>
        <v>20</v>
      </c>
      <c r="M1337" s="22" t="n">
        <f aca="false">L1337*Assumptions!B31</f>
        <v>6000</v>
      </c>
      <c r="N1337" s="22" t="n">
        <f aca="false">J1337+M1337</f>
        <v>20400</v>
      </c>
      <c r="O1337" s="22" t="n">
        <f aca="false">IF(DAY(B1337)=1,Assumptions!B38*G1337,0)</f>
        <v>0</v>
      </c>
      <c r="P1337" s="22" t="n">
        <f aca="false">IF(DAY(B1337)=1,Assumptions!B39*G1337,0)</f>
        <v>0</v>
      </c>
      <c r="Q1337" s="22" t="n">
        <f aca="false">IF(DAY(B1337)=1,Assumptions!B40*G1337,0)</f>
        <v>0</v>
      </c>
      <c r="R1337" s="22" t="n">
        <f aca="false">IF(DAY(B1337)=1,Assumptions!B41*G1337,0)</f>
        <v>0</v>
      </c>
      <c r="S1337" s="22" t="n">
        <f aca="false">IF(AND(DAY(B1337)=1,D1337&gt;=13),Assumptions!B42*G1337,0)</f>
        <v>0</v>
      </c>
      <c r="T1337" s="22" t="n">
        <f aca="false">IF(DAY(B1337)=1,Assumptions!B43*G1337,0)</f>
        <v>0</v>
      </c>
      <c r="U1337" s="22" t="n">
        <f aca="false">SUM(O1337:T1337)</f>
        <v>0</v>
      </c>
      <c r="V1337" s="22" t="n">
        <f aca="false">N1337-U1337</f>
        <v>20400</v>
      </c>
      <c r="W1337" s="22" t="n">
        <f aca="false">W1336+V1337</f>
        <v>-829633.617964962</v>
      </c>
      <c r="X1337" s="23" t="str">
        <f aca="false">IF(W1337&gt;=0,"YES","No")</f>
        <v>No</v>
      </c>
    </row>
    <row r="1338" customFormat="false" ht="15" hidden="false" customHeight="false" outlineLevel="0" collapsed="false">
      <c r="A1338" s="16" t="n">
        <v>1337</v>
      </c>
      <c r="B1338" s="17" t="n">
        <f aca="false">B1337+1</f>
        <v>47359</v>
      </c>
      <c r="C1338" s="18" t="n">
        <f aca="false">MIN(ROUNDUP(A1338/365,0),5)</f>
        <v>4</v>
      </c>
      <c r="D1338" s="18" t="n">
        <f aca="false">DATEDIF(Assumptions!B5,B1338,"m")+1</f>
        <v>44</v>
      </c>
      <c r="E1338" s="18" t="str">
        <f aca="false">TEXT(B1338,"ddd")</f>
        <v>Wed</v>
      </c>
      <c r="F1338" s="19" t="n">
        <f aca="false">IF(WEEKDAY(B1338,2)&gt;=6,Assumptions!B34,Assumptions!B35)</f>
        <v>1</v>
      </c>
      <c r="G1338" s="20" t="n">
        <f aca="false">IF(D1338&gt;=13,(1+Assumptions!B46)^(D1338-12),1)</f>
        <v>1.10060088236241</v>
      </c>
      <c r="H1338" s="21" t="n">
        <f aca="false">H1337*(1+IF(C1338=1,Assumptions!B22,Assumptions!B23))</f>
        <v>24.4079748678662</v>
      </c>
      <c r="I1338" s="16" t="n">
        <f aca="false">ROUND(H1338*F1338,0)</f>
        <v>24</v>
      </c>
      <c r="J1338" s="22" t="n">
        <f aca="false">I1338*Assumptions!B24</f>
        <v>14400</v>
      </c>
      <c r="K1338" s="21" t="n">
        <f aca="false">K1337*(1+Assumptions!B30)</f>
        <v>20.336620846516</v>
      </c>
      <c r="L1338" s="16" t="n">
        <f aca="false">ROUND(K1338*F1338,0)</f>
        <v>20</v>
      </c>
      <c r="M1338" s="22" t="n">
        <f aca="false">L1338*Assumptions!B31</f>
        <v>6000</v>
      </c>
      <c r="N1338" s="22" t="n">
        <f aca="false">J1338+M1338</f>
        <v>20400</v>
      </c>
      <c r="O1338" s="22" t="n">
        <f aca="false">IF(DAY(B1338)=1,Assumptions!B38*G1338,0)</f>
        <v>0</v>
      </c>
      <c r="P1338" s="22" t="n">
        <f aca="false">IF(DAY(B1338)=1,Assumptions!B39*G1338,0)</f>
        <v>0</v>
      </c>
      <c r="Q1338" s="22" t="n">
        <f aca="false">IF(DAY(B1338)=1,Assumptions!B40*G1338,0)</f>
        <v>0</v>
      </c>
      <c r="R1338" s="22" t="n">
        <f aca="false">IF(DAY(B1338)=1,Assumptions!B41*G1338,0)</f>
        <v>0</v>
      </c>
      <c r="S1338" s="22" t="n">
        <f aca="false">IF(AND(DAY(B1338)=1,D1338&gt;=13),Assumptions!B42*G1338,0)</f>
        <v>0</v>
      </c>
      <c r="T1338" s="22" t="n">
        <f aca="false">IF(DAY(B1338)=1,Assumptions!B43*G1338,0)</f>
        <v>0</v>
      </c>
      <c r="U1338" s="22" t="n">
        <f aca="false">SUM(O1338:T1338)</f>
        <v>0</v>
      </c>
      <c r="V1338" s="22" t="n">
        <f aca="false">N1338-U1338</f>
        <v>20400</v>
      </c>
      <c r="W1338" s="22" t="n">
        <f aca="false">W1337+V1338</f>
        <v>-809233.617964962</v>
      </c>
      <c r="X1338" s="23" t="str">
        <f aca="false">IF(W1338&gt;=0,"YES","No")</f>
        <v>No</v>
      </c>
    </row>
    <row r="1339" customFormat="false" ht="15" hidden="false" customHeight="false" outlineLevel="0" collapsed="false">
      <c r="A1339" s="16" t="n">
        <v>1338</v>
      </c>
      <c r="B1339" s="17" t="n">
        <f aca="false">B1338+1</f>
        <v>47360</v>
      </c>
      <c r="C1339" s="18" t="n">
        <f aca="false">MIN(ROUNDUP(A1339/365,0),5)</f>
        <v>4</v>
      </c>
      <c r="D1339" s="18" t="n">
        <f aca="false">DATEDIF(Assumptions!B5,B1339,"m")+1</f>
        <v>44</v>
      </c>
      <c r="E1339" s="18" t="str">
        <f aca="false">TEXT(B1339,"ddd")</f>
        <v>Thu</v>
      </c>
      <c r="F1339" s="19" t="n">
        <f aca="false">IF(WEEKDAY(B1339,2)&gt;=6,Assumptions!B34,Assumptions!B35)</f>
        <v>1</v>
      </c>
      <c r="G1339" s="20" t="n">
        <f aca="false">IF(D1339&gt;=13,(1+Assumptions!B46)^(D1339-12),1)</f>
        <v>1.10060088236241</v>
      </c>
      <c r="H1339" s="21" t="n">
        <f aca="false">H1338*(1+IF(C1339=1,Assumptions!B22,Assumptions!B23))</f>
        <v>24.4119744001099</v>
      </c>
      <c r="I1339" s="16" t="n">
        <f aca="false">ROUND(H1339*F1339,0)</f>
        <v>24</v>
      </c>
      <c r="J1339" s="22" t="n">
        <f aca="false">I1339*Assumptions!B24</f>
        <v>14400</v>
      </c>
      <c r="K1339" s="21" t="n">
        <f aca="false">K1338*(1+Assumptions!B30)</f>
        <v>20.3432696370183</v>
      </c>
      <c r="L1339" s="16" t="n">
        <f aca="false">ROUND(K1339*F1339,0)</f>
        <v>20</v>
      </c>
      <c r="M1339" s="22" t="n">
        <f aca="false">L1339*Assumptions!B31</f>
        <v>6000</v>
      </c>
      <c r="N1339" s="22" t="n">
        <f aca="false">J1339+M1339</f>
        <v>20400</v>
      </c>
      <c r="O1339" s="22" t="n">
        <f aca="false">IF(DAY(B1339)=1,Assumptions!B38*G1339,0)</f>
        <v>0</v>
      </c>
      <c r="P1339" s="22" t="n">
        <f aca="false">IF(DAY(B1339)=1,Assumptions!B39*G1339,0)</f>
        <v>0</v>
      </c>
      <c r="Q1339" s="22" t="n">
        <f aca="false">IF(DAY(B1339)=1,Assumptions!B40*G1339,0)</f>
        <v>0</v>
      </c>
      <c r="R1339" s="22" t="n">
        <f aca="false">IF(DAY(B1339)=1,Assumptions!B41*G1339,0)</f>
        <v>0</v>
      </c>
      <c r="S1339" s="22" t="n">
        <f aca="false">IF(AND(DAY(B1339)=1,D1339&gt;=13),Assumptions!B42*G1339,0)</f>
        <v>0</v>
      </c>
      <c r="T1339" s="22" t="n">
        <f aca="false">IF(DAY(B1339)=1,Assumptions!B43*G1339,0)</f>
        <v>0</v>
      </c>
      <c r="U1339" s="22" t="n">
        <f aca="false">SUM(O1339:T1339)</f>
        <v>0</v>
      </c>
      <c r="V1339" s="22" t="n">
        <f aca="false">N1339-U1339</f>
        <v>20400</v>
      </c>
      <c r="W1339" s="22" t="n">
        <f aca="false">W1338+V1339</f>
        <v>-788833.617964962</v>
      </c>
      <c r="X1339" s="23" t="str">
        <f aca="false">IF(W1339&gt;=0,"YES","No")</f>
        <v>No</v>
      </c>
    </row>
    <row r="1340" customFormat="false" ht="15" hidden="false" customHeight="false" outlineLevel="0" collapsed="false">
      <c r="A1340" s="16" t="n">
        <v>1339</v>
      </c>
      <c r="B1340" s="17" t="n">
        <f aca="false">B1339+1</f>
        <v>47361</v>
      </c>
      <c r="C1340" s="18" t="n">
        <f aca="false">MIN(ROUNDUP(A1340/365,0),5)</f>
        <v>4</v>
      </c>
      <c r="D1340" s="18" t="n">
        <f aca="false">DATEDIF(Assumptions!B5,B1340,"m")+1</f>
        <v>44</v>
      </c>
      <c r="E1340" s="18" t="str">
        <f aca="false">TEXT(B1340,"ddd")</f>
        <v>Fri</v>
      </c>
      <c r="F1340" s="19" t="n">
        <f aca="false">IF(WEEKDAY(B1340,2)&gt;=6,Assumptions!B34,Assumptions!B35)</f>
        <v>1</v>
      </c>
      <c r="G1340" s="20" t="n">
        <f aca="false">IF(D1340&gt;=13,(1+Assumptions!B46)^(D1340-12),1)</f>
        <v>1.10060088236241</v>
      </c>
      <c r="H1340" s="21" t="n">
        <f aca="false">H1339*(1+IF(C1340=1,Assumptions!B22,Assumptions!B23))</f>
        <v>24.4159745877238</v>
      </c>
      <c r="I1340" s="16" t="n">
        <f aca="false">ROUND(H1340*F1340,0)</f>
        <v>24</v>
      </c>
      <c r="J1340" s="22" t="n">
        <f aca="false">I1340*Assumptions!B24</f>
        <v>14400</v>
      </c>
      <c r="K1340" s="21" t="n">
        <f aca="false">K1339*(1+Assumptions!B30)</f>
        <v>20.3499206012551</v>
      </c>
      <c r="L1340" s="16" t="n">
        <f aca="false">ROUND(K1340*F1340,0)</f>
        <v>20</v>
      </c>
      <c r="M1340" s="22" t="n">
        <f aca="false">L1340*Assumptions!B31</f>
        <v>6000</v>
      </c>
      <c r="N1340" s="22" t="n">
        <f aca="false">J1340+M1340</f>
        <v>20400</v>
      </c>
      <c r="O1340" s="22" t="n">
        <f aca="false">IF(DAY(B1340)=1,Assumptions!B38*G1340,0)</f>
        <v>0</v>
      </c>
      <c r="P1340" s="22" t="n">
        <f aca="false">IF(DAY(B1340)=1,Assumptions!B39*G1340,0)</f>
        <v>0</v>
      </c>
      <c r="Q1340" s="22" t="n">
        <f aca="false">IF(DAY(B1340)=1,Assumptions!B40*G1340,0)</f>
        <v>0</v>
      </c>
      <c r="R1340" s="22" t="n">
        <f aca="false">IF(DAY(B1340)=1,Assumptions!B41*G1340,0)</f>
        <v>0</v>
      </c>
      <c r="S1340" s="22" t="n">
        <f aca="false">IF(AND(DAY(B1340)=1,D1340&gt;=13),Assumptions!B42*G1340,0)</f>
        <v>0</v>
      </c>
      <c r="T1340" s="22" t="n">
        <f aca="false">IF(DAY(B1340)=1,Assumptions!B43*G1340,0)</f>
        <v>0</v>
      </c>
      <c r="U1340" s="22" t="n">
        <f aca="false">SUM(O1340:T1340)</f>
        <v>0</v>
      </c>
      <c r="V1340" s="22" t="n">
        <f aca="false">N1340-U1340</f>
        <v>20400</v>
      </c>
      <c r="W1340" s="22" t="n">
        <f aca="false">W1339+V1340</f>
        <v>-768433.617964962</v>
      </c>
      <c r="X1340" s="23" t="str">
        <f aca="false">IF(W1340&gt;=0,"YES","No")</f>
        <v>No</v>
      </c>
    </row>
    <row r="1341" customFormat="false" ht="15" hidden="false" customHeight="false" outlineLevel="0" collapsed="false">
      <c r="A1341" s="16" t="n">
        <v>1340</v>
      </c>
      <c r="B1341" s="17" t="n">
        <f aca="false">B1340+1</f>
        <v>47362</v>
      </c>
      <c r="C1341" s="18" t="n">
        <f aca="false">MIN(ROUNDUP(A1341/365,0),5)</f>
        <v>4</v>
      </c>
      <c r="D1341" s="18" t="n">
        <f aca="false">DATEDIF(Assumptions!B5,B1341,"m")+1</f>
        <v>45</v>
      </c>
      <c r="E1341" s="18" t="str">
        <f aca="false">TEXT(B1341,"ddd")</f>
        <v>Sat</v>
      </c>
      <c r="F1341" s="19" t="n">
        <f aca="false">IF(WEEKDAY(B1341,2)&gt;=6,Assumptions!B34,Assumptions!B35)</f>
        <v>0.6</v>
      </c>
      <c r="G1341" s="20" t="n">
        <f aca="false">IF(D1341&gt;=13,(1+Assumptions!B46)^(D1341-12),1)</f>
        <v>1.1039026850095</v>
      </c>
      <c r="H1341" s="21" t="n">
        <f aca="false">H1340*(1+IF(C1341=1,Assumptions!B22,Assumptions!B23))</f>
        <v>24.4199754308152</v>
      </c>
      <c r="I1341" s="16" t="n">
        <f aca="false">ROUND(H1341*F1341,0)</f>
        <v>15</v>
      </c>
      <c r="J1341" s="22" t="n">
        <f aca="false">I1341*Assumptions!B24</f>
        <v>9000</v>
      </c>
      <c r="K1341" s="21" t="n">
        <f aca="false">K1340*(1+Assumptions!B30)</f>
        <v>20.3565737399371</v>
      </c>
      <c r="L1341" s="16" t="n">
        <f aca="false">ROUND(K1341*F1341,0)</f>
        <v>12</v>
      </c>
      <c r="M1341" s="22" t="n">
        <f aca="false">L1341*Assumptions!B31</f>
        <v>3600</v>
      </c>
      <c r="N1341" s="22" t="n">
        <f aca="false">J1341+M1341</f>
        <v>12600</v>
      </c>
      <c r="O1341" s="22" t="n">
        <f aca="false">IF(DAY(B1341)=1,Assumptions!B38*G1341,0)</f>
        <v>165585.402751424</v>
      </c>
      <c r="P1341" s="22" t="n">
        <f aca="false">IF(DAY(B1341)=1,Assumptions!B39*G1341,0)</f>
        <v>44156.1074003798</v>
      </c>
      <c r="Q1341" s="22" t="n">
        <f aca="false">IF(DAY(B1341)=1,Assumptions!B40*G1341,0)</f>
        <v>33117.0805502849</v>
      </c>
      <c r="R1341" s="22" t="n">
        <f aca="false">IF(DAY(B1341)=1,Assumptions!B41*G1341,0)</f>
        <v>22078.0537001899</v>
      </c>
      <c r="S1341" s="22" t="n">
        <f aca="false">IF(AND(DAY(B1341)=1,D1341&gt;=13),Assumptions!B42*G1341,0)</f>
        <v>165585.402751424</v>
      </c>
      <c r="T1341" s="22" t="n">
        <f aca="false">IF(DAY(B1341)=1,Assumptions!B43*G1341,0)</f>
        <v>22078.0537001899</v>
      </c>
      <c r="U1341" s="22" t="n">
        <f aca="false">SUM(O1341:T1341)</f>
        <v>452600.100853893</v>
      </c>
      <c r="V1341" s="22" t="n">
        <f aca="false">N1341-U1341</f>
        <v>-440000.100853893</v>
      </c>
      <c r="W1341" s="22" t="n">
        <f aca="false">W1340+V1341</f>
        <v>-1208433.71881886</v>
      </c>
      <c r="X1341" s="23" t="str">
        <f aca="false">IF(W1341&gt;=0,"YES","No")</f>
        <v>No</v>
      </c>
    </row>
    <row r="1342" customFormat="false" ht="15" hidden="false" customHeight="false" outlineLevel="0" collapsed="false">
      <c r="A1342" s="16" t="n">
        <v>1341</v>
      </c>
      <c r="B1342" s="17" t="n">
        <f aca="false">B1341+1</f>
        <v>47363</v>
      </c>
      <c r="C1342" s="18" t="n">
        <f aca="false">MIN(ROUNDUP(A1342/365,0),5)</f>
        <v>4</v>
      </c>
      <c r="D1342" s="18" t="n">
        <f aca="false">DATEDIF(Assumptions!B5,B1342,"m")+1</f>
        <v>45</v>
      </c>
      <c r="E1342" s="18" t="str">
        <f aca="false">TEXT(B1342,"ddd")</f>
        <v>Sun</v>
      </c>
      <c r="F1342" s="19" t="n">
        <f aca="false">IF(WEEKDAY(B1342,2)&gt;=6,Assumptions!B34,Assumptions!B35)</f>
        <v>0.6</v>
      </c>
      <c r="G1342" s="20" t="n">
        <f aca="false">IF(D1342&gt;=13,(1+Assumptions!B46)^(D1342-12),1)</f>
        <v>1.1039026850095</v>
      </c>
      <c r="H1342" s="21" t="n">
        <f aca="false">H1341*(1+IF(C1342=1,Assumptions!B22,Assumptions!B23))</f>
        <v>24.4239769294915</v>
      </c>
      <c r="I1342" s="16" t="n">
        <f aca="false">ROUND(H1342*F1342,0)</f>
        <v>15</v>
      </c>
      <c r="J1342" s="22" t="n">
        <f aca="false">I1342*Assumptions!B24</f>
        <v>9000</v>
      </c>
      <c r="K1342" s="21" t="n">
        <f aca="false">K1341*(1+Assumptions!B30)</f>
        <v>20.3632290537752</v>
      </c>
      <c r="L1342" s="16" t="n">
        <f aca="false">ROUND(K1342*F1342,0)</f>
        <v>12</v>
      </c>
      <c r="M1342" s="22" t="n">
        <f aca="false">L1342*Assumptions!B31</f>
        <v>3600</v>
      </c>
      <c r="N1342" s="22" t="n">
        <f aca="false">J1342+M1342</f>
        <v>12600</v>
      </c>
      <c r="O1342" s="22" t="n">
        <f aca="false">IF(DAY(B1342)=1,Assumptions!B38*G1342,0)</f>
        <v>0</v>
      </c>
      <c r="P1342" s="22" t="n">
        <f aca="false">IF(DAY(B1342)=1,Assumptions!B39*G1342,0)</f>
        <v>0</v>
      </c>
      <c r="Q1342" s="22" t="n">
        <f aca="false">IF(DAY(B1342)=1,Assumptions!B40*G1342,0)</f>
        <v>0</v>
      </c>
      <c r="R1342" s="22" t="n">
        <f aca="false">IF(DAY(B1342)=1,Assumptions!B41*G1342,0)</f>
        <v>0</v>
      </c>
      <c r="S1342" s="22" t="n">
        <f aca="false">IF(AND(DAY(B1342)=1,D1342&gt;=13),Assumptions!B42*G1342,0)</f>
        <v>0</v>
      </c>
      <c r="T1342" s="22" t="n">
        <f aca="false">IF(DAY(B1342)=1,Assumptions!B43*G1342,0)</f>
        <v>0</v>
      </c>
      <c r="U1342" s="22" t="n">
        <f aca="false">SUM(O1342:T1342)</f>
        <v>0</v>
      </c>
      <c r="V1342" s="22" t="n">
        <f aca="false">N1342-U1342</f>
        <v>12600</v>
      </c>
      <c r="W1342" s="22" t="n">
        <f aca="false">W1341+V1342</f>
        <v>-1195833.71881886</v>
      </c>
      <c r="X1342" s="23" t="str">
        <f aca="false">IF(W1342&gt;=0,"YES","No")</f>
        <v>No</v>
      </c>
    </row>
    <row r="1343" customFormat="false" ht="15" hidden="false" customHeight="false" outlineLevel="0" collapsed="false">
      <c r="A1343" s="16" t="n">
        <v>1342</v>
      </c>
      <c r="B1343" s="17" t="n">
        <f aca="false">B1342+1</f>
        <v>47364</v>
      </c>
      <c r="C1343" s="18" t="n">
        <f aca="false">MIN(ROUNDUP(A1343/365,0),5)</f>
        <v>4</v>
      </c>
      <c r="D1343" s="18" t="n">
        <f aca="false">DATEDIF(Assumptions!B5,B1343,"m")+1</f>
        <v>45</v>
      </c>
      <c r="E1343" s="18" t="str">
        <f aca="false">TEXT(B1343,"ddd")</f>
        <v>Mon</v>
      </c>
      <c r="F1343" s="19" t="n">
        <f aca="false">IF(WEEKDAY(B1343,2)&gt;=6,Assumptions!B34,Assumptions!B35)</f>
        <v>1</v>
      </c>
      <c r="G1343" s="20" t="n">
        <f aca="false">IF(D1343&gt;=13,(1+Assumptions!B46)^(D1343-12),1)</f>
        <v>1.1039026850095</v>
      </c>
      <c r="H1343" s="21" t="n">
        <f aca="false">H1342*(1+IF(C1343=1,Assumptions!B22,Assumptions!B23))</f>
        <v>24.4279790838602</v>
      </c>
      <c r="I1343" s="16" t="n">
        <f aca="false">ROUND(H1343*F1343,0)</f>
        <v>24</v>
      </c>
      <c r="J1343" s="22" t="n">
        <f aca="false">I1343*Assumptions!B24</f>
        <v>14400</v>
      </c>
      <c r="K1343" s="21" t="n">
        <f aca="false">K1342*(1+Assumptions!B30)</f>
        <v>20.3698865434806</v>
      </c>
      <c r="L1343" s="16" t="n">
        <f aca="false">ROUND(K1343*F1343,0)</f>
        <v>20</v>
      </c>
      <c r="M1343" s="22" t="n">
        <f aca="false">L1343*Assumptions!B31</f>
        <v>6000</v>
      </c>
      <c r="N1343" s="22" t="n">
        <f aca="false">J1343+M1343</f>
        <v>20400</v>
      </c>
      <c r="O1343" s="22" t="n">
        <f aca="false">IF(DAY(B1343)=1,Assumptions!B38*G1343,0)</f>
        <v>0</v>
      </c>
      <c r="P1343" s="22" t="n">
        <f aca="false">IF(DAY(B1343)=1,Assumptions!B39*G1343,0)</f>
        <v>0</v>
      </c>
      <c r="Q1343" s="22" t="n">
        <f aca="false">IF(DAY(B1343)=1,Assumptions!B40*G1343,0)</f>
        <v>0</v>
      </c>
      <c r="R1343" s="22" t="n">
        <f aca="false">IF(DAY(B1343)=1,Assumptions!B41*G1343,0)</f>
        <v>0</v>
      </c>
      <c r="S1343" s="22" t="n">
        <f aca="false">IF(AND(DAY(B1343)=1,D1343&gt;=13),Assumptions!B42*G1343,0)</f>
        <v>0</v>
      </c>
      <c r="T1343" s="22" t="n">
        <f aca="false">IF(DAY(B1343)=1,Assumptions!B43*G1343,0)</f>
        <v>0</v>
      </c>
      <c r="U1343" s="22" t="n">
        <f aca="false">SUM(O1343:T1343)</f>
        <v>0</v>
      </c>
      <c r="V1343" s="22" t="n">
        <f aca="false">N1343-U1343</f>
        <v>20400</v>
      </c>
      <c r="W1343" s="22" t="n">
        <f aca="false">W1342+V1343</f>
        <v>-1175433.71881886</v>
      </c>
      <c r="X1343" s="23" t="str">
        <f aca="false">IF(W1343&gt;=0,"YES","No")</f>
        <v>No</v>
      </c>
    </row>
    <row r="1344" customFormat="false" ht="15" hidden="false" customHeight="false" outlineLevel="0" collapsed="false">
      <c r="A1344" s="16" t="n">
        <v>1343</v>
      </c>
      <c r="B1344" s="17" t="n">
        <f aca="false">B1343+1</f>
        <v>47365</v>
      </c>
      <c r="C1344" s="18" t="n">
        <f aca="false">MIN(ROUNDUP(A1344/365,0),5)</f>
        <v>4</v>
      </c>
      <c r="D1344" s="18" t="n">
        <f aca="false">DATEDIF(Assumptions!B5,B1344,"m")+1</f>
        <v>45</v>
      </c>
      <c r="E1344" s="18" t="str">
        <f aca="false">TEXT(B1344,"ddd")</f>
        <v>Tue</v>
      </c>
      <c r="F1344" s="19" t="n">
        <f aca="false">IF(WEEKDAY(B1344,2)&gt;=6,Assumptions!B34,Assumptions!B35)</f>
        <v>1</v>
      </c>
      <c r="G1344" s="20" t="n">
        <f aca="false">IF(D1344&gt;=13,(1+Assumptions!B46)^(D1344-12),1)</f>
        <v>1.1039026850095</v>
      </c>
      <c r="H1344" s="21" t="n">
        <f aca="false">H1343*(1+IF(C1344=1,Assumptions!B22,Assumptions!B23))</f>
        <v>24.4319818940287</v>
      </c>
      <c r="I1344" s="16" t="n">
        <f aca="false">ROUND(H1344*F1344,0)</f>
        <v>24</v>
      </c>
      <c r="J1344" s="22" t="n">
        <f aca="false">I1344*Assumptions!B24</f>
        <v>14400</v>
      </c>
      <c r="K1344" s="21" t="n">
        <f aca="false">K1343*(1+Assumptions!B30)</f>
        <v>20.3765462097646</v>
      </c>
      <c r="L1344" s="16" t="n">
        <f aca="false">ROUND(K1344*F1344,0)</f>
        <v>20</v>
      </c>
      <c r="M1344" s="22" t="n">
        <f aca="false">L1344*Assumptions!B31</f>
        <v>6000</v>
      </c>
      <c r="N1344" s="22" t="n">
        <f aca="false">J1344+M1344</f>
        <v>20400</v>
      </c>
      <c r="O1344" s="22" t="n">
        <f aca="false">IF(DAY(B1344)=1,Assumptions!B38*G1344,0)</f>
        <v>0</v>
      </c>
      <c r="P1344" s="22" t="n">
        <f aca="false">IF(DAY(B1344)=1,Assumptions!B39*G1344,0)</f>
        <v>0</v>
      </c>
      <c r="Q1344" s="22" t="n">
        <f aca="false">IF(DAY(B1344)=1,Assumptions!B40*G1344,0)</f>
        <v>0</v>
      </c>
      <c r="R1344" s="22" t="n">
        <f aca="false">IF(DAY(B1344)=1,Assumptions!B41*G1344,0)</f>
        <v>0</v>
      </c>
      <c r="S1344" s="22" t="n">
        <f aca="false">IF(AND(DAY(B1344)=1,D1344&gt;=13),Assumptions!B42*G1344,0)</f>
        <v>0</v>
      </c>
      <c r="T1344" s="22" t="n">
        <f aca="false">IF(DAY(B1344)=1,Assumptions!B43*G1344,0)</f>
        <v>0</v>
      </c>
      <c r="U1344" s="22" t="n">
        <f aca="false">SUM(O1344:T1344)</f>
        <v>0</v>
      </c>
      <c r="V1344" s="22" t="n">
        <f aca="false">N1344-U1344</f>
        <v>20400</v>
      </c>
      <c r="W1344" s="22" t="n">
        <f aca="false">W1343+V1344</f>
        <v>-1155033.71881886</v>
      </c>
      <c r="X1344" s="23" t="str">
        <f aca="false">IF(W1344&gt;=0,"YES","No")</f>
        <v>No</v>
      </c>
    </row>
    <row r="1345" customFormat="false" ht="15" hidden="false" customHeight="false" outlineLevel="0" collapsed="false">
      <c r="A1345" s="16" t="n">
        <v>1344</v>
      </c>
      <c r="B1345" s="17" t="n">
        <f aca="false">B1344+1</f>
        <v>47366</v>
      </c>
      <c r="C1345" s="18" t="n">
        <f aca="false">MIN(ROUNDUP(A1345/365,0),5)</f>
        <v>4</v>
      </c>
      <c r="D1345" s="18" t="n">
        <f aca="false">DATEDIF(Assumptions!B5,B1345,"m")+1</f>
        <v>45</v>
      </c>
      <c r="E1345" s="18" t="str">
        <f aca="false">TEXT(B1345,"ddd")</f>
        <v>Wed</v>
      </c>
      <c r="F1345" s="19" t="n">
        <f aca="false">IF(WEEKDAY(B1345,2)&gt;=6,Assumptions!B34,Assumptions!B35)</f>
        <v>1</v>
      </c>
      <c r="G1345" s="20" t="n">
        <f aca="false">IF(D1345&gt;=13,(1+Assumptions!B46)^(D1345-12),1)</f>
        <v>1.1039026850095</v>
      </c>
      <c r="H1345" s="21" t="n">
        <f aca="false">H1344*(1+IF(C1345=1,Assumptions!B22,Assumptions!B23))</f>
        <v>24.4359853601045</v>
      </c>
      <c r="I1345" s="16" t="n">
        <f aca="false">ROUND(H1345*F1345,0)</f>
        <v>24</v>
      </c>
      <c r="J1345" s="22" t="n">
        <f aca="false">I1345*Assumptions!B24</f>
        <v>14400</v>
      </c>
      <c r="K1345" s="21" t="n">
        <f aca="false">K1344*(1+Assumptions!B30)</f>
        <v>20.3832080533389</v>
      </c>
      <c r="L1345" s="16" t="n">
        <f aca="false">ROUND(K1345*F1345,0)</f>
        <v>20</v>
      </c>
      <c r="M1345" s="22" t="n">
        <f aca="false">L1345*Assumptions!B31</f>
        <v>6000</v>
      </c>
      <c r="N1345" s="22" t="n">
        <f aca="false">J1345+M1345</f>
        <v>20400</v>
      </c>
      <c r="O1345" s="22" t="n">
        <f aca="false">IF(DAY(B1345)=1,Assumptions!B38*G1345,0)</f>
        <v>0</v>
      </c>
      <c r="P1345" s="22" t="n">
        <f aca="false">IF(DAY(B1345)=1,Assumptions!B39*G1345,0)</f>
        <v>0</v>
      </c>
      <c r="Q1345" s="22" t="n">
        <f aca="false">IF(DAY(B1345)=1,Assumptions!B40*G1345,0)</f>
        <v>0</v>
      </c>
      <c r="R1345" s="22" t="n">
        <f aca="false">IF(DAY(B1345)=1,Assumptions!B41*G1345,0)</f>
        <v>0</v>
      </c>
      <c r="S1345" s="22" t="n">
        <f aca="false">IF(AND(DAY(B1345)=1,D1345&gt;=13),Assumptions!B42*G1345,0)</f>
        <v>0</v>
      </c>
      <c r="T1345" s="22" t="n">
        <f aca="false">IF(DAY(B1345)=1,Assumptions!B43*G1345,0)</f>
        <v>0</v>
      </c>
      <c r="U1345" s="22" t="n">
        <f aca="false">SUM(O1345:T1345)</f>
        <v>0</v>
      </c>
      <c r="V1345" s="22" t="n">
        <f aca="false">N1345-U1345</f>
        <v>20400</v>
      </c>
      <c r="W1345" s="22" t="n">
        <f aca="false">W1344+V1345</f>
        <v>-1134633.71881886</v>
      </c>
      <c r="X1345" s="23" t="str">
        <f aca="false">IF(W1345&gt;=0,"YES","No")</f>
        <v>No</v>
      </c>
    </row>
    <row r="1346" customFormat="false" ht="15" hidden="false" customHeight="false" outlineLevel="0" collapsed="false">
      <c r="A1346" s="16" t="n">
        <v>1345</v>
      </c>
      <c r="B1346" s="17" t="n">
        <f aca="false">B1345+1</f>
        <v>47367</v>
      </c>
      <c r="C1346" s="18" t="n">
        <f aca="false">MIN(ROUNDUP(A1346/365,0),5)</f>
        <v>4</v>
      </c>
      <c r="D1346" s="18" t="n">
        <f aca="false">DATEDIF(Assumptions!B5,B1346,"m")+1</f>
        <v>45</v>
      </c>
      <c r="E1346" s="18" t="str">
        <f aca="false">TEXT(B1346,"ddd")</f>
        <v>Thu</v>
      </c>
      <c r="F1346" s="19" t="n">
        <f aca="false">IF(WEEKDAY(B1346,2)&gt;=6,Assumptions!B34,Assumptions!B35)</f>
        <v>1</v>
      </c>
      <c r="G1346" s="20" t="n">
        <f aca="false">IF(D1346&gt;=13,(1+Assumptions!B46)^(D1346-12),1)</f>
        <v>1.1039026850095</v>
      </c>
      <c r="H1346" s="21" t="n">
        <f aca="false">H1345*(1+IF(C1346=1,Assumptions!B22,Assumptions!B23))</f>
        <v>24.4399894821951</v>
      </c>
      <c r="I1346" s="16" t="n">
        <f aca="false">ROUND(H1346*F1346,0)</f>
        <v>24</v>
      </c>
      <c r="J1346" s="22" t="n">
        <f aca="false">I1346*Assumptions!B24</f>
        <v>14400</v>
      </c>
      <c r="K1346" s="21" t="n">
        <f aca="false">K1345*(1+Assumptions!B30)</f>
        <v>20.3898720749152</v>
      </c>
      <c r="L1346" s="16" t="n">
        <f aca="false">ROUND(K1346*F1346,0)</f>
        <v>20</v>
      </c>
      <c r="M1346" s="22" t="n">
        <f aca="false">L1346*Assumptions!B31</f>
        <v>6000</v>
      </c>
      <c r="N1346" s="22" t="n">
        <f aca="false">J1346+M1346</f>
        <v>20400</v>
      </c>
      <c r="O1346" s="22" t="n">
        <f aca="false">IF(DAY(B1346)=1,Assumptions!B38*G1346,0)</f>
        <v>0</v>
      </c>
      <c r="P1346" s="22" t="n">
        <f aca="false">IF(DAY(B1346)=1,Assumptions!B39*G1346,0)</f>
        <v>0</v>
      </c>
      <c r="Q1346" s="22" t="n">
        <f aca="false">IF(DAY(B1346)=1,Assumptions!B40*G1346,0)</f>
        <v>0</v>
      </c>
      <c r="R1346" s="22" t="n">
        <f aca="false">IF(DAY(B1346)=1,Assumptions!B41*G1346,0)</f>
        <v>0</v>
      </c>
      <c r="S1346" s="22" t="n">
        <f aca="false">IF(AND(DAY(B1346)=1,D1346&gt;=13),Assumptions!B42*G1346,0)</f>
        <v>0</v>
      </c>
      <c r="T1346" s="22" t="n">
        <f aca="false">IF(DAY(B1346)=1,Assumptions!B43*G1346,0)</f>
        <v>0</v>
      </c>
      <c r="U1346" s="22" t="n">
        <f aca="false">SUM(O1346:T1346)</f>
        <v>0</v>
      </c>
      <c r="V1346" s="22" t="n">
        <f aca="false">N1346-U1346</f>
        <v>20400</v>
      </c>
      <c r="W1346" s="22" t="n">
        <f aca="false">W1345+V1346</f>
        <v>-1114233.71881886</v>
      </c>
      <c r="X1346" s="23" t="str">
        <f aca="false">IF(W1346&gt;=0,"YES","No")</f>
        <v>No</v>
      </c>
    </row>
    <row r="1347" customFormat="false" ht="15" hidden="false" customHeight="false" outlineLevel="0" collapsed="false">
      <c r="A1347" s="16" t="n">
        <v>1346</v>
      </c>
      <c r="B1347" s="17" t="n">
        <f aca="false">B1346+1</f>
        <v>47368</v>
      </c>
      <c r="C1347" s="18" t="n">
        <f aca="false">MIN(ROUNDUP(A1347/365,0),5)</f>
        <v>4</v>
      </c>
      <c r="D1347" s="18" t="n">
        <f aca="false">DATEDIF(Assumptions!B5,B1347,"m")+1</f>
        <v>45</v>
      </c>
      <c r="E1347" s="18" t="str">
        <f aca="false">TEXT(B1347,"ddd")</f>
        <v>Fri</v>
      </c>
      <c r="F1347" s="19" t="n">
        <f aca="false">IF(WEEKDAY(B1347,2)&gt;=6,Assumptions!B34,Assumptions!B35)</f>
        <v>1</v>
      </c>
      <c r="G1347" s="20" t="n">
        <f aca="false">IF(D1347&gt;=13,(1+Assumptions!B46)^(D1347-12),1)</f>
        <v>1.1039026850095</v>
      </c>
      <c r="H1347" s="21" t="n">
        <f aca="false">H1346*(1+IF(C1347=1,Assumptions!B22,Assumptions!B23))</f>
        <v>24.4439942604079</v>
      </c>
      <c r="I1347" s="16" t="n">
        <f aca="false">ROUND(H1347*F1347,0)</f>
        <v>24</v>
      </c>
      <c r="J1347" s="22" t="n">
        <f aca="false">I1347*Assumptions!B24</f>
        <v>14400</v>
      </c>
      <c r="K1347" s="21" t="n">
        <f aca="false">K1346*(1+Assumptions!B30)</f>
        <v>20.3965382752056</v>
      </c>
      <c r="L1347" s="16" t="n">
        <f aca="false">ROUND(K1347*F1347,0)</f>
        <v>20</v>
      </c>
      <c r="M1347" s="22" t="n">
        <f aca="false">L1347*Assumptions!B31</f>
        <v>6000</v>
      </c>
      <c r="N1347" s="22" t="n">
        <f aca="false">J1347+M1347</f>
        <v>20400</v>
      </c>
      <c r="O1347" s="22" t="n">
        <f aca="false">IF(DAY(B1347)=1,Assumptions!B38*G1347,0)</f>
        <v>0</v>
      </c>
      <c r="P1347" s="22" t="n">
        <f aca="false">IF(DAY(B1347)=1,Assumptions!B39*G1347,0)</f>
        <v>0</v>
      </c>
      <c r="Q1347" s="22" t="n">
        <f aca="false">IF(DAY(B1347)=1,Assumptions!B40*G1347,0)</f>
        <v>0</v>
      </c>
      <c r="R1347" s="22" t="n">
        <f aca="false">IF(DAY(B1347)=1,Assumptions!B41*G1347,0)</f>
        <v>0</v>
      </c>
      <c r="S1347" s="22" t="n">
        <f aca="false">IF(AND(DAY(B1347)=1,D1347&gt;=13),Assumptions!B42*G1347,0)</f>
        <v>0</v>
      </c>
      <c r="T1347" s="22" t="n">
        <f aca="false">IF(DAY(B1347)=1,Assumptions!B43*G1347,0)</f>
        <v>0</v>
      </c>
      <c r="U1347" s="22" t="n">
        <f aca="false">SUM(O1347:T1347)</f>
        <v>0</v>
      </c>
      <c r="V1347" s="22" t="n">
        <f aca="false">N1347-U1347</f>
        <v>20400</v>
      </c>
      <c r="W1347" s="22" t="n">
        <f aca="false">W1346+V1347</f>
        <v>-1093833.71881886</v>
      </c>
      <c r="X1347" s="23" t="str">
        <f aca="false">IF(W1347&gt;=0,"YES","No")</f>
        <v>No</v>
      </c>
    </row>
    <row r="1348" customFormat="false" ht="15" hidden="false" customHeight="false" outlineLevel="0" collapsed="false">
      <c r="A1348" s="16" t="n">
        <v>1347</v>
      </c>
      <c r="B1348" s="17" t="n">
        <f aca="false">B1347+1</f>
        <v>47369</v>
      </c>
      <c r="C1348" s="18" t="n">
        <f aca="false">MIN(ROUNDUP(A1348/365,0),5)</f>
        <v>4</v>
      </c>
      <c r="D1348" s="18" t="n">
        <f aca="false">DATEDIF(Assumptions!B5,B1348,"m")+1</f>
        <v>45</v>
      </c>
      <c r="E1348" s="18" t="str">
        <f aca="false">TEXT(B1348,"ddd")</f>
        <v>Sat</v>
      </c>
      <c r="F1348" s="19" t="n">
        <f aca="false">IF(WEEKDAY(B1348,2)&gt;=6,Assumptions!B34,Assumptions!B35)</f>
        <v>0.6</v>
      </c>
      <c r="G1348" s="20" t="n">
        <f aca="false">IF(D1348&gt;=13,(1+Assumptions!B46)^(D1348-12),1)</f>
        <v>1.1039026850095</v>
      </c>
      <c r="H1348" s="21" t="n">
        <f aca="false">H1347*(1+IF(C1348=1,Assumptions!B22,Assumptions!B23))</f>
        <v>24.4479996948505</v>
      </c>
      <c r="I1348" s="16" t="n">
        <f aca="false">ROUND(H1348*F1348,0)</f>
        <v>15</v>
      </c>
      <c r="J1348" s="22" t="n">
        <f aca="false">I1348*Assumptions!B24</f>
        <v>9000</v>
      </c>
      <c r="K1348" s="21" t="n">
        <f aca="false">K1347*(1+Assumptions!B30)</f>
        <v>20.4032066549225</v>
      </c>
      <c r="L1348" s="16" t="n">
        <f aca="false">ROUND(K1348*F1348,0)</f>
        <v>12</v>
      </c>
      <c r="M1348" s="22" t="n">
        <f aca="false">L1348*Assumptions!B31</f>
        <v>3600</v>
      </c>
      <c r="N1348" s="22" t="n">
        <f aca="false">J1348+M1348</f>
        <v>12600</v>
      </c>
      <c r="O1348" s="22" t="n">
        <f aca="false">IF(DAY(B1348)=1,Assumptions!B38*G1348,0)</f>
        <v>0</v>
      </c>
      <c r="P1348" s="22" t="n">
        <f aca="false">IF(DAY(B1348)=1,Assumptions!B39*G1348,0)</f>
        <v>0</v>
      </c>
      <c r="Q1348" s="22" t="n">
        <f aca="false">IF(DAY(B1348)=1,Assumptions!B40*G1348,0)</f>
        <v>0</v>
      </c>
      <c r="R1348" s="22" t="n">
        <f aca="false">IF(DAY(B1348)=1,Assumptions!B41*G1348,0)</f>
        <v>0</v>
      </c>
      <c r="S1348" s="22" t="n">
        <f aca="false">IF(AND(DAY(B1348)=1,D1348&gt;=13),Assumptions!B42*G1348,0)</f>
        <v>0</v>
      </c>
      <c r="T1348" s="22" t="n">
        <f aca="false">IF(DAY(B1348)=1,Assumptions!B43*G1348,0)</f>
        <v>0</v>
      </c>
      <c r="U1348" s="22" t="n">
        <f aca="false">SUM(O1348:T1348)</f>
        <v>0</v>
      </c>
      <c r="V1348" s="22" t="n">
        <f aca="false">N1348-U1348</f>
        <v>12600</v>
      </c>
      <c r="W1348" s="22" t="n">
        <f aca="false">W1347+V1348</f>
        <v>-1081233.71881886</v>
      </c>
      <c r="X1348" s="23" t="str">
        <f aca="false">IF(W1348&gt;=0,"YES","No")</f>
        <v>No</v>
      </c>
    </row>
    <row r="1349" customFormat="false" ht="15" hidden="false" customHeight="false" outlineLevel="0" collapsed="false">
      <c r="A1349" s="16" t="n">
        <v>1348</v>
      </c>
      <c r="B1349" s="17" t="n">
        <f aca="false">B1348+1</f>
        <v>47370</v>
      </c>
      <c r="C1349" s="18" t="n">
        <f aca="false">MIN(ROUNDUP(A1349/365,0),5)</f>
        <v>4</v>
      </c>
      <c r="D1349" s="18" t="n">
        <f aca="false">DATEDIF(Assumptions!B5,B1349,"m")+1</f>
        <v>45</v>
      </c>
      <c r="E1349" s="18" t="str">
        <f aca="false">TEXT(B1349,"ddd")</f>
        <v>Sun</v>
      </c>
      <c r="F1349" s="19" t="n">
        <f aca="false">IF(WEEKDAY(B1349,2)&gt;=6,Assumptions!B34,Assumptions!B35)</f>
        <v>0.6</v>
      </c>
      <c r="G1349" s="20" t="n">
        <f aca="false">IF(D1349&gt;=13,(1+Assumptions!B46)^(D1349-12),1)</f>
        <v>1.1039026850095</v>
      </c>
      <c r="H1349" s="21" t="n">
        <f aca="false">H1348*(1+IF(C1349=1,Assumptions!B22,Assumptions!B23))</f>
        <v>24.4520057856303</v>
      </c>
      <c r="I1349" s="16" t="n">
        <f aca="false">ROUND(H1349*F1349,0)</f>
        <v>15</v>
      </c>
      <c r="J1349" s="22" t="n">
        <f aca="false">I1349*Assumptions!B24</f>
        <v>9000</v>
      </c>
      <c r="K1349" s="21" t="n">
        <f aca="false">K1348*(1+Assumptions!B30)</f>
        <v>20.4098772147784</v>
      </c>
      <c r="L1349" s="16" t="n">
        <f aca="false">ROUND(K1349*F1349,0)</f>
        <v>12</v>
      </c>
      <c r="M1349" s="22" t="n">
        <f aca="false">L1349*Assumptions!B31</f>
        <v>3600</v>
      </c>
      <c r="N1349" s="22" t="n">
        <f aca="false">J1349+M1349</f>
        <v>12600</v>
      </c>
      <c r="O1349" s="22" t="n">
        <f aca="false">IF(DAY(B1349)=1,Assumptions!B38*G1349,0)</f>
        <v>0</v>
      </c>
      <c r="P1349" s="22" t="n">
        <f aca="false">IF(DAY(B1349)=1,Assumptions!B39*G1349,0)</f>
        <v>0</v>
      </c>
      <c r="Q1349" s="22" t="n">
        <f aca="false">IF(DAY(B1349)=1,Assumptions!B40*G1349,0)</f>
        <v>0</v>
      </c>
      <c r="R1349" s="22" t="n">
        <f aca="false">IF(DAY(B1349)=1,Assumptions!B41*G1349,0)</f>
        <v>0</v>
      </c>
      <c r="S1349" s="22" t="n">
        <f aca="false">IF(AND(DAY(B1349)=1,D1349&gt;=13),Assumptions!B42*G1349,0)</f>
        <v>0</v>
      </c>
      <c r="T1349" s="22" t="n">
        <f aca="false">IF(DAY(B1349)=1,Assumptions!B43*G1349,0)</f>
        <v>0</v>
      </c>
      <c r="U1349" s="22" t="n">
        <f aca="false">SUM(O1349:T1349)</f>
        <v>0</v>
      </c>
      <c r="V1349" s="22" t="n">
        <f aca="false">N1349-U1349</f>
        <v>12600</v>
      </c>
      <c r="W1349" s="22" t="n">
        <f aca="false">W1348+V1349</f>
        <v>-1068633.71881886</v>
      </c>
      <c r="X1349" s="23" t="str">
        <f aca="false">IF(W1349&gt;=0,"YES","No")</f>
        <v>No</v>
      </c>
    </row>
    <row r="1350" customFormat="false" ht="15" hidden="false" customHeight="false" outlineLevel="0" collapsed="false">
      <c r="A1350" s="16" t="n">
        <v>1349</v>
      </c>
      <c r="B1350" s="17" t="n">
        <f aca="false">B1349+1</f>
        <v>47371</v>
      </c>
      <c r="C1350" s="18" t="n">
        <f aca="false">MIN(ROUNDUP(A1350/365,0),5)</f>
        <v>4</v>
      </c>
      <c r="D1350" s="18" t="n">
        <f aca="false">DATEDIF(Assumptions!B5,B1350,"m")+1</f>
        <v>45</v>
      </c>
      <c r="E1350" s="18" t="str">
        <f aca="false">TEXT(B1350,"ddd")</f>
        <v>Mon</v>
      </c>
      <c r="F1350" s="19" t="n">
        <f aca="false">IF(WEEKDAY(B1350,2)&gt;=6,Assumptions!B34,Assumptions!B35)</f>
        <v>1</v>
      </c>
      <c r="G1350" s="20" t="n">
        <f aca="false">IF(D1350&gt;=13,(1+Assumptions!B46)^(D1350-12),1)</f>
        <v>1.1039026850095</v>
      </c>
      <c r="H1350" s="21" t="n">
        <f aca="false">H1349*(1+IF(C1350=1,Assumptions!B22,Assumptions!B23))</f>
        <v>24.456012532855</v>
      </c>
      <c r="I1350" s="16" t="n">
        <f aca="false">ROUND(H1350*F1350,0)</f>
        <v>24</v>
      </c>
      <c r="J1350" s="22" t="n">
        <f aca="false">I1350*Assumptions!B24</f>
        <v>14400</v>
      </c>
      <c r="K1350" s="21" t="n">
        <f aca="false">K1349*(1+Assumptions!B30)</f>
        <v>20.416549955486</v>
      </c>
      <c r="L1350" s="16" t="n">
        <f aca="false">ROUND(K1350*F1350,0)</f>
        <v>20</v>
      </c>
      <c r="M1350" s="22" t="n">
        <f aca="false">L1350*Assumptions!B31</f>
        <v>6000</v>
      </c>
      <c r="N1350" s="22" t="n">
        <f aca="false">J1350+M1350</f>
        <v>20400</v>
      </c>
      <c r="O1350" s="22" t="n">
        <f aca="false">IF(DAY(B1350)=1,Assumptions!B38*G1350,0)</f>
        <v>0</v>
      </c>
      <c r="P1350" s="22" t="n">
        <f aca="false">IF(DAY(B1350)=1,Assumptions!B39*G1350,0)</f>
        <v>0</v>
      </c>
      <c r="Q1350" s="22" t="n">
        <f aca="false">IF(DAY(B1350)=1,Assumptions!B40*G1350,0)</f>
        <v>0</v>
      </c>
      <c r="R1350" s="22" t="n">
        <f aca="false">IF(DAY(B1350)=1,Assumptions!B41*G1350,0)</f>
        <v>0</v>
      </c>
      <c r="S1350" s="22" t="n">
        <f aca="false">IF(AND(DAY(B1350)=1,D1350&gt;=13),Assumptions!B42*G1350,0)</f>
        <v>0</v>
      </c>
      <c r="T1350" s="22" t="n">
        <f aca="false">IF(DAY(B1350)=1,Assumptions!B43*G1350,0)</f>
        <v>0</v>
      </c>
      <c r="U1350" s="22" t="n">
        <f aca="false">SUM(O1350:T1350)</f>
        <v>0</v>
      </c>
      <c r="V1350" s="22" t="n">
        <f aca="false">N1350-U1350</f>
        <v>20400</v>
      </c>
      <c r="W1350" s="22" t="n">
        <f aca="false">W1349+V1350</f>
        <v>-1048233.71881886</v>
      </c>
      <c r="X1350" s="23" t="str">
        <f aca="false">IF(W1350&gt;=0,"YES","No")</f>
        <v>No</v>
      </c>
    </row>
    <row r="1351" customFormat="false" ht="15" hidden="false" customHeight="false" outlineLevel="0" collapsed="false">
      <c r="A1351" s="16" t="n">
        <v>1350</v>
      </c>
      <c r="B1351" s="17" t="n">
        <f aca="false">B1350+1</f>
        <v>47372</v>
      </c>
      <c r="C1351" s="18" t="n">
        <f aca="false">MIN(ROUNDUP(A1351/365,0),5)</f>
        <v>4</v>
      </c>
      <c r="D1351" s="18" t="n">
        <f aca="false">DATEDIF(Assumptions!B5,B1351,"m")+1</f>
        <v>45</v>
      </c>
      <c r="E1351" s="18" t="str">
        <f aca="false">TEXT(B1351,"ddd")</f>
        <v>Tue</v>
      </c>
      <c r="F1351" s="19" t="n">
        <f aca="false">IF(WEEKDAY(B1351,2)&gt;=6,Assumptions!B34,Assumptions!B35)</f>
        <v>1</v>
      </c>
      <c r="G1351" s="20" t="n">
        <f aca="false">IF(D1351&gt;=13,(1+Assumptions!B46)^(D1351-12),1)</f>
        <v>1.1039026850095</v>
      </c>
      <c r="H1351" s="21" t="n">
        <f aca="false">H1350*(1+IF(C1351=1,Assumptions!B22,Assumptions!B23))</f>
        <v>24.4600199366322</v>
      </c>
      <c r="I1351" s="16" t="n">
        <f aca="false">ROUND(H1351*F1351,0)</f>
        <v>24</v>
      </c>
      <c r="J1351" s="22" t="n">
        <f aca="false">I1351*Assumptions!B24</f>
        <v>14400</v>
      </c>
      <c r="K1351" s="21" t="n">
        <f aca="false">K1350*(1+Assumptions!B30)</f>
        <v>20.4232248777584</v>
      </c>
      <c r="L1351" s="16" t="n">
        <f aca="false">ROUND(K1351*F1351,0)</f>
        <v>20</v>
      </c>
      <c r="M1351" s="22" t="n">
        <f aca="false">L1351*Assumptions!B31</f>
        <v>6000</v>
      </c>
      <c r="N1351" s="22" t="n">
        <f aca="false">J1351+M1351</f>
        <v>20400</v>
      </c>
      <c r="O1351" s="22" t="n">
        <f aca="false">IF(DAY(B1351)=1,Assumptions!B38*G1351,0)</f>
        <v>0</v>
      </c>
      <c r="P1351" s="22" t="n">
        <f aca="false">IF(DAY(B1351)=1,Assumptions!B39*G1351,0)</f>
        <v>0</v>
      </c>
      <c r="Q1351" s="22" t="n">
        <f aca="false">IF(DAY(B1351)=1,Assumptions!B40*G1351,0)</f>
        <v>0</v>
      </c>
      <c r="R1351" s="22" t="n">
        <f aca="false">IF(DAY(B1351)=1,Assumptions!B41*G1351,0)</f>
        <v>0</v>
      </c>
      <c r="S1351" s="22" t="n">
        <f aca="false">IF(AND(DAY(B1351)=1,D1351&gt;=13),Assumptions!B42*G1351,0)</f>
        <v>0</v>
      </c>
      <c r="T1351" s="22" t="n">
        <f aca="false">IF(DAY(B1351)=1,Assumptions!B43*G1351,0)</f>
        <v>0</v>
      </c>
      <c r="U1351" s="22" t="n">
        <f aca="false">SUM(O1351:T1351)</f>
        <v>0</v>
      </c>
      <c r="V1351" s="22" t="n">
        <f aca="false">N1351-U1351</f>
        <v>20400</v>
      </c>
      <c r="W1351" s="22" t="n">
        <f aca="false">W1350+V1351</f>
        <v>-1027833.71881886</v>
      </c>
      <c r="X1351" s="23" t="str">
        <f aca="false">IF(W1351&gt;=0,"YES","No")</f>
        <v>No</v>
      </c>
    </row>
    <row r="1352" customFormat="false" ht="15" hidden="false" customHeight="false" outlineLevel="0" collapsed="false">
      <c r="A1352" s="16" t="n">
        <v>1351</v>
      </c>
      <c r="B1352" s="17" t="n">
        <f aca="false">B1351+1</f>
        <v>47373</v>
      </c>
      <c r="C1352" s="18" t="n">
        <f aca="false">MIN(ROUNDUP(A1352/365,0),5)</f>
        <v>4</v>
      </c>
      <c r="D1352" s="18" t="n">
        <f aca="false">DATEDIF(Assumptions!B5,B1352,"m")+1</f>
        <v>45</v>
      </c>
      <c r="E1352" s="18" t="str">
        <f aca="false">TEXT(B1352,"ddd")</f>
        <v>Wed</v>
      </c>
      <c r="F1352" s="19" t="n">
        <f aca="false">IF(WEEKDAY(B1352,2)&gt;=6,Assumptions!B34,Assumptions!B35)</f>
        <v>1</v>
      </c>
      <c r="G1352" s="20" t="n">
        <f aca="false">IF(D1352&gt;=13,(1+Assumptions!B46)^(D1352-12),1)</f>
        <v>1.1039026850095</v>
      </c>
      <c r="H1352" s="21" t="n">
        <f aca="false">H1351*(1+IF(C1352=1,Assumptions!B22,Assumptions!B23))</f>
        <v>24.4640279970693</v>
      </c>
      <c r="I1352" s="16" t="n">
        <f aca="false">ROUND(H1352*F1352,0)</f>
        <v>24</v>
      </c>
      <c r="J1352" s="22" t="n">
        <f aca="false">I1352*Assumptions!B24</f>
        <v>14400</v>
      </c>
      <c r="K1352" s="21" t="n">
        <f aca="false">K1351*(1+Assumptions!B30)</f>
        <v>20.4299019823087</v>
      </c>
      <c r="L1352" s="16" t="n">
        <f aca="false">ROUND(K1352*F1352,0)</f>
        <v>20</v>
      </c>
      <c r="M1352" s="22" t="n">
        <f aca="false">L1352*Assumptions!B31</f>
        <v>6000</v>
      </c>
      <c r="N1352" s="22" t="n">
        <f aca="false">J1352+M1352</f>
        <v>20400</v>
      </c>
      <c r="O1352" s="22" t="n">
        <f aca="false">IF(DAY(B1352)=1,Assumptions!B38*G1352,0)</f>
        <v>0</v>
      </c>
      <c r="P1352" s="22" t="n">
        <f aca="false">IF(DAY(B1352)=1,Assumptions!B39*G1352,0)</f>
        <v>0</v>
      </c>
      <c r="Q1352" s="22" t="n">
        <f aca="false">IF(DAY(B1352)=1,Assumptions!B40*G1352,0)</f>
        <v>0</v>
      </c>
      <c r="R1352" s="22" t="n">
        <f aca="false">IF(DAY(B1352)=1,Assumptions!B41*G1352,0)</f>
        <v>0</v>
      </c>
      <c r="S1352" s="22" t="n">
        <f aca="false">IF(AND(DAY(B1352)=1,D1352&gt;=13),Assumptions!B42*G1352,0)</f>
        <v>0</v>
      </c>
      <c r="T1352" s="22" t="n">
        <f aca="false">IF(DAY(B1352)=1,Assumptions!B43*G1352,0)</f>
        <v>0</v>
      </c>
      <c r="U1352" s="22" t="n">
        <f aca="false">SUM(O1352:T1352)</f>
        <v>0</v>
      </c>
      <c r="V1352" s="22" t="n">
        <f aca="false">N1352-U1352</f>
        <v>20400</v>
      </c>
      <c r="W1352" s="22" t="n">
        <f aca="false">W1351+V1352</f>
        <v>-1007433.71881886</v>
      </c>
      <c r="X1352" s="23" t="str">
        <f aca="false">IF(W1352&gt;=0,"YES","No")</f>
        <v>No</v>
      </c>
    </row>
    <row r="1353" customFormat="false" ht="15" hidden="false" customHeight="false" outlineLevel="0" collapsed="false">
      <c r="A1353" s="16" t="n">
        <v>1352</v>
      </c>
      <c r="B1353" s="17" t="n">
        <f aca="false">B1352+1</f>
        <v>47374</v>
      </c>
      <c r="C1353" s="18" t="n">
        <f aca="false">MIN(ROUNDUP(A1353/365,0),5)</f>
        <v>4</v>
      </c>
      <c r="D1353" s="18" t="n">
        <f aca="false">DATEDIF(Assumptions!B5,B1353,"m")+1</f>
        <v>45</v>
      </c>
      <c r="E1353" s="18" t="str">
        <f aca="false">TEXT(B1353,"ddd")</f>
        <v>Thu</v>
      </c>
      <c r="F1353" s="19" t="n">
        <f aca="false">IF(WEEKDAY(B1353,2)&gt;=6,Assumptions!B34,Assumptions!B35)</f>
        <v>1</v>
      </c>
      <c r="G1353" s="20" t="n">
        <f aca="false">IF(D1353&gt;=13,(1+Assumptions!B46)^(D1353-12),1)</f>
        <v>1.1039026850095</v>
      </c>
      <c r="H1353" s="21" t="n">
        <f aca="false">H1352*(1+IF(C1353=1,Assumptions!B22,Assumptions!B23))</f>
        <v>24.468036714274</v>
      </c>
      <c r="I1353" s="16" t="n">
        <f aca="false">ROUND(H1353*F1353,0)</f>
        <v>24</v>
      </c>
      <c r="J1353" s="22" t="n">
        <f aca="false">I1353*Assumptions!B24</f>
        <v>14400</v>
      </c>
      <c r="K1353" s="21" t="n">
        <f aca="false">K1352*(1+Assumptions!B30)</f>
        <v>20.4365812698505</v>
      </c>
      <c r="L1353" s="16" t="n">
        <f aca="false">ROUND(K1353*F1353,0)</f>
        <v>20</v>
      </c>
      <c r="M1353" s="22" t="n">
        <f aca="false">L1353*Assumptions!B31</f>
        <v>6000</v>
      </c>
      <c r="N1353" s="22" t="n">
        <f aca="false">J1353+M1353</f>
        <v>20400</v>
      </c>
      <c r="O1353" s="22" t="n">
        <f aca="false">IF(DAY(B1353)=1,Assumptions!B38*G1353,0)</f>
        <v>0</v>
      </c>
      <c r="P1353" s="22" t="n">
        <f aca="false">IF(DAY(B1353)=1,Assumptions!B39*G1353,0)</f>
        <v>0</v>
      </c>
      <c r="Q1353" s="22" t="n">
        <f aca="false">IF(DAY(B1353)=1,Assumptions!B40*G1353,0)</f>
        <v>0</v>
      </c>
      <c r="R1353" s="22" t="n">
        <f aca="false">IF(DAY(B1353)=1,Assumptions!B41*G1353,0)</f>
        <v>0</v>
      </c>
      <c r="S1353" s="22" t="n">
        <f aca="false">IF(AND(DAY(B1353)=1,D1353&gt;=13),Assumptions!B42*G1353,0)</f>
        <v>0</v>
      </c>
      <c r="T1353" s="22" t="n">
        <f aca="false">IF(DAY(B1353)=1,Assumptions!B43*G1353,0)</f>
        <v>0</v>
      </c>
      <c r="U1353" s="22" t="n">
        <f aca="false">SUM(O1353:T1353)</f>
        <v>0</v>
      </c>
      <c r="V1353" s="22" t="n">
        <f aca="false">N1353-U1353</f>
        <v>20400</v>
      </c>
      <c r="W1353" s="22" t="n">
        <f aca="false">W1352+V1353</f>
        <v>-987033.718818856</v>
      </c>
      <c r="X1353" s="23" t="str">
        <f aca="false">IF(W1353&gt;=0,"YES","No")</f>
        <v>No</v>
      </c>
    </row>
    <row r="1354" customFormat="false" ht="15" hidden="false" customHeight="false" outlineLevel="0" collapsed="false">
      <c r="A1354" s="16" t="n">
        <v>1353</v>
      </c>
      <c r="B1354" s="17" t="n">
        <f aca="false">B1353+1</f>
        <v>47375</v>
      </c>
      <c r="C1354" s="18" t="n">
        <f aca="false">MIN(ROUNDUP(A1354/365,0),5)</f>
        <v>4</v>
      </c>
      <c r="D1354" s="18" t="n">
        <f aca="false">DATEDIF(Assumptions!B5,B1354,"m")+1</f>
        <v>45</v>
      </c>
      <c r="E1354" s="18" t="str">
        <f aca="false">TEXT(B1354,"ddd")</f>
        <v>Fri</v>
      </c>
      <c r="F1354" s="19" t="n">
        <f aca="false">IF(WEEKDAY(B1354,2)&gt;=6,Assumptions!B34,Assumptions!B35)</f>
        <v>1</v>
      </c>
      <c r="G1354" s="20" t="n">
        <f aca="false">IF(D1354&gt;=13,(1+Assumptions!B46)^(D1354-12),1)</f>
        <v>1.1039026850095</v>
      </c>
      <c r="H1354" s="21" t="n">
        <f aca="false">H1353*(1+IF(C1354=1,Assumptions!B22,Assumptions!B23))</f>
        <v>24.4720460883539</v>
      </c>
      <c r="I1354" s="16" t="n">
        <f aca="false">ROUND(H1354*F1354,0)</f>
        <v>24</v>
      </c>
      <c r="J1354" s="22" t="n">
        <f aca="false">I1354*Assumptions!B24</f>
        <v>14400</v>
      </c>
      <c r="K1354" s="21" t="n">
        <f aca="false">K1353*(1+Assumptions!B30)</f>
        <v>20.4432627410974</v>
      </c>
      <c r="L1354" s="16" t="n">
        <f aca="false">ROUND(K1354*F1354,0)</f>
        <v>20</v>
      </c>
      <c r="M1354" s="22" t="n">
        <f aca="false">L1354*Assumptions!B31</f>
        <v>6000</v>
      </c>
      <c r="N1354" s="22" t="n">
        <f aca="false">J1354+M1354</f>
        <v>20400</v>
      </c>
      <c r="O1354" s="22" t="n">
        <f aca="false">IF(DAY(B1354)=1,Assumptions!B38*G1354,0)</f>
        <v>0</v>
      </c>
      <c r="P1354" s="22" t="n">
        <f aca="false">IF(DAY(B1354)=1,Assumptions!B39*G1354,0)</f>
        <v>0</v>
      </c>
      <c r="Q1354" s="22" t="n">
        <f aca="false">IF(DAY(B1354)=1,Assumptions!B40*G1354,0)</f>
        <v>0</v>
      </c>
      <c r="R1354" s="22" t="n">
        <f aca="false">IF(DAY(B1354)=1,Assumptions!B41*G1354,0)</f>
        <v>0</v>
      </c>
      <c r="S1354" s="22" t="n">
        <f aca="false">IF(AND(DAY(B1354)=1,D1354&gt;=13),Assumptions!B42*G1354,0)</f>
        <v>0</v>
      </c>
      <c r="T1354" s="22" t="n">
        <f aca="false">IF(DAY(B1354)=1,Assumptions!B43*G1354,0)</f>
        <v>0</v>
      </c>
      <c r="U1354" s="22" t="n">
        <f aca="false">SUM(O1354:T1354)</f>
        <v>0</v>
      </c>
      <c r="V1354" s="22" t="n">
        <f aca="false">N1354-U1354</f>
        <v>20400</v>
      </c>
      <c r="W1354" s="22" t="n">
        <f aca="false">W1353+V1354</f>
        <v>-966633.718818856</v>
      </c>
      <c r="X1354" s="23" t="str">
        <f aca="false">IF(W1354&gt;=0,"YES","No")</f>
        <v>No</v>
      </c>
    </row>
    <row r="1355" customFormat="false" ht="15" hidden="false" customHeight="false" outlineLevel="0" collapsed="false">
      <c r="A1355" s="16" t="n">
        <v>1354</v>
      </c>
      <c r="B1355" s="17" t="n">
        <f aca="false">B1354+1</f>
        <v>47376</v>
      </c>
      <c r="C1355" s="18" t="n">
        <f aca="false">MIN(ROUNDUP(A1355/365,0),5)</f>
        <v>4</v>
      </c>
      <c r="D1355" s="18" t="n">
        <f aca="false">DATEDIF(Assumptions!B5,B1355,"m")+1</f>
        <v>45</v>
      </c>
      <c r="E1355" s="18" t="str">
        <f aca="false">TEXT(B1355,"ddd")</f>
        <v>Sat</v>
      </c>
      <c r="F1355" s="19" t="n">
        <f aca="false">IF(WEEKDAY(B1355,2)&gt;=6,Assumptions!B34,Assumptions!B35)</f>
        <v>0.6</v>
      </c>
      <c r="G1355" s="20" t="n">
        <f aca="false">IF(D1355&gt;=13,(1+Assumptions!B46)^(D1355-12),1)</f>
        <v>1.1039026850095</v>
      </c>
      <c r="H1355" s="21" t="n">
        <f aca="false">H1354*(1+IF(C1355=1,Assumptions!B22,Assumptions!B23))</f>
        <v>24.4760561194167</v>
      </c>
      <c r="I1355" s="16" t="n">
        <f aca="false">ROUND(H1355*F1355,0)</f>
        <v>15</v>
      </c>
      <c r="J1355" s="22" t="n">
        <f aca="false">I1355*Assumptions!B24</f>
        <v>9000</v>
      </c>
      <c r="K1355" s="21" t="n">
        <f aca="false">K1354*(1+Assumptions!B30)</f>
        <v>20.4499463967634</v>
      </c>
      <c r="L1355" s="16" t="n">
        <f aca="false">ROUND(K1355*F1355,0)</f>
        <v>12</v>
      </c>
      <c r="M1355" s="22" t="n">
        <f aca="false">L1355*Assumptions!B31</f>
        <v>3600</v>
      </c>
      <c r="N1355" s="22" t="n">
        <f aca="false">J1355+M1355</f>
        <v>12600</v>
      </c>
      <c r="O1355" s="22" t="n">
        <f aca="false">IF(DAY(B1355)=1,Assumptions!B38*G1355,0)</f>
        <v>0</v>
      </c>
      <c r="P1355" s="22" t="n">
        <f aca="false">IF(DAY(B1355)=1,Assumptions!B39*G1355,0)</f>
        <v>0</v>
      </c>
      <c r="Q1355" s="22" t="n">
        <f aca="false">IF(DAY(B1355)=1,Assumptions!B40*G1355,0)</f>
        <v>0</v>
      </c>
      <c r="R1355" s="22" t="n">
        <f aca="false">IF(DAY(B1355)=1,Assumptions!B41*G1355,0)</f>
        <v>0</v>
      </c>
      <c r="S1355" s="22" t="n">
        <f aca="false">IF(AND(DAY(B1355)=1,D1355&gt;=13),Assumptions!B42*G1355,0)</f>
        <v>0</v>
      </c>
      <c r="T1355" s="22" t="n">
        <f aca="false">IF(DAY(B1355)=1,Assumptions!B43*G1355,0)</f>
        <v>0</v>
      </c>
      <c r="U1355" s="22" t="n">
        <f aca="false">SUM(O1355:T1355)</f>
        <v>0</v>
      </c>
      <c r="V1355" s="22" t="n">
        <f aca="false">N1355-U1355</f>
        <v>12600</v>
      </c>
      <c r="W1355" s="22" t="n">
        <f aca="false">W1354+V1355</f>
        <v>-954033.718818856</v>
      </c>
      <c r="X1355" s="23" t="str">
        <f aca="false">IF(W1355&gt;=0,"YES","No")</f>
        <v>No</v>
      </c>
    </row>
    <row r="1356" customFormat="false" ht="15" hidden="false" customHeight="false" outlineLevel="0" collapsed="false">
      <c r="A1356" s="16" t="n">
        <v>1355</v>
      </c>
      <c r="B1356" s="17" t="n">
        <f aca="false">B1355+1</f>
        <v>47377</v>
      </c>
      <c r="C1356" s="18" t="n">
        <f aca="false">MIN(ROUNDUP(A1356/365,0),5)</f>
        <v>4</v>
      </c>
      <c r="D1356" s="18" t="n">
        <f aca="false">DATEDIF(Assumptions!B5,B1356,"m")+1</f>
        <v>45</v>
      </c>
      <c r="E1356" s="18" t="str">
        <f aca="false">TEXT(B1356,"ddd")</f>
        <v>Sun</v>
      </c>
      <c r="F1356" s="19" t="n">
        <f aca="false">IF(WEEKDAY(B1356,2)&gt;=6,Assumptions!B34,Assumptions!B35)</f>
        <v>0.6</v>
      </c>
      <c r="G1356" s="20" t="n">
        <f aca="false">IF(D1356&gt;=13,(1+Assumptions!B46)^(D1356-12),1)</f>
        <v>1.1039026850095</v>
      </c>
      <c r="H1356" s="21" t="n">
        <f aca="false">H1355*(1+IF(C1356=1,Assumptions!B22,Assumptions!B23))</f>
        <v>24.4800668075699</v>
      </c>
      <c r="I1356" s="16" t="n">
        <f aca="false">ROUND(H1356*F1356,0)</f>
        <v>15</v>
      </c>
      <c r="J1356" s="22" t="n">
        <f aca="false">I1356*Assumptions!B24</f>
        <v>9000</v>
      </c>
      <c r="K1356" s="21" t="n">
        <f aca="false">K1355*(1+Assumptions!B30)</f>
        <v>20.4566322375626</v>
      </c>
      <c r="L1356" s="16" t="n">
        <f aca="false">ROUND(K1356*F1356,0)</f>
        <v>12</v>
      </c>
      <c r="M1356" s="22" t="n">
        <f aca="false">L1356*Assumptions!B31</f>
        <v>3600</v>
      </c>
      <c r="N1356" s="22" t="n">
        <f aca="false">J1356+M1356</f>
        <v>12600</v>
      </c>
      <c r="O1356" s="22" t="n">
        <f aca="false">IF(DAY(B1356)=1,Assumptions!B38*G1356,0)</f>
        <v>0</v>
      </c>
      <c r="P1356" s="22" t="n">
        <f aca="false">IF(DAY(B1356)=1,Assumptions!B39*G1356,0)</f>
        <v>0</v>
      </c>
      <c r="Q1356" s="22" t="n">
        <f aca="false">IF(DAY(B1356)=1,Assumptions!B40*G1356,0)</f>
        <v>0</v>
      </c>
      <c r="R1356" s="22" t="n">
        <f aca="false">IF(DAY(B1356)=1,Assumptions!B41*G1356,0)</f>
        <v>0</v>
      </c>
      <c r="S1356" s="22" t="n">
        <f aca="false">IF(AND(DAY(B1356)=1,D1356&gt;=13),Assumptions!B42*G1356,0)</f>
        <v>0</v>
      </c>
      <c r="T1356" s="22" t="n">
        <f aca="false">IF(DAY(B1356)=1,Assumptions!B43*G1356,0)</f>
        <v>0</v>
      </c>
      <c r="U1356" s="22" t="n">
        <f aca="false">SUM(O1356:T1356)</f>
        <v>0</v>
      </c>
      <c r="V1356" s="22" t="n">
        <f aca="false">N1356-U1356</f>
        <v>12600</v>
      </c>
      <c r="W1356" s="22" t="n">
        <f aca="false">W1355+V1356</f>
        <v>-941433.718818856</v>
      </c>
      <c r="X1356" s="23" t="str">
        <f aca="false">IF(W1356&gt;=0,"YES","No")</f>
        <v>No</v>
      </c>
    </row>
    <row r="1357" customFormat="false" ht="15" hidden="false" customHeight="false" outlineLevel="0" collapsed="false">
      <c r="A1357" s="16" t="n">
        <v>1356</v>
      </c>
      <c r="B1357" s="17" t="n">
        <f aca="false">B1356+1</f>
        <v>47378</v>
      </c>
      <c r="C1357" s="18" t="n">
        <f aca="false">MIN(ROUNDUP(A1357/365,0),5)</f>
        <v>4</v>
      </c>
      <c r="D1357" s="18" t="n">
        <f aca="false">DATEDIF(Assumptions!B5,B1357,"m")+1</f>
        <v>45</v>
      </c>
      <c r="E1357" s="18" t="str">
        <f aca="false">TEXT(B1357,"ddd")</f>
        <v>Mon</v>
      </c>
      <c r="F1357" s="19" t="n">
        <f aca="false">IF(WEEKDAY(B1357,2)&gt;=6,Assumptions!B34,Assumptions!B35)</f>
        <v>1</v>
      </c>
      <c r="G1357" s="20" t="n">
        <f aca="false">IF(D1357&gt;=13,(1+Assumptions!B46)^(D1357-12),1)</f>
        <v>1.1039026850095</v>
      </c>
      <c r="H1357" s="21" t="n">
        <f aca="false">H1356*(1+IF(C1357=1,Assumptions!B22,Assumptions!B23))</f>
        <v>24.4840781529214</v>
      </c>
      <c r="I1357" s="16" t="n">
        <f aca="false">ROUND(H1357*F1357,0)</f>
        <v>24</v>
      </c>
      <c r="J1357" s="22" t="n">
        <f aca="false">I1357*Assumptions!B24</f>
        <v>14400</v>
      </c>
      <c r="K1357" s="21" t="n">
        <f aca="false">K1356*(1+Assumptions!B30)</f>
        <v>20.4633202642095</v>
      </c>
      <c r="L1357" s="16" t="n">
        <f aca="false">ROUND(K1357*F1357,0)</f>
        <v>20</v>
      </c>
      <c r="M1357" s="22" t="n">
        <f aca="false">L1357*Assumptions!B31</f>
        <v>6000</v>
      </c>
      <c r="N1357" s="22" t="n">
        <f aca="false">J1357+M1357</f>
        <v>20400</v>
      </c>
      <c r="O1357" s="22" t="n">
        <f aca="false">IF(DAY(B1357)=1,Assumptions!B38*G1357,0)</f>
        <v>0</v>
      </c>
      <c r="P1357" s="22" t="n">
        <f aca="false">IF(DAY(B1357)=1,Assumptions!B39*G1357,0)</f>
        <v>0</v>
      </c>
      <c r="Q1357" s="22" t="n">
        <f aca="false">IF(DAY(B1357)=1,Assumptions!B40*G1357,0)</f>
        <v>0</v>
      </c>
      <c r="R1357" s="22" t="n">
        <f aca="false">IF(DAY(B1357)=1,Assumptions!B41*G1357,0)</f>
        <v>0</v>
      </c>
      <c r="S1357" s="22" t="n">
        <f aca="false">IF(AND(DAY(B1357)=1,D1357&gt;=13),Assumptions!B42*G1357,0)</f>
        <v>0</v>
      </c>
      <c r="T1357" s="22" t="n">
        <f aca="false">IF(DAY(B1357)=1,Assumptions!B43*G1357,0)</f>
        <v>0</v>
      </c>
      <c r="U1357" s="22" t="n">
        <f aca="false">SUM(O1357:T1357)</f>
        <v>0</v>
      </c>
      <c r="V1357" s="22" t="n">
        <f aca="false">N1357-U1357</f>
        <v>20400</v>
      </c>
      <c r="W1357" s="22" t="n">
        <f aca="false">W1356+V1357</f>
        <v>-921033.718818856</v>
      </c>
      <c r="X1357" s="23" t="str">
        <f aca="false">IF(W1357&gt;=0,"YES","No")</f>
        <v>No</v>
      </c>
    </row>
    <row r="1358" customFormat="false" ht="15" hidden="false" customHeight="false" outlineLevel="0" collapsed="false">
      <c r="A1358" s="16" t="n">
        <v>1357</v>
      </c>
      <c r="B1358" s="17" t="n">
        <f aca="false">B1357+1</f>
        <v>47379</v>
      </c>
      <c r="C1358" s="18" t="n">
        <f aca="false">MIN(ROUNDUP(A1358/365,0),5)</f>
        <v>4</v>
      </c>
      <c r="D1358" s="18" t="n">
        <f aca="false">DATEDIF(Assumptions!B5,B1358,"m")+1</f>
        <v>45</v>
      </c>
      <c r="E1358" s="18" t="str">
        <f aca="false">TEXT(B1358,"ddd")</f>
        <v>Tue</v>
      </c>
      <c r="F1358" s="19" t="n">
        <f aca="false">IF(WEEKDAY(B1358,2)&gt;=6,Assumptions!B34,Assumptions!B35)</f>
        <v>1</v>
      </c>
      <c r="G1358" s="20" t="n">
        <f aca="false">IF(D1358&gt;=13,(1+Assumptions!B46)^(D1358-12),1)</f>
        <v>1.1039026850095</v>
      </c>
      <c r="H1358" s="21" t="n">
        <f aca="false">H1357*(1+IF(C1358=1,Assumptions!B22,Assumptions!B23))</f>
        <v>24.4880901555787</v>
      </c>
      <c r="I1358" s="16" t="n">
        <f aca="false">ROUND(H1358*F1358,0)</f>
        <v>24</v>
      </c>
      <c r="J1358" s="22" t="n">
        <f aca="false">I1358*Assumptions!B24</f>
        <v>14400</v>
      </c>
      <c r="K1358" s="21" t="n">
        <f aca="false">K1357*(1+Assumptions!B30)</f>
        <v>20.4700104774187</v>
      </c>
      <c r="L1358" s="16" t="n">
        <f aca="false">ROUND(K1358*F1358,0)</f>
        <v>20</v>
      </c>
      <c r="M1358" s="22" t="n">
        <f aca="false">L1358*Assumptions!B31</f>
        <v>6000</v>
      </c>
      <c r="N1358" s="22" t="n">
        <f aca="false">J1358+M1358</f>
        <v>20400</v>
      </c>
      <c r="O1358" s="22" t="n">
        <f aca="false">IF(DAY(B1358)=1,Assumptions!B38*G1358,0)</f>
        <v>0</v>
      </c>
      <c r="P1358" s="22" t="n">
        <f aca="false">IF(DAY(B1358)=1,Assumptions!B39*G1358,0)</f>
        <v>0</v>
      </c>
      <c r="Q1358" s="22" t="n">
        <f aca="false">IF(DAY(B1358)=1,Assumptions!B40*G1358,0)</f>
        <v>0</v>
      </c>
      <c r="R1358" s="22" t="n">
        <f aca="false">IF(DAY(B1358)=1,Assumptions!B41*G1358,0)</f>
        <v>0</v>
      </c>
      <c r="S1358" s="22" t="n">
        <f aca="false">IF(AND(DAY(B1358)=1,D1358&gt;=13),Assumptions!B42*G1358,0)</f>
        <v>0</v>
      </c>
      <c r="T1358" s="22" t="n">
        <f aca="false">IF(DAY(B1358)=1,Assumptions!B43*G1358,0)</f>
        <v>0</v>
      </c>
      <c r="U1358" s="22" t="n">
        <f aca="false">SUM(O1358:T1358)</f>
        <v>0</v>
      </c>
      <c r="V1358" s="22" t="n">
        <f aca="false">N1358-U1358</f>
        <v>20400</v>
      </c>
      <c r="W1358" s="22" t="n">
        <f aca="false">W1357+V1358</f>
        <v>-900633.718818856</v>
      </c>
      <c r="X1358" s="23" t="str">
        <f aca="false">IF(W1358&gt;=0,"YES","No")</f>
        <v>No</v>
      </c>
    </row>
    <row r="1359" customFormat="false" ht="15" hidden="false" customHeight="false" outlineLevel="0" collapsed="false">
      <c r="A1359" s="16" t="n">
        <v>1358</v>
      </c>
      <c r="B1359" s="17" t="n">
        <f aca="false">B1358+1</f>
        <v>47380</v>
      </c>
      <c r="C1359" s="18" t="n">
        <f aca="false">MIN(ROUNDUP(A1359/365,0),5)</f>
        <v>4</v>
      </c>
      <c r="D1359" s="18" t="n">
        <f aca="false">DATEDIF(Assumptions!B5,B1359,"m")+1</f>
        <v>45</v>
      </c>
      <c r="E1359" s="18" t="str">
        <f aca="false">TEXT(B1359,"ddd")</f>
        <v>Wed</v>
      </c>
      <c r="F1359" s="19" t="n">
        <f aca="false">IF(WEEKDAY(B1359,2)&gt;=6,Assumptions!B34,Assumptions!B35)</f>
        <v>1</v>
      </c>
      <c r="G1359" s="20" t="n">
        <f aca="false">IF(D1359&gt;=13,(1+Assumptions!B46)^(D1359-12),1)</f>
        <v>1.1039026850095</v>
      </c>
      <c r="H1359" s="21" t="n">
        <f aca="false">H1358*(1+IF(C1359=1,Assumptions!B22,Assumptions!B23))</f>
        <v>24.4921028156496</v>
      </c>
      <c r="I1359" s="16" t="n">
        <f aca="false">ROUND(H1359*F1359,0)</f>
        <v>24</v>
      </c>
      <c r="J1359" s="22" t="n">
        <f aca="false">I1359*Assumptions!B24</f>
        <v>14400</v>
      </c>
      <c r="K1359" s="21" t="n">
        <f aca="false">K1358*(1+Assumptions!B30)</f>
        <v>20.476702877905</v>
      </c>
      <c r="L1359" s="16" t="n">
        <f aca="false">ROUND(K1359*F1359,0)</f>
        <v>20</v>
      </c>
      <c r="M1359" s="22" t="n">
        <f aca="false">L1359*Assumptions!B31</f>
        <v>6000</v>
      </c>
      <c r="N1359" s="22" t="n">
        <f aca="false">J1359+M1359</f>
        <v>20400</v>
      </c>
      <c r="O1359" s="22" t="n">
        <f aca="false">IF(DAY(B1359)=1,Assumptions!B38*G1359,0)</f>
        <v>0</v>
      </c>
      <c r="P1359" s="22" t="n">
        <f aca="false">IF(DAY(B1359)=1,Assumptions!B39*G1359,0)</f>
        <v>0</v>
      </c>
      <c r="Q1359" s="22" t="n">
        <f aca="false">IF(DAY(B1359)=1,Assumptions!B40*G1359,0)</f>
        <v>0</v>
      </c>
      <c r="R1359" s="22" t="n">
        <f aca="false">IF(DAY(B1359)=1,Assumptions!B41*G1359,0)</f>
        <v>0</v>
      </c>
      <c r="S1359" s="22" t="n">
        <f aca="false">IF(AND(DAY(B1359)=1,D1359&gt;=13),Assumptions!B42*G1359,0)</f>
        <v>0</v>
      </c>
      <c r="T1359" s="22" t="n">
        <f aca="false">IF(DAY(B1359)=1,Assumptions!B43*G1359,0)</f>
        <v>0</v>
      </c>
      <c r="U1359" s="22" t="n">
        <f aca="false">SUM(O1359:T1359)</f>
        <v>0</v>
      </c>
      <c r="V1359" s="22" t="n">
        <f aca="false">N1359-U1359</f>
        <v>20400</v>
      </c>
      <c r="W1359" s="22" t="n">
        <f aca="false">W1358+V1359</f>
        <v>-880233.718818856</v>
      </c>
      <c r="X1359" s="23" t="str">
        <f aca="false">IF(W1359&gt;=0,"YES","No")</f>
        <v>No</v>
      </c>
    </row>
    <row r="1360" customFormat="false" ht="15" hidden="false" customHeight="false" outlineLevel="0" collapsed="false">
      <c r="A1360" s="16" t="n">
        <v>1359</v>
      </c>
      <c r="B1360" s="17" t="n">
        <f aca="false">B1359+1</f>
        <v>47381</v>
      </c>
      <c r="C1360" s="18" t="n">
        <f aca="false">MIN(ROUNDUP(A1360/365,0),5)</f>
        <v>4</v>
      </c>
      <c r="D1360" s="18" t="n">
        <f aca="false">DATEDIF(Assumptions!B5,B1360,"m")+1</f>
        <v>45</v>
      </c>
      <c r="E1360" s="18" t="str">
        <f aca="false">TEXT(B1360,"ddd")</f>
        <v>Thu</v>
      </c>
      <c r="F1360" s="19" t="n">
        <f aca="false">IF(WEEKDAY(B1360,2)&gt;=6,Assumptions!B34,Assumptions!B35)</f>
        <v>1</v>
      </c>
      <c r="G1360" s="20" t="n">
        <f aca="false">IF(D1360&gt;=13,(1+Assumptions!B46)^(D1360-12),1)</f>
        <v>1.1039026850095</v>
      </c>
      <c r="H1360" s="21" t="n">
        <f aca="false">H1359*(1+IF(C1360=1,Assumptions!B22,Assumptions!B23))</f>
        <v>24.4961161332418</v>
      </c>
      <c r="I1360" s="16" t="n">
        <f aca="false">ROUND(H1360*F1360,0)</f>
        <v>24</v>
      </c>
      <c r="J1360" s="22" t="n">
        <f aca="false">I1360*Assumptions!B24</f>
        <v>14400</v>
      </c>
      <c r="K1360" s="21" t="n">
        <f aca="false">K1359*(1+Assumptions!B30)</f>
        <v>20.4833974663836</v>
      </c>
      <c r="L1360" s="16" t="n">
        <f aca="false">ROUND(K1360*F1360,0)</f>
        <v>20</v>
      </c>
      <c r="M1360" s="22" t="n">
        <f aca="false">L1360*Assumptions!B31</f>
        <v>6000</v>
      </c>
      <c r="N1360" s="22" t="n">
        <f aca="false">J1360+M1360</f>
        <v>20400</v>
      </c>
      <c r="O1360" s="22" t="n">
        <f aca="false">IF(DAY(B1360)=1,Assumptions!B38*G1360,0)</f>
        <v>0</v>
      </c>
      <c r="P1360" s="22" t="n">
        <f aca="false">IF(DAY(B1360)=1,Assumptions!B39*G1360,0)</f>
        <v>0</v>
      </c>
      <c r="Q1360" s="22" t="n">
        <f aca="false">IF(DAY(B1360)=1,Assumptions!B40*G1360,0)</f>
        <v>0</v>
      </c>
      <c r="R1360" s="22" t="n">
        <f aca="false">IF(DAY(B1360)=1,Assumptions!B41*G1360,0)</f>
        <v>0</v>
      </c>
      <c r="S1360" s="22" t="n">
        <f aca="false">IF(AND(DAY(B1360)=1,D1360&gt;=13),Assumptions!B42*G1360,0)</f>
        <v>0</v>
      </c>
      <c r="T1360" s="22" t="n">
        <f aca="false">IF(DAY(B1360)=1,Assumptions!B43*G1360,0)</f>
        <v>0</v>
      </c>
      <c r="U1360" s="22" t="n">
        <f aca="false">SUM(O1360:T1360)</f>
        <v>0</v>
      </c>
      <c r="V1360" s="22" t="n">
        <f aca="false">N1360-U1360</f>
        <v>20400</v>
      </c>
      <c r="W1360" s="22" t="n">
        <f aca="false">W1359+V1360</f>
        <v>-859833.718818856</v>
      </c>
      <c r="X1360" s="23" t="str">
        <f aca="false">IF(W1360&gt;=0,"YES","No")</f>
        <v>No</v>
      </c>
    </row>
    <row r="1361" customFormat="false" ht="15" hidden="false" customHeight="false" outlineLevel="0" collapsed="false">
      <c r="A1361" s="16" t="n">
        <v>1360</v>
      </c>
      <c r="B1361" s="17" t="n">
        <f aca="false">B1360+1</f>
        <v>47382</v>
      </c>
      <c r="C1361" s="18" t="n">
        <f aca="false">MIN(ROUNDUP(A1361/365,0),5)</f>
        <v>4</v>
      </c>
      <c r="D1361" s="18" t="n">
        <f aca="false">DATEDIF(Assumptions!B5,B1361,"m")+1</f>
        <v>45</v>
      </c>
      <c r="E1361" s="18" t="str">
        <f aca="false">TEXT(B1361,"ddd")</f>
        <v>Fri</v>
      </c>
      <c r="F1361" s="19" t="n">
        <f aca="false">IF(WEEKDAY(B1361,2)&gt;=6,Assumptions!B34,Assumptions!B35)</f>
        <v>1</v>
      </c>
      <c r="G1361" s="20" t="n">
        <f aca="false">IF(D1361&gt;=13,(1+Assumptions!B46)^(D1361-12),1)</f>
        <v>1.1039026850095</v>
      </c>
      <c r="H1361" s="21" t="n">
        <f aca="false">H1360*(1+IF(C1361=1,Assumptions!B22,Assumptions!B23))</f>
        <v>24.500130108463</v>
      </c>
      <c r="I1361" s="16" t="n">
        <f aca="false">ROUND(H1361*F1361,0)</f>
        <v>25</v>
      </c>
      <c r="J1361" s="22" t="n">
        <f aca="false">I1361*Assumptions!B24</f>
        <v>15000</v>
      </c>
      <c r="K1361" s="21" t="n">
        <f aca="false">K1360*(1+Assumptions!B30)</f>
        <v>20.4900942435698</v>
      </c>
      <c r="L1361" s="16" t="n">
        <f aca="false">ROUND(K1361*F1361,0)</f>
        <v>20</v>
      </c>
      <c r="M1361" s="22" t="n">
        <f aca="false">L1361*Assumptions!B31</f>
        <v>6000</v>
      </c>
      <c r="N1361" s="22" t="n">
        <f aca="false">J1361+M1361</f>
        <v>21000</v>
      </c>
      <c r="O1361" s="22" t="n">
        <f aca="false">IF(DAY(B1361)=1,Assumptions!B38*G1361,0)</f>
        <v>0</v>
      </c>
      <c r="P1361" s="22" t="n">
        <f aca="false">IF(DAY(B1361)=1,Assumptions!B39*G1361,0)</f>
        <v>0</v>
      </c>
      <c r="Q1361" s="22" t="n">
        <f aca="false">IF(DAY(B1361)=1,Assumptions!B40*G1361,0)</f>
        <v>0</v>
      </c>
      <c r="R1361" s="22" t="n">
        <f aca="false">IF(DAY(B1361)=1,Assumptions!B41*G1361,0)</f>
        <v>0</v>
      </c>
      <c r="S1361" s="22" t="n">
        <f aca="false">IF(AND(DAY(B1361)=1,D1361&gt;=13),Assumptions!B42*G1361,0)</f>
        <v>0</v>
      </c>
      <c r="T1361" s="22" t="n">
        <f aca="false">IF(DAY(B1361)=1,Assumptions!B43*G1361,0)</f>
        <v>0</v>
      </c>
      <c r="U1361" s="22" t="n">
        <f aca="false">SUM(O1361:T1361)</f>
        <v>0</v>
      </c>
      <c r="V1361" s="22" t="n">
        <f aca="false">N1361-U1361</f>
        <v>21000</v>
      </c>
      <c r="W1361" s="22" t="n">
        <f aca="false">W1360+V1361</f>
        <v>-838833.718818856</v>
      </c>
      <c r="X1361" s="23" t="str">
        <f aca="false">IF(W1361&gt;=0,"YES","No")</f>
        <v>No</v>
      </c>
    </row>
    <row r="1362" customFormat="false" ht="15" hidden="false" customHeight="false" outlineLevel="0" collapsed="false">
      <c r="A1362" s="16" t="n">
        <v>1361</v>
      </c>
      <c r="B1362" s="17" t="n">
        <f aca="false">B1361+1</f>
        <v>47383</v>
      </c>
      <c r="C1362" s="18" t="n">
        <f aca="false">MIN(ROUNDUP(A1362/365,0),5)</f>
        <v>4</v>
      </c>
      <c r="D1362" s="18" t="n">
        <f aca="false">DATEDIF(Assumptions!B5,B1362,"m")+1</f>
        <v>45</v>
      </c>
      <c r="E1362" s="18" t="str">
        <f aca="false">TEXT(B1362,"ddd")</f>
        <v>Sat</v>
      </c>
      <c r="F1362" s="19" t="n">
        <f aca="false">IF(WEEKDAY(B1362,2)&gt;=6,Assumptions!B34,Assumptions!B35)</f>
        <v>0.6</v>
      </c>
      <c r="G1362" s="20" t="n">
        <f aca="false">IF(D1362&gt;=13,(1+Assumptions!B46)^(D1362-12),1)</f>
        <v>1.1039026850095</v>
      </c>
      <c r="H1362" s="21" t="n">
        <f aca="false">H1361*(1+IF(C1362=1,Assumptions!B22,Assumptions!B23))</f>
        <v>24.5041447414211</v>
      </c>
      <c r="I1362" s="16" t="n">
        <f aca="false">ROUND(H1362*F1362,0)</f>
        <v>15</v>
      </c>
      <c r="J1362" s="22" t="n">
        <f aca="false">I1362*Assumptions!B24</f>
        <v>9000</v>
      </c>
      <c r="K1362" s="21" t="n">
        <f aca="false">K1361*(1+Assumptions!B30)</f>
        <v>20.4967932101791</v>
      </c>
      <c r="L1362" s="16" t="n">
        <f aca="false">ROUND(K1362*F1362,0)</f>
        <v>12</v>
      </c>
      <c r="M1362" s="22" t="n">
        <f aca="false">L1362*Assumptions!B31</f>
        <v>3600</v>
      </c>
      <c r="N1362" s="22" t="n">
        <f aca="false">J1362+M1362</f>
        <v>12600</v>
      </c>
      <c r="O1362" s="22" t="n">
        <f aca="false">IF(DAY(B1362)=1,Assumptions!B38*G1362,0)</f>
        <v>0</v>
      </c>
      <c r="P1362" s="22" t="n">
        <f aca="false">IF(DAY(B1362)=1,Assumptions!B39*G1362,0)</f>
        <v>0</v>
      </c>
      <c r="Q1362" s="22" t="n">
        <f aca="false">IF(DAY(B1362)=1,Assumptions!B40*G1362,0)</f>
        <v>0</v>
      </c>
      <c r="R1362" s="22" t="n">
        <f aca="false">IF(DAY(B1362)=1,Assumptions!B41*G1362,0)</f>
        <v>0</v>
      </c>
      <c r="S1362" s="22" t="n">
        <f aca="false">IF(AND(DAY(B1362)=1,D1362&gt;=13),Assumptions!B42*G1362,0)</f>
        <v>0</v>
      </c>
      <c r="T1362" s="22" t="n">
        <f aca="false">IF(DAY(B1362)=1,Assumptions!B43*G1362,0)</f>
        <v>0</v>
      </c>
      <c r="U1362" s="22" t="n">
        <f aca="false">SUM(O1362:T1362)</f>
        <v>0</v>
      </c>
      <c r="V1362" s="22" t="n">
        <f aca="false">N1362-U1362</f>
        <v>12600</v>
      </c>
      <c r="W1362" s="22" t="n">
        <f aca="false">W1361+V1362</f>
        <v>-826233.718818856</v>
      </c>
      <c r="X1362" s="23" t="str">
        <f aca="false">IF(W1362&gt;=0,"YES","No")</f>
        <v>No</v>
      </c>
    </row>
    <row r="1363" customFormat="false" ht="15" hidden="false" customHeight="false" outlineLevel="0" collapsed="false">
      <c r="A1363" s="16" t="n">
        <v>1362</v>
      </c>
      <c r="B1363" s="17" t="n">
        <f aca="false">B1362+1</f>
        <v>47384</v>
      </c>
      <c r="C1363" s="18" t="n">
        <f aca="false">MIN(ROUNDUP(A1363/365,0),5)</f>
        <v>4</v>
      </c>
      <c r="D1363" s="18" t="n">
        <f aca="false">DATEDIF(Assumptions!B5,B1363,"m")+1</f>
        <v>45</v>
      </c>
      <c r="E1363" s="18" t="str">
        <f aca="false">TEXT(B1363,"ddd")</f>
        <v>Sun</v>
      </c>
      <c r="F1363" s="19" t="n">
        <f aca="false">IF(WEEKDAY(B1363,2)&gt;=6,Assumptions!B34,Assumptions!B35)</f>
        <v>0.6</v>
      </c>
      <c r="G1363" s="20" t="n">
        <f aca="false">IF(D1363&gt;=13,(1+Assumptions!B46)^(D1363-12),1)</f>
        <v>1.1039026850095</v>
      </c>
      <c r="H1363" s="21" t="n">
        <f aca="false">H1362*(1+IF(C1363=1,Assumptions!B22,Assumptions!B23))</f>
        <v>24.5081600322237</v>
      </c>
      <c r="I1363" s="16" t="n">
        <f aca="false">ROUND(H1363*F1363,0)</f>
        <v>15</v>
      </c>
      <c r="J1363" s="22" t="n">
        <f aca="false">I1363*Assumptions!B24</f>
        <v>9000</v>
      </c>
      <c r="K1363" s="21" t="n">
        <f aca="false">K1362*(1+Assumptions!B30)</f>
        <v>20.5034943669273</v>
      </c>
      <c r="L1363" s="16" t="n">
        <f aca="false">ROUND(K1363*F1363,0)</f>
        <v>12</v>
      </c>
      <c r="M1363" s="22" t="n">
        <f aca="false">L1363*Assumptions!B31</f>
        <v>3600</v>
      </c>
      <c r="N1363" s="22" t="n">
        <f aca="false">J1363+M1363</f>
        <v>12600</v>
      </c>
      <c r="O1363" s="22" t="n">
        <f aca="false">IF(DAY(B1363)=1,Assumptions!B38*G1363,0)</f>
        <v>0</v>
      </c>
      <c r="P1363" s="22" t="n">
        <f aca="false">IF(DAY(B1363)=1,Assumptions!B39*G1363,0)</f>
        <v>0</v>
      </c>
      <c r="Q1363" s="22" t="n">
        <f aca="false">IF(DAY(B1363)=1,Assumptions!B40*G1363,0)</f>
        <v>0</v>
      </c>
      <c r="R1363" s="22" t="n">
        <f aca="false">IF(DAY(B1363)=1,Assumptions!B41*G1363,0)</f>
        <v>0</v>
      </c>
      <c r="S1363" s="22" t="n">
        <f aca="false">IF(AND(DAY(B1363)=1,D1363&gt;=13),Assumptions!B42*G1363,0)</f>
        <v>0</v>
      </c>
      <c r="T1363" s="22" t="n">
        <f aca="false">IF(DAY(B1363)=1,Assumptions!B43*G1363,0)</f>
        <v>0</v>
      </c>
      <c r="U1363" s="22" t="n">
        <f aca="false">SUM(O1363:T1363)</f>
        <v>0</v>
      </c>
      <c r="V1363" s="22" t="n">
        <f aca="false">N1363-U1363</f>
        <v>12600</v>
      </c>
      <c r="W1363" s="22" t="n">
        <f aca="false">W1362+V1363</f>
        <v>-813633.718818856</v>
      </c>
      <c r="X1363" s="23" t="str">
        <f aca="false">IF(W1363&gt;=0,"YES","No")</f>
        <v>No</v>
      </c>
    </row>
    <row r="1364" customFormat="false" ht="15" hidden="false" customHeight="false" outlineLevel="0" collapsed="false">
      <c r="A1364" s="16" t="n">
        <v>1363</v>
      </c>
      <c r="B1364" s="17" t="n">
        <f aca="false">B1363+1</f>
        <v>47385</v>
      </c>
      <c r="C1364" s="18" t="n">
        <f aca="false">MIN(ROUNDUP(A1364/365,0),5)</f>
        <v>4</v>
      </c>
      <c r="D1364" s="18" t="n">
        <f aca="false">DATEDIF(Assumptions!B5,B1364,"m")+1</f>
        <v>45</v>
      </c>
      <c r="E1364" s="18" t="str">
        <f aca="false">TEXT(B1364,"ddd")</f>
        <v>Mon</v>
      </c>
      <c r="F1364" s="19" t="n">
        <f aca="false">IF(WEEKDAY(B1364,2)&gt;=6,Assumptions!B34,Assumptions!B35)</f>
        <v>1</v>
      </c>
      <c r="G1364" s="20" t="n">
        <f aca="false">IF(D1364&gt;=13,(1+Assumptions!B46)^(D1364-12),1)</f>
        <v>1.1039026850095</v>
      </c>
      <c r="H1364" s="21" t="n">
        <f aca="false">H1363*(1+IF(C1364=1,Assumptions!B22,Assumptions!B23))</f>
        <v>24.5121759809787</v>
      </c>
      <c r="I1364" s="16" t="n">
        <f aca="false">ROUND(H1364*F1364,0)</f>
        <v>25</v>
      </c>
      <c r="J1364" s="22" t="n">
        <f aca="false">I1364*Assumptions!B24</f>
        <v>15000</v>
      </c>
      <c r="K1364" s="21" t="n">
        <f aca="false">K1363*(1+Assumptions!B30)</f>
        <v>20.5101977145306</v>
      </c>
      <c r="L1364" s="16" t="n">
        <f aca="false">ROUND(K1364*F1364,0)</f>
        <v>21</v>
      </c>
      <c r="M1364" s="22" t="n">
        <f aca="false">L1364*Assumptions!B31</f>
        <v>6300</v>
      </c>
      <c r="N1364" s="22" t="n">
        <f aca="false">J1364+M1364</f>
        <v>21300</v>
      </c>
      <c r="O1364" s="22" t="n">
        <f aca="false">IF(DAY(B1364)=1,Assumptions!B38*G1364,0)</f>
        <v>0</v>
      </c>
      <c r="P1364" s="22" t="n">
        <f aca="false">IF(DAY(B1364)=1,Assumptions!B39*G1364,0)</f>
        <v>0</v>
      </c>
      <c r="Q1364" s="22" t="n">
        <f aca="false">IF(DAY(B1364)=1,Assumptions!B40*G1364,0)</f>
        <v>0</v>
      </c>
      <c r="R1364" s="22" t="n">
        <f aca="false">IF(DAY(B1364)=1,Assumptions!B41*G1364,0)</f>
        <v>0</v>
      </c>
      <c r="S1364" s="22" t="n">
        <f aca="false">IF(AND(DAY(B1364)=1,D1364&gt;=13),Assumptions!B42*G1364,0)</f>
        <v>0</v>
      </c>
      <c r="T1364" s="22" t="n">
        <f aca="false">IF(DAY(B1364)=1,Assumptions!B43*G1364,0)</f>
        <v>0</v>
      </c>
      <c r="U1364" s="22" t="n">
        <f aca="false">SUM(O1364:T1364)</f>
        <v>0</v>
      </c>
      <c r="V1364" s="22" t="n">
        <f aca="false">N1364-U1364</f>
        <v>21300</v>
      </c>
      <c r="W1364" s="22" t="n">
        <f aca="false">W1363+V1364</f>
        <v>-792333.718818856</v>
      </c>
      <c r="X1364" s="23" t="str">
        <f aca="false">IF(W1364&gt;=0,"YES","No")</f>
        <v>No</v>
      </c>
    </row>
    <row r="1365" customFormat="false" ht="15" hidden="false" customHeight="false" outlineLevel="0" collapsed="false">
      <c r="A1365" s="16" t="n">
        <v>1364</v>
      </c>
      <c r="B1365" s="17" t="n">
        <f aca="false">B1364+1</f>
        <v>47386</v>
      </c>
      <c r="C1365" s="18" t="n">
        <f aca="false">MIN(ROUNDUP(A1365/365,0),5)</f>
        <v>4</v>
      </c>
      <c r="D1365" s="18" t="n">
        <f aca="false">DATEDIF(Assumptions!B5,B1365,"m")+1</f>
        <v>45</v>
      </c>
      <c r="E1365" s="18" t="str">
        <f aca="false">TEXT(B1365,"ddd")</f>
        <v>Tue</v>
      </c>
      <c r="F1365" s="19" t="n">
        <f aca="false">IF(WEEKDAY(B1365,2)&gt;=6,Assumptions!B34,Assumptions!B35)</f>
        <v>1</v>
      </c>
      <c r="G1365" s="20" t="n">
        <f aca="false">IF(D1365&gt;=13,(1+Assumptions!B46)^(D1365-12),1)</f>
        <v>1.1039026850095</v>
      </c>
      <c r="H1365" s="21" t="n">
        <f aca="false">H1364*(1+IF(C1365=1,Assumptions!B22,Assumptions!B23))</f>
        <v>24.5161925877939</v>
      </c>
      <c r="I1365" s="16" t="n">
        <f aca="false">ROUND(H1365*F1365,0)</f>
        <v>25</v>
      </c>
      <c r="J1365" s="22" t="n">
        <f aca="false">I1365*Assumptions!B24</f>
        <v>15000</v>
      </c>
      <c r="K1365" s="21" t="n">
        <f aca="false">K1364*(1+Assumptions!B30)</f>
        <v>20.5169032537051</v>
      </c>
      <c r="L1365" s="16" t="n">
        <f aca="false">ROUND(K1365*F1365,0)</f>
        <v>21</v>
      </c>
      <c r="M1365" s="22" t="n">
        <f aca="false">L1365*Assumptions!B31</f>
        <v>6300</v>
      </c>
      <c r="N1365" s="22" t="n">
        <f aca="false">J1365+M1365</f>
        <v>21300</v>
      </c>
      <c r="O1365" s="22" t="n">
        <f aca="false">IF(DAY(B1365)=1,Assumptions!B38*G1365,0)</f>
        <v>0</v>
      </c>
      <c r="P1365" s="22" t="n">
        <f aca="false">IF(DAY(B1365)=1,Assumptions!B39*G1365,0)</f>
        <v>0</v>
      </c>
      <c r="Q1365" s="22" t="n">
        <f aca="false">IF(DAY(B1365)=1,Assumptions!B40*G1365,0)</f>
        <v>0</v>
      </c>
      <c r="R1365" s="22" t="n">
        <f aca="false">IF(DAY(B1365)=1,Assumptions!B41*G1365,0)</f>
        <v>0</v>
      </c>
      <c r="S1365" s="22" t="n">
        <f aca="false">IF(AND(DAY(B1365)=1,D1365&gt;=13),Assumptions!B42*G1365,0)</f>
        <v>0</v>
      </c>
      <c r="T1365" s="22" t="n">
        <f aca="false">IF(DAY(B1365)=1,Assumptions!B43*G1365,0)</f>
        <v>0</v>
      </c>
      <c r="U1365" s="22" t="n">
        <f aca="false">SUM(O1365:T1365)</f>
        <v>0</v>
      </c>
      <c r="V1365" s="22" t="n">
        <f aca="false">N1365-U1365</f>
        <v>21300</v>
      </c>
      <c r="W1365" s="22" t="n">
        <f aca="false">W1364+V1365</f>
        <v>-771033.718818856</v>
      </c>
      <c r="X1365" s="23" t="str">
        <f aca="false">IF(W1365&gt;=0,"YES","No")</f>
        <v>No</v>
      </c>
    </row>
    <row r="1366" customFormat="false" ht="15" hidden="false" customHeight="false" outlineLevel="0" collapsed="false">
      <c r="A1366" s="16" t="n">
        <v>1365</v>
      </c>
      <c r="B1366" s="17" t="n">
        <f aca="false">B1365+1</f>
        <v>47387</v>
      </c>
      <c r="C1366" s="18" t="n">
        <f aca="false">MIN(ROUNDUP(A1366/365,0),5)</f>
        <v>4</v>
      </c>
      <c r="D1366" s="18" t="n">
        <f aca="false">DATEDIF(Assumptions!B5,B1366,"m")+1</f>
        <v>45</v>
      </c>
      <c r="E1366" s="18" t="str">
        <f aca="false">TEXT(B1366,"ddd")</f>
        <v>Wed</v>
      </c>
      <c r="F1366" s="19" t="n">
        <f aca="false">IF(WEEKDAY(B1366,2)&gt;=6,Assumptions!B34,Assumptions!B35)</f>
        <v>1</v>
      </c>
      <c r="G1366" s="20" t="n">
        <f aca="false">IF(D1366&gt;=13,(1+Assumptions!B46)^(D1366-12),1)</f>
        <v>1.1039026850095</v>
      </c>
      <c r="H1366" s="21" t="n">
        <f aca="false">H1365*(1+IF(C1366=1,Assumptions!B22,Assumptions!B23))</f>
        <v>24.5202098527771</v>
      </c>
      <c r="I1366" s="16" t="n">
        <f aca="false">ROUND(H1366*F1366,0)</f>
        <v>25</v>
      </c>
      <c r="J1366" s="22" t="n">
        <f aca="false">I1366*Assumptions!B24</f>
        <v>15000</v>
      </c>
      <c r="K1366" s="21" t="n">
        <f aca="false">K1365*(1+Assumptions!B30)</f>
        <v>20.5236109851674</v>
      </c>
      <c r="L1366" s="16" t="n">
        <f aca="false">ROUND(K1366*F1366,0)</f>
        <v>21</v>
      </c>
      <c r="M1366" s="22" t="n">
        <f aca="false">L1366*Assumptions!B31</f>
        <v>6300</v>
      </c>
      <c r="N1366" s="22" t="n">
        <f aca="false">J1366+M1366</f>
        <v>21300</v>
      </c>
      <c r="O1366" s="22" t="n">
        <f aca="false">IF(DAY(B1366)=1,Assumptions!B38*G1366,0)</f>
        <v>0</v>
      </c>
      <c r="P1366" s="22" t="n">
        <f aca="false">IF(DAY(B1366)=1,Assumptions!B39*G1366,0)</f>
        <v>0</v>
      </c>
      <c r="Q1366" s="22" t="n">
        <f aca="false">IF(DAY(B1366)=1,Assumptions!B40*G1366,0)</f>
        <v>0</v>
      </c>
      <c r="R1366" s="22" t="n">
        <f aca="false">IF(DAY(B1366)=1,Assumptions!B41*G1366,0)</f>
        <v>0</v>
      </c>
      <c r="S1366" s="22" t="n">
        <f aca="false">IF(AND(DAY(B1366)=1,D1366&gt;=13),Assumptions!B42*G1366,0)</f>
        <v>0</v>
      </c>
      <c r="T1366" s="22" t="n">
        <f aca="false">IF(DAY(B1366)=1,Assumptions!B43*G1366,0)</f>
        <v>0</v>
      </c>
      <c r="U1366" s="22" t="n">
        <f aca="false">SUM(O1366:T1366)</f>
        <v>0</v>
      </c>
      <c r="V1366" s="22" t="n">
        <f aca="false">N1366-U1366</f>
        <v>21300</v>
      </c>
      <c r="W1366" s="22" t="n">
        <f aca="false">W1365+V1366</f>
        <v>-749733.718818856</v>
      </c>
      <c r="X1366" s="23" t="str">
        <f aca="false">IF(W1366&gt;=0,"YES","No")</f>
        <v>No</v>
      </c>
    </row>
    <row r="1367" customFormat="false" ht="15" hidden="false" customHeight="false" outlineLevel="0" collapsed="false">
      <c r="A1367" s="16" t="n">
        <v>1366</v>
      </c>
      <c r="B1367" s="17" t="n">
        <f aca="false">B1366+1</f>
        <v>47388</v>
      </c>
      <c r="C1367" s="18" t="n">
        <f aca="false">MIN(ROUNDUP(A1367/365,0),5)</f>
        <v>4</v>
      </c>
      <c r="D1367" s="18" t="n">
        <f aca="false">DATEDIF(Assumptions!B5,B1367,"m")+1</f>
        <v>45</v>
      </c>
      <c r="E1367" s="18" t="str">
        <f aca="false">TEXT(B1367,"ddd")</f>
        <v>Thu</v>
      </c>
      <c r="F1367" s="19" t="n">
        <f aca="false">IF(WEEKDAY(B1367,2)&gt;=6,Assumptions!B34,Assumptions!B35)</f>
        <v>1</v>
      </c>
      <c r="G1367" s="20" t="n">
        <f aca="false">IF(D1367&gt;=13,(1+Assumptions!B46)^(D1367-12),1)</f>
        <v>1.1039026850095</v>
      </c>
      <c r="H1367" s="21" t="n">
        <f aca="false">H1366*(1+IF(C1367=1,Assumptions!B22,Assumptions!B23))</f>
        <v>24.5242277760361</v>
      </c>
      <c r="I1367" s="16" t="n">
        <f aca="false">ROUND(H1367*F1367,0)</f>
        <v>25</v>
      </c>
      <c r="J1367" s="22" t="n">
        <f aca="false">I1367*Assumptions!B24</f>
        <v>15000</v>
      </c>
      <c r="K1367" s="21" t="n">
        <f aca="false">K1366*(1+Assumptions!B30)</f>
        <v>20.5303209096342</v>
      </c>
      <c r="L1367" s="16" t="n">
        <f aca="false">ROUND(K1367*F1367,0)</f>
        <v>21</v>
      </c>
      <c r="M1367" s="22" t="n">
        <f aca="false">L1367*Assumptions!B31</f>
        <v>6300</v>
      </c>
      <c r="N1367" s="22" t="n">
        <f aca="false">J1367+M1367</f>
        <v>21300</v>
      </c>
      <c r="O1367" s="22" t="n">
        <f aca="false">IF(DAY(B1367)=1,Assumptions!B38*G1367,0)</f>
        <v>0</v>
      </c>
      <c r="P1367" s="22" t="n">
        <f aca="false">IF(DAY(B1367)=1,Assumptions!B39*G1367,0)</f>
        <v>0</v>
      </c>
      <c r="Q1367" s="22" t="n">
        <f aca="false">IF(DAY(B1367)=1,Assumptions!B40*G1367,0)</f>
        <v>0</v>
      </c>
      <c r="R1367" s="22" t="n">
        <f aca="false">IF(DAY(B1367)=1,Assumptions!B41*G1367,0)</f>
        <v>0</v>
      </c>
      <c r="S1367" s="22" t="n">
        <f aca="false">IF(AND(DAY(B1367)=1,D1367&gt;=13),Assumptions!B42*G1367,0)</f>
        <v>0</v>
      </c>
      <c r="T1367" s="22" t="n">
        <f aca="false">IF(DAY(B1367)=1,Assumptions!B43*G1367,0)</f>
        <v>0</v>
      </c>
      <c r="U1367" s="22" t="n">
        <f aca="false">SUM(O1367:T1367)</f>
        <v>0</v>
      </c>
      <c r="V1367" s="22" t="n">
        <f aca="false">N1367-U1367</f>
        <v>21300</v>
      </c>
      <c r="W1367" s="22" t="n">
        <f aca="false">W1366+V1367</f>
        <v>-728433.718818856</v>
      </c>
      <c r="X1367" s="23" t="str">
        <f aca="false">IF(W1367&gt;=0,"YES","No")</f>
        <v>No</v>
      </c>
    </row>
    <row r="1368" customFormat="false" ht="15" hidden="false" customHeight="false" outlineLevel="0" collapsed="false">
      <c r="A1368" s="16" t="n">
        <v>1367</v>
      </c>
      <c r="B1368" s="17" t="n">
        <f aca="false">B1367+1</f>
        <v>47389</v>
      </c>
      <c r="C1368" s="18" t="n">
        <f aca="false">MIN(ROUNDUP(A1368/365,0),5)</f>
        <v>4</v>
      </c>
      <c r="D1368" s="18" t="n">
        <f aca="false">DATEDIF(Assumptions!B5,B1368,"m")+1</f>
        <v>45</v>
      </c>
      <c r="E1368" s="18" t="str">
        <f aca="false">TEXT(B1368,"ddd")</f>
        <v>Fri</v>
      </c>
      <c r="F1368" s="19" t="n">
        <f aca="false">IF(WEEKDAY(B1368,2)&gt;=6,Assumptions!B34,Assumptions!B35)</f>
        <v>1</v>
      </c>
      <c r="G1368" s="20" t="n">
        <f aca="false">IF(D1368&gt;=13,(1+Assumptions!B46)^(D1368-12),1)</f>
        <v>1.1039026850095</v>
      </c>
      <c r="H1368" s="21" t="n">
        <f aca="false">H1367*(1+IF(C1368=1,Assumptions!B22,Assumptions!B23))</f>
        <v>24.5282463576789</v>
      </c>
      <c r="I1368" s="16" t="n">
        <f aca="false">ROUND(H1368*F1368,0)</f>
        <v>25</v>
      </c>
      <c r="J1368" s="22" t="n">
        <f aca="false">I1368*Assumptions!B24</f>
        <v>15000</v>
      </c>
      <c r="K1368" s="21" t="n">
        <f aca="false">K1367*(1+Assumptions!B30)</f>
        <v>20.5370330278225</v>
      </c>
      <c r="L1368" s="16" t="n">
        <f aca="false">ROUND(K1368*F1368,0)</f>
        <v>21</v>
      </c>
      <c r="M1368" s="22" t="n">
        <f aca="false">L1368*Assumptions!B31</f>
        <v>6300</v>
      </c>
      <c r="N1368" s="22" t="n">
        <f aca="false">J1368+M1368</f>
        <v>21300</v>
      </c>
      <c r="O1368" s="22" t="n">
        <f aca="false">IF(DAY(B1368)=1,Assumptions!B38*G1368,0)</f>
        <v>0</v>
      </c>
      <c r="P1368" s="22" t="n">
        <f aca="false">IF(DAY(B1368)=1,Assumptions!B39*G1368,0)</f>
        <v>0</v>
      </c>
      <c r="Q1368" s="22" t="n">
        <f aca="false">IF(DAY(B1368)=1,Assumptions!B40*G1368,0)</f>
        <v>0</v>
      </c>
      <c r="R1368" s="22" t="n">
        <f aca="false">IF(DAY(B1368)=1,Assumptions!B41*G1368,0)</f>
        <v>0</v>
      </c>
      <c r="S1368" s="22" t="n">
        <f aca="false">IF(AND(DAY(B1368)=1,D1368&gt;=13),Assumptions!B42*G1368,0)</f>
        <v>0</v>
      </c>
      <c r="T1368" s="22" t="n">
        <f aca="false">IF(DAY(B1368)=1,Assumptions!B43*G1368,0)</f>
        <v>0</v>
      </c>
      <c r="U1368" s="22" t="n">
        <f aca="false">SUM(O1368:T1368)</f>
        <v>0</v>
      </c>
      <c r="V1368" s="22" t="n">
        <f aca="false">N1368-U1368</f>
        <v>21300</v>
      </c>
      <c r="W1368" s="22" t="n">
        <f aca="false">W1367+V1368</f>
        <v>-707133.718818856</v>
      </c>
      <c r="X1368" s="23" t="str">
        <f aca="false">IF(W1368&gt;=0,"YES","No")</f>
        <v>No</v>
      </c>
    </row>
    <row r="1369" customFormat="false" ht="15" hidden="false" customHeight="false" outlineLevel="0" collapsed="false">
      <c r="A1369" s="16" t="n">
        <v>1368</v>
      </c>
      <c r="B1369" s="17" t="n">
        <f aca="false">B1368+1</f>
        <v>47390</v>
      </c>
      <c r="C1369" s="18" t="n">
        <f aca="false">MIN(ROUNDUP(A1369/365,0),5)</f>
        <v>4</v>
      </c>
      <c r="D1369" s="18" t="n">
        <f aca="false">DATEDIF(Assumptions!B5,B1369,"m")+1</f>
        <v>45</v>
      </c>
      <c r="E1369" s="18" t="str">
        <f aca="false">TEXT(B1369,"ddd")</f>
        <v>Sat</v>
      </c>
      <c r="F1369" s="19" t="n">
        <f aca="false">IF(WEEKDAY(B1369,2)&gt;=6,Assumptions!B34,Assumptions!B35)</f>
        <v>0.6</v>
      </c>
      <c r="G1369" s="20" t="n">
        <f aca="false">IF(D1369&gt;=13,(1+Assumptions!B46)^(D1369-12),1)</f>
        <v>1.1039026850095</v>
      </c>
      <c r="H1369" s="21" t="n">
        <f aca="false">H1368*(1+IF(C1369=1,Assumptions!B22,Assumptions!B23))</f>
        <v>24.5322655978133</v>
      </c>
      <c r="I1369" s="16" t="n">
        <f aca="false">ROUND(H1369*F1369,0)</f>
        <v>15</v>
      </c>
      <c r="J1369" s="22" t="n">
        <f aca="false">I1369*Assumptions!B24</f>
        <v>9000</v>
      </c>
      <c r="K1369" s="21" t="n">
        <f aca="false">K1368*(1+Assumptions!B30)</f>
        <v>20.5437473404495</v>
      </c>
      <c r="L1369" s="16" t="n">
        <f aca="false">ROUND(K1369*F1369,0)</f>
        <v>12</v>
      </c>
      <c r="M1369" s="22" t="n">
        <f aca="false">L1369*Assumptions!B31</f>
        <v>3600</v>
      </c>
      <c r="N1369" s="22" t="n">
        <f aca="false">J1369+M1369</f>
        <v>12600</v>
      </c>
      <c r="O1369" s="22" t="n">
        <f aca="false">IF(DAY(B1369)=1,Assumptions!B38*G1369,0)</f>
        <v>0</v>
      </c>
      <c r="P1369" s="22" t="n">
        <f aca="false">IF(DAY(B1369)=1,Assumptions!B39*G1369,0)</f>
        <v>0</v>
      </c>
      <c r="Q1369" s="22" t="n">
        <f aca="false">IF(DAY(B1369)=1,Assumptions!B40*G1369,0)</f>
        <v>0</v>
      </c>
      <c r="R1369" s="22" t="n">
        <f aca="false">IF(DAY(B1369)=1,Assumptions!B41*G1369,0)</f>
        <v>0</v>
      </c>
      <c r="S1369" s="22" t="n">
        <f aca="false">IF(AND(DAY(B1369)=1,D1369&gt;=13),Assumptions!B42*G1369,0)</f>
        <v>0</v>
      </c>
      <c r="T1369" s="22" t="n">
        <f aca="false">IF(DAY(B1369)=1,Assumptions!B43*G1369,0)</f>
        <v>0</v>
      </c>
      <c r="U1369" s="22" t="n">
        <f aca="false">SUM(O1369:T1369)</f>
        <v>0</v>
      </c>
      <c r="V1369" s="22" t="n">
        <f aca="false">N1369-U1369</f>
        <v>12600</v>
      </c>
      <c r="W1369" s="22" t="n">
        <f aca="false">W1368+V1369</f>
        <v>-694533.718818856</v>
      </c>
      <c r="X1369" s="23" t="str">
        <f aca="false">IF(W1369&gt;=0,"YES","No")</f>
        <v>No</v>
      </c>
    </row>
    <row r="1370" customFormat="false" ht="15" hidden="false" customHeight="false" outlineLevel="0" collapsed="false">
      <c r="A1370" s="16" t="n">
        <v>1369</v>
      </c>
      <c r="B1370" s="17" t="n">
        <f aca="false">B1369+1</f>
        <v>47391</v>
      </c>
      <c r="C1370" s="18" t="n">
        <f aca="false">MIN(ROUNDUP(A1370/365,0),5)</f>
        <v>4</v>
      </c>
      <c r="D1370" s="18" t="n">
        <f aca="false">DATEDIF(Assumptions!B5,B1370,"m")+1</f>
        <v>45</v>
      </c>
      <c r="E1370" s="18" t="str">
        <f aca="false">TEXT(B1370,"ddd")</f>
        <v>Sun</v>
      </c>
      <c r="F1370" s="19" t="n">
        <f aca="false">IF(WEEKDAY(B1370,2)&gt;=6,Assumptions!B34,Assumptions!B35)</f>
        <v>0.6</v>
      </c>
      <c r="G1370" s="20" t="n">
        <f aca="false">IF(D1370&gt;=13,(1+Assumptions!B46)^(D1370-12),1)</f>
        <v>1.1039026850095</v>
      </c>
      <c r="H1370" s="21" t="n">
        <f aca="false">H1369*(1+IF(C1370=1,Assumptions!B22,Assumptions!B23))</f>
        <v>24.5362854965473</v>
      </c>
      <c r="I1370" s="16" t="n">
        <f aca="false">ROUND(H1370*F1370,0)</f>
        <v>15</v>
      </c>
      <c r="J1370" s="22" t="n">
        <f aca="false">I1370*Assumptions!B24</f>
        <v>9000</v>
      </c>
      <c r="K1370" s="21" t="n">
        <f aca="false">K1369*(1+Assumptions!B30)</f>
        <v>20.5504638482326</v>
      </c>
      <c r="L1370" s="16" t="n">
        <f aca="false">ROUND(K1370*F1370,0)</f>
        <v>12</v>
      </c>
      <c r="M1370" s="22" t="n">
        <f aca="false">L1370*Assumptions!B31</f>
        <v>3600</v>
      </c>
      <c r="N1370" s="22" t="n">
        <f aca="false">J1370+M1370</f>
        <v>12600</v>
      </c>
      <c r="O1370" s="22" t="n">
        <f aca="false">IF(DAY(B1370)=1,Assumptions!B38*G1370,0)</f>
        <v>0</v>
      </c>
      <c r="P1370" s="22" t="n">
        <f aca="false">IF(DAY(B1370)=1,Assumptions!B39*G1370,0)</f>
        <v>0</v>
      </c>
      <c r="Q1370" s="22" t="n">
        <f aca="false">IF(DAY(B1370)=1,Assumptions!B40*G1370,0)</f>
        <v>0</v>
      </c>
      <c r="R1370" s="22" t="n">
        <f aca="false">IF(DAY(B1370)=1,Assumptions!B41*G1370,0)</f>
        <v>0</v>
      </c>
      <c r="S1370" s="22" t="n">
        <f aca="false">IF(AND(DAY(B1370)=1,D1370&gt;=13),Assumptions!B42*G1370,0)</f>
        <v>0</v>
      </c>
      <c r="T1370" s="22" t="n">
        <f aca="false">IF(DAY(B1370)=1,Assumptions!B43*G1370,0)</f>
        <v>0</v>
      </c>
      <c r="U1370" s="22" t="n">
        <f aca="false">SUM(O1370:T1370)</f>
        <v>0</v>
      </c>
      <c r="V1370" s="22" t="n">
        <f aca="false">N1370-U1370</f>
        <v>12600</v>
      </c>
      <c r="W1370" s="22" t="n">
        <f aca="false">W1369+V1370</f>
        <v>-681933.718818856</v>
      </c>
      <c r="X1370" s="23" t="str">
        <f aca="false">IF(W1370&gt;=0,"YES","No")</f>
        <v>No</v>
      </c>
    </row>
    <row r="1371" customFormat="false" ht="15" hidden="false" customHeight="false" outlineLevel="0" collapsed="false">
      <c r="A1371" s="16" t="n">
        <v>1370</v>
      </c>
      <c r="B1371" s="17" t="n">
        <f aca="false">B1370+1</f>
        <v>47392</v>
      </c>
      <c r="C1371" s="18" t="n">
        <f aca="false">MIN(ROUNDUP(A1371/365,0),5)</f>
        <v>4</v>
      </c>
      <c r="D1371" s="18" t="n">
        <f aca="false">DATEDIF(Assumptions!B5,B1371,"m")+1</f>
        <v>46</v>
      </c>
      <c r="E1371" s="18" t="str">
        <f aca="false">TEXT(B1371,"ddd")</f>
        <v>Mon</v>
      </c>
      <c r="F1371" s="19" t="n">
        <f aca="false">IF(WEEKDAY(B1371,2)&gt;=6,Assumptions!B34,Assumptions!B35)</f>
        <v>1</v>
      </c>
      <c r="G1371" s="20" t="n">
        <f aca="false">IF(D1371&gt;=13,(1+Assumptions!B46)^(D1371-12),1)</f>
        <v>1.10721439306452</v>
      </c>
      <c r="H1371" s="21" t="n">
        <f aca="false">H1370*(1+IF(C1371=1,Assumptions!B22,Assumptions!B23))</f>
        <v>24.5403060539887</v>
      </c>
      <c r="I1371" s="16" t="n">
        <f aca="false">ROUND(H1371*F1371,0)</f>
        <v>25</v>
      </c>
      <c r="J1371" s="22" t="n">
        <f aca="false">I1371*Assumptions!B24</f>
        <v>15000</v>
      </c>
      <c r="K1371" s="21" t="n">
        <f aca="false">K1370*(1+Assumptions!B30)</f>
        <v>20.5571825518896</v>
      </c>
      <c r="L1371" s="16" t="n">
        <f aca="false">ROUND(K1371*F1371,0)</f>
        <v>21</v>
      </c>
      <c r="M1371" s="22" t="n">
        <f aca="false">L1371*Assumptions!B31</f>
        <v>6300</v>
      </c>
      <c r="N1371" s="22" t="n">
        <f aca="false">J1371+M1371</f>
        <v>21300</v>
      </c>
      <c r="O1371" s="22" t="n">
        <f aca="false">IF(DAY(B1371)=1,Assumptions!B38*G1371,0)</f>
        <v>166082.158959679</v>
      </c>
      <c r="P1371" s="22" t="n">
        <f aca="false">IF(DAY(B1371)=1,Assumptions!B39*G1371,0)</f>
        <v>44288.575722581</v>
      </c>
      <c r="Q1371" s="22" t="n">
        <f aca="false">IF(DAY(B1371)=1,Assumptions!B40*G1371,0)</f>
        <v>33216.4317919357</v>
      </c>
      <c r="R1371" s="22" t="n">
        <f aca="false">IF(DAY(B1371)=1,Assumptions!B41*G1371,0)</f>
        <v>22144.2878612905</v>
      </c>
      <c r="S1371" s="22" t="n">
        <f aca="false">IF(AND(DAY(B1371)=1,D1371&gt;=13),Assumptions!B42*G1371,0)</f>
        <v>166082.158959679</v>
      </c>
      <c r="T1371" s="22" t="n">
        <f aca="false">IF(DAY(B1371)=1,Assumptions!B43*G1371,0)</f>
        <v>22144.2878612905</v>
      </c>
      <c r="U1371" s="22" t="n">
        <f aca="false">SUM(O1371:T1371)</f>
        <v>453957.901156455</v>
      </c>
      <c r="V1371" s="22" t="n">
        <f aca="false">N1371-U1371</f>
        <v>-432657.901156455</v>
      </c>
      <c r="W1371" s="22" t="n">
        <f aca="false">W1370+V1371</f>
        <v>-1114591.61997531</v>
      </c>
      <c r="X1371" s="23" t="str">
        <f aca="false">IF(W1371&gt;=0,"YES","No")</f>
        <v>No</v>
      </c>
    </row>
    <row r="1372" customFormat="false" ht="15" hidden="false" customHeight="false" outlineLevel="0" collapsed="false">
      <c r="A1372" s="16" t="n">
        <v>1371</v>
      </c>
      <c r="B1372" s="17" t="n">
        <f aca="false">B1371+1</f>
        <v>47393</v>
      </c>
      <c r="C1372" s="18" t="n">
        <f aca="false">MIN(ROUNDUP(A1372/365,0),5)</f>
        <v>4</v>
      </c>
      <c r="D1372" s="18" t="n">
        <f aca="false">DATEDIF(Assumptions!B5,B1372,"m")+1</f>
        <v>46</v>
      </c>
      <c r="E1372" s="18" t="str">
        <f aca="false">TEXT(B1372,"ddd")</f>
        <v>Tue</v>
      </c>
      <c r="F1372" s="19" t="n">
        <f aca="false">IF(WEEKDAY(B1372,2)&gt;=6,Assumptions!B34,Assumptions!B35)</f>
        <v>1</v>
      </c>
      <c r="G1372" s="20" t="n">
        <f aca="false">IF(D1372&gt;=13,(1+Assumptions!B46)^(D1372-12),1)</f>
        <v>1.10721439306452</v>
      </c>
      <c r="H1372" s="21" t="n">
        <f aca="false">H1371*(1+IF(C1372=1,Assumptions!B22,Assumptions!B23))</f>
        <v>24.5443272702454</v>
      </c>
      <c r="I1372" s="16" t="n">
        <f aca="false">ROUND(H1372*F1372,0)</f>
        <v>25</v>
      </c>
      <c r="J1372" s="22" t="n">
        <f aca="false">I1372*Assumptions!B24</f>
        <v>15000</v>
      </c>
      <c r="K1372" s="21" t="n">
        <f aca="false">K1371*(1+Assumptions!B30)</f>
        <v>20.5639034521382</v>
      </c>
      <c r="L1372" s="16" t="n">
        <f aca="false">ROUND(K1372*F1372,0)</f>
        <v>21</v>
      </c>
      <c r="M1372" s="22" t="n">
        <f aca="false">L1372*Assumptions!B31</f>
        <v>6300</v>
      </c>
      <c r="N1372" s="22" t="n">
        <f aca="false">J1372+M1372</f>
        <v>21300</v>
      </c>
      <c r="O1372" s="22" t="n">
        <f aca="false">IF(DAY(B1372)=1,Assumptions!B38*G1372,0)</f>
        <v>0</v>
      </c>
      <c r="P1372" s="22" t="n">
        <f aca="false">IF(DAY(B1372)=1,Assumptions!B39*G1372,0)</f>
        <v>0</v>
      </c>
      <c r="Q1372" s="22" t="n">
        <f aca="false">IF(DAY(B1372)=1,Assumptions!B40*G1372,0)</f>
        <v>0</v>
      </c>
      <c r="R1372" s="22" t="n">
        <f aca="false">IF(DAY(B1372)=1,Assumptions!B41*G1372,0)</f>
        <v>0</v>
      </c>
      <c r="S1372" s="22" t="n">
        <f aca="false">IF(AND(DAY(B1372)=1,D1372&gt;=13),Assumptions!B42*G1372,0)</f>
        <v>0</v>
      </c>
      <c r="T1372" s="22" t="n">
        <f aca="false">IF(DAY(B1372)=1,Assumptions!B43*G1372,0)</f>
        <v>0</v>
      </c>
      <c r="U1372" s="22" t="n">
        <f aca="false">SUM(O1372:T1372)</f>
        <v>0</v>
      </c>
      <c r="V1372" s="22" t="n">
        <f aca="false">N1372-U1372</f>
        <v>21300</v>
      </c>
      <c r="W1372" s="22" t="n">
        <f aca="false">W1371+V1372</f>
        <v>-1093291.61997531</v>
      </c>
      <c r="X1372" s="23" t="str">
        <f aca="false">IF(W1372&gt;=0,"YES","No")</f>
        <v>No</v>
      </c>
    </row>
    <row r="1373" customFormat="false" ht="15" hidden="false" customHeight="false" outlineLevel="0" collapsed="false">
      <c r="A1373" s="16" t="n">
        <v>1372</v>
      </c>
      <c r="B1373" s="17" t="n">
        <f aca="false">B1372+1</f>
        <v>47394</v>
      </c>
      <c r="C1373" s="18" t="n">
        <f aca="false">MIN(ROUNDUP(A1373/365,0),5)</f>
        <v>4</v>
      </c>
      <c r="D1373" s="18" t="n">
        <f aca="false">DATEDIF(Assumptions!B5,B1373,"m")+1</f>
        <v>46</v>
      </c>
      <c r="E1373" s="18" t="str">
        <f aca="false">TEXT(B1373,"ddd")</f>
        <v>Wed</v>
      </c>
      <c r="F1373" s="19" t="n">
        <f aca="false">IF(WEEKDAY(B1373,2)&gt;=6,Assumptions!B34,Assumptions!B35)</f>
        <v>1</v>
      </c>
      <c r="G1373" s="20" t="n">
        <f aca="false">IF(D1373&gt;=13,(1+Assumptions!B46)^(D1373-12),1)</f>
        <v>1.10721439306452</v>
      </c>
      <c r="H1373" s="21" t="n">
        <f aca="false">H1372*(1+IF(C1373=1,Assumptions!B22,Assumptions!B23))</f>
        <v>24.5483491454255</v>
      </c>
      <c r="I1373" s="16" t="n">
        <f aca="false">ROUND(H1373*F1373,0)</f>
        <v>25</v>
      </c>
      <c r="J1373" s="22" t="n">
        <f aca="false">I1373*Assumptions!B24</f>
        <v>15000</v>
      </c>
      <c r="K1373" s="21" t="n">
        <f aca="false">K1372*(1+Assumptions!B30)</f>
        <v>20.5706265496967</v>
      </c>
      <c r="L1373" s="16" t="n">
        <f aca="false">ROUND(K1373*F1373,0)</f>
        <v>21</v>
      </c>
      <c r="M1373" s="22" t="n">
        <f aca="false">L1373*Assumptions!B31</f>
        <v>6300</v>
      </c>
      <c r="N1373" s="22" t="n">
        <f aca="false">J1373+M1373</f>
        <v>21300</v>
      </c>
      <c r="O1373" s="22" t="n">
        <f aca="false">IF(DAY(B1373)=1,Assumptions!B38*G1373,0)</f>
        <v>0</v>
      </c>
      <c r="P1373" s="22" t="n">
        <f aca="false">IF(DAY(B1373)=1,Assumptions!B39*G1373,0)</f>
        <v>0</v>
      </c>
      <c r="Q1373" s="22" t="n">
        <f aca="false">IF(DAY(B1373)=1,Assumptions!B40*G1373,0)</f>
        <v>0</v>
      </c>
      <c r="R1373" s="22" t="n">
        <f aca="false">IF(DAY(B1373)=1,Assumptions!B41*G1373,0)</f>
        <v>0</v>
      </c>
      <c r="S1373" s="22" t="n">
        <f aca="false">IF(AND(DAY(B1373)=1,D1373&gt;=13),Assumptions!B42*G1373,0)</f>
        <v>0</v>
      </c>
      <c r="T1373" s="22" t="n">
        <f aca="false">IF(DAY(B1373)=1,Assumptions!B43*G1373,0)</f>
        <v>0</v>
      </c>
      <c r="U1373" s="22" t="n">
        <f aca="false">SUM(O1373:T1373)</f>
        <v>0</v>
      </c>
      <c r="V1373" s="22" t="n">
        <f aca="false">N1373-U1373</f>
        <v>21300</v>
      </c>
      <c r="W1373" s="22" t="n">
        <f aca="false">W1372+V1373</f>
        <v>-1071991.61997531</v>
      </c>
      <c r="X1373" s="23" t="str">
        <f aca="false">IF(W1373&gt;=0,"YES","No")</f>
        <v>No</v>
      </c>
    </row>
    <row r="1374" customFormat="false" ht="15" hidden="false" customHeight="false" outlineLevel="0" collapsed="false">
      <c r="A1374" s="16" t="n">
        <v>1373</v>
      </c>
      <c r="B1374" s="17" t="n">
        <f aca="false">B1373+1</f>
        <v>47395</v>
      </c>
      <c r="C1374" s="18" t="n">
        <f aca="false">MIN(ROUNDUP(A1374/365,0),5)</f>
        <v>4</v>
      </c>
      <c r="D1374" s="18" t="n">
        <f aca="false">DATEDIF(Assumptions!B5,B1374,"m")+1</f>
        <v>46</v>
      </c>
      <c r="E1374" s="18" t="str">
        <f aca="false">TEXT(B1374,"ddd")</f>
        <v>Thu</v>
      </c>
      <c r="F1374" s="19" t="n">
        <f aca="false">IF(WEEKDAY(B1374,2)&gt;=6,Assumptions!B34,Assumptions!B35)</f>
        <v>1</v>
      </c>
      <c r="G1374" s="20" t="n">
        <f aca="false">IF(D1374&gt;=13,(1+Assumptions!B46)^(D1374-12),1)</f>
        <v>1.10721439306452</v>
      </c>
      <c r="H1374" s="21" t="n">
        <f aca="false">H1373*(1+IF(C1374=1,Assumptions!B22,Assumptions!B23))</f>
        <v>24.5523716796369</v>
      </c>
      <c r="I1374" s="16" t="n">
        <f aca="false">ROUND(H1374*F1374,0)</f>
        <v>25</v>
      </c>
      <c r="J1374" s="22" t="n">
        <f aca="false">I1374*Assumptions!B24</f>
        <v>15000</v>
      </c>
      <c r="K1374" s="21" t="n">
        <f aca="false">K1373*(1+Assumptions!B30)</f>
        <v>20.5773518452835</v>
      </c>
      <c r="L1374" s="16" t="n">
        <f aca="false">ROUND(K1374*F1374,0)</f>
        <v>21</v>
      </c>
      <c r="M1374" s="22" t="n">
        <f aca="false">L1374*Assumptions!B31</f>
        <v>6300</v>
      </c>
      <c r="N1374" s="22" t="n">
        <f aca="false">J1374+M1374</f>
        <v>21300</v>
      </c>
      <c r="O1374" s="22" t="n">
        <f aca="false">IF(DAY(B1374)=1,Assumptions!B38*G1374,0)</f>
        <v>0</v>
      </c>
      <c r="P1374" s="22" t="n">
        <f aca="false">IF(DAY(B1374)=1,Assumptions!B39*G1374,0)</f>
        <v>0</v>
      </c>
      <c r="Q1374" s="22" t="n">
        <f aca="false">IF(DAY(B1374)=1,Assumptions!B40*G1374,0)</f>
        <v>0</v>
      </c>
      <c r="R1374" s="22" t="n">
        <f aca="false">IF(DAY(B1374)=1,Assumptions!B41*G1374,0)</f>
        <v>0</v>
      </c>
      <c r="S1374" s="22" t="n">
        <f aca="false">IF(AND(DAY(B1374)=1,D1374&gt;=13),Assumptions!B42*G1374,0)</f>
        <v>0</v>
      </c>
      <c r="T1374" s="22" t="n">
        <f aca="false">IF(DAY(B1374)=1,Assumptions!B43*G1374,0)</f>
        <v>0</v>
      </c>
      <c r="U1374" s="22" t="n">
        <f aca="false">SUM(O1374:T1374)</f>
        <v>0</v>
      </c>
      <c r="V1374" s="22" t="n">
        <f aca="false">N1374-U1374</f>
        <v>21300</v>
      </c>
      <c r="W1374" s="22" t="n">
        <f aca="false">W1373+V1374</f>
        <v>-1050691.61997531</v>
      </c>
      <c r="X1374" s="23" t="str">
        <f aca="false">IF(W1374&gt;=0,"YES","No")</f>
        <v>No</v>
      </c>
    </row>
    <row r="1375" customFormat="false" ht="15" hidden="false" customHeight="false" outlineLevel="0" collapsed="false">
      <c r="A1375" s="16" t="n">
        <v>1374</v>
      </c>
      <c r="B1375" s="17" t="n">
        <f aca="false">B1374+1</f>
        <v>47396</v>
      </c>
      <c r="C1375" s="18" t="n">
        <f aca="false">MIN(ROUNDUP(A1375/365,0),5)</f>
        <v>4</v>
      </c>
      <c r="D1375" s="18" t="n">
        <f aca="false">DATEDIF(Assumptions!B5,B1375,"m")+1</f>
        <v>46</v>
      </c>
      <c r="E1375" s="18" t="str">
        <f aca="false">TEXT(B1375,"ddd")</f>
        <v>Fri</v>
      </c>
      <c r="F1375" s="19" t="n">
        <f aca="false">IF(WEEKDAY(B1375,2)&gt;=6,Assumptions!B34,Assumptions!B35)</f>
        <v>1</v>
      </c>
      <c r="G1375" s="20" t="n">
        <f aca="false">IF(D1375&gt;=13,(1+Assumptions!B46)^(D1375-12),1)</f>
        <v>1.10721439306452</v>
      </c>
      <c r="H1375" s="21" t="n">
        <f aca="false">H1374*(1+IF(C1375=1,Assumptions!B22,Assumptions!B23))</f>
        <v>24.5563948729875</v>
      </c>
      <c r="I1375" s="16" t="n">
        <f aca="false">ROUND(H1375*F1375,0)</f>
        <v>25</v>
      </c>
      <c r="J1375" s="22" t="n">
        <f aca="false">I1375*Assumptions!B24</f>
        <v>15000</v>
      </c>
      <c r="K1375" s="21" t="n">
        <f aca="false">K1374*(1+Assumptions!B30)</f>
        <v>20.5840793396172</v>
      </c>
      <c r="L1375" s="16" t="n">
        <f aca="false">ROUND(K1375*F1375,0)</f>
        <v>21</v>
      </c>
      <c r="M1375" s="22" t="n">
        <f aca="false">L1375*Assumptions!B31</f>
        <v>6300</v>
      </c>
      <c r="N1375" s="22" t="n">
        <f aca="false">J1375+M1375</f>
        <v>21300</v>
      </c>
      <c r="O1375" s="22" t="n">
        <f aca="false">IF(DAY(B1375)=1,Assumptions!B38*G1375,0)</f>
        <v>0</v>
      </c>
      <c r="P1375" s="22" t="n">
        <f aca="false">IF(DAY(B1375)=1,Assumptions!B39*G1375,0)</f>
        <v>0</v>
      </c>
      <c r="Q1375" s="22" t="n">
        <f aca="false">IF(DAY(B1375)=1,Assumptions!B40*G1375,0)</f>
        <v>0</v>
      </c>
      <c r="R1375" s="22" t="n">
        <f aca="false">IF(DAY(B1375)=1,Assumptions!B41*G1375,0)</f>
        <v>0</v>
      </c>
      <c r="S1375" s="22" t="n">
        <f aca="false">IF(AND(DAY(B1375)=1,D1375&gt;=13),Assumptions!B42*G1375,0)</f>
        <v>0</v>
      </c>
      <c r="T1375" s="22" t="n">
        <f aca="false">IF(DAY(B1375)=1,Assumptions!B43*G1375,0)</f>
        <v>0</v>
      </c>
      <c r="U1375" s="22" t="n">
        <f aca="false">SUM(O1375:T1375)</f>
        <v>0</v>
      </c>
      <c r="V1375" s="22" t="n">
        <f aca="false">N1375-U1375</f>
        <v>21300</v>
      </c>
      <c r="W1375" s="22" t="n">
        <f aca="false">W1374+V1375</f>
        <v>-1029391.61997531</v>
      </c>
      <c r="X1375" s="23" t="str">
        <f aca="false">IF(W1375&gt;=0,"YES","No")</f>
        <v>No</v>
      </c>
    </row>
    <row r="1376" customFormat="false" ht="15" hidden="false" customHeight="false" outlineLevel="0" collapsed="false">
      <c r="A1376" s="16" t="n">
        <v>1375</v>
      </c>
      <c r="B1376" s="17" t="n">
        <f aca="false">B1375+1</f>
        <v>47397</v>
      </c>
      <c r="C1376" s="18" t="n">
        <f aca="false">MIN(ROUNDUP(A1376/365,0),5)</f>
        <v>4</v>
      </c>
      <c r="D1376" s="18" t="n">
        <f aca="false">DATEDIF(Assumptions!B5,B1376,"m")+1</f>
        <v>46</v>
      </c>
      <c r="E1376" s="18" t="str">
        <f aca="false">TEXT(B1376,"ddd")</f>
        <v>Sat</v>
      </c>
      <c r="F1376" s="19" t="n">
        <f aca="false">IF(WEEKDAY(B1376,2)&gt;=6,Assumptions!B34,Assumptions!B35)</f>
        <v>0.6</v>
      </c>
      <c r="G1376" s="20" t="n">
        <f aca="false">IF(D1376&gt;=13,(1+Assumptions!B46)^(D1376-12),1)</f>
        <v>1.10721439306452</v>
      </c>
      <c r="H1376" s="21" t="n">
        <f aca="false">H1375*(1+IF(C1376=1,Assumptions!B22,Assumptions!B23))</f>
        <v>24.5604187255855</v>
      </c>
      <c r="I1376" s="16" t="n">
        <f aca="false">ROUND(H1376*F1376,0)</f>
        <v>15</v>
      </c>
      <c r="J1376" s="22" t="n">
        <f aca="false">I1376*Assumptions!B24</f>
        <v>9000</v>
      </c>
      <c r="K1376" s="21" t="n">
        <f aca="false">K1375*(1+Assumptions!B30)</f>
        <v>20.5908090334165</v>
      </c>
      <c r="L1376" s="16" t="n">
        <f aca="false">ROUND(K1376*F1376,0)</f>
        <v>12</v>
      </c>
      <c r="M1376" s="22" t="n">
        <f aca="false">L1376*Assumptions!B31</f>
        <v>3600</v>
      </c>
      <c r="N1376" s="22" t="n">
        <f aca="false">J1376+M1376</f>
        <v>12600</v>
      </c>
      <c r="O1376" s="22" t="n">
        <f aca="false">IF(DAY(B1376)=1,Assumptions!B38*G1376,0)</f>
        <v>0</v>
      </c>
      <c r="P1376" s="22" t="n">
        <f aca="false">IF(DAY(B1376)=1,Assumptions!B39*G1376,0)</f>
        <v>0</v>
      </c>
      <c r="Q1376" s="22" t="n">
        <f aca="false">IF(DAY(B1376)=1,Assumptions!B40*G1376,0)</f>
        <v>0</v>
      </c>
      <c r="R1376" s="22" t="n">
        <f aca="false">IF(DAY(B1376)=1,Assumptions!B41*G1376,0)</f>
        <v>0</v>
      </c>
      <c r="S1376" s="22" t="n">
        <f aca="false">IF(AND(DAY(B1376)=1,D1376&gt;=13),Assumptions!B42*G1376,0)</f>
        <v>0</v>
      </c>
      <c r="T1376" s="22" t="n">
        <f aca="false">IF(DAY(B1376)=1,Assumptions!B43*G1376,0)</f>
        <v>0</v>
      </c>
      <c r="U1376" s="22" t="n">
        <f aca="false">SUM(O1376:T1376)</f>
        <v>0</v>
      </c>
      <c r="V1376" s="22" t="n">
        <f aca="false">N1376-U1376</f>
        <v>12600</v>
      </c>
      <c r="W1376" s="22" t="n">
        <f aca="false">W1375+V1376</f>
        <v>-1016791.61997531</v>
      </c>
      <c r="X1376" s="23" t="str">
        <f aca="false">IF(W1376&gt;=0,"YES","No")</f>
        <v>No</v>
      </c>
    </row>
    <row r="1377" customFormat="false" ht="15" hidden="false" customHeight="false" outlineLevel="0" collapsed="false">
      <c r="A1377" s="16" t="n">
        <v>1376</v>
      </c>
      <c r="B1377" s="17" t="n">
        <f aca="false">B1376+1</f>
        <v>47398</v>
      </c>
      <c r="C1377" s="18" t="n">
        <f aca="false">MIN(ROUNDUP(A1377/365,0),5)</f>
        <v>4</v>
      </c>
      <c r="D1377" s="18" t="n">
        <f aca="false">DATEDIF(Assumptions!B5,B1377,"m")+1</f>
        <v>46</v>
      </c>
      <c r="E1377" s="18" t="str">
        <f aca="false">TEXT(B1377,"ddd")</f>
        <v>Sun</v>
      </c>
      <c r="F1377" s="19" t="n">
        <f aca="false">IF(WEEKDAY(B1377,2)&gt;=6,Assumptions!B34,Assumptions!B35)</f>
        <v>0.6</v>
      </c>
      <c r="G1377" s="20" t="n">
        <f aca="false">IF(D1377&gt;=13,(1+Assumptions!B46)^(D1377-12),1)</f>
        <v>1.10721439306452</v>
      </c>
      <c r="H1377" s="21" t="n">
        <f aca="false">H1376*(1+IF(C1377=1,Assumptions!B22,Assumptions!B23))</f>
        <v>24.5644432375388</v>
      </c>
      <c r="I1377" s="16" t="n">
        <f aca="false">ROUND(H1377*F1377,0)</f>
        <v>15</v>
      </c>
      <c r="J1377" s="22" t="n">
        <f aca="false">I1377*Assumptions!B24</f>
        <v>9000</v>
      </c>
      <c r="K1377" s="21" t="n">
        <f aca="false">K1376*(1+Assumptions!B30)</f>
        <v>20.5975409274007</v>
      </c>
      <c r="L1377" s="16" t="n">
        <f aca="false">ROUND(K1377*F1377,0)</f>
        <v>12</v>
      </c>
      <c r="M1377" s="22" t="n">
        <f aca="false">L1377*Assumptions!B31</f>
        <v>3600</v>
      </c>
      <c r="N1377" s="22" t="n">
        <f aca="false">J1377+M1377</f>
        <v>12600</v>
      </c>
      <c r="O1377" s="22" t="n">
        <f aca="false">IF(DAY(B1377)=1,Assumptions!B38*G1377,0)</f>
        <v>0</v>
      </c>
      <c r="P1377" s="22" t="n">
        <f aca="false">IF(DAY(B1377)=1,Assumptions!B39*G1377,0)</f>
        <v>0</v>
      </c>
      <c r="Q1377" s="22" t="n">
        <f aca="false">IF(DAY(B1377)=1,Assumptions!B40*G1377,0)</f>
        <v>0</v>
      </c>
      <c r="R1377" s="22" t="n">
        <f aca="false">IF(DAY(B1377)=1,Assumptions!B41*G1377,0)</f>
        <v>0</v>
      </c>
      <c r="S1377" s="22" t="n">
        <f aca="false">IF(AND(DAY(B1377)=1,D1377&gt;=13),Assumptions!B42*G1377,0)</f>
        <v>0</v>
      </c>
      <c r="T1377" s="22" t="n">
        <f aca="false">IF(DAY(B1377)=1,Assumptions!B43*G1377,0)</f>
        <v>0</v>
      </c>
      <c r="U1377" s="22" t="n">
        <f aca="false">SUM(O1377:T1377)</f>
        <v>0</v>
      </c>
      <c r="V1377" s="22" t="n">
        <f aca="false">N1377-U1377</f>
        <v>12600</v>
      </c>
      <c r="W1377" s="22" t="n">
        <f aca="false">W1376+V1377</f>
        <v>-1004191.61997531</v>
      </c>
      <c r="X1377" s="23" t="str">
        <f aca="false">IF(W1377&gt;=0,"YES","No")</f>
        <v>No</v>
      </c>
    </row>
    <row r="1378" customFormat="false" ht="15" hidden="false" customHeight="false" outlineLevel="0" collapsed="false">
      <c r="A1378" s="16" t="n">
        <v>1377</v>
      </c>
      <c r="B1378" s="17" t="n">
        <f aca="false">B1377+1</f>
        <v>47399</v>
      </c>
      <c r="C1378" s="18" t="n">
        <f aca="false">MIN(ROUNDUP(A1378/365,0),5)</f>
        <v>4</v>
      </c>
      <c r="D1378" s="18" t="n">
        <f aca="false">DATEDIF(Assumptions!B5,B1378,"m")+1</f>
        <v>46</v>
      </c>
      <c r="E1378" s="18" t="str">
        <f aca="false">TEXT(B1378,"ddd")</f>
        <v>Mon</v>
      </c>
      <c r="F1378" s="19" t="n">
        <f aca="false">IF(WEEKDAY(B1378,2)&gt;=6,Assumptions!B34,Assumptions!B35)</f>
        <v>1</v>
      </c>
      <c r="G1378" s="20" t="n">
        <f aca="false">IF(D1378&gt;=13,(1+Assumptions!B46)^(D1378-12),1)</f>
        <v>1.10721439306452</v>
      </c>
      <c r="H1378" s="21" t="n">
        <f aca="false">H1377*(1+IF(C1378=1,Assumptions!B22,Assumptions!B23))</f>
        <v>24.5684684089555</v>
      </c>
      <c r="I1378" s="16" t="n">
        <f aca="false">ROUND(H1378*F1378,0)</f>
        <v>25</v>
      </c>
      <c r="J1378" s="22" t="n">
        <f aca="false">I1378*Assumptions!B24</f>
        <v>15000</v>
      </c>
      <c r="K1378" s="21" t="n">
        <f aca="false">K1377*(1+Assumptions!B30)</f>
        <v>20.604275022289</v>
      </c>
      <c r="L1378" s="16" t="n">
        <f aca="false">ROUND(K1378*F1378,0)</f>
        <v>21</v>
      </c>
      <c r="M1378" s="22" t="n">
        <f aca="false">L1378*Assumptions!B31</f>
        <v>6300</v>
      </c>
      <c r="N1378" s="22" t="n">
        <f aca="false">J1378+M1378</f>
        <v>21300</v>
      </c>
      <c r="O1378" s="22" t="n">
        <f aca="false">IF(DAY(B1378)=1,Assumptions!B38*G1378,0)</f>
        <v>0</v>
      </c>
      <c r="P1378" s="22" t="n">
        <f aca="false">IF(DAY(B1378)=1,Assumptions!B39*G1378,0)</f>
        <v>0</v>
      </c>
      <c r="Q1378" s="22" t="n">
        <f aca="false">IF(DAY(B1378)=1,Assumptions!B40*G1378,0)</f>
        <v>0</v>
      </c>
      <c r="R1378" s="22" t="n">
        <f aca="false">IF(DAY(B1378)=1,Assumptions!B41*G1378,0)</f>
        <v>0</v>
      </c>
      <c r="S1378" s="22" t="n">
        <f aca="false">IF(AND(DAY(B1378)=1,D1378&gt;=13),Assumptions!B42*G1378,0)</f>
        <v>0</v>
      </c>
      <c r="T1378" s="22" t="n">
        <f aca="false">IF(DAY(B1378)=1,Assumptions!B43*G1378,0)</f>
        <v>0</v>
      </c>
      <c r="U1378" s="22" t="n">
        <f aca="false">SUM(O1378:T1378)</f>
        <v>0</v>
      </c>
      <c r="V1378" s="22" t="n">
        <f aca="false">N1378-U1378</f>
        <v>21300</v>
      </c>
      <c r="W1378" s="22" t="n">
        <f aca="false">W1377+V1378</f>
        <v>-982891.619975311</v>
      </c>
      <c r="X1378" s="23" t="str">
        <f aca="false">IF(W1378&gt;=0,"YES","No")</f>
        <v>No</v>
      </c>
    </row>
    <row r="1379" customFormat="false" ht="15" hidden="false" customHeight="false" outlineLevel="0" collapsed="false">
      <c r="A1379" s="16" t="n">
        <v>1378</v>
      </c>
      <c r="B1379" s="17" t="n">
        <f aca="false">B1378+1</f>
        <v>47400</v>
      </c>
      <c r="C1379" s="18" t="n">
        <f aca="false">MIN(ROUNDUP(A1379/365,0),5)</f>
        <v>4</v>
      </c>
      <c r="D1379" s="18" t="n">
        <f aca="false">DATEDIF(Assumptions!B5,B1379,"m")+1</f>
        <v>46</v>
      </c>
      <c r="E1379" s="18" t="str">
        <f aca="false">TEXT(B1379,"ddd")</f>
        <v>Tue</v>
      </c>
      <c r="F1379" s="19" t="n">
        <f aca="false">IF(WEEKDAY(B1379,2)&gt;=6,Assumptions!B34,Assumptions!B35)</f>
        <v>1</v>
      </c>
      <c r="G1379" s="20" t="n">
        <f aca="false">IF(D1379&gt;=13,(1+Assumptions!B46)^(D1379-12),1)</f>
        <v>1.10721439306452</v>
      </c>
      <c r="H1379" s="21" t="n">
        <f aca="false">H1378*(1+IF(C1379=1,Assumptions!B22,Assumptions!B23))</f>
        <v>24.5724942399436</v>
      </c>
      <c r="I1379" s="16" t="n">
        <f aca="false">ROUND(H1379*F1379,0)</f>
        <v>25</v>
      </c>
      <c r="J1379" s="22" t="n">
        <f aca="false">I1379*Assumptions!B24</f>
        <v>15000</v>
      </c>
      <c r="K1379" s="21" t="n">
        <f aca="false">K1378*(1+Assumptions!B30)</f>
        <v>20.611011318801</v>
      </c>
      <c r="L1379" s="16" t="n">
        <f aca="false">ROUND(K1379*F1379,0)</f>
        <v>21</v>
      </c>
      <c r="M1379" s="22" t="n">
        <f aca="false">L1379*Assumptions!B31</f>
        <v>6300</v>
      </c>
      <c r="N1379" s="22" t="n">
        <f aca="false">J1379+M1379</f>
        <v>21300</v>
      </c>
      <c r="O1379" s="22" t="n">
        <f aca="false">IF(DAY(B1379)=1,Assumptions!B38*G1379,0)</f>
        <v>0</v>
      </c>
      <c r="P1379" s="22" t="n">
        <f aca="false">IF(DAY(B1379)=1,Assumptions!B39*G1379,0)</f>
        <v>0</v>
      </c>
      <c r="Q1379" s="22" t="n">
        <f aca="false">IF(DAY(B1379)=1,Assumptions!B40*G1379,0)</f>
        <v>0</v>
      </c>
      <c r="R1379" s="22" t="n">
        <f aca="false">IF(DAY(B1379)=1,Assumptions!B41*G1379,0)</f>
        <v>0</v>
      </c>
      <c r="S1379" s="22" t="n">
        <f aca="false">IF(AND(DAY(B1379)=1,D1379&gt;=13),Assumptions!B42*G1379,0)</f>
        <v>0</v>
      </c>
      <c r="T1379" s="22" t="n">
        <f aca="false">IF(DAY(B1379)=1,Assumptions!B43*G1379,0)</f>
        <v>0</v>
      </c>
      <c r="U1379" s="22" t="n">
        <f aca="false">SUM(O1379:T1379)</f>
        <v>0</v>
      </c>
      <c r="V1379" s="22" t="n">
        <f aca="false">N1379-U1379</f>
        <v>21300</v>
      </c>
      <c r="W1379" s="22" t="n">
        <f aca="false">W1378+V1379</f>
        <v>-961591.619975311</v>
      </c>
      <c r="X1379" s="23" t="str">
        <f aca="false">IF(W1379&gt;=0,"YES","No")</f>
        <v>No</v>
      </c>
    </row>
    <row r="1380" customFormat="false" ht="15" hidden="false" customHeight="false" outlineLevel="0" collapsed="false">
      <c r="A1380" s="16" t="n">
        <v>1379</v>
      </c>
      <c r="B1380" s="17" t="n">
        <f aca="false">B1379+1</f>
        <v>47401</v>
      </c>
      <c r="C1380" s="18" t="n">
        <f aca="false">MIN(ROUNDUP(A1380/365,0),5)</f>
        <v>4</v>
      </c>
      <c r="D1380" s="18" t="n">
        <f aca="false">DATEDIF(Assumptions!B5,B1380,"m")+1</f>
        <v>46</v>
      </c>
      <c r="E1380" s="18" t="str">
        <f aca="false">TEXT(B1380,"ddd")</f>
        <v>Wed</v>
      </c>
      <c r="F1380" s="19" t="n">
        <f aca="false">IF(WEEKDAY(B1380,2)&gt;=6,Assumptions!B34,Assumptions!B35)</f>
        <v>1</v>
      </c>
      <c r="G1380" s="20" t="n">
        <f aca="false">IF(D1380&gt;=13,(1+Assumptions!B46)^(D1380-12),1)</f>
        <v>1.10721439306452</v>
      </c>
      <c r="H1380" s="21" t="n">
        <f aca="false">H1379*(1+IF(C1380=1,Assumptions!B22,Assumptions!B23))</f>
        <v>24.5765207306112</v>
      </c>
      <c r="I1380" s="16" t="n">
        <f aca="false">ROUND(H1380*F1380,0)</f>
        <v>25</v>
      </c>
      <c r="J1380" s="22" t="n">
        <f aca="false">I1380*Assumptions!B24</f>
        <v>15000</v>
      </c>
      <c r="K1380" s="21" t="n">
        <f aca="false">K1379*(1+Assumptions!B30)</f>
        <v>20.6177498176565</v>
      </c>
      <c r="L1380" s="16" t="n">
        <f aca="false">ROUND(K1380*F1380,0)</f>
        <v>21</v>
      </c>
      <c r="M1380" s="22" t="n">
        <f aca="false">L1380*Assumptions!B31</f>
        <v>6300</v>
      </c>
      <c r="N1380" s="22" t="n">
        <f aca="false">J1380+M1380</f>
        <v>21300</v>
      </c>
      <c r="O1380" s="22" t="n">
        <f aca="false">IF(DAY(B1380)=1,Assumptions!B38*G1380,0)</f>
        <v>0</v>
      </c>
      <c r="P1380" s="22" t="n">
        <f aca="false">IF(DAY(B1380)=1,Assumptions!B39*G1380,0)</f>
        <v>0</v>
      </c>
      <c r="Q1380" s="22" t="n">
        <f aca="false">IF(DAY(B1380)=1,Assumptions!B40*G1380,0)</f>
        <v>0</v>
      </c>
      <c r="R1380" s="22" t="n">
        <f aca="false">IF(DAY(B1380)=1,Assumptions!B41*G1380,0)</f>
        <v>0</v>
      </c>
      <c r="S1380" s="22" t="n">
        <f aca="false">IF(AND(DAY(B1380)=1,D1380&gt;=13),Assumptions!B42*G1380,0)</f>
        <v>0</v>
      </c>
      <c r="T1380" s="22" t="n">
        <f aca="false">IF(DAY(B1380)=1,Assumptions!B43*G1380,0)</f>
        <v>0</v>
      </c>
      <c r="U1380" s="22" t="n">
        <f aca="false">SUM(O1380:T1380)</f>
        <v>0</v>
      </c>
      <c r="V1380" s="22" t="n">
        <f aca="false">N1380-U1380</f>
        <v>21300</v>
      </c>
      <c r="W1380" s="22" t="n">
        <f aca="false">W1379+V1380</f>
        <v>-940291.619975311</v>
      </c>
      <c r="X1380" s="23" t="str">
        <f aca="false">IF(W1380&gt;=0,"YES","No")</f>
        <v>No</v>
      </c>
    </row>
    <row r="1381" customFormat="false" ht="15" hidden="false" customHeight="false" outlineLevel="0" collapsed="false">
      <c r="A1381" s="16" t="n">
        <v>1380</v>
      </c>
      <c r="B1381" s="17" t="n">
        <f aca="false">B1380+1</f>
        <v>47402</v>
      </c>
      <c r="C1381" s="18" t="n">
        <f aca="false">MIN(ROUNDUP(A1381/365,0),5)</f>
        <v>4</v>
      </c>
      <c r="D1381" s="18" t="n">
        <f aca="false">DATEDIF(Assumptions!B5,B1381,"m")+1</f>
        <v>46</v>
      </c>
      <c r="E1381" s="18" t="str">
        <f aca="false">TEXT(B1381,"ddd")</f>
        <v>Thu</v>
      </c>
      <c r="F1381" s="19" t="n">
        <f aca="false">IF(WEEKDAY(B1381,2)&gt;=6,Assumptions!B34,Assumptions!B35)</f>
        <v>1</v>
      </c>
      <c r="G1381" s="20" t="n">
        <f aca="false">IF(D1381&gt;=13,(1+Assumptions!B46)^(D1381-12),1)</f>
        <v>1.10721439306452</v>
      </c>
      <c r="H1381" s="21" t="n">
        <f aca="false">H1380*(1+IF(C1381=1,Assumptions!B22,Assumptions!B23))</f>
        <v>24.5805478810664</v>
      </c>
      <c r="I1381" s="16" t="n">
        <f aca="false">ROUND(H1381*F1381,0)</f>
        <v>25</v>
      </c>
      <c r="J1381" s="22" t="n">
        <f aca="false">I1381*Assumptions!B24</f>
        <v>15000</v>
      </c>
      <c r="K1381" s="21" t="n">
        <f aca="false">K1380*(1+Assumptions!B30)</f>
        <v>20.6244905195755</v>
      </c>
      <c r="L1381" s="16" t="n">
        <f aca="false">ROUND(K1381*F1381,0)</f>
        <v>21</v>
      </c>
      <c r="M1381" s="22" t="n">
        <f aca="false">L1381*Assumptions!B31</f>
        <v>6300</v>
      </c>
      <c r="N1381" s="22" t="n">
        <f aca="false">J1381+M1381</f>
        <v>21300</v>
      </c>
      <c r="O1381" s="22" t="n">
        <f aca="false">IF(DAY(B1381)=1,Assumptions!B38*G1381,0)</f>
        <v>0</v>
      </c>
      <c r="P1381" s="22" t="n">
        <f aca="false">IF(DAY(B1381)=1,Assumptions!B39*G1381,0)</f>
        <v>0</v>
      </c>
      <c r="Q1381" s="22" t="n">
        <f aca="false">IF(DAY(B1381)=1,Assumptions!B40*G1381,0)</f>
        <v>0</v>
      </c>
      <c r="R1381" s="22" t="n">
        <f aca="false">IF(DAY(B1381)=1,Assumptions!B41*G1381,0)</f>
        <v>0</v>
      </c>
      <c r="S1381" s="22" t="n">
        <f aca="false">IF(AND(DAY(B1381)=1,D1381&gt;=13),Assumptions!B42*G1381,0)</f>
        <v>0</v>
      </c>
      <c r="T1381" s="22" t="n">
        <f aca="false">IF(DAY(B1381)=1,Assumptions!B43*G1381,0)</f>
        <v>0</v>
      </c>
      <c r="U1381" s="22" t="n">
        <f aca="false">SUM(O1381:T1381)</f>
        <v>0</v>
      </c>
      <c r="V1381" s="22" t="n">
        <f aca="false">N1381-U1381</f>
        <v>21300</v>
      </c>
      <c r="W1381" s="22" t="n">
        <f aca="false">W1380+V1381</f>
        <v>-918991.619975311</v>
      </c>
      <c r="X1381" s="23" t="str">
        <f aca="false">IF(W1381&gt;=0,"YES","No")</f>
        <v>No</v>
      </c>
    </row>
    <row r="1382" customFormat="false" ht="15" hidden="false" customHeight="false" outlineLevel="0" collapsed="false">
      <c r="A1382" s="16" t="n">
        <v>1381</v>
      </c>
      <c r="B1382" s="17" t="n">
        <f aca="false">B1381+1</f>
        <v>47403</v>
      </c>
      <c r="C1382" s="18" t="n">
        <f aca="false">MIN(ROUNDUP(A1382/365,0),5)</f>
        <v>4</v>
      </c>
      <c r="D1382" s="18" t="n">
        <f aca="false">DATEDIF(Assumptions!B5,B1382,"m")+1</f>
        <v>46</v>
      </c>
      <c r="E1382" s="18" t="str">
        <f aca="false">TEXT(B1382,"ddd")</f>
        <v>Fri</v>
      </c>
      <c r="F1382" s="19" t="n">
        <f aca="false">IF(WEEKDAY(B1382,2)&gt;=6,Assumptions!B34,Assumptions!B35)</f>
        <v>1</v>
      </c>
      <c r="G1382" s="20" t="n">
        <f aca="false">IF(D1382&gt;=13,(1+Assumptions!B46)^(D1382-12),1)</f>
        <v>1.10721439306452</v>
      </c>
      <c r="H1382" s="21" t="n">
        <f aca="false">H1381*(1+IF(C1382=1,Assumptions!B22,Assumptions!B23))</f>
        <v>24.5845756914173</v>
      </c>
      <c r="I1382" s="16" t="n">
        <f aca="false">ROUND(H1382*F1382,0)</f>
        <v>25</v>
      </c>
      <c r="J1382" s="22" t="n">
        <f aca="false">I1382*Assumptions!B24</f>
        <v>15000</v>
      </c>
      <c r="K1382" s="21" t="n">
        <f aca="false">K1381*(1+Assumptions!B30)</f>
        <v>20.6312334252782</v>
      </c>
      <c r="L1382" s="16" t="n">
        <f aca="false">ROUND(K1382*F1382,0)</f>
        <v>21</v>
      </c>
      <c r="M1382" s="22" t="n">
        <f aca="false">L1382*Assumptions!B31</f>
        <v>6300</v>
      </c>
      <c r="N1382" s="22" t="n">
        <f aca="false">J1382+M1382</f>
        <v>21300</v>
      </c>
      <c r="O1382" s="22" t="n">
        <f aca="false">IF(DAY(B1382)=1,Assumptions!B38*G1382,0)</f>
        <v>0</v>
      </c>
      <c r="P1382" s="22" t="n">
        <f aca="false">IF(DAY(B1382)=1,Assumptions!B39*G1382,0)</f>
        <v>0</v>
      </c>
      <c r="Q1382" s="22" t="n">
        <f aca="false">IF(DAY(B1382)=1,Assumptions!B40*G1382,0)</f>
        <v>0</v>
      </c>
      <c r="R1382" s="22" t="n">
        <f aca="false">IF(DAY(B1382)=1,Assumptions!B41*G1382,0)</f>
        <v>0</v>
      </c>
      <c r="S1382" s="22" t="n">
        <f aca="false">IF(AND(DAY(B1382)=1,D1382&gt;=13),Assumptions!B42*G1382,0)</f>
        <v>0</v>
      </c>
      <c r="T1382" s="22" t="n">
        <f aca="false">IF(DAY(B1382)=1,Assumptions!B43*G1382,0)</f>
        <v>0</v>
      </c>
      <c r="U1382" s="22" t="n">
        <f aca="false">SUM(O1382:T1382)</f>
        <v>0</v>
      </c>
      <c r="V1382" s="22" t="n">
        <f aca="false">N1382-U1382</f>
        <v>21300</v>
      </c>
      <c r="W1382" s="22" t="n">
        <f aca="false">W1381+V1382</f>
        <v>-897691.619975311</v>
      </c>
      <c r="X1382" s="23" t="str">
        <f aca="false">IF(W1382&gt;=0,"YES","No")</f>
        <v>No</v>
      </c>
    </row>
    <row r="1383" customFormat="false" ht="15" hidden="false" customHeight="false" outlineLevel="0" collapsed="false">
      <c r="A1383" s="16" t="n">
        <v>1382</v>
      </c>
      <c r="B1383" s="17" t="n">
        <f aca="false">B1382+1</f>
        <v>47404</v>
      </c>
      <c r="C1383" s="18" t="n">
        <f aca="false">MIN(ROUNDUP(A1383/365,0),5)</f>
        <v>4</v>
      </c>
      <c r="D1383" s="18" t="n">
        <f aca="false">DATEDIF(Assumptions!B5,B1383,"m")+1</f>
        <v>46</v>
      </c>
      <c r="E1383" s="18" t="str">
        <f aca="false">TEXT(B1383,"ddd")</f>
        <v>Sat</v>
      </c>
      <c r="F1383" s="19" t="n">
        <f aca="false">IF(WEEKDAY(B1383,2)&gt;=6,Assumptions!B34,Assumptions!B35)</f>
        <v>0.6</v>
      </c>
      <c r="G1383" s="20" t="n">
        <f aca="false">IF(D1383&gt;=13,(1+Assumptions!B46)^(D1383-12),1)</f>
        <v>1.10721439306452</v>
      </c>
      <c r="H1383" s="21" t="n">
        <f aca="false">H1382*(1+IF(C1383=1,Assumptions!B22,Assumptions!B23))</f>
        <v>24.5886041617721</v>
      </c>
      <c r="I1383" s="16" t="n">
        <f aca="false">ROUND(H1383*F1383,0)</f>
        <v>15</v>
      </c>
      <c r="J1383" s="22" t="n">
        <f aca="false">I1383*Assumptions!B24</f>
        <v>9000</v>
      </c>
      <c r="K1383" s="21" t="n">
        <f aca="false">K1382*(1+Assumptions!B30)</f>
        <v>20.6379785354852</v>
      </c>
      <c r="L1383" s="16" t="n">
        <f aca="false">ROUND(K1383*F1383,0)</f>
        <v>12</v>
      </c>
      <c r="M1383" s="22" t="n">
        <f aca="false">L1383*Assumptions!B31</f>
        <v>3600</v>
      </c>
      <c r="N1383" s="22" t="n">
        <f aca="false">J1383+M1383</f>
        <v>12600</v>
      </c>
      <c r="O1383" s="22" t="n">
        <f aca="false">IF(DAY(B1383)=1,Assumptions!B38*G1383,0)</f>
        <v>0</v>
      </c>
      <c r="P1383" s="22" t="n">
        <f aca="false">IF(DAY(B1383)=1,Assumptions!B39*G1383,0)</f>
        <v>0</v>
      </c>
      <c r="Q1383" s="22" t="n">
        <f aca="false">IF(DAY(B1383)=1,Assumptions!B40*G1383,0)</f>
        <v>0</v>
      </c>
      <c r="R1383" s="22" t="n">
        <f aca="false">IF(DAY(B1383)=1,Assumptions!B41*G1383,0)</f>
        <v>0</v>
      </c>
      <c r="S1383" s="22" t="n">
        <f aca="false">IF(AND(DAY(B1383)=1,D1383&gt;=13),Assumptions!B42*G1383,0)</f>
        <v>0</v>
      </c>
      <c r="T1383" s="22" t="n">
        <f aca="false">IF(DAY(B1383)=1,Assumptions!B43*G1383,0)</f>
        <v>0</v>
      </c>
      <c r="U1383" s="22" t="n">
        <f aca="false">SUM(O1383:T1383)</f>
        <v>0</v>
      </c>
      <c r="V1383" s="22" t="n">
        <f aca="false">N1383-U1383</f>
        <v>12600</v>
      </c>
      <c r="W1383" s="22" t="n">
        <f aca="false">W1382+V1383</f>
        <v>-885091.619975311</v>
      </c>
      <c r="X1383" s="23" t="str">
        <f aca="false">IF(W1383&gt;=0,"YES","No")</f>
        <v>No</v>
      </c>
    </row>
    <row r="1384" customFormat="false" ht="15" hidden="false" customHeight="false" outlineLevel="0" collapsed="false">
      <c r="A1384" s="16" t="n">
        <v>1383</v>
      </c>
      <c r="B1384" s="17" t="n">
        <f aca="false">B1383+1</f>
        <v>47405</v>
      </c>
      <c r="C1384" s="18" t="n">
        <f aca="false">MIN(ROUNDUP(A1384/365,0),5)</f>
        <v>4</v>
      </c>
      <c r="D1384" s="18" t="n">
        <f aca="false">DATEDIF(Assumptions!B5,B1384,"m")+1</f>
        <v>46</v>
      </c>
      <c r="E1384" s="18" t="str">
        <f aca="false">TEXT(B1384,"ddd")</f>
        <v>Sun</v>
      </c>
      <c r="F1384" s="19" t="n">
        <f aca="false">IF(WEEKDAY(B1384,2)&gt;=6,Assumptions!B34,Assumptions!B35)</f>
        <v>0.6</v>
      </c>
      <c r="G1384" s="20" t="n">
        <f aca="false">IF(D1384&gt;=13,(1+Assumptions!B46)^(D1384-12),1)</f>
        <v>1.10721439306452</v>
      </c>
      <c r="H1384" s="21" t="n">
        <f aca="false">H1383*(1+IF(C1384=1,Assumptions!B22,Assumptions!B23))</f>
        <v>24.5926332922389</v>
      </c>
      <c r="I1384" s="16" t="n">
        <f aca="false">ROUND(H1384*F1384,0)</f>
        <v>15</v>
      </c>
      <c r="J1384" s="22" t="n">
        <f aca="false">I1384*Assumptions!B24</f>
        <v>9000</v>
      </c>
      <c r="K1384" s="21" t="n">
        <f aca="false">K1383*(1+Assumptions!B30)</f>
        <v>20.6447258509172</v>
      </c>
      <c r="L1384" s="16" t="n">
        <f aca="false">ROUND(K1384*F1384,0)</f>
        <v>12</v>
      </c>
      <c r="M1384" s="22" t="n">
        <f aca="false">L1384*Assumptions!B31</f>
        <v>3600</v>
      </c>
      <c r="N1384" s="22" t="n">
        <f aca="false">J1384+M1384</f>
        <v>12600</v>
      </c>
      <c r="O1384" s="22" t="n">
        <f aca="false">IF(DAY(B1384)=1,Assumptions!B38*G1384,0)</f>
        <v>0</v>
      </c>
      <c r="P1384" s="22" t="n">
        <f aca="false">IF(DAY(B1384)=1,Assumptions!B39*G1384,0)</f>
        <v>0</v>
      </c>
      <c r="Q1384" s="22" t="n">
        <f aca="false">IF(DAY(B1384)=1,Assumptions!B40*G1384,0)</f>
        <v>0</v>
      </c>
      <c r="R1384" s="22" t="n">
        <f aca="false">IF(DAY(B1384)=1,Assumptions!B41*G1384,0)</f>
        <v>0</v>
      </c>
      <c r="S1384" s="22" t="n">
        <f aca="false">IF(AND(DAY(B1384)=1,D1384&gt;=13),Assumptions!B42*G1384,0)</f>
        <v>0</v>
      </c>
      <c r="T1384" s="22" t="n">
        <f aca="false">IF(DAY(B1384)=1,Assumptions!B43*G1384,0)</f>
        <v>0</v>
      </c>
      <c r="U1384" s="22" t="n">
        <f aca="false">SUM(O1384:T1384)</f>
        <v>0</v>
      </c>
      <c r="V1384" s="22" t="n">
        <f aca="false">N1384-U1384</f>
        <v>12600</v>
      </c>
      <c r="W1384" s="22" t="n">
        <f aca="false">W1383+V1384</f>
        <v>-872491.619975311</v>
      </c>
      <c r="X1384" s="23" t="str">
        <f aca="false">IF(W1384&gt;=0,"YES","No")</f>
        <v>No</v>
      </c>
    </row>
    <row r="1385" customFormat="false" ht="15" hidden="false" customHeight="false" outlineLevel="0" collapsed="false">
      <c r="A1385" s="16" t="n">
        <v>1384</v>
      </c>
      <c r="B1385" s="17" t="n">
        <f aca="false">B1384+1</f>
        <v>47406</v>
      </c>
      <c r="C1385" s="18" t="n">
        <f aca="false">MIN(ROUNDUP(A1385/365,0),5)</f>
        <v>4</v>
      </c>
      <c r="D1385" s="18" t="n">
        <f aca="false">DATEDIF(Assumptions!B5,B1385,"m")+1</f>
        <v>46</v>
      </c>
      <c r="E1385" s="18" t="str">
        <f aca="false">TEXT(B1385,"ddd")</f>
        <v>Mon</v>
      </c>
      <c r="F1385" s="19" t="n">
        <f aca="false">IF(WEEKDAY(B1385,2)&gt;=6,Assumptions!B34,Assumptions!B35)</f>
        <v>1</v>
      </c>
      <c r="G1385" s="20" t="n">
        <f aca="false">IF(D1385&gt;=13,(1+Assumptions!B46)^(D1385-12),1)</f>
        <v>1.10721439306452</v>
      </c>
      <c r="H1385" s="21" t="n">
        <f aca="false">H1384*(1+IF(C1385=1,Assumptions!B22,Assumptions!B23))</f>
        <v>24.5966630829258</v>
      </c>
      <c r="I1385" s="16" t="n">
        <f aca="false">ROUND(H1385*F1385,0)</f>
        <v>25</v>
      </c>
      <c r="J1385" s="22" t="n">
        <f aca="false">I1385*Assumptions!B24</f>
        <v>15000</v>
      </c>
      <c r="K1385" s="21" t="n">
        <f aca="false">K1384*(1+Assumptions!B30)</f>
        <v>20.6514753722952</v>
      </c>
      <c r="L1385" s="16" t="n">
        <f aca="false">ROUND(K1385*F1385,0)</f>
        <v>21</v>
      </c>
      <c r="M1385" s="22" t="n">
        <f aca="false">L1385*Assumptions!B31</f>
        <v>6300</v>
      </c>
      <c r="N1385" s="22" t="n">
        <f aca="false">J1385+M1385</f>
        <v>21300</v>
      </c>
      <c r="O1385" s="22" t="n">
        <f aca="false">IF(DAY(B1385)=1,Assumptions!B38*G1385,0)</f>
        <v>0</v>
      </c>
      <c r="P1385" s="22" t="n">
        <f aca="false">IF(DAY(B1385)=1,Assumptions!B39*G1385,0)</f>
        <v>0</v>
      </c>
      <c r="Q1385" s="22" t="n">
        <f aca="false">IF(DAY(B1385)=1,Assumptions!B40*G1385,0)</f>
        <v>0</v>
      </c>
      <c r="R1385" s="22" t="n">
        <f aca="false">IF(DAY(B1385)=1,Assumptions!B41*G1385,0)</f>
        <v>0</v>
      </c>
      <c r="S1385" s="22" t="n">
        <f aca="false">IF(AND(DAY(B1385)=1,D1385&gt;=13),Assumptions!B42*G1385,0)</f>
        <v>0</v>
      </c>
      <c r="T1385" s="22" t="n">
        <f aca="false">IF(DAY(B1385)=1,Assumptions!B43*G1385,0)</f>
        <v>0</v>
      </c>
      <c r="U1385" s="22" t="n">
        <f aca="false">SUM(O1385:T1385)</f>
        <v>0</v>
      </c>
      <c r="V1385" s="22" t="n">
        <f aca="false">N1385-U1385</f>
        <v>21300</v>
      </c>
      <c r="W1385" s="22" t="n">
        <f aca="false">W1384+V1385</f>
        <v>-851191.619975311</v>
      </c>
      <c r="X1385" s="23" t="str">
        <f aca="false">IF(W1385&gt;=0,"YES","No")</f>
        <v>No</v>
      </c>
    </row>
    <row r="1386" customFormat="false" ht="15" hidden="false" customHeight="false" outlineLevel="0" collapsed="false">
      <c r="A1386" s="16" t="n">
        <v>1385</v>
      </c>
      <c r="B1386" s="17" t="n">
        <f aca="false">B1385+1</f>
        <v>47407</v>
      </c>
      <c r="C1386" s="18" t="n">
        <f aca="false">MIN(ROUNDUP(A1386/365,0),5)</f>
        <v>4</v>
      </c>
      <c r="D1386" s="18" t="n">
        <f aca="false">DATEDIF(Assumptions!B5,B1386,"m")+1</f>
        <v>46</v>
      </c>
      <c r="E1386" s="18" t="str">
        <f aca="false">TEXT(B1386,"ddd")</f>
        <v>Tue</v>
      </c>
      <c r="F1386" s="19" t="n">
        <f aca="false">IF(WEEKDAY(B1386,2)&gt;=6,Assumptions!B34,Assumptions!B35)</f>
        <v>1</v>
      </c>
      <c r="G1386" s="20" t="n">
        <f aca="false">IF(D1386&gt;=13,(1+Assumptions!B46)^(D1386-12),1)</f>
        <v>1.10721439306452</v>
      </c>
      <c r="H1386" s="21" t="n">
        <f aca="false">H1385*(1+IF(C1386=1,Assumptions!B22,Assumptions!B23))</f>
        <v>24.6006935339411</v>
      </c>
      <c r="I1386" s="16" t="n">
        <f aca="false">ROUND(H1386*F1386,0)</f>
        <v>25</v>
      </c>
      <c r="J1386" s="22" t="n">
        <f aca="false">I1386*Assumptions!B24</f>
        <v>15000</v>
      </c>
      <c r="K1386" s="21" t="n">
        <f aca="false">K1385*(1+Assumptions!B30)</f>
        <v>20.6582271003403</v>
      </c>
      <c r="L1386" s="16" t="n">
        <f aca="false">ROUND(K1386*F1386,0)</f>
        <v>21</v>
      </c>
      <c r="M1386" s="22" t="n">
        <f aca="false">L1386*Assumptions!B31</f>
        <v>6300</v>
      </c>
      <c r="N1386" s="22" t="n">
        <f aca="false">J1386+M1386</f>
        <v>21300</v>
      </c>
      <c r="O1386" s="22" t="n">
        <f aca="false">IF(DAY(B1386)=1,Assumptions!B38*G1386,0)</f>
        <v>0</v>
      </c>
      <c r="P1386" s="22" t="n">
        <f aca="false">IF(DAY(B1386)=1,Assumptions!B39*G1386,0)</f>
        <v>0</v>
      </c>
      <c r="Q1386" s="22" t="n">
        <f aca="false">IF(DAY(B1386)=1,Assumptions!B40*G1386,0)</f>
        <v>0</v>
      </c>
      <c r="R1386" s="22" t="n">
        <f aca="false">IF(DAY(B1386)=1,Assumptions!B41*G1386,0)</f>
        <v>0</v>
      </c>
      <c r="S1386" s="22" t="n">
        <f aca="false">IF(AND(DAY(B1386)=1,D1386&gt;=13),Assumptions!B42*G1386,0)</f>
        <v>0</v>
      </c>
      <c r="T1386" s="22" t="n">
        <f aca="false">IF(DAY(B1386)=1,Assumptions!B43*G1386,0)</f>
        <v>0</v>
      </c>
      <c r="U1386" s="22" t="n">
        <f aca="false">SUM(O1386:T1386)</f>
        <v>0</v>
      </c>
      <c r="V1386" s="22" t="n">
        <f aca="false">N1386-U1386</f>
        <v>21300</v>
      </c>
      <c r="W1386" s="22" t="n">
        <f aca="false">W1385+V1386</f>
        <v>-829891.619975311</v>
      </c>
      <c r="X1386" s="23" t="str">
        <f aca="false">IF(W1386&gt;=0,"YES","No")</f>
        <v>No</v>
      </c>
    </row>
    <row r="1387" customFormat="false" ht="15" hidden="false" customHeight="false" outlineLevel="0" collapsed="false">
      <c r="A1387" s="16" t="n">
        <v>1386</v>
      </c>
      <c r="B1387" s="17" t="n">
        <f aca="false">B1386+1</f>
        <v>47408</v>
      </c>
      <c r="C1387" s="18" t="n">
        <f aca="false">MIN(ROUNDUP(A1387/365,0),5)</f>
        <v>4</v>
      </c>
      <c r="D1387" s="18" t="n">
        <f aca="false">DATEDIF(Assumptions!B5,B1387,"m")+1</f>
        <v>46</v>
      </c>
      <c r="E1387" s="18" t="str">
        <f aca="false">TEXT(B1387,"ddd")</f>
        <v>Wed</v>
      </c>
      <c r="F1387" s="19" t="n">
        <f aca="false">IF(WEEKDAY(B1387,2)&gt;=6,Assumptions!B34,Assumptions!B35)</f>
        <v>1</v>
      </c>
      <c r="G1387" s="20" t="n">
        <f aca="false">IF(D1387&gt;=13,(1+Assumptions!B46)^(D1387-12),1)</f>
        <v>1.10721439306452</v>
      </c>
      <c r="H1387" s="21" t="n">
        <f aca="false">H1386*(1+IF(C1387=1,Assumptions!B22,Assumptions!B23))</f>
        <v>24.604724645393</v>
      </c>
      <c r="I1387" s="16" t="n">
        <f aca="false">ROUND(H1387*F1387,0)</f>
        <v>25</v>
      </c>
      <c r="J1387" s="22" t="n">
        <f aca="false">I1387*Assumptions!B24</f>
        <v>15000</v>
      </c>
      <c r="K1387" s="21" t="n">
        <f aca="false">K1386*(1+Assumptions!B30)</f>
        <v>20.6649810357741</v>
      </c>
      <c r="L1387" s="16" t="n">
        <f aca="false">ROUND(K1387*F1387,0)</f>
        <v>21</v>
      </c>
      <c r="M1387" s="22" t="n">
        <f aca="false">L1387*Assumptions!B31</f>
        <v>6300</v>
      </c>
      <c r="N1387" s="22" t="n">
        <f aca="false">J1387+M1387</f>
        <v>21300</v>
      </c>
      <c r="O1387" s="22" t="n">
        <f aca="false">IF(DAY(B1387)=1,Assumptions!B38*G1387,0)</f>
        <v>0</v>
      </c>
      <c r="P1387" s="22" t="n">
        <f aca="false">IF(DAY(B1387)=1,Assumptions!B39*G1387,0)</f>
        <v>0</v>
      </c>
      <c r="Q1387" s="22" t="n">
        <f aca="false">IF(DAY(B1387)=1,Assumptions!B40*G1387,0)</f>
        <v>0</v>
      </c>
      <c r="R1387" s="22" t="n">
        <f aca="false">IF(DAY(B1387)=1,Assumptions!B41*G1387,0)</f>
        <v>0</v>
      </c>
      <c r="S1387" s="22" t="n">
        <f aca="false">IF(AND(DAY(B1387)=1,D1387&gt;=13),Assumptions!B42*G1387,0)</f>
        <v>0</v>
      </c>
      <c r="T1387" s="22" t="n">
        <f aca="false">IF(DAY(B1387)=1,Assumptions!B43*G1387,0)</f>
        <v>0</v>
      </c>
      <c r="U1387" s="22" t="n">
        <f aca="false">SUM(O1387:T1387)</f>
        <v>0</v>
      </c>
      <c r="V1387" s="22" t="n">
        <f aca="false">N1387-U1387</f>
        <v>21300</v>
      </c>
      <c r="W1387" s="22" t="n">
        <f aca="false">W1386+V1387</f>
        <v>-808591.619975311</v>
      </c>
      <c r="X1387" s="23" t="str">
        <f aca="false">IF(W1387&gt;=0,"YES","No")</f>
        <v>No</v>
      </c>
    </row>
    <row r="1388" customFormat="false" ht="15" hidden="false" customHeight="false" outlineLevel="0" collapsed="false">
      <c r="A1388" s="16" t="n">
        <v>1387</v>
      </c>
      <c r="B1388" s="17" t="n">
        <f aca="false">B1387+1</f>
        <v>47409</v>
      </c>
      <c r="C1388" s="18" t="n">
        <f aca="false">MIN(ROUNDUP(A1388/365,0),5)</f>
        <v>4</v>
      </c>
      <c r="D1388" s="18" t="n">
        <f aca="false">DATEDIF(Assumptions!B5,B1388,"m")+1</f>
        <v>46</v>
      </c>
      <c r="E1388" s="18" t="str">
        <f aca="false">TEXT(B1388,"ddd")</f>
        <v>Thu</v>
      </c>
      <c r="F1388" s="19" t="n">
        <f aca="false">IF(WEEKDAY(B1388,2)&gt;=6,Assumptions!B34,Assumptions!B35)</f>
        <v>1</v>
      </c>
      <c r="G1388" s="20" t="n">
        <f aca="false">IF(D1388&gt;=13,(1+Assumptions!B46)^(D1388-12),1)</f>
        <v>1.10721439306452</v>
      </c>
      <c r="H1388" s="21" t="n">
        <f aca="false">H1387*(1+IF(C1388=1,Assumptions!B22,Assumptions!B23))</f>
        <v>24.6087564173896</v>
      </c>
      <c r="I1388" s="16" t="n">
        <f aca="false">ROUND(H1388*F1388,0)</f>
        <v>25</v>
      </c>
      <c r="J1388" s="22" t="n">
        <f aca="false">I1388*Assumptions!B24</f>
        <v>15000</v>
      </c>
      <c r="K1388" s="21" t="n">
        <f aca="false">K1387*(1+Assumptions!B30)</f>
        <v>20.6717371793181</v>
      </c>
      <c r="L1388" s="16" t="n">
        <f aca="false">ROUND(K1388*F1388,0)</f>
        <v>21</v>
      </c>
      <c r="M1388" s="22" t="n">
        <f aca="false">L1388*Assumptions!B31</f>
        <v>6300</v>
      </c>
      <c r="N1388" s="22" t="n">
        <f aca="false">J1388+M1388</f>
        <v>21300</v>
      </c>
      <c r="O1388" s="22" t="n">
        <f aca="false">IF(DAY(B1388)=1,Assumptions!B38*G1388,0)</f>
        <v>0</v>
      </c>
      <c r="P1388" s="22" t="n">
        <f aca="false">IF(DAY(B1388)=1,Assumptions!B39*G1388,0)</f>
        <v>0</v>
      </c>
      <c r="Q1388" s="22" t="n">
        <f aca="false">IF(DAY(B1388)=1,Assumptions!B40*G1388,0)</f>
        <v>0</v>
      </c>
      <c r="R1388" s="22" t="n">
        <f aca="false">IF(DAY(B1388)=1,Assumptions!B41*G1388,0)</f>
        <v>0</v>
      </c>
      <c r="S1388" s="22" t="n">
        <f aca="false">IF(AND(DAY(B1388)=1,D1388&gt;=13),Assumptions!B42*G1388,0)</f>
        <v>0</v>
      </c>
      <c r="T1388" s="22" t="n">
        <f aca="false">IF(DAY(B1388)=1,Assumptions!B43*G1388,0)</f>
        <v>0</v>
      </c>
      <c r="U1388" s="22" t="n">
        <f aca="false">SUM(O1388:T1388)</f>
        <v>0</v>
      </c>
      <c r="V1388" s="22" t="n">
        <f aca="false">N1388-U1388</f>
        <v>21300</v>
      </c>
      <c r="W1388" s="22" t="n">
        <f aca="false">W1387+V1388</f>
        <v>-787291.619975311</v>
      </c>
      <c r="X1388" s="23" t="str">
        <f aca="false">IF(W1388&gt;=0,"YES","No")</f>
        <v>No</v>
      </c>
    </row>
    <row r="1389" customFormat="false" ht="15" hidden="false" customHeight="false" outlineLevel="0" collapsed="false">
      <c r="A1389" s="16" t="n">
        <v>1388</v>
      </c>
      <c r="B1389" s="17" t="n">
        <f aca="false">B1388+1</f>
        <v>47410</v>
      </c>
      <c r="C1389" s="18" t="n">
        <f aca="false">MIN(ROUNDUP(A1389/365,0),5)</f>
        <v>4</v>
      </c>
      <c r="D1389" s="18" t="n">
        <f aca="false">DATEDIF(Assumptions!B5,B1389,"m")+1</f>
        <v>46</v>
      </c>
      <c r="E1389" s="18" t="str">
        <f aca="false">TEXT(B1389,"ddd")</f>
        <v>Fri</v>
      </c>
      <c r="F1389" s="19" t="n">
        <f aca="false">IF(WEEKDAY(B1389,2)&gt;=6,Assumptions!B34,Assumptions!B35)</f>
        <v>1</v>
      </c>
      <c r="G1389" s="20" t="n">
        <f aca="false">IF(D1389&gt;=13,(1+Assumptions!B46)^(D1389-12),1)</f>
        <v>1.10721439306452</v>
      </c>
      <c r="H1389" s="21" t="n">
        <f aca="false">H1388*(1+IF(C1389=1,Assumptions!B22,Assumptions!B23))</f>
        <v>24.6127888500392</v>
      </c>
      <c r="I1389" s="16" t="n">
        <f aca="false">ROUND(H1389*F1389,0)</f>
        <v>25</v>
      </c>
      <c r="J1389" s="22" t="n">
        <f aca="false">I1389*Assumptions!B24</f>
        <v>15000</v>
      </c>
      <c r="K1389" s="21" t="n">
        <f aca="false">K1388*(1+Assumptions!B30)</f>
        <v>20.6784955316944</v>
      </c>
      <c r="L1389" s="16" t="n">
        <f aca="false">ROUND(K1389*F1389,0)</f>
        <v>21</v>
      </c>
      <c r="M1389" s="22" t="n">
        <f aca="false">L1389*Assumptions!B31</f>
        <v>6300</v>
      </c>
      <c r="N1389" s="22" t="n">
        <f aca="false">J1389+M1389</f>
        <v>21300</v>
      </c>
      <c r="O1389" s="22" t="n">
        <f aca="false">IF(DAY(B1389)=1,Assumptions!B38*G1389,0)</f>
        <v>0</v>
      </c>
      <c r="P1389" s="22" t="n">
        <f aca="false">IF(DAY(B1389)=1,Assumptions!B39*G1389,0)</f>
        <v>0</v>
      </c>
      <c r="Q1389" s="22" t="n">
        <f aca="false">IF(DAY(B1389)=1,Assumptions!B40*G1389,0)</f>
        <v>0</v>
      </c>
      <c r="R1389" s="22" t="n">
        <f aca="false">IF(DAY(B1389)=1,Assumptions!B41*G1389,0)</f>
        <v>0</v>
      </c>
      <c r="S1389" s="22" t="n">
        <f aca="false">IF(AND(DAY(B1389)=1,D1389&gt;=13),Assumptions!B42*G1389,0)</f>
        <v>0</v>
      </c>
      <c r="T1389" s="22" t="n">
        <f aca="false">IF(DAY(B1389)=1,Assumptions!B43*G1389,0)</f>
        <v>0</v>
      </c>
      <c r="U1389" s="22" t="n">
        <f aca="false">SUM(O1389:T1389)</f>
        <v>0</v>
      </c>
      <c r="V1389" s="22" t="n">
        <f aca="false">N1389-U1389</f>
        <v>21300</v>
      </c>
      <c r="W1389" s="22" t="n">
        <f aca="false">W1388+V1389</f>
        <v>-765991.619975311</v>
      </c>
      <c r="X1389" s="23" t="str">
        <f aca="false">IF(W1389&gt;=0,"YES","No")</f>
        <v>No</v>
      </c>
    </row>
    <row r="1390" customFormat="false" ht="15" hidden="false" customHeight="false" outlineLevel="0" collapsed="false">
      <c r="A1390" s="16" t="n">
        <v>1389</v>
      </c>
      <c r="B1390" s="17" t="n">
        <f aca="false">B1389+1</f>
        <v>47411</v>
      </c>
      <c r="C1390" s="18" t="n">
        <f aca="false">MIN(ROUNDUP(A1390/365,0),5)</f>
        <v>4</v>
      </c>
      <c r="D1390" s="18" t="n">
        <f aca="false">DATEDIF(Assumptions!B5,B1390,"m")+1</f>
        <v>46</v>
      </c>
      <c r="E1390" s="18" t="str">
        <f aca="false">TEXT(B1390,"ddd")</f>
        <v>Sat</v>
      </c>
      <c r="F1390" s="19" t="n">
        <f aca="false">IF(WEEKDAY(B1390,2)&gt;=6,Assumptions!B34,Assumptions!B35)</f>
        <v>0.6</v>
      </c>
      <c r="G1390" s="20" t="n">
        <f aca="false">IF(D1390&gt;=13,(1+Assumptions!B46)^(D1390-12),1)</f>
        <v>1.10721439306452</v>
      </c>
      <c r="H1390" s="21" t="n">
        <f aca="false">H1389*(1+IF(C1390=1,Assumptions!B22,Assumptions!B23))</f>
        <v>24.6168219434501</v>
      </c>
      <c r="I1390" s="16" t="n">
        <f aca="false">ROUND(H1390*F1390,0)</f>
        <v>15</v>
      </c>
      <c r="J1390" s="22" t="n">
        <f aca="false">I1390*Assumptions!B24</f>
        <v>9000</v>
      </c>
      <c r="K1390" s="21" t="n">
        <f aca="false">K1389*(1+Assumptions!B30)</f>
        <v>20.685256093625</v>
      </c>
      <c r="L1390" s="16" t="n">
        <f aca="false">ROUND(K1390*F1390,0)</f>
        <v>12</v>
      </c>
      <c r="M1390" s="22" t="n">
        <f aca="false">L1390*Assumptions!B31</f>
        <v>3600</v>
      </c>
      <c r="N1390" s="22" t="n">
        <f aca="false">J1390+M1390</f>
        <v>12600</v>
      </c>
      <c r="O1390" s="22" t="n">
        <f aca="false">IF(DAY(B1390)=1,Assumptions!B38*G1390,0)</f>
        <v>0</v>
      </c>
      <c r="P1390" s="22" t="n">
        <f aca="false">IF(DAY(B1390)=1,Assumptions!B39*G1390,0)</f>
        <v>0</v>
      </c>
      <c r="Q1390" s="22" t="n">
        <f aca="false">IF(DAY(B1390)=1,Assumptions!B40*G1390,0)</f>
        <v>0</v>
      </c>
      <c r="R1390" s="22" t="n">
        <f aca="false">IF(DAY(B1390)=1,Assumptions!B41*G1390,0)</f>
        <v>0</v>
      </c>
      <c r="S1390" s="22" t="n">
        <f aca="false">IF(AND(DAY(B1390)=1,D1390&gt;=13),Assumptions!B42*G1390,0)</f>
        <v>0</v>
      </c>
      <c r="T1390" s="22" t="n">
        <f aca="false">IF(DAY(B1390)=1,Assumptions!B43*G1390,0)</f>
        <v>0</v>
      </c>
      <c r="U1390" s="22" t="n">
        <f aca="false">SUM(O1390:T1390)</f>
        <v>0</v>
      </c>
      <c r="V1390" s="22" t="n">
        <f aca="false">N1390-U1390</f>
        <v>12600</v>
      </c>
      <c r="W1390" s="22" t="n">
        <f aca="false">W1389+V1390</f>
        <v>-753391.619975311</v>
      </c>
      <c r="X1390" s="23" t="str">
        <f aca="false">IF(W1390&gt;=0,"YES","No")</f>
        <v>No</v>
      </c>
    </row>
    <row r="1391" customFormat="false" ht="15" hidden="false" customHeight="false" outlineLevel="0" collapsed="false">
      <c r="A1391" s="16" t="n">
        <v>1390</v>
      </c>
      <c r="B1391" s="17" t="n">
        <f aca="false">B1390+1</f>
        <v>47412</v>
      </c>
      <c r="C1391" s="18" t="n">
        <f aca="false">MIN(ROUNDUP(A1391/365,0),5)</f>
        <v>4</v>
      </c>
      <c r="D1391" s="18" t="n">
        <f aca="false">DATEDIF(Assumptions!B5,B1391,"m")+1</f>
        <v>46</v>
      </c>
      <c r="E1391" s="18" t="str">
        <f aca="false">TEXT(B1391,"ddd")</f>
        <v>Sun</v>
      </c>
      <c r="F1391" s="19" t="n">
        <f aca="false">IF(WEEKDAY(B1391,2)&gt;=6,Assumptions!B34,Assumptions!B35)</f>
        <v>0.6</v>
      </c>
      <c r="G1391" s="20" t="n">
        <f aca="false">IF(D1391&gt;=13,(1+Assumptions!B46)^(D1391-12),1)</f>
        <v>1.10721439306452</v>
      </c>
      <c r="H1391" s="21" t="n">
        <f aca="false">H1390*(1+IF(C1391=1,Assumptions!B22,Assumptions!B23))</f>
        <v>24.6208556977305</v>
      </c>
      <c r="I1391" s="16" t="n">
        <f aca="false">ROUND(H1391*F1391,0)</f>
        <v>15</v>
      </c>
      <c r="J1391" s="22" t="n">
        <f aca="false">I1391*Assumptions!B24</f>
        <v>9000</v>
      </c>
      <c r="K1391" s="21" t="n">
        <f aca="false">K1390*(1+Assumptions!B30)</f>
        <v>20.6920188658323</v>
      </c>
      <c r="L1391" s="16" t="n">
        <f aca="false">ROUND(K1391*F1391,0)</f>
        <v>12</v>
      </c>
      <c r="M1391" s="22" t="n">
        <f aca="false">L1391*Assumptions!B31</f>
        <v>3600</v>
      </c>
      <c r="N1391" s="22" t="n">
        <f aca="false">J1391+M1391</f>
        <v>12600</v>
      </c>
      <c r="O1391" s="22" t="n">
        <f aca="false">IF(DAY(B1391)=1,Assumptions!B38*G1391,0)</f>
        <v>0</v>
      </c>
      <c r="P1391" s="22" t="n">
        <f aca="false">IF(DAY(B1391)=1,Assumptions!B39*G1391,0)</f>
        <v>0</v>
      </c>
      <c r="Q1391" s="22" t="n">
        <f aca="false">IF(DAY(B1391)=1,Assumptions!B40*G1391,0)</f>
        <v>0</v>
      </c>
      <c r="R1391" s="22" t="n">
        <f aca="false">IF(DAY(B1391)=1,Assumptions!B41*G1391,0)</f>
        <v>0</v>
      </c>
      <c r="S1391" s="22" t="n">
        <f aca="false">IF(AND(DAY(B1391)=1,D1391&gt;=13),Assumptions!B42*G1391,0)</f>
        <v>0</v>
      </c>
      <c r="T1391" s="22" t="n">
        <f aca="false">IF(DAY(B1391)=1,Assumptions!B43*G1391,0)</f>
        <v>0</v>
      </c>
      <c r="U1391" s="22" t="n">
        <f aca="false">SUM(O1391:T1391)</f>
        <v>0</v>
      </c>
      <c r="V1391" s="22" t="n">
        <f aca="false">N1391-U1391</f>
        <v>12600</v>
      </c>
      <c r="W1391" s="22" t="n">
        <f aca="false">W1390+V1391</f>
        <v>-740791.619975311</v>
      </c>
      <c r="X1391" s="23" t="str">
        <f aca="false">IF(W1391&gt;=0,"YES","No")</f>
        <v>No</v>
      </c>
    </row>
    <row r="1392" customFormat="false" ht="15" hidden="false" customHeight="false" outlineLevel="0" collapsed="false">
      <c r="A1392" s="16" t="n">
        <v>1391</v>
      </c>
      <c r="B1392" s="17" t="n">
        <f aca="false">B1391+1</f>
        <v>47413</v>
      </c>
      <c r="C1392" s="18" t="n">
        <f aca="false">MIN(ROUNDUP(A1392/365,0),5)</f>
        <v>4</v>
      </c>
      <c r="D1392" s="18" t="n">
        <f aca="false">DATEDIF(Assumptions!B5,B1392,"m")+1</f>
        <v>46</v>
      </c>
      <c r="E1392" s="18" t="str">
        <f aca="false">TEXT(B1392,"ddd")</f>
        <v>Mon</v>
      </c>
      <c r="F1392" s="19" t="n">
        <f aca="false">IF(WEEKDAY(B1392,2)&gt;=6,Assumptions!B34,Assumptions!B35)</f>
        <v>1</v>
      </c>
      <c r="G1392" s="20" t="n">
        <f aca="false">IF(D1392&gt;=13,(1+Assumptions!B46)^(D1392-12),1)</f>
        <v>1.10721439306452</v>
      </c>
      <c r="H1392" s="21" t="n">
        <f aca="false">H1391*(1+IF(C1392=1,Assumptions!B22,Assumptions!B23))</f>
        <v>24.6248901129888</v>
      </c>
      <c r="I1392" s="16" t="n">
        <f aca="false">ROUND(H1392*F1392,0)</f>
        <v>25</v>
      </c>
      <c r="J1392" s="22" t="n">
        <f aca="false">I1392*Assumptions!B24</f>
        <v>15000</v>
      </c>
      <c r="K1392" s="21" t="n">
        <f aca="false">K1391*(1+Assumptions!B30)</f>
        <v>20.698783849039</v>
      </c>
      <c r="L1392" s="16" t="n">
        <f aca="false">ROUND(K1392*F1392,0)</f>
        <v>21</v>
      </c>
      <c r="M1392" s="22" t="n">
        <f aca="false">L1392*Assumptions!B31</f>
        <v>6300</v>
      </c>
      <c r="N1392" s="22" t="n">
        <f aca="false">J1392+M1392</f>
        <v>21300</v>
      </c>
      <c r="O1392" s="22" t="n">
        <f aca="false">IF(DAY(B1392)=1,Assumptions!B38*G1392,0)</f>
        <v>0</v>
      </c>
      <c r="P1392" s="22" t="n">
        <f aca="false">IF(DAY(B1392)=1,Assumptions!B39*G1392,0)</f>
        <v>0</v>
      </c>
      <c r="Q1392" s="22" t="n">
        <f aca="false">IF(DAY(B1392)=1,Assumptions!B40*G1392,0)</f>
        <v>0</v>
      </c>
      <c r="R1392" s="22" t="n">
        <f aca="false">IF(DAY(B1392)=1,Assumptions!B41*G1392,0)</f>
        <v>0</v>
      </c>
      <c r="S1392" s="22" t="n">
        <f aca="false">IF(AND(DAY(B1392)=1,D1392&gt;=13),Assumptions!B42*G1392,0)</f>
        <v>0</v>
      </c>
      <c r="T1392" s="22" t="n">
        <f aca="false">IF(DAY(B1392)=1,Assumptions!B43*G1392,0)</f>
        <v>0</v>
      </c>
      <c r="U1392" s="22" t="n">
        <f aca="false">SUM(O1392:T1392)</f>
        <v>0</v>
      </c>
      <c r="V1392" s="22" t="n">
        <f aca="false">N1392-U1392</f>
        <v>21300</v>
      </c>
      <c r="W1392" s="22" t="n">
        <f aca="false">W1391+V1392</f>
        <v>-719491.619975311</v>
      </c>
      <c r="X1392" s="23" t="str">
        <f aca="false">IF(W1392&gt;=0,"YES","No")</f>
        <v>No</v>
      </c>
    </row>
    <row r="1393" customFormat="false" ht="15" hidden="false" customHeight="false" outlineLevel="0" collapsed="false">
      <c r="A1393" s="16" t="n">
        <v>1392</v>
      </c>
      <c r="B1393" s="17" t="n">
        <f aca="false">B1392+1</f>
        <v>47414</v>
      </c>
      <c r="C1393" s="18" t="n">
        <f aca="false">MIN(ROUNDUP(A1393/365,0),5)</f>
        <v>4</v>
      </c>
      <c r="D1393" s="18" t="n">
        <f aca="false">DATEDIF(Assumptions!B5,B1393,"m")+1</f>
        <v>46</v>
      </c>
      <c r="E1393" s="18" t="str">
        <f aca="false">TEXT(B1393,"ddd")</f>
        <v>Tue</v>
      </c>
      <c r="F1393" s="19" t="n">
        <f aca="false">IF(WEEKDAY(B1393,2)&gt;=6,Assumptions!B34,Assumptions!B35)</f>
        <v>1</v>
      </c>
      <c r="G1393" s="20" t="n">
        <f aca="false">IF(D1393&gt;=13,(1+Assumptions!B46)^(D1393-12),1)</f>
        <v>1.10721439306452</v>
      </c>
      <c r="H1393" s="21" t="n">
        <f aca="false">H1392*(1+IF(C1393=1,Assumptions!B22,Assumptions!B23))</f>
        <v>24.6289251893332</v>
      </c>
      <c r="I1393" s="16" t="n">
        <f aca="false">ROUND(H1393*F1393,0)</f>
        <v>25</v>
      </c>
      <c r="J1393" s="22" t="n">
        <f aca="false">I1393*Assumptions!B24</f>
        <v>15000</v>
      </c>
      <c r="K1393" s="21" t="n">
        <f aca="false">K1392*(1+Assumptions!B30)</f>
        <v>20.7055510439679</v>
      </c>
      <c r="L1393" s="16" t="n">
        <f aca="false">ROUND(K1393*F1393,0)</f>
        <v>21</v>
      </c>
      <c r="M1393" s="22" t="n">
        <f aca="false">L1393*Assumptions!B31</f>
        <v>6300</v>
      </c>
      <c r="N1393" s="22" t="n">
        <f aca="false">J1393+M1393</f>
        <v>21300</v>
      </c>
      <c r="O1393" s="22" t="n">
        <f aca="false">IF(DAY(B1393)=1,Assumptions!B38*G1393,0)</f>
        <v>0</v>
      </c>
      <c r="P1393" s="22" t="n">
        <f aca="false">IF(DAY(B1393)=1,Assumptions!B39*G1393,0)</f>
        <v>0</v>
      </c>
      <c r="Q1393" s="22" t="n">
        <f aca="false">IF(DAY(B1393)=1,Assumptions!B40*G1393,0)</f>
        <v>0</v>
      </c>
      <c r="R1393" s="22" t="n">
        <f aca="false">IF(DAY(B1393)=1,Assumptions!B41*G1393,0)</f>
        <v>0</v>
      </c>
      <c r="S1393" s="22" t="n">
        <f aca="false">IF(AND(DAY(B1393)=1,D1393&gt;=13),Assumptions!B42*G1393,0)</f>
        <v>0</v>
      </c>
      <c r="T1393" s="22" t="n">
        <f aca="false">IF(DAY(B1393)=1,Assumptions!B43*G1393,0)</f>
        <v>0</v>
      </c>
      <c r="U1393" s="22" t="n">
        <f aca="false">SUM(O1393:T1393)</f>
        <v>0</v>
      </c>
      <c r="V1393" s="22" t="n">
        <f aca="false">N1393-U1393</f>
        <v>21300</v>
      </c>
      <c r="W1393" s="22" t="n">
        <f aca="false">W1392+V1393</f>
        <v>-698191.619975311</v>
      </c>
      <c r="X1393" s="23" t="str">
        <f aca="false">IF(W1393&gt;=0,"YES","No")</f>
        <v>No</v>
      </c>
    </row>
    <row r="1394" customFormat="false" ht="15" hidden="false" customHeight="false" outlineLevel="0" collapsed="false">
      <c r="A1394" s="16" t="n">
        <v>1393</v>
      </c>
      <c r="B1394" s="17" t="n">
        <f aca="false">B1393+1</f>
        <v>47415</v>
      </c>
      <c r="C1394" s="18" t="n">
        <f aca="false">MIN(ROUNDUP(A1394/365,0),5)</f>
        <v>4</v>
      </c>
      <c r="D1394" s="18" t="n">
        <f aca="false">DATEDIF(Assumptions!B5,B1394,"m")+1</f>
        <v>46</v>
      </c>
      <c r="E1394" s="18" t="str">
        <f aca="false">TEXT(B1394,"ddd")</f>
        <v>Wed</v>
      </c>
      <c r="F1394" s="19" t="n">
        <f aca="false">IF(WEEKDAY(B1394,2)&gt;=6,Assumptions!B34,Assumptions!B35)</f>
        <v>1</v>
      </c>
      <c r="G1394" s="20" t="n">
        <f aca="false">IF(D1394&gt;=13,(1+Assumptions!B46)^(D1394-12),1)</f>
        <v>1.10721439306452</v>
      </c>
      <c r="H1394" s="21" t="n">
        <f aca="false">H1393*(1+IF(C1394=1,Assumptions!B22,Assumptions!B23))</f>
        <v>24.6329609268721</v>
      </c>
      <c r="I1394" s="16" t="n">
        <f aca="false">ROUND(H1394*F1394,0)</f>
        <v>25</v>
      </c>
      <c r="J1394" s="22" t="n">
        <f aca="false">I1394*Assumptions!B24</f>
        <v>15000</v>
      </c>
      <c r="K1394" s="21" t="n">
        <f aca="false">K1393*(1+Assumptions!B30)</f>
        <v>20.7123204513422</v>
      </c>
      <c r="L1394" s="16" t="n">
        <f aca="false">ROUND(K1394*F1394,0)</f>
        <v>21</v>
      </c>
      <c r="M1394" s="22" t="n">
        <f aca="false">L1394*Assumptions!B31</f>
        <v>6300</v>
      </c>
      <c r="N1394" s="22" t="n">
        <f aca="false">J1394+M1394</f>
        <v>21300</v>
      </c>
      <c r="O1394" s="22" t="n">
        <f aca="false">IF(DAY(B1394)=1,Assumptions!B38*G1394,0)</f>
        <v>0</v>
      </c>
      <c r="P1394" s="22" t="n">
        <f aca="false">IF(DAY(B1394)=1,Assumptions!B39*G1394,0)</f>
        <v>0</v>
      </c>
      <c r="Q1394" s="22" t="n">
        <f aca="false">IF(DAY(B1394)=1,Assumptions!B40*G1394,0)</f>
        <v>0</v>
      </c>
      <c r="R1394" s="22" t="n">
        <f aca="false">IF(DAY(B1394)=1,Assumptions!B41*G1394,0)</f>
        <v>0</v>
      </c>
      <c r="S1394" s="22" t="n">
        <f aca="false">IF(AND(DAY(B1394)=1,D1394&gt;=13),Assumptions!B42*G1394,0)</f>
        <v>0</v>
      </c>
      <c r="T1394" s="22" t="n">
        <f aca="false">IF(DAY(B1394)=1,Assumptions!B43*G1394,0)</f>
        <v>0</v>
      </c>
      <c r="U1394" s="22" t="n">
        <f aca="false">SUM(O1394:T1394)</f>
        <v>0</v>
      </c>
      <c r="V1394" s="22" t="n">
        <f aca="false">N1394-U1394</f>
        <v>21300</v>
      </c>
      <c r="W1394" s="22" t="n">
        <f aca="false">W1393+V1394</f>
        <v>-676891.619975311</v>
      </c>
      <c r="X1394" s="23" t="str">
        <f aca="false">IF(W1394&gt;=0,"YES","No")</f>
        <v>No</v>
      </c>
    </row>
    <row r="1395" customFormat="false" ht="15" hidden="false" customHeight="false" outlineLevel="0" collapsed="false">
      <c r="A1395" s="16" t="n">
        <v>1394</v>
      </c>
      <c r="B1395" s="17" t="n">
        <f aca="false">B1394+1</f>
        <v>47416</v>
      </c>
      <c r="C1395" s="18" t="n">
        <f aca="false">MIN(ROUNDUP(A1395/365,0),5)</f>
        <v>4</v>
      </c>
      <c r="D1395" s="18" t="n">
        <f aca="false">DATEDIF(Assumptions!B5,B1395,"m")+1</f>
        <v>46</v>
      </c>
      <c r="E1395" s="18" t="str">
        <f aca="false">TEXT(B1395,"ddd")</f>
        <v>Thu</v>
      </c>
      <c r="F1395" s="19" t="n">
        <f aca="false">IF(WEEKDAY(B1395,2)&gt;=6,Assumptions!B34,Assumptions!B35)</f>
        <v>1</v>
      </c>
      <c r="G1395" s="20" t="n">
        <f aca="false">IF(D1395&gt;=13,(1+Assumptions!B46)^(D1395-12),1)</f>
        <v>1.10721439306452</v>
      </c>
      <c r="H1395" s="21" t="n">
        <f aca="false">H1394*(1+IF(C1395=1,Assumptions!B22,Assumptions!B23))</f>
        <v>24.6369973257138</v>
      </c>
      <c r="I1395" s="16" t="n">
        <f aca="false">ROUND(H1395*F1395,0)</f>
        <v>25</v>
      </c>
      <c r="J1395" s="22" t="n">
        <f aca="false">I1395*Assumptions!B24</f>
        <v>15000</v>
      </c>
      <c r="K1395" s="21" t="n">
        <f aca="false">K1394*(1+Assumptions!B30)</f>
        <v>20.719092071885</v>
      </c>
      <c r="L1395" s="16" t="n">
        <f aca="false">ROUND(K1395*F1395,0)</f>
        <v>21</v>
      </c>
      <c r="M1395" s="22" t="n">
        <f aca="false">L1395*Assumptions!B31</f>
        <v>6300</v>
      </c>
      <c r="N1395" s="22" t="n">
        <f aca="false">J1395+M1395</f>
        <v>21300</v>
      </c>
      <c r="O1395" s="22" t="n">
        <f aca="false">IF(DAY(B1395)=1,Assumptions!B38*G1395,0)</f>
        <v>0</v>
      </c>
      <c r="P1395" s="22" t="n">
        <f aca="false">IF(DAY(B1395)=1,Assumptions!B39*G1395,0)</f>
        <v>0</v>
      </c>
      <c r="Q1395" s="22" t="n">
        <f aca="false">IF(DAY(B1395)=1,Assumptions!B40*G1395,0)</f>
        <v>0</v>
      </c>
      <c r="R1395" s="22" t="n">
        <f aca="false">IF(DAY(B1395)=1,Assumptions!B41*G1395,0)</f>
        <v>0</v>
      </c>
      <c r="S1395" s="22" t="n">
        <f aca="false">IF(AND(DAY(B1395)=1,D1395&gt;=13),Assumptions!B42*G1395,0)</f>
        <v>0</v>
      </c>
      <c r="T1395" s="22" t="n">
        <f aca="false">IF(DAY(B1395)=1,Assumptions!B43*G1395,0)</f>
        <v>0</v>
      </c>
      <c r="U1395" s="22" t="n">
        <f aca="false">SUM(O1395:T1395)</f>
        <v>0</v>
      </c>
      <c r="V1395" s="22" t="n">
        <f aca="false">N1395-U1395</f>
        <v>21300</v>
      </c>
      <c r="W1395" s="22" t="n">
        <f aca="false">W1394+V1395</f>
        <v>-655591.619975311</v>
      </c>
      <c r="X1395" s="23" t="str">
        <f aca="false">IF(W1395&gt;=0,"YES","No")</f>
        <v>No</v>
      </c>
    </row>
    <row r="1396" customFormat="false" ht="15" hidden="false" customHeight="false" outlineLevel="0" collapsed="false">
      <c r="A1396" s="16" t="n">
        <v>1395</v>
      </c>
      <c r="B1396" s="17" t="n">
        <f aca="false">B1395+1</f>
        <v>47417</v>
      </c>
      <c r="C1396" s="18" t="n">
        <f aca="false">MIN(ROUNDUP(A1396/365,0),5)</f>
        <v>4</v>
      </c>
      <c r="D1396" s="18" t="n">
        <f aca="false">DATEDIF(Assumptions!B5,B1396,"m")+1</f>
        <v>46</v>
      </c>
      <c r="E1396" s="18" t="str">
        <f aca="false">TEXT(B1396,"ddd")</f>
        <v>Fri</v>
      </c>
      <c r="F1396" s="19" t="n">
        <f aca="false">IF(WEEKDAY(B1396,2)&gt;=6,Assumptions!B34,Assumptions!B35)</f>
        <v>1</v>
      </c>
      <c r="G1396" s="20" t="n">
        <f aca="false">IF(D1396&gt;=13,(1+Assumptions!B46)^(D1396-12),1)</f>
        <v>1.10721439306452</v>
      </c>
      <c r="H1396" s="21" t="n">
        <f aca="false">H1395*(1+IF(C1396=1,Assumptions!B22,Assumptions!B23))</f>
        <v>24.6410343859666</v>
      </c>
      <c r="I1396" s="16" t="n">
        <f aca="false">ROUND(H1396*F1396,0)</f>
        <v>25</v>
      </c>
      <c r="J1396" s="22" t="n">
        <f aca="false">I1396*Assumptions!B24</f>
        <v>15000</v>
      </c>
      <c r="K1396" s="21" t="n">
        <f aca="false">K1395*(1+Assumptions!B30)</f>
        <v>20.7258659063201</v>
      </c>
      <c r="L1396" s="16" t="n">
        <f aca="false">ROUND(K1396*F1396,0)</f>
        <v>21</v>
      </c>
      <c r="M1396" s="22" t="n">
        <f aca="false">L1396*Assumptions!B31</f>
        <v>6300</v>
      </c>
      <c r="N1396" s="22" t="n">
        <f aca="false">J1396+M1396</f>
        <v>21300</v>
      </c>
      <c r="O1396" s="22" t="n">
        <f aca="false">IF(DAY(B1396)=1,Assumptions!B38*G1396,0)</f>
        <v>0</v>
      </c>
      <c r="P1396" s="22" t="n">
        <f aca="false">IF(DAY(B1396)=1,Assumptions!B39*G1396,0)</f>
        <v>0</v>
      </c>
      <c r="Q1396" s="22" t="n">
        <f aca="false">IF(DAY(B1396)=1,Assumptions!B40*G1396,0)</f>
        <v>0</v>
      </c>
      <c r="R1396" s="22" t="n">
        <f aca="false">IF(DAY(B1396)=1,Assumptions!B41*G1396,0)</f>
        <v>0</v>
      </c>
      <c r="S1396" s="22" t="n">
        <f aca="false">IF(AND(DAY(B1396)=1,D1396&gt;=13),Assumptions!B42*G1396,0)</f>
        <v>0</v>
      </c>
      <c r="T1396" s="22" t="n">
        <f aca="false">IF(DAY(B1396)=1,Assumptions!B43*G1396,0)</f>
        <v>0</v>
      </c>
      <c r="U1396" s="22" t="n">
        <f aca="false">SUM(O1396:T1396)</f>
        <v>0</v>
      </c>
      <c r="V1396" s="22" t="n">
        <f aca="false">N1396-U1396</f>
        <v>21300</v>
      </c>
      <c r="W1396" s="22" t="n">
        <f aca="false">W1395+V1396</f>
        <v>-634291.619975311</v>
      </c>
      <c r="X1396" s="23" t="str">
        <f aca="false">IF(W1396&gt;=0,"YES","No")</f>
        <v>No</v>
      </c>
    </row>
    <row r="1397" customFormat="false" ht="15" hidden="false" customHeight="false" outlineLevel="0" collapsed="false">
      <c r="A1397" s="16" t="n">
        <v>1396</v>
      </c>
      <c r="B1397" s="17" t="n">
        <f aca="false">B1396+1</f>
        <v>47418</v>
      </c>
      <c r="C1397" s="18" t="n">
        <f aca="false">MIN(ROUNDUP(A1397/365,0),5)</f>
        <v>4</v>
      </c>
      <c r="D1397" s="18" t="n">
        <f aca="false">DATEDIF(Assumptions!B5,B1397,"m")+1</f>
        <v>46</v>
      </c>
      <c r="E1397" s="18" t="str">
        <f aca="false">TEXT(B1397,"ddd")</f>
        <v>Sat</v>
      </c>
      <c r="F1397" s="19" t="n">
        <f aca="false">IF(WEEKDAY(B1397,2)&gt;=6,Assumptions!B34,Assumptions!B35)</f>
        <v>0.6</v>
      </c>
      <c r="G1397" s="20" t="n">
        <f aca="false">IF(D1397&gt;=13,(1+Assumptions!B46)^(D1397-12),1)</f>
        <v>1.10721439306452</v>
      </c>
      <c r="H1397" s="21" t="n">
        <f aca="false">H1396*(1+IF(C1397=1,Assumptions!B22,Assumptions!B23))</f>
        <v>24.6450721077391</v>
      </c>
      <c r="I1397" s="16" t="n">
        <f aca="false">ROUND(H1397*F1397,0)</f>
        <v>15</v>
      </c>
      <c r="J1397" s="22" t="n">
        <f aca="false">I1397*Assumptions!B24</f>
        <v>9000</v>
      </c>
      <c r="K1397" s="21" t="n">
        <f aca="false">K1396*(1+Assumptions!B30)</f>
        <v>20.7326419553711</v>
      </c>
      <c r="L1397" s="16" t="n">
        <f aca="false">ROUND(K1397*F1397,0)</f>
        <v>12</v>
      </c>
      <c r="M1397" s="22" t="n">
        <f aca="false">L1397*Assumptions!B31</f>
        <v>3600</v>
      </c>
      <c r="N1397" s="22" t="n">
        <f aca="false">J1397+M1397</f>
        <v>12600</v>
      </c>
      <c r="O1397" s="22" t="n">
        <f aca="false">IF(DAY(B1397)=1,Assumptions!B38*G1397,0)</f>
        <v>0</v>
      </c>
      <c r="P1397" s="22" t="n">
        <f aca="false">IF(DAY(B1397)=1,Assumptions!B39*G1397,0)</f>
        <v>0</v>
      </c>
      <c r="Q1397" s="22" t="n">
        <f aca="false">IF(DAY(B1397)=1,Assumptions!B40*G1397,0)</f>
        <v>0</v>
      </c>
      <c r="R1397" s="22" t="n">
        <f aca="false">IF(DAY(B1397)=1,Assumptions!B41*G1397,0)</f>
        <v>0</v>
      </c>
      <c r="S1397" s="22" t="n">
        <f aca="false">IF(AND(DAY(B1397)=1,D1397&gt;=13),Assumptions!B42*G1397,0)</f>
        <v>0</v>
      </c>
      <c r="T1397" s="22" t="n">
        <f aca="false">IF(DAY(B1397)=1,Assumptions!B43*G1397,0)</f>
        <v>0</v>
      </c>
      <c r="U1397" s="22" t="n">
        <f aca="false">SUM(O1397:T1397)</f>
        <v>0</v>
      </c>
      <c r="V1397" s="22" t="n">
        <f aca="false">N1397-U1397</f>
        <v>12600</v>
      </c>
      <c r="W1397" s="22" t="n">
        <f aca="false">W1396+V1397</f>
        <v>-621691.619975311</v>
      </c>
      <c r="X1397" s="23" t="str">
        <f aca="false">IF(W1397&gt;=0,"YES","No")</f>
        <v>No</v>
      </c>
    </row>
    <row r="1398" customFormat="false" ht="15" hidden="false" customHeight="false" outlineLevel="0" collapsed="false">
      <c r="A1398" s="16" t="n">
        <v>1397</v>
      </c>
      <c r="B1398" s="17" t="n">
        <f aca="false">B1397+1</f>
        <v>47419</v>
      </c>
      <c r="C1398" s="18" t="n">
        <f aca="false">MIN(ROUNDUP(A1398/365,0),5)</f>
        <v>4</v>
      </c>
      <c r="D1398" s="18" t="n">
        <f aca="false">DATEDIF(Assumptions!B5,B1398,"m")+1</f>
        <v>46</v>
      </c>
      <c r="E1398" s="18" t="str">
        <f aca="false">TEXT(B1398,"ddd")</f>
        <v>Sun</v>
      </c>
      <c r="F1398" s="19" t="n">
        <f aca="false">IF(WEEKDAY(B1398,2)&gt;=6,Assumptions!B34,Assumptions!B35)</f>
        <v>0.6</v>
      </c>
      <c r="G1398" s="20" t="n">
        <f aca="false">IF(D1398&gt;=13,(1+Assumptions!B46)^(D1398-12),1)</f>
        <v>1.10721439306452</v>
      </c>
      <c r="H1398" s="21" t="n">
        <f aca="false">H1397*(1+IF(C1398=1,Assumptions!B22,Assumptions!B23))</f>
        <v>24.6491104911394</v>
      </c>
      <c r="I1398" s="16" t="n">
        <f aca="false">ROUND(H1398*F1398,0)</f>
        <v>15</v>
      </c>
      <c r="J1398" s="22" t="n">
        <f aca="false">I1398*Assumptions!B24</f>
        <v>9000</v>
      </c>
      <c r="K1398" s="21" t="n">
        <f aca="false">K1397*(1+Assumptions!B30)</f>
        <v>20.7394202197623</v>
      </c>
      <c r="L1398" s="16" t="n">
        <f aca="false">ROUND(K1398*F1398,0)</f>
        <v>12</v>
      </c>
      <c r="M1398" s="22" t="n">
        <f aca="false">L1398*Assumptions!B31</f>
        <v>3600</v>
      </c>
      <c r="N1398" s="22" t="n">
        <f aca="false">J1398+M1398</f>
        <v>12600</v>
      </c>
      <c r="O1398" s="22" t="n">
        <f aca="false">IF(DAY(B1398)=1,Assumptions!B38*G1398,0)</f>
        <v>0</v>
      </c>
      <c r="P1398" s="22" t="n">
        <f aca="false">IF(DAY(B1398)=1,Assumptions!B39*G1398,0)</f>
        <v>0</v>
      </c>
      <c r="Q1398" s="22" t="n">
        <f aca="false">IF(DAY(B1398)=1,Assumptions!B40*G1398,0)</f>
        <v>0</v>
      </c>
      <c r="R1398" s="22" t="n">
        <f aca="false">IF(DAY(B1398)=1,Assumptions!B41*G1398,0)</f>
        <v>0</v>
      </c>
      <c r="S1398" s="22" t="n">
        <f aca="false">IF(AND(DAY(B1398)=1,D1398&gt;=13),Assumptions!B42*G1398,0)</f>
        <v>0</v>
      </c>
      <c r="T1398" s="22" t="n">
        <f aca="false">IF(DAY(B1398)=1,Assumptions!B43*G1398,0)</f>
        <v>0</v>
      </c>
      <c r="U1398" s="22" t="n">
        <f aca="false">SUM(O1398:T1398)</f>
        <v>0</v>
      </c>
      <c r="V1398" s="22" t="n">
        <f aca="false">N1398-U1398</f>
        <v>12600</v>
      </c>
      <c r="W1398" s="22" t="n">
        <f aca="false">W1397+V1398</f>
        <v>-609091.619975311</v>
      </c>
      <c r="X1398" s="23" t="str">
        <f aca="false">IF(W1398&gt;=0,"YES","No")</f>
        <v>No</v>
      </c>
    </row>
    <row r="1399" customFormat="false" ht="15" hidden="false" customHeight="false" outlineLevel="0" collapsed="false">
      <c r="A1399" s="16" t="n">
        <v>1398</v>
      </c>
      <c r="B1399" s="17" t="n">
        <f aca="false">B1398+1</f>
        <v>47420</v>
      </c>
      <c r="C1399" s="18" t="n">
        <f aca="false">MIN(ROUNDUP(A1399/365,0),5)</f>
        <v>4</v>
      </c>
      <c r="D1399" s="18" t="n">
        <f aca="false">DATEDIF(Assumptions!B5,B1399,"m")+1</f>
        <v>46</v>
      </c>
      <c r="E1399" s="18" t="str">
        <f aca="false">TEXT(B1399,"ddd")</f>
        <v>Mon</v>
      </c>
      <c r="F1399" s="19" t="n">
        <f aca="false">IF(WEEKDAY(B1399,2)&gt;=6,Assumptions!B34,Assumptions!B35)</f>
        <v>1</v>
      </c>
      <c r="G1399" s="20" t="n">
        <f aca="false">IF(D1399&gt;=13,(1+Assumptions!B46)^(D1399-12),1)</f>
        <v>1.10721439306452</v>
      </c>
      <c r="H1399" s="21" t="n">
        <f aca="false">H1398*(1+IF(C1399=1,Assumptions!B22,Assumptions!B23))</f>
        <v>24.6531495362762</v>
      </c>
      <c r="I1399" s="16" t="n">
        <f aca="false">ROUND(H1399*F1399,0)</f>
        <v>25</v>
      </c>
      <c r="J1399" s="22" t="n">
        <f aca="false">I1399*Assumptions!B24</f>
        <v>15000</v>
      </c>
      <c r="K1399" s="21" t="n">
        <f aca="false">K1398*(1+Assumptions!B30)</f>
        <v>20.7462007002177</v>
      </c>
      <c r="L1399" s="16" t="n">
        <f aca="false">ROUND(K1399*F1399,0)</f>
        <v>21</v>
      </c>
      <c r="M1399" s="22" t="n">
        <f aca="false">L1399*Assumptions!B31</f>
        <v>6300</v>
      </c>
      <c r="N1399" s="22" t="n">
        <f aca="false">J1399+M1399</f>
        <v>21300</v>
      </c>
      <c r="O1399" s="22" t="n">
        <f aca="false">IF(DAY(B1399)=1,Assumptions!B38*G1399,0)</f>
        <v>0</v>
      </c>
      <c r="P1399" s="22" t="n">
        <f aca="false">IF(DAY(B1399)=1,Assumptions!B39*G1399,0)</f>
        <v>0</v>
      </c>
      <c r="Q1399" s="22" t="n">
        <f aca="false">IF(DAY(B1399)=1,Assumptions!B40*G1399,0)</f>
        <v>0</v>
      </c>
      <c r="R1399" s="22" t="n">
        <f aca="false">IF(DAY(B1399)=1,Assumptions!B41*G1399,0)</f>
        <v>0</v>
      </c>
      <c r="S1399" s="22" t="n">
        <f aca="false">IF(AND(DAY(B1399)=1,D1399&gt;=13),Assumptions!B42*G1399,0)</f>
        <v>0</v>
      </c>
      <c r="T1399" s="22" t="n">
        <f aca="false">IF(DAY(B1399)=1,Assumptions!B43*G1399,0)</f>
        <v>0</v>
      </c>
      <c r="U1399" s="22" t="n">
        <f aca="false">SUM(O1399:T1399)</f>
        <v>0</v>
      </c>
      <c r="V1399" s="22" t="n">
        <f aca="false">N1399-U1399</f>
        <v>21300</v>
      </c>
      <c r="W1399" s="22" t="n">
        <f aca="false">W1398+V1399</f>
        <v>-587791.619975311</v>
      </c>
      <c r="X1399" s="23" t="str">
        <f aca="false">IF(W1399&gt;=0,"YES","No")</f>
        <v>No</v>
      </c>
    </row>
    <row r="1400" customFormat="false" ht="15" hidden="false" customHeight="false" outlineLevel="0" collapsed="false">
      <c r="A1400" s="16" t="n">
        <v>1399</v>
      </c>
      <c r="B1400" s="17" t="n">
        <f aca="false">B1399+1</f>
        <v>47421</v>
      </c>
      <c r="C1400" s="18" t="n">
        <f aca="false">MIN(ROUNDUP(A1400/365,0),5)</f>
        <v>4</v>
      </c>
      <c r="D1400" s="18" t="n">
        <f aca="false">DATEDIF(Assumptions!B5,B1400,"m")+1</f>
        <v>46</v>
      </c>
      <c r="E1400" s="18" t="str">
        <f aca="false">TEXT(B1400,"ddd")</f>
        <v>Tue</v>
      </c>
      <c r="F1400" s="19" t="n">
        <f aca="false">IF(WEEKDAY(B1400,2)&gt;=6,Assumptions!B34,Assumptions!B35)</f>
        <v>1</v>
      </c>
      <c r="G1400" s="20" t="n">
        <f aca="false">IF(D1400&gt;=13,(1+Assumptions!B46)^(D1400-12),1)</f>
        <v>1.10721439306452</v>
      </c>
      <c r="H1400" s="21" t="n">
        <f aca="false">H1399*(1+IF(C1400=1,Assumptions!B22,Assumptions!B23))</f>
        <v>24.6571892432577</v>
      </c>
      <c r="I1400" s="16" t="n">
        <f aca="false">ROUND(H1400*F1400,0)</f>
        <v>25</v>
      </c>
      <c r="J1400" s="22" t="n">
        <f aca="false">I1400*Assumptions!B24</f>
        <v>15000</v>
      </c>
      <c r="K1400" s="21" t="n">
        <f aca="false">K1399*(1+Assumptions!B30)</f>
        <v>20.752983397462</v>
      </c>
      <c r="L1400" s="16" t="n">
        <f aca="false">ROUND(K1400*F1400,0)</f>
        <v>21</v>
      </c>
      <c r="M1400" s="22" t="n">
        <f aca="false">L1400*Assumptions!B31</f>
        <v>6300</v>
      </c>
      <c r="N1400" s="22" t="n">
        <f aca="false">J1400+M1400</f>
        <v>21300</v>
      </c>
      <c r="O1400" s="22" t="n">
        <f aca="false">IF(DAY(B1400)=1,Assumptions!B38*G1400,0)</f>
        <v>0</v>
      </c>
      <c r="P1400" s="22" t="n">
        <f aca="false">IF(DAY(B1400)=1,Assumptions!B39*G1400,0)</f>
        <v>0</v>
      </c>
      <c r="Q1400" s="22" t="n">
        <f aca="false">IF(DAY(B1400)=1,Assumptions!B40*G1400,0)</f>
        <v>0</v>
      </c>
      <c r="R1400" s="22" t="n">
        <f aca="false">IF(DAY(B1400)=1,Assumptions!B41*G1400,0)</f>
        <v>0</v>
      </c>
      <c r="S1400" s="22" t="n">
        <f aca="false">IF(AND(DAY(B1400)=1,D1400&gt;=13),Assumptions!B42*G1400,0)</f>
        <v>0</v>
      </c>
      <c r="T1400" s="22" t="n">
        <f aca="false">IF(DAY(B1400)=1,Assumptions!B43*G1400,0)</f>
        <v>0</v>
      </c>
      <c r="U1400" s="22" t="n">
        <f aca="false">SUM(O1400:T1400)</f>
        <v>0</v>
      </c>
      <c r="V1400" s="22" t="n">
        <f aca="false">N1400-U1400</f>
        <v>21300</v>
      </c>
      <c r="W1400" s="22" t="n">
        <f aca="false">W1399+V1400</f>
        <v>-566491.619975311</v>
      </c>
      <c r="X1400" s="23" t="str">
        <f aca="false">IF(W1400&gt;=0,"YES","No")</f>
        <v>No</v>
      </c>
    </row>
    <row r="1401" customFormat="false" ht="15" hidden="false" customHeight="false" outlineLevel="0" collapsed="false">
      <c r="A1401" s="16" t="n">
        <v>1400</v>
      </c>
      <c r="B1401" s="17" t="n">
        <f aca="false">B1400+1</f>
        <v>47422</v>
      </c>
      <c r="C1401" s="18" t="n">
        <f aca="false">MIN(ROUNDUP(A1401/365,0),5)</f>
        <v>4</v>
      </c>
      <c r="D1401" s="18" t="n">
        <f aca="false">DATEDIF(Assumptions!B5,B1401,"m")+1</f>
        <v>46</v>
      </c>
      <c r="E1401" s="18" t="str">
        <f aca="false">TEXT(B1401,"ddd")</f>
        <v>Wed</v>
      </c>
      <c r="F1401" s="19" t="n">
        <f aca="false">IF(WEEKDAY(B1401,2)&gt;=6,Assumptions!B34,Assumptions!B35)</f>
        <v>1</v>
      </c>
      <c r="G1401" s="20" t="n">
        <f aca="false">IF(D1401&gt;=13,(1+Assumptions!B46)^(D1401-12),1)</f>
        <v>1.10721439306452</v>
      </c>
      <c r="H1401" s="21" t="n">
        <f aca="false">H1400*(1+IF(C1401=1,Assumptions!B22,Assumptions!B23))</f>
        <v>24.6612296121925</v>
      </c>
      <c r="I1401" s="16" t="n">
        <f aca="false">ROUND(H1401*F1401,0)</f>
        <v>25</v>
      </c>
      <c r="J1401" s="22" t="n">
        <f aca="false">I1401*Assumptions!B24</f>
        <v>15000</v>
      </c>
      <c r="K1401" s="21" t="n">
        <f aca="false">K1400*(1+Assumptions!B30)</f>
        <v>20.7597683122198</v>
      </c>
      <c r="L1401" s="16" t="n">
        <f aca="false">ROUND(K1401*F1401,0)</f>
        <v>21</v>
      </c>
      <c r="M1401" s="22" t="n">
        <f aca="false">L1401*Assumptions!B31</f>
        <v>6300</v>
      </c>
      <c r="N1401" s="22" t="n">
        <f aca="false">J1401+M1401</f>
        <v>21300</v>
      </c>
      <c r="O1401" s="22" t="n">
        <f aca="false">IF(DAY(B1401)=1,Assumptions!B38*G1401,0)</f>
        <v>0</v>
      </c>
      <c r="P1401" s="22" t="n">
        <f aca="false">IF(DAY(B1401)=1,Assumptions!B39*G1401,0)</f>
        <v>0</v>
      </c>
      <c r="Q1401" s="22" t="n">
        <f aca="false">IF(DAY(B1401)=1,Assumptions!B40*G1401,0)</f>
        <v>0</v>
      </c>
      <c r="R1401" s="22" t="n">
        <f aca="false">IF(DAY(B1401)=1,Assumptions!B41*G1401,0)</f>
        <v>0</v>
      </c>
      <c r="S1401" s="22" t="n">
        <f aca="false">IF(AND(DAY(B1401)=1,D1401&gt;=13),Assumptions!B42*G1401,0)</f>
        <v>0</v>
      </c>
      <c r="T1401" s="22" t="n">
        <f aca="false">IF(DAY(B1401)=1,Assumptions!B43*G1401,0)</f>
        <v>0</v>
      </c>
      <c r="U1401" s="22" t="n">
        <f aca="false">SUM(O1401:T1401)</f>
        <v>0</v>
      </c>
      <c r="V1401" s="22" t="n">
        <f aca="false">N1401-U1401</f>
        <v>21300</v>
      </c>
      <c r="W1401" s="22" t="n">
        <f aca="false">W1400+V1401</f>
        <v>-545191.619975311</v>
      </c>
      <c r="X1401" s="23" t="str">
        <f aca="false">IF(W1401&gt;=0,"YES","No")</f>
        <v>No</v>
      </c>
    </row>
    <row r="1402" customFormat="false" ht="15" hidden="false" customHeight="false" outlineLevel="0" collapsed="false">
      <c r="A1402" s="16" t="n">
        <v>1401</v>
      </c>
      <c r="B1402" s="17" t="n">
        <f aca="false">B1401+1</f>
        <v>47423</v>
      </c>
      <c r="C1402" s="18" t="n">
        <f aca="false">MIN(ROUNDUP(A1402/365,0),5)</f>
        <v>4</v>
      </c>
      <c r="D1402" s="18" t="n">
        <f aca="false">DATEDIF(Assumptions!B5,B1402,"m")+1</f>
        <v>47</v>
      </c>
      <c r="E1402" s="18" t="str">
        <f aca="false">TEXT(B1402,"ddd")</f>
        <v>Thu</v>
      </c>
      <c r="F1402" s="19" t="n">
        <f aca="false">IF(WEEKDAY(B1402,2)&gt;=6,Assumptions!B34,Assumptions!B35)</f>
        <v>1</v>
      </c>
      <c r="G1402" s="20" t="n">
        <f aca="false">IF(D1402&gt;=13,(1+Assumptions!B46)^(D1402-12),1)</f>
        <v>1.11053603624372</v>
      </c>
      <c r="H1402" s="21" t="n">
        <f aca="false">H1401*(1+IF(C1402=1,Assumptions!B22,Assumptions!B23))</f>
        <v>24.665270643189</v>
      </c>
      <c r="I1402" s="16" t="n">
        <f aca="false">ROUND(H1402*F1402,0)</f>
        <v>25</v>
      </c>
      <c r="J1402" s="22" t="n">
        <f aca="false">I1402*Assumptions!B24</f>
        <v>15000</v>
      </c>
      <c r="K1402" s="21" t="n">
        <f aca="false">K1401*(1+Assumptions!B30)</f>
        <v>20.7665554452163</v>
      </c>
      <c r="L1402" s="16" t="n">
        <f aca="false">ROUND(K1402*F1402,0)</f>
        <v>21</v>
      </c>
      <c r="M1402" s="22" t="n">
        <f aca="false">L1402*Assumptions!B31</f>
        <v>6300</v>
      </c>
      <c r="N1402" s="22" t="n">
        <f aca="false">J1402+M1402</f>
        <v>21300</v>
      </c>
      <c r="O1402" s="22" t="n">
        <f aca="false">IF(DAY(B1402)=1,Assumptions!B38*G1402,0)</f>
        <v>166580.405436558</v>
      </c>
      <c r="P1402" s="22" t="n">
        <f aca="false">IF(DAY(B1402)=1,Assumptions!B39*G1402,0)</f>
        <v>44421.4414497487</v>
      </c>
      <c r="Q1402" s="22" t="n">
        <f aca="false">IF(DAY(B1402)=1,Assumptions!B40*G1402,0)</f>
        <v>33316.0810873115</v>
      </c>
      <c r="R1402" s="22" t="n">
        <f aca="false">IF(DAY(B1402)=1,Assumptions!B41*G1402,0)</f>
        <v>22210.7207248744</v>
      </c>
      <c r="S1402" s="22" t="n">
        <f aca="false">IF(AND(DAY(B1402)=1,D1402&gt;=13),Assumptions!B42*G1402,0)</f>
        <v>166580.405436558</v>
      </c>
      <c r="T1402" s="22" t="n">
        <f aca="false">IF(DAY(B1402)=1,Assumptions!B43*G1402,0)</f>
        <v>22210.7207248744</v>
      </c>
      <c r="U1402" s="22" t="n">
        <f aca="false">SUM(O1402:T1402)</f>
        <v>455319.774859924</v>
      </c>
      <c r="V1402" s="22" t="n">
        <f aca="false">N1402-U1402</f>
        <v>-434019.774859924</v>
      </c>
      <c r="W1402" s="22" t="n">
        <f aca="false">W1401+V1402</f>
        <v>-979211.394835235</v>
      </c>
      <c r="X1402" s="23" t="str">
        <f aca="false">IF(W1402&gt;=0,"YES","No")</f>
        <v>No</v>
      </c>
    </row>
    <row r="1403" customFormat="false" ht="15" hidden="false" customHeight="false" outlineLevel="0" collapsed="false">
      <c r="A1403" s="16" t="n">
        <v>1402</v>
      </c>
      <c r="B1403" s="17" t="n">
        <f aca="false">B1402+1</f>
        <v>47424</v>
      </c>
      <c r="C1403" s="18" t="n">
        <f aca="false">MIN(ROUNDUP(A1403/365,0),5)</f>
        <v>4</v>
      </c>
      <c r="D1403" s="18" t="n">
        <f aca="false">DATEDIF(Assumptions!B5,B1403,"m")+1</f>
        <v>47</v>
      </c>
      <c r="E1403" s="18" t="str">
        <f aca="false">TEXT(B1403,"ddd")</f>
        <v>Fri</v>
      </c>
      <c r="F1403" s="19" t="n">
        <f aca="false">IF(WEEKDAY(B1403,2)&gt;=6,Assumptions!B34,Assumptions!B35)</f>
        <v>1</v>
      </c>
      <c r="G1403" s="20" t="n">
        <f aca="false">IF(D1403&gt;=13,(1+Assumptions!B46)^(D1403-12),1)</f>
        <v>1.11053603624372</v>
      </c>
      <c r="H1403" s="21" t="n">
        <f aca="false">H1402*(1+IF(C1403=1,Assumptions!B22,Assumptions!B23))</f>
        <v>24.6693123363557</v>
      </c>
      <c r="I1403" s="16" t="n">
        <f aca="false">ROUND(H1403*F1403,0)</f>
        <v>25</v>
      </c>
      <c r="J1403" s="22" t="n">
        <f aca="false">I1403*Assumptions!B24</f>
        <v>15000</v>
      </c>
      <c r="K1403" s="21" t="n">
        <f aca="false">K1402*(1+Assumptions!B30)</f>
        <v>20.7733447971765</v>
      </c>
      <c r="L1403" s="16" t="n">
        <f aca="false">ROUND(K1403*F1403,0)</f>
        <v>21</v>
      </c>
      <c r="M1403" s="22" t="n">
        <f aca="false">L1403*Assumptions!B31</f>
        <v>6300</v>
      </c>
      <c r="N1403" s="22" t="n">
        <f aca="false">J1403+M1403</f>
        <v>21300</v>
      </c>
      <c r="O1403" s="22" t="n">
        <f aca="false">IF(DAY(B1403)=1,Assumptions!B38*G1403,0)</f>
        <v>0</v>
      </c>
      <c r="P1403" s="22" t="n">
        <f aca="false">IF(DAY(B1403)=1,Assumptions!B39*G1403,0)</f>
        <v>0</v>
      </c>
      <c r="Q1403" s="22" t="n">
        <f aca="false">IF(DAY(B1403)=1,Assumptions!B40*G1403,0)</f>
        <v>0</v>
      </c>
      <c r="R1403" s="22" t="n">
        <f aca="false">IF(DAY(B1403)=1,Assumptions!B41*G1403,0)</f>
        <v>0</v>
      </c>
      <c r="S1403" s="22" t="n">
        <f aca="false">IF(AND(DAY(B1403)=1,D1403&gt;=13),Assumptions!B42*G1403,0)</f>
        <v>0</v>
      </c>
      <c r="T1403" s="22" t="n">
        <f aca="false">IF(DAY(B1403)=1,Assumptions!B43*G1403,0)</f>
        <v>0</v>
      </c>
      <c r="U1403" s="22" t="n">
        <f aca="false">SUM(O1403:T1403)</f>
        <v>0</v>
      </c>
      <c r="V1403" s="22" t="n">
        <f aca="false">N1403-U1403</f>
        <v>21300</v>
      </c>
      <c r="W1403" s="22" t="n">
        <f aca="false">W1402+V1403</f>
        <v>-957911.394835235</v>
      </c>
      <c r="X1403" s="23" t="str">
        <f aca="false">IF(W1403&gt;=0,"YES","No")</f>
        <v>No</v>
      </c>
    </row>
    <row r="1404" customFormat="false" ht="15" hidden="false" customHeight="false" outlineLevel="0" collapsed="false">
      <c r="A1404" s="16" t="n">
        <v>1403</v>
      </c>
      <c r="B1404" s="17" t="n">
        <f aca="false">B1403+1</f>
        <v>47425</v>
      </c>
      <c r="C1404" s="18" t="n">
        <f aca="false">MIN(ROUNDUP(A1404/365,0),5)</f>
        <v>4</v>
      </c>
      <c r="D1404" s="18" t="n">
        <f aca="false">DATEDIF(Assumptions!B5,B1404,"m")+1</f>
        <v>47</v>
      </c>
      <c r="E1404" s="18" t="str">
        <f aca="false">TEXT(B1404,"ddd")</f>
        <v>Sat</v>
      </c>
      <c r="F1404" s="19" t="n">
        <f aca="false">IF(WEEKDAY(B1404,2)&gt;=6,Assumptions!B34,Assumptions!B35)</f>
        <v>0.6</v>
      </c>
      <c r="G1404" s="20" t="n">
        <f aca="false">IF(D1404&gt;=13,(1+Assumptions!B46)^(D1404-12),1)</f>
        <v>1.11053603624372</v>
      </c>
      <c r="H1404" s="21" t="n">
        <f aca="false">H1403*(1+IF(C1404=1,Assumptions!B22,Assumptions!B23))</f>
        <v>24.6733546918011</v>
      </c>
      <c r="I1404" s="16" t="n">
        <f aca="false">ROUND(H1404*F1404,0)</f>
        <v>15</v>
      </c>
      <c r="J1404" s="22" t="n">
        <f aca="false">I1404*Assumptions!B24</f>
        <v>9000</v>
      </c>
      <c r="K1404" s="21" t="n">
        <f aca="false">K1403*(1+Assumptions!B30)</f>
        <v>20.780136368826</v>
      </c>
      <c r="L1404" s="16" t="n">
        <f aca="false">ROUND(K1404*F1404,0)</f>
        <v>12</v>
      </c>
      <c r="M1404" s="22" t="n">
        <f aca="false">L1404*Assumptions!B31</f>
        <v>3600</v>
      </c>
      <c r="N1404" s="22" t="n">
        <f aca="false">J1404+M1404</f>
        <v>12600</v>
      </c>
      <c r="O1404" s="22" t="n">
        <f aca="false">IF(DAY(B1404)=1,Assumptions!B38*G1404,0)</f>
        <v>0</v>
      </c>
      <c r="P1404" s="22" t="n">
        <f aca="false">IF(DAY(B1404)=1,Assumptions!B39*G1404,0)</f>
        <v>0</v>
      </c>
      <c r="Q1404" s="22" t="n">
        <f aca="false">IF(DAY(B1404)=1,Assumptions!B40*G1404,0)</f>
        <v>0</v>
      </c>
      <c r="R1404" s="22" t="n">
        <f aca="false">IF(DAY(B1404)=1,Assumptions!B41*G1404,0)</f>
        <v>0</v>
      </c>
      <c r="S1404" s="22" t="n">
        <f aca="false">IF(AND(DAY(B1404)=1,D1404&gt;=13),Assumptions!B42*G1404,0)</f>
        <v>0</v>
      </c>
      <c r="T1404" s="22" t="n">
        <f aca="false">IF(DAY(B1404)=1,Assumptions!B43*G1404,0)</f>
        <v>0</v>
      </c>
      <c r="U1404" s="22" t="n">
        <f aca="false">SUM(O1404:T1404)</f>
        <v>0</v>
      </c>
      <c r="V1404" s="22" t="n">
        <f aca="false">N1404-U1404</f>
        <v>12600</v>
      </c>
      <c r="W1404" s="22" t="n">
        <f aca="false">W1403+V1404</f>
        <v>-945311.394835235</v>
      </c>
      <c r="X1404" s="23" t="str">
        <f aca="false">IF(W1404&gt;=0,"YES","No")</f>
        <v>No</v>
      </c>
    </row>
    <row r="1405" customFormat="false" ht="15" hidden="false" customHeight="false" outlineLevel="0" collapsed="false">
      <c r="A1405" s="16" t="n">
        <v>1404</v>
      </c>
      <c r="B1405" s="17" t="n">
        <f aca="false">B1404+1</f>
        <v>47426</v>
      </c>
      <c r="C1405" s="18" t="n">
        <f aca="false">MIN(ROUNDUP(A1405/365,0),5)</f>
        <v>4</v>
      </c>
      <c r="D1405" s="18" t="n">
        <f aca="false">DATEDIF(Assumptions!B5,B1405,"m")+1</f>
        <v>47</v>
      </c>
      <c r="E1405" s="18" t="str">
        <f aca="false">TEXT(B1405,"ddd")</f>
        <v>Sun</v>
      </c>
      <c r="F1405" s="19" t="n">
        <f aca="false">IF(WEEKDAY(B1405,2)&gt;=6,Assumptions!B34,Assumptions!B35)</f>
        <v>0.6</v>
      </c>
      <c r="G1405" s="20" t="n">
        <f aca="false">IF(D1405&gt;=13,(1+Assumptions!B46)^(D1405-12),1)</f>
        <v>1.11053603624372</v>
      </c>
      <c r="H1405" s="21" t="n">
        <f aca="false">H1404*(1+IF(C1405=1,Assumptions!B22,Assumptions!B23))</f>
        <v>24.6773977096338</v>
      </c>
      <c r="I1405" s="16" t="n">
        <f aca="false">ROUND(H1405*F1405,0)</f>
        <v>15</v>
      </c>
      <c r="J1405" s="22" t="n">
        <f aca="false">I1405*Assumptions!B24</f>
        <v>9000</v>
      </c>
      <c r="K1405" s="21" t="n">
        <f aca="false">K1404*(1+Assumptions!B30)</f>
        <v>20.7869301608904</v>
      </c>
      <c r="L1405" s="16" t="n">
        <f aca="false">ROUND(K1405*F1405,0)</f>
        <v>12</v>
      </c>
      <c r="M1405" s="22" t="n">
        <f aca="false">L1405*Assumptions!B31</f>
        <v>3600</v>
      </c>
      <c r="N1405" s="22" t="n">
        <f aca="false">J1405+M1405</f>
        <v>12600</v>
      </c>
      <c r="O1405" s="22" t="n">
        <f aca="false">IF(DAY(B1405)=1,Assumptions!B38*G1405,0)</f>
        <v>0</v>
      </c>
      <c r="P1405" s="22" t="n">
        <f aca="false">IF(DAY(B1405)=1,Assumptions!B39*G1405,0)</f>
        <v>0</v>
      </c>
      <c r="Q1405" s="22" t="n">
        <f aca="false">IF(DAY(B1405)=1,Assumptions!B40*G1405,0)</f>
        <v>0</v>
      </c>
      <c r="R1405" s="22" t="n">
        <f aca="false">IF(DAY(B1405)=1,Assumptions!B41*G1405,0)</f>
        <v>0</v>
      </c>
      <c r="S1405" s="22" t="n">
        <f aca="false">IF(AND(DAY(B1405)=1,D1405&gt;=13),Assumptions!B42*G1405,0)</f>
        <v>0</v>
      </c>
      <c r="T1405" s="22" t="n">
        <f aca="false">IF(DAY(B1405)=1,Assumptions!B43*G1405,0)</f>
        <v>0</v>
      </c>
      <c r="U1405" s="22" t="n">
        <f aca="false">SUM(O1405:T1405)</f>
        <v>0</v>
      </c>
      <c r="V1405" s="22" t="n">
        <f aca="false">N1405-U1405</f>
        <v>12600</v>
      </c>
      <c r="W1405" s="22" t="n">
        <f aca="false">W1404+V1405</f>
        <v>-932711.394835235</v>
      </c>
      <c r="X1405" s="23" t="str">
        <f aca="false">IF(W1405&gt;=0,"YES","No")</f>
        <v>No</v>
      </c>
    </row>
    <row r="1406" customFormat="false" ht="15" hidden="false" customHeight="false" outlineLevel="0" collapsed="false">
      <c r="A1406" s="16" t="n">
        <v>1405</v>
      </c>
      <c r="B1406" s="17" t="n">
        <f aca="false">B1405+1</f>
        <v>47427</v>
      </c>
      <c r="C1406" s="18" t="n">
        <f aca="false">MIN(ROUNDUP(A1406/365,0),5)</f>
        <v>4</v>
      </c>
      <c r="D1406" s="18" t="n">
        <f aca="false">DATEDIF(Assumptions!B5,B1406,"m")+1</f>
        <v>47</v>
      </c>
      <c r="E1406" s="18" t="str">
        <f aca="false">TEXT(B1406,"ddd")</f>
        <v>Mon</v>
      </c>
      <c r="F1406" s="19" t="n">
        <f aca="false">IF(WEEKDAY(B1406,2)&gt;=6,Assumptions!B34,Assumptions!B35)</f>
        <v>1</v>
      </c>
      <c r="G1406" s="20" t="n">
        <f aca="false">IF(D1406&gt;=13,(1+Assumptions!B46)^(D1406-12),1)</f>
        <v>1.11053603624372</v>
      </c>
      <c r="H1406" s="21" t="n">
        <f aca="false">H1405*(1+IF(C1406=1,Assumptions!B22,Assumptions!B23))</f>
        <v>24.6814413899622</v>
      </c>
      <c r="I1406" s="16" t="n">
        <f aca="false">ROUND(H1406*F1406,0)</f>
        <v>25</v>
      </c>
      <c r="J1406" s="22" t="n">
        <f aca="false">I1406*Assumptions!B24</f>
        <v>15000</v>
      </c>
      <c r="K1406" s="21" t="n">
        <f aca="false">K1405*(1+Assumptions!B30)</f>
        <v>20.7937261740958</v>
      </c>
      <c r="L1406" s="16" t="n">
        <f aca="false">ROUND(K1406*F1406,0)</f>
        <v>21</v>
      </c>
      <c r="M1406" s="22" t="n">
        <f aca="false">L1406*Assumptions!B31</f>
        <v>6300</v>
      </c>
      <c r="N1406" s="22" t="n">
        <f aca="false">J1406+M1406</f>
        <v>21300</v>
      </c>
      <c r="O1406" s="22" t="n">
        <f aca="false">IF(DAY(B1406)=1,Assumptions!B38*G1406,0)</f>
        <v>0</v>
      </c>
      <c r="P1406" s="22" t="n">
        <f aca="false">IF(DAY(B1406)=1,Assumptions!B39*G1406,0)</f>
        <v>0</v>
      </c>
      <c r="Q1406" s="22" t="n">
        <f aca="false">IF(DAY(B1406)=1,Assumptions!B40*G1406,0)</f>
        <v>0</v>
      </c>
      <c r="R1406" s="22" t="n">
        <f aca="false">IF(DAY(B1406)=1,Assumptions!B41*G1406,0)</f>
        <v>0</v>
      </c>
      <c r="S1406" s="22" t="n">
        <f aca="false">IF(AND(DAY(B1406)=1,D1406&gt;=13),Assumptions!B42*G1406,0)</f>
        <v>0</v>
      </c>
      <c r="T1406" s="22" t="n">
        <f aca="false">IF(DAY(B1406)=1,Assumptions!B43*G1406,0)</f>
        <v>0</v>
      </c>
      <c r="U1406" s="22" t="n">
        <f aca="false">SUM(O1406:T1406)</f>
        <v>0</v>
      </c>
      <c r="V1406" s="22" t="n">
        <f aca="false">N1406-U1406</f>
        <v>21300</v>
      </c>
      <c r="W1406" s="22" t="n">
        <f aca="false">W1405+V1406</f>
        <v>-911411.394835235</v>
      </c>
      <c r="X1406" s="23" t="str">
        <f aca="false">IF(W1406&gt;=0,"YES","No")</f>
        <v>No</v>
      </c>
    </row>
    <row r="1407" customFormat="false" ht="15" hidden="false" customHeight="false" outlineLevel="0" collapsed="false">
      <c r="A1407" s="16" t="n">
        <v>1406</v>
      </c>
      <c r="B1407" s="17" t="n">
        <f aca="false">B1406+1</f>
        <v>47428</v>
      </c>
      <c r="C1407" s="18" t="n">
        <f aca="false">MIN(ROUNDUP(A1407/365,0),5)</f>
        <v>4</v>
      </c>
      <c r="D1407" s="18" t="n">
        <f aca="false">DATEDIF(Assumptions!B5,B1407,"m")+1</f>
        <v>47</v>
      </c>
      <c r="E1407" s="18" t="str">
        <f aca="false">TEXT(B1407,"ddd")</f>
        <v>Tue</v>
      </c>
      <c r="F1407" s="19" t="n">
        <f aca="false">IF(WEEKDAY(B1407,2)&gt;=6,Assumptions!B34,Assumptions!B35)</f>
        <v>1</v>
      </c>
      <c r="G1407" s="20" t="n">
        <f aca="false">IF(D1407&gt;=13,(1+Assumptions!B46)^(D1407-12),1)</f>
        <v>1.11053603624372</v>
      </c>
      <c r="H1407" s="21" t="n">
        <f aca="false">H1406*(1+IF(C1407=1,Assumptions!B22,Assumptions!B23))</f>
        <v>24.685485732895</v>
      </c>
      <c r="I1407" s="16" t="n">
        <f aca="false">ROUND(H1407*F1407,0)</f>
        <v>25</v>
      </c>
      <c r="J1407" s="22" t="n">
        <f aca="false">I1407*Assumptions!B24</f>
        <v>15000</v>
      </c>
      <c r="K1407" s="21" t="n">
        <f aca="false">K1406*(1+Assumptions!B30)</f>
        <v>20.8005244091682</v>
      </c>
      <c r="L1407" s="16" t="n">
        <f aca="false">ROUND(K1407*F1407,0)</f>
        <v>21</v>
      </c>
      <c r="M1407" s="22" t="n">
        <f aca="false">L1407*Assumptions!B31</f>
        <v>6300</v>
      </c>
      <c r="N1407" s="22" t="n">
        <f aca="false">J1407+M1407</f>
        <v>21300</v>
      </c>
      <c r="O1407" s="22" t="n">
        <f aca="false">IF(DAY(B1407)=1,Assumptions!B38*G1407,0)</f>
        <v>0</v>
      </c>
      <c r="P1407" s="22" t="n">
        <f aca="false">IF(DAY(B1407)=1,Assumptions!B39*G1407,0)</f>
        <v>0</v>
      </c>
      <c r="Q1407" s="22" t="n">
        <f aca="false">IF(DAY(B1407)=1,Assumptions!B40*G1407,0)</f>
        <v>0</v>
      </c>
      <c r="R1407" s="22" t="n">
        <f aca="false">IF(DAY(B1407)=1,Assumptions!B41*G1407,0)</f>
        <v>0</v>
      </c>
      <c r="S1407" s="22" t="n">
        <f aca="false">IF(AND(DAY(B1407)=1,D1407&gt;=13),Assumptions!B42*G1407,0)</f>
        <v>0</v>
      </c>
      <c r="T1407" s="22" t="n">
        <f aca="false">IF(DAY(B1407)=1,Assumptions!B43*G1407,0)</f>
        <v>0</v>
      </c>
      <c r="U1407" s="22" t="n">
        <f aca="false">SUM(O1407:T1407)</f>
        <v>0</v>
      </c>
      <c r="V1407" s="22" t="n">
        <f aca="false">N1407-U1407</f>
        <v>21300</v>
      </c>
      <c r="W1407" s="22" t="n">
        <f aca="false">W1406+V1407</f>
        <v>-890111.394835235</v>
      </c>
      <c r="X1407" s="23" t="str">
        <f aca="false">IF(W1407&gt;=0,"YES","No")</f>
        <v>No</v>
      </c>
    </row>
    <row r="1408" customFormat="false" ht="15" hidden="false" customHeight="false" outlineLevel="0" collapsed="false">
      <c r="A1408" s="16" t="n">
        <v>1407</v>
      </c>
      <c r="B1408" s="17" t="n">
        <f aca="false">B1407+1</f>
        <v>47429</v>
      </c>
      <c r="C1408" s="18" t="n">
        <f aca="false">MIN(ROUNDUP(A1408/365,0),5)</f>
        <v>4</v>
      </c>
      <c r="D1408" s="18" t="n">
        <f aca="false">DATEDIF(Assumptions!B5,B1408,"m")+1</f>
        <v>47</v>
      </c>
      <c r="E1408" s="18" t="str">
        <f aca="false">TEXT(B1408,"ddd")</f>
        <v>Wed</v>
      </c>
      <c r="F1408" s="19" t="n">
        <f aca="false">IF(WEEKDAY(B1408,2)&gt;=6,Assumptions!B34,Assumptions!B35)</f>
        <v>1</v>
      </c>
      <c r="G1408" s="20" t="n">
        <f aca="false">IF(D1408&gt;=13,(1+Assumptions!B46)^(D1408-12),1)</f>
        <v>1.11053603624372</v>
      </c>
      <c r="H1408" s="21" t="n">
        <f aca="false">H1407*(1+IF(C1408=1,Assumptions!B22,Assumptions!B23))</f>
        <v>24.6895307385407</v>
      </c>
      <c r="I1408" s="16" t="n">
        <f aca="false">ROUND(H1408*F1408,0)</f>
        <v>25</v>
      </c>
      <c r="J1408" s="22" t="n">
        <f aca="false">I1408*Assumptions!B24</f>
        <v>15000</v>
      </c>
      <c r="K1408" s="21" t="n">
        <f aca="false">K1407*(1+Assumptions!B30)</f>
        <v>20.807324866834</v>
      </c>
      <c r="L1408" s="16" t="n">
        <f aca="false">ROUND(K1408*F1408,0)</f>
        <v>21</v>
      </c>
      <c r="M1408" s="22" t="n">
        <f aca="false">L1408*Assumptions!B31</f>
        <v>6300</v>
      </c>
      <c r="N1408" s="22" t="n">
        <f aca="false">J1408+M1408</f>
        <v>21300</v>
      </c>
      <c r="O1408" s="22" t="n">
        <f aca="false">IF(DAY(B1408)=1,Assumptions!B38*G1408,0)</f>
        <v>0</v>
      </c>
      <c r="P1408" s="22" t="n">
        <f aca="false">IF(DAY(B1408)=1,Assumptions!B39*G1408,0)</f>
        <v>0</v>
      </c>
      <c r="Q1408" s="22" t="n">
        <f aca="false">IF(DAY(B1408)=1,Assumptions!B40*G1408,0)</f>
        <v>0</v>
      </c>
      <c r="R1408" s="22" t="n">
        <f aca="false">IF(DAY(B1408)=1,Assumptions!B41*G1408,0)</f>
        <v>0</v>
      </c>
      <c r="S1408" s="22" t="n">
        <f aca="false">IF(AND(DAY(B1408)=1,D1408&gt;=13),Assumptions!B42*G1408,0)</f>
        <v>0</v>
      </c>
      <c r="T1408" s="22" t="n">
        <f aca="false">IF(DAY(B1408)=1,Assumptions!B43*G1408,0)</f>
        <v>0</v>
      </c>
      <c r="U1408" s="22" t="n">
        <f aca="false">SUM(O1408:T1408)</f>
        <v>0</v>
      </c>
      <c r="V1408" s="22" t="n">
        <f aca="false">N1408-U1408</f>
        <v>21300</v>
      </c>
      <c r="W1408" s="22" t="n">
        <f aca="false">W1407+V1408</f>
        <v>-868811.394835235</v>
      </c>
      <c r="X1408" s="23" t="str">
        <f aca="false">IF(W1408&gt;=0,"YES","No")</f>
        <v>No</v>
      </c>
    </row>
    <row r="1409" customFormat="false" ht="15" hidden="false" customHeight="false" outlineLevel="0" collapsed="false">
      <c r="A1409" s="16" t="n">
        <v>1408</v>
      </c>
      <c r="B1409" s="17" t="n">
        <f aca="false">B1408+1</f>
        <v>47430</v>
      </c>
      <c r="C1409" s="18" t="n">
        <f aca="false">MIN(ROUNDUP(A1409/365,0),5)</f>
        <v>4</v>
      </c>
      <c r="D1409" s="18" t="n">
        <f aca="false">DATEDIF(Assumptions!B5,B1409,"m")+1</f>
        <v>47</v>
      </c>
      <c r="E1409" s="18" t="str">
        <f aca="false">TEXT(B1409,"ddd")</f>
        <v>Thu</v>
      </c>
      <c r="F1409" s="19" t="n">
        <f aca="false">IF(WEEKDAY(B1409,2)&gt;=6,Assumptions!B34,Assumptions!B35)</f>
        <v>1</v>
      </c>
      <c r="G1409" s="20" t="n">
        <f aca="false">IF(D1409&gt;=13,(1+Assumptions!B46)^(D1409-12),1)</f>
        <v>1.11053603624372</v>
      </c>
      <c r="H1409" s="21" t="n">
        <f aca="false">H1408*(1+IF(C1409=1,Assumptions!B22,Assumptions!B23))</f>
        <v>24.6935764070078</v>
      </c>
      <c r="I1409" s="16" t="n">
        <f aca="false">ROUND(H1409*F1409,0)</f>
        <v>25</v>
      </c>
      <c r="J1409" s="22" t="n">
        <f aca="false">I1409*Assumptions!B24</f>
        <v>15000</v>
      </c>
      <c r="K1409" s="21" t="n">
        <f aca="false">K1408*(1+Assumptions!B30)</f>
        <v>20.81412754782</v>
      </c>
      <c r="L1409" s="16" t="n">
        <f aca="false">ROUND(K1409*F1409,0)</f>
        <v>21</v>
      </c>
      <c r="M1409" s="22" t="n">
        <f aca="false">L1409*Assumptions!B31</f>
        <v>6300</v>
      </c>
      <c r="N1409" s="22" t="n">
        <f aca="false">J1409+M1409</f>
        <v>21300</v>
      </c>
      <c r="O1409" s="22" t="n">
        <f aca="false">IF(DAY(B1409)=1,Assumptions!B38*G1409,0)</f>
        <v>0</v>
      </c>
      <c r="P1409" s="22" t="n">
        <f aca="false">IF(DAY(B1409)=1,Assumptions!B39*G1409,0)</f>
        <v>0</v>
      </c>
      <c r="Q1409" s="22" t="n">
        <f aca="false">IF(DAY(B1409)=1,Assumptions!B40*G1409,0)</f>
        <v>0</v>
      </c>
      <c r="R1409" s="22" t="n">
        <f aca="false">IF(DAY(B1409)=1,Assumptions!B41*G1409,0)</f>
        <v>0</v>
      </c>
      <c r="S1409" s="22" t="n">
        <f aca="false">IF(AND(DAY(B1409)=1,D1409&gt;=13),Assumptions!B42*G1409,0)</f>
        <v>0</v>
      </c>
      <c r="T1409" s="22" t="n">
        <f aca="false">IF(DAY(B1409)=1,Assumptions!B43*G1409,0)</f>
        <v>0</v>
      </c>
      <c r="U1409" s="22" t="n">
        <f aca="false">SUM(O1409:T1409)</f>
        <v>0</v>
      </c>
      <c r="V1409" s="22" t="n">
        <f aca="false">N1409-U1409</f>
        <v>21300</v>
      </c>
      <c r="W1409" s="22" t="n">
        <f aca="false">W1408+V1409</f>
        <v>-847511.394835235</v>
      </c>
      <c r="X1409" s="23" t="str">
        <f aca="false">IF(W1409&gt;=0,"YES","No")</f>
        <v>No</v>
      </c>
    </row>
    <row r="1410" customFormat="false" ht="15" hidden="false" customHeight="false" outlineLevel="0" collapsed="false">
      <c r="A1410" s="16" t="n">
        <v>1409</v>
      </c>
      <c r="B1410" s="17" t="n">
        <f aca="false">B1409+1</f>
        <v>47431</v>
      </c>
      <c r="C1410" s="18" t="n">
        <f aca="false">MIN(ROUNDUP(A1410/365,0),5)</f>
        <v>4</v>
      </c>
      <c r="D1410" s="18" t="n">
        <f aca="false">DATEDIF(Assumptions!B5,B1410,"m")+1</f>
        <v>47</v>
      </c>
      <c r="E1410" s="18" t="str">
        <f aca="false">TEXT(B1410,"ddd")</f>
        <v>Fri</v>
      </c>
      <c r="F1410" s="19" t="n">
        <f aca="false">IF(WEEKDAY(B1410,2)&gt;=6,Assumptions!B34,Assumptions!B35)</f>
        <v>1</v>
      </c>
      <c r="G1410" s="20" t="n">
        <f aca="false">IF(D1410&gt;=13,(1+Assumptions!B46)^(D1410-12),1)</f>
        <v>1.11053603624372</v>
      </c>
      <c r="H1410" s="21" t="n">
        <f aca="false">H1409*(1+IF(C1410=1,Assumptions!B22,Assumptions!B23))</f>
        <v>24.6976227384051</v>
      </c>
      <c r="I1410" s="16" t="n">
        <f aca="false">ROUND(H1410*F1410,0)</f>
        <v>25</v>
      </c>
      <c r="J1410" s="22" t="n">
        <f aca="false">I1410*Assumptions!B24</f>
        <v>15000</v>
      </c>
      <c r="K1410" s="21" t="n">
        <f aca="false">K1409*(1+Assumptions!B30)</f>
        <v>20.820932452853</v>
      </c>
      <c r="L1410" s="16" t="n">
        <f aca="false">ROUND(K1410*F1410,0)</f>
        <v>21</v>
      </c>
      <c r="M1410" s="22" t="n">
        <f aca="false">L1410*Assumptions!B31</f>
        <v>6300</v>
      </c>
      <c r="N1410" s="22" t="n">
        <f aca="false">J1410+M1410</f>
        <v>21300</v>
      </c>
      <c r="O1410" s="22" t="n">
        <f aca="false">IF(DAY(B1410)=1,Assumptions!B38*G1410,0)</f>
        <v>0</v>
      </c>
      <c r="P1410" s="22" t="n">
        <f aca="false">IF(DAY(B1410)=1,Assumptions!B39*G1410,0)</f>
        <v>0</v>
      </c>
      <c r="Q1410" s="22" t="n">
        <f aca="false">IF(DAY(B1410)=1,Assumptions!B40*G1410,0)</f>
        <v>0</v>
      </c>
      <c r="R1410" s="22" t="n">
        <f aca="false">IF(DAY(B1410)=1,Assumptions!B41*G1410,0)</f>
        <v>0</v>
      </c>
      <c r="S1410" s="22" t="n">
        <f aca="false">IF(AND(DAY(B1410)=1,D1410&gt;=13),Assumptions!B42*G1410,0)</f>
        <v>0</v>
      </c>
      <c r="T1410" s="22" t="n">
        <f aca="false">IF(DAY(B1410)=1,Assumptions!B43*G1410,0)</f>
        <v>0</v>
      </c>
      <c r="U1410" s="22" t="n">
        <f aca="false">SUM(O1410:T1410)</f>
        <v>0</v>
      </c>
      <c r="V1410" s="22" t="n">
        <f aca="false">N1410-U1410</f>
        <v>21300</v>
      </c>
      <c r="W1410" s="22" t="n">
        <f aca="false">W1409+V1410</f>
        <v>-826211.394835235</v>
      </c>
      <c r="X1410" s="23" t="str">
        <f aca="false">IF(W1410&gt;=0,"YES","No")</f>
        <v>No</v>
      </c>
    </row>
    <row r="1411" customFormat="false" ht="15" hidden="false" customHeight="false" outlineLevel="0" collapsed="false">
      <c r="A1411" s="16" t="n">
        <v>1410</v>
      </c>
      <c r="B1411" s="17" t="n">
        <f aca="false">B1410+1</f>
        <v>47432</v>
      </c>
      <c r="C1411" s="18" t="n">
        <f aca="false">MIN(ROUNDUP(A1411/365,0),5)</f>
        <v>4</v>
      </c>
      <c r="D1411" s="18" t="n">
        <f aca="false">DATEDIF(Assumptions!B5,B1411,"m")+1</f>
        <v>47</v>
      </c>
      <c r="E1411" s="18" t="str">
        <f aca="false">TEXT(B1411,"ddd")</f>
        <v>Sat</v>
      </c>
      <c r="F1411" s="19" t="n">
        <f aca="false">IF(WEEKDAY(B1411,2)&gt;=6,Assumptions!B34,Assumptions!B35)</f>
        <v>0.6</v>
      </c>
      <c r="G1411" s="20" t="n">
        <f aca="false">IF(D1411&gt;=13,(1+Assumptions!B46)^(D1411-12),1)</f>
        <v>1.11053603624372</v>
      </c>
      <c r="H1411" s="21" t="n">
        <f aca="false">H1410*(1+IF(C1411=1,Assumptions!B22,Assumptions!B23))</f>
        <v>24.7016697328411</v>
      </c>
      <c r="I1411" s="16" t="n">
        <f aca="false">ROUND(H1411*F1411,0)</f>
        <v>15</v>
      </c>
      <c r="J1411" s="22" t="n">
        <f aca="false">I1411*Assumptions!B24</f>
        <v>9000</v>
      </c>
      <c r="K1411" s="21" t="n">
        <f aca="false">K1410*(1+Assumptions!B30)</f>
        <v>20.8277395826602</v>
      </c>
      <c r="L1411" s="16" t="n">
        <f aca="false">ROUND(K1411*F1411,0)</f>
        <v>12</v>
      </c>
      <c r="M1411" s="22" t="n">
        <f aca="false">L1411*Assumptions!B31</f>
        <v>3600</v>
      </c>
      <c r="N1411" s="22" t="n">
        <f aca="false">J1411+M1411</f>
        <v>12600</v>
      </c>
      <c r="O1411" s="22" t="n">
        <f aca="false">IF(DAY(B1411)=1,Assumptions!B38*G1411,0)</f>
        <v>0</v>
      </c>
      <c r="P1411" s="22" t="n">
        <f aca="false">IF(DAY(B1411)=1,Assumptions!B39*G1411,0)</f>
        <v>0</v>
      </c>
      <c r="Q1411" s="22" t="n">
        <f aca="false">IF(DAY(B1411)=1,Assumptions!B40*G1411,0)</f>
        <v>0</v>
      </c>
      <c r="R1411" s="22" t="n">
        <f aca="false">IF(DAY(B1411)=1,Assumptions!B41*G1411,0)</f>
        <v>0</v>
      </c>
      <c r="S1411" s="22" t="n">
        <f aca="false">IF(AND(DAY(B1411)=1,D1411&gt;=13),Assumptions!B42*G1411,0)</f>
        <v>0</v>
      </c>
      <c r="T1411" s="22" t="n">
        <f aca="false">IF(DAY(B1411)=1,Assumptions!B43*G1411,0)</f>
        <v>0</v>
      </c>
      <c r="U1411" s="22" t="n">
        <f aca="false">SUM(O1411:T1411)</f>
        <v>0</v>
      </c>
      <c r="V1411" s="22" t="n">
        <f aca="false">N1411-U1411</f>
        <v>12600</v>
      </c>
      <c r="W1411" s="22" t="n">
        <f aca="false">W1410+V1411</f>
        <v>-813611.394835235</v>
      </c>
      <c r="X1411" s="23" t="str">
        <f aca="false">IF(W1411&gt;=0,"YES","No")</f>
        <v>No</v>
      </c>
    </row>
    <row r="1412" customFormat="false" ht="15" hidden="false" customHeight="false" outlineLevel="0" collapsed="false">
      <c r="A1412" s="16" t="n">
        <v>1411</v>
      </c>
      <c r="B1412" s="17" t="n">
        <f aca="false">B1411+1</f>
        <v>47433</v>
      </c>
      <c r="C1412" s="18" t="n">
        <f aca="false">MIN(ROUNDUP(A1412/365,0),5)</f>
        <v>4</v>
      </c>
      <c r="D1412" s="18" t="n">
        <f aca="false">DATEDIF(Assumptions!B5,B1412,"m")+1</f>
        <v>47</v>
      </c>
      <c r="E1412" s="18" t="str">
        <f aca="false">TEXT(B1412,"ddd")</f>
        <v>Sun</v>
      </c>
      <c r="F1412" s="19" t="n">
        <f aca="false">IF(WEEKDAY(B1412,2)&gt;=6,Assumptions!B34,Assumptions!B35)</f>
        <v>0.6</v>
      </c>
      <c r="G1412" s="20" t="n">
        <f aca="false">IF(D1412&gt;=13,(1+Assumptions!B46)^(D1412-12),1)</f>
        <v>1.11053603624372</v>
      </c>
      <c r="H1412" s="21" t="n">
        <f aca="false">H1411*(1+IF(C1412=1,Assumptions!B22,Assumptions!B23))</f>
        <v>24.7057173904246</v>
      </c>
      <c r="I1412" s="16" t="n">
        <f aca="false">ROUND(H1412*F1412,0)</f>
        <v>15</v>
      </c>
      <c r="J1412" s="22" t="n">
        <f aca="false">I1412*Assumptions!B24</f>
        <v>9000</v>
      </c>
      <c r="K1412" s="21" t="n">
        <f aca="false">K1411*(1+Assumptions!B30)</f>
        <v>20.8345489379688</v>
      </c>
      <c r="L1412" s="16" t="n">
        <f aca="false">ROUND(K1412*F1412,0)</f>
        <v>13</v>
      </c>
      <c r="M1412" s="22" t="n">
        <f aca="false">L1412*Assumptions!B31</f>
        <v>3900</v>
      </c>
      <c r="N1412" s="22" t="n">
        <f aca="false">J1412+M1412</f>
        <v>12900</v>
      </c>
      <c r="O1412" s="22" t="n">
        <f aca="false">IF(DAY(B1412)=1,Assumptions!B38*G1412,0)</f>
        <v>0</v>
      </c>
      <c r="P1412" s="22" t="n">
        <f aca="false">IF(DAY(B1412)=1,Assumptions!B39*G1412,0)</f>
        <v>0</v>
      </c>
      <c r="Q1412" s="22" t="n">
        <f aca="false">IF(DAY(B1412)=1,Assumptions!B40*G1412,0)</f>
        <v>0</v>
      </c>
      <c r="R1412" s="22" t="n">
        <f aca="false">IF(DAY(B1412)=1,Assumptions!B41*G1412,0)</f>
        <v>0</v>
      </c>
      <c r="S1412" s="22" t="n">
        <f aca="false">IF(AND(DAY(B1412)=1,D1412&gt;=13),Assumptions!B42*G1412,0)</f>
        <v>0</v>
      </c>
      <c r="T1412" s="22" t="n">
        <f aca="false">IF(DAY(B1412)=1,Assumptions!B43*G1412,0)</f>
        <v>0</v>
      </c>
      <c r="U1412" s="22" t="n">
        <f aca="false">SUM(O1412:T1412)</f>
        <v>0</v>
      </c>
      <c r="V1412" s="22" t="n">
        <f aca="false">N1412-U1412</f>
        <v>12900</v>
      </c>
      <c r="W1412" s="22" t="n">
        <f aca="false">W1411+V1412</f>
        <v>-800711.394835235</v>
      </c>
      <c r="X1412" s="23" t="str">
        <f aca="false">IF(W1412&gt;=0,"YES","No")</f>
        <v>No</v>
      </c>
    </row>
    <row r="1413" customFormat="false" ht="15" hidden="false" customHeight="false" outlineLevel="0" collapsed="false">
      <c r="A1413" s="16" t="n">
        <v>1412</v>
      </c>
      <c r="B1413" s="17" t="n">
        <f aca="false">B1412+1</f>
        <v>47434</v>
      </c>
      <c r="C1413" s="18" t="n">
        <f aca="false">MIN(ROUNDUP(A1413/365,0),5)</f>
        <v>4</v>
      </c>
      <c r="D1413" s="18" t="n">
        <f aca="false">DATEDIF(Assumptions!B5,B1413,"m")+1</f>
        <v>47</v>
      </c>
      <c r="E1413" s="18" t="str">
        <f aca="false">TEXT(B1413,"ddd")</f>
        <v>Mon</v>
      </c>
      <c r="F1413" s="19" t="n">
        <f aca="false">IF(WEEKDAY(B1413,2)&gt;=6,Assumptions!B34,Assumptions!B35)</f>
        <v>1</v>
      </c>
      <c r="G1413" s="20" t="n">
        <f aca="false">IF(D1413&gt;=13,(1+Assumptions!B46)^(D1413-12),1)</f>
        <v>1.11053603624372</v>
      </c>
      <c r="H1413" s="21" t="n">
        <f aca="false">H1412*(1+IF(C1413=1,Assumptions!B22,Assumptions!B23))</f>
        <v>24.709765711264</v>
      </c>
      <c r="I1413" s="16" t="n">
        <f aca="false">ROUND(H1413*F1413,0)</f>
        <v>25</v>
      </c>
      <c r="J1413" s="22" t="n">
        <f aca="false">I1413*Assumptions!B24</f>
        <v>15000</v>
      </c>
      <c r="K1413" s="21" t="n">
        <f aca="false">K1412*(1+Assumptions!B30)</f>
        <v>20.8413605195065</v>
      </c>
      <c r="L1413" s="16" t="n">
        <f aca="false">ROUND(K1413*F1413,0)</f>
        <v>21</v>
      </c>
      <c r="M1413" s="22" t="n">
        <f aca="false">L1413*Assumptions!B31</f>
        <v>6300</v>
      </c>
      <c r="N1413" s="22" t="n">
        <f aca="false">J1413+M1413</f>
        <v>21300</v>
      </c>
      <c r="O1413" s="22" t="n">
        <f aca="false">IF(DAY(B1413)=1,Assumptions!B38*G1413,0)</f>
        <v>0</v>
      </c>
      <c r="P1413" s="22" t="n">
        <f aca="false">IF(DAY(B1413)=1,Assumptions!B39*G1413,0)</f>
        <v>0</v>
      </c>
      <c r="Q1413" s="22" t="n">
        <f aca="false">IF(DAY(B1413)=1,Assumptions!B40*G1413,0)</f>
        <v>0</v>
      </c>
      <c r="R1413" s="22" t="n">
        <f aca="false">IF(DAY(B1413)=1,Assumptions!B41*G1413,0)</f>
        <v>0</v>
      </c>
      <c r="S1413" s="22" t="n">
        <f aca="false">IF(AND(DAY(B1413)=1,D1413&gt;=13),Assumptions!B42*G1413,0)</f>
        <v>0</v>
      </c>
      <c r="T1413" s="22" t="n">
        <f aca="false">IF(DAY(B1413)=1,Assumptions!B43*G1413,0)</f>
        <v>0</v>
      </c>
      <c r="U1413" s="22" t="n">
        <f aca="false">SUM(O1413:T1413)</f>
        <v>0</v>
      </c>
      <c r="V1413" s="22" t="n">
        <f aca="false">N1413-U1413</f>
        <v>21300</v>
      </c>
      <c r="W1413" s="22" t="n">
        <f aca="false">W1412+V1413</f>
        <v>-779411.394835235</v>
      </c>
      <c r="X1413" s="23" t="str">
        <f aca="false">IF(W1413&gt;=0,"YES","No")</f>
        <v>No</v>
      </c>
    </row>
    <row r="1414" customFormat="false" ht="15" hidden="false" customHeight="false" outlineLevel="0" collapsed="false">
      <c r="A1414" s="16" t="n">
        <v>1413</v>
      </c>
      <c r="B1414" s="17" t="n">
        <f aca="false">B1413+1</f>
        <v>47435</v>
      </c>
      <c r="C1414" s="18" t="n">
        <f aca="false">MIN(ROUNDUP(A1414/365,0),5)</f>
        <v>4</v>
      </c>
      <c r="D1414" s="18" t="n">
        <f aca="false">DATEDIF(Assumptions!B5,B1414,"m")+1</f>
        <v>47</v>
      </c>
      <c r="E1414" s="18" t="str">
        <f aca="false">TEXT(B1414,"ddd")</f>
        <v>Tue</v>
      </c>
      <c r="F1414" s="19" t="n">
        <f aca="false">IF(WEEKDAY(B1414,2)&gt;=6,Assumptions!B34,Assumptions!B35)</f>
        <v>1</v>
      </c>
      <c r="G1414" s="20" t="n">
        <f aca="false">IF(D1414&gt;=13,(1+Assumptions!B46)^(D1414-12),1)</f>
        <v>1.11053603624372</v>
      </c>
      <c r="H1414" s="21" t="n">
        <f aca="false">H1413*(1+IF(C1414=1,Assumptions!B22,Assumptions!B23))</f>
        <v>24.7138146954682</v>
      </c>
      <c r="I1414" s="16" t="n">
        <f aca="false">ROUND(H1414*F1414,0)</f>
        <v>25</v>
      </c>
      <c r="J1414" s="22" t="n">
        <f aca="false">I1414*Assumptions!B24</f>
        <v>15000</v>
      </c>
      <c r="K1414" s="21" t="n">
        <f aca="false">K1413*(1+Assumptions!B30)</f>
        <v>20.8481743280011</v>
      </c>
      <c r="L1414" s="16" t="n">
        <f aca="false">ROUND(K1414*F1414,0)</f>
        <v>21</v>
      </c>
      <c r="M1414" s="22" t="n">
        <f aca="false">L1414*Assumptions!B31</f>
        <v>6300</v>
      </c>
      <c r="N1414" s="22" t="n">
        <f aca="false">J1414+M1414</f>
        <v>21300</v>
      </c>
      <c r="O1414" s="22" t="n">
        <f aca="false">IF(DAY(B1414)=1,Assumptions!B38*G1414,0)</f>
        <v>0</v>
      </c>
      <c r="P1414" s="22" t="n">
        <f aca="false">IF(DAY(B1414)=1,Assumptions!B39*G1414,0)</f>
        <v>0</v>
      </c>
      <c r="Q1414" s="22" t="n">
        <f aca="false">IF(DAY(B1414)=1,Assumptions!B40*G1414,0)</f>
        <v>0</v>
      </c>
      <c r="R1414" s="22" t="n">
        <f aca="false">IF(DAY(B1414)=1,Assumptions!B41*G1414,0)</f>
        <v>0</v>
      </c>
      <c r="S1414" s="22" t="n">
        <f aca="false">IF(AND(DAY(B1414)=1,D1414&gt;=13),Assumptions!B42*G1414,0)</f>
        <v>0</v>
      </c>
      <c r="T1414" s="22" t="n">
        <f aca="false">IF(DAY(B1414)=1,Assumptions!B43*G1414,0)</f>
        <v>0</v>
      </c>
      <c r="U1414" s="22" t="n">
        <f aca="false">SUM(O1414:T1414)</f>
        <v>0</v>
      </c>
      <c r="V1414" s="22" t="n">
        <f aca="false">N1414-U1414</f>
        <v>21300</v>
      </c>
      <c r="W1414" s="22" t="n">
        <f aca="false">W1413+V1414</f>
        <v>-758111.394835235</v>
      </c>
      <c r="X1414" s="23" t="str">
        <f aca="false">IF(W1414&gt;=0,"YES","No")</f>
        <v>No</v>
      </c>
    </row>
    <row r="1415" customFormat="false" ht="15" hidden="false" customHeight="false" outlineLevel="0" collapsed="false">
      <c r="A1415" s="16" t="n">
        <v>1414</v>
      </c>
      <c r="B1415" s="17" t="n">
        <f aca="false">B1414+1</f>
        <v>47436</v>
      </c>
      <c r="C1415" s="18" t="n">
        <f aca="false">MIN(ROUNDUP(A1415/365,0),5)</f>
        <v>4</v>
      </c>
      <c r="D1415" s="18" t="n">
        <f aca="false">DATEDIF(Assumptions!B5,B1415,"m")+1</f>
        <v>47</v>
      </c>
      <c r="E1415" s="18" t="str">
        <f aca="false">TEXT(B1415,"ddd")</f>
        <v>Wed</v>
      </c>
      <c r="F1415" s="19" t="n">
        <f aca="false">IF(WEEKDAY(B1415,2)&gt;=6,Assumptions!B34,Assumptions!B35)</f>
        <v>1</v>
      </c>
      <c r="G1415" s="20" t="n">
        <f aca="false">IF(D1415&gt;=13,(1+Assumptions!B46)^(D1415-12),1)</f>
        <v>1.11053603624372</v>
      </c>
      <c r="H1415" s="21" t="n">
        <f aca="false">H1414*(1+IF(C1415=1,Assumptions!B22,Assumptions!B23))</f>
        <v>24.7178643431458</v>
      </c>
      <c r="I1415" s="16" t="n">
        <f aca="false">ROUND(H1415*F1415,0)</f>
        <v>25</v>
      </c>
      <c r="J1415" s="22" t="n">
        <f aca="false">I1415*Assumptions!B24</f>
        <v>15000</v>
      </c>
      <c r="K1415" s="21" t="n">
        <f aca="false">K1414*(1+Assumptions!B30)</f>
        <v>20.8549903641808</v>
      </c>
      <c r="L1415" s="16" t="n">
        <f aca="false">ROUND(K1415*F1415,0)</f>
        <v>21</v>
      </c>
      <c r="M1415" s="22" t="n">
        <f aca="false">L1415*Assumptions!B31</f>
        <v>6300</v>
      </c>
      <c r="N1415" s="22" t="n">
        <f aca="false">J1415+M1415</f>
        <v>21300</v>
      </c>
      <c r="O1415" s="22" t="n">
        <f aca="false">IF(DAY(B1415)=1,Assumptions!B38*G1415,0)</f>
        <v>0</v>
      </c>
      <c r="P1415" s="22" t="n">
        <f aca="false">IF(DAY(B1415)=1,Assumptions!B39*G1415,0)</f>
        <v>0</v>
      </c>
      <c r="Q1415" s="22" t="n">
        <f aca="false">IF(DAY(B1415)=1,Assumptions!B40*G1415,0)</f>
        <v>0</v>
      </c>
      <c r="R1415" s="22" t="n">
        <f aca="false">IF(DAY(B1415)=1,Assumptions!B41*G1415,0)</f>
        <v>0</v>
      </c>
      <c r="S1415" s="22" t="n">
        <f aca="false">IF(AND(DAY(B1415)=1,D1415&gt;=13),Assumptions!B42*G1415,0)</f>
        <v>0</v>
      </c>
      <c r="T1415" s="22" t="n">
        <f aca="false">IF(DAY(B1415)=1,Assumptions!B43*G1415,0)</f>
        <v>0</v>
      </c>
      <c r="U1415" s="22" t="n">
        <f aca="false">SUM(O1415:T1415)</f>
        <v>0</v>
      </c>
      <c r="V1415" s="22" t="n">
        <f aca="false">N1415-U1415</f>
        <v>21300</v>
      </c>
      <c r="W1415" s="22" t="n">
        <f aca="false">W1414+V1415</f>
        <v>-736811.394835235</v>
      </c>
      <c r="X1415" s="23" t="str">
        <f aca="false">IF(W1415&gt;=0,"YES","No")</f>
        <v>No</v>
      </c>
    </row>
    <row r="1416" customFormat="false" ht="15" hidden="false" customHeight="false" outlineLevel="0" collapsed="false">
      <c r="A1416" s="16" t="n">
        <v>1415</v>
      </c>
      <c r="B1416" s="17" t="n">
        <f aca="false">B1415+1</f>
        <v>47437</v>
      </c>
      <c r="C1416" s="18" t="n">
        <f aca="false">MIN(ROUNDUP(A1416/365,0),5)</f>
        <v>4</v>
      </c>
      <c r="D1416" s="18" t="n">
        <f aca="false">DATEDIF(Assumptions!B5,B1416,"m")+1</f>
        <v>47</v>
      </c>
      <c r="E1416" s="18" t="str">
        <f aca="false">TEXT(B1416,"ddd")</f>
        <v>Thu</v>
      </c>
      <c r="F1416" s="19" t="n">
        <f aca="false">IF(WEEKDAY(B1416,2)&gt;=6,Assumptions!B34,Assumptions!B35)</f>
        <v>1</v>
      </c>
      <c r="G1416" s="20" t="n">
        <f aca="false">IF(D1416&gt;=13,(1+Assumptions!B46)^(D1416-12),1)</f>
        <v>1.11053603624372</v>
      </c>
      <c r="H1416" s="21" t="n">
        <f aca="false">H1415*(1+IF(C1416=1,Assumptions!B22,Assumptions!B23))</f>
        <v>24.7219146544056</v>
      </c>
      <c r="I1416" s="16" t="n">
        <f aca="false">ROUND(H1416*F1416,0)</f>
        <v>25</v>
      </c>
      <c r="J1416" s="22" t="n">
        <f aca="false">I1416*Assumptions!B24</f>
        <v>15000</v>
      </c>
      <c r="K1416" s="21" t="n">
        <f aca="false">K1415*(1+Assumptions!B30)</f>
        <v>20.8618086287737</v>
      </c>
      <c r="L1416" s="16" t="n">
        <f aca="false">ROUND(K1416*F1416,0)</f>
        <v>21</v>
      </c>
      <c r="M1416" s="22" t="n">
        <f aca="false">L1416*Assumptions!B31</f>
        <v>6300</v>
      </c>
      <c r="N1416" s="22" t="n">
        <f aca="false">J1416+M1416</f>
        <v>21300</v>
      </c>
      <c r="O1416" s="22" t="n">
        <f aca="false">IF(DAY(B1416)=1,Assumptions!B38*G1416,0)</f>
        <v>0</v>
      </c>
      <c r="P1416" s="22" t="n">
        <f aca="false">IF(DAY(B1416)=1,Assumptions!B39*G1416,0)</f>
        <v>0</v>
      </c>
      <c r="Q1416" s="22" t="n">
        <f aca="false">IF(DAY(B1416)=1,Assumptions!B40*G1416,0)</f>
        <v>0</v>
      </c>
      <c r="R1416" s="22" t="n">
        <f aca="false">IF(DAY(B1416)=1,Assumptions!B41*G1416,0)</f>
        <v>0</v>
      </c>
      <c r="S1416" s="22" t="n">
        <f aca="false">IF(AND(DAY(B1416)=1,D1416&gt;=13),Assumptions!B42*G1416,0)</f>
        <v>0</v>
      </c>
      <c r="T1416" s="22" t="n">
        <f aca="false">IF(DAY(B1416)=1,Assumptions!B43*G1416,0)</f>
        <v>0</v>
      </c>
      <c r="U1416" s="22" t="n">
        <f aca="false">SUM(O1416:T1416)</f>
        <v>0</v>
      </c>
      <c r="V1416" s="22" t="n">
        <f aca="false">N1416-U1416</f>
        <v>21300</v>
      </c>
      <c r="W1416" s="22" t="n">
        <f aca="false">W1415+V1416</f>
        <v>-715511.394835235</v>
      </c>
      <c r="X1416" s="23" t="str">
        <f aca="false">IF(W1416&gt;=0,"YES","No")</f>
        <v>No</v>
      </c>
    </row>
    <row r="1417" customFormat="false" ht="15" hidden="false" customHeight="false" outlineLevel="0" collapsed="false">
      <c r="A1417" s="16" t="n">
        <v>1416</v>
      </c>
      <c r="B1417" s="17" t="n">
        <f aca="false">B1416+1</f>
        <v>47438</v>
      </c>
      <c r="C1417" s="18" t="n">
        <f aca="false">MIN(ROUNDUP(A1417/365,0),5)</f>
        <v>4</v>
      </c>
      <c r="D1417" s="18" t="n">
        <f aca="false">DATEDIF(Assumptions!B5,B1417,"m")+1</f>
        <v>47</v>
      </c>
      <c r="E1417" s="18" t="str">
        <f aca="false">TEXT(B1417,"ddd")</f>
        <v>Fri</v>
      </c>
      <c r="F1417" s="19" t="n">
        <f aca="false">IF(WEEKDAY(B1417,2)&gt;=6,Assumptions!B34,Assumptions!B35)</f>
        <v>1</v>
      </c>
      <c r="G1417" s="20" t="n">
        <f aca="false">IF(D1417&gt;=13,(1+Assumptions!B46)^(D1417-12),1)</f>
        <v>1.11053603624372</v>
      </c>
      <c r="H1417" s="21" t="n">
        <f aca="false">H1416*(1+IF(C1417=1,Assumptions!B22,Assumptions!B23))</f>
        <v>24.7259656293563</v>
      </c>
      <c r="I1417" s="16" t="n">
        <f aca="false">ROUND(H1417*F1417,0)</f>
        <v>25</v>
      </c>
      <c r="J1417" s="22" t="n">
        <f aca="false">I1417*Assumptions!B24</f>
        <v>15000</v>
      </c>
      <c r="K1417" s="21" t="n">
        <f aca="false">K1416*(1+Assumptions!B30)</f>
        <v>20.8686291225085</v>
      </c>
      <c r="L1417" s="16" t="n">
        <f aca="false">ROUND(K1417*F1417,0)</f>
        <v>21</v>
      </c>
      <c r="M1417" s="22" t="n">
        <f aca="false">L1417*Assumptions!B31</f>
        <v>6300</v>
      </c>
      <c r="N1417" s="22" t="n">
        <f aca="false">J1417+M1417</f>
        <v>21300</v>
      </c>
      <c r="O1417" s="22" t="n">
        <f aca="false">IF(DAY(B1417)=1,Assumptions!B38*G1417,0)</f>
        <v>0</v>
      </c>
      <c r="P1417" s="22" t="n">
        <f aca="false">IF(DAY(B1417)=1,Assumptions!B39*G1417,0)</f>
        <v>0</v>
      </c>
      <c r="Q1417" s="22" t="n">
        <f aca="false">IF(DAY(B1417)=1,Assumptions!B40*G1417,0)</f>
        <v>0</v>
      </c>
      <c r="R1417" s="22" t="n">
        <f aca="false">IF(DAY(B1417)=1,Assumptions!B41*G1417,0)</f>
        <v>0</v>
      </c>
      <c r="S1417" s="22" t="n">
        <f aca="false">IF(AND(DAY(B1417)=1,D1417&gt;=13),Assumptions!B42*G1417,0)</f>
        <v>0</v>
      </c>
      <c r="T1417" s="22" t="n">
        <f aca="false">IF(DAY(B1417)=1,Assumptions!B43*G1417,0)</f>
        <v>0</v>
      </c>
      <c r="U1417" s="22" t="n">
        <f aca="false">SUM(O1417:T1417)</f>
        <v>0</v>
      </c>
      <c r="V1417" s="22" t="n">
        <f aca="false">N1417-U1417</f>
        <v>21300</v>
      </c>
      <c r="W1417" s="22" t="n">
        <f aca="false">W1416+V1417</f>
        <v>-694211.394835235</v>
      </c>
      <c r="X1417" s="23" t="str">
        <f aca="false">IF(W1417&gt;=0,"YES","No")</f>
        <v>No</v>
      </c>
    </row>
    <row r="1418" customFormat="false" ht="15" hidden="false" customHeight="false" outlineLevel="0" collapsed="false">
      <c r="A1418" s="16" t="n">
        <v>1417</v>
      </c>
      <c r="B1418" s="17" t="n">
        <f aca="false">B1417+1</f>
        <v>47439</v>
      </c>
      <c r="C1418" s="18" t="n">
        <f aca="false">MIN(ROUNDUP(A1418/365,0),5)</f>
        <v>4</v>
      </c>
      <c r="D1418" s="18" t="n">
        <f aca="false">DATEDIF(Assumptions!B5,B1418,"m")+1</f>
        <v>47</v>
      </c>
      <c r="E1418" s="18" t="str">
        <f aca="false">TEXT(B1418,"ddd")</f>
        <v>Sat</v>
      </c>
      <c r="F1418" s="19" t="n">
        <f aca="false">IF(WEEKDAY(B1418,2)&gt;=6,Assumptions!B34,Assumptions!B35)</f>
        <v>0.6</v>
      </c>
      <c r="G1418" s="20" t="n">
        <f aca="false">IF(D1418&gt;=13,(1+Assumptions!B46)^(D1418-12),1)</f>
        <v>1.11053603624372</v>
      </c>
      <c r="H1418" s="21" t="n">
        <f aca="false">H1417*(1+IF(C1418=1,Assumptions!B22,Assumptions!B23))</f>
        <v>24.7300172681066</v>
      </c>
      <c r="I1418" s="16" t="n">
        <f aca="false">ROUND(H1418*F1418,0)</f>
        <v>15</v>
      </c>
      <c r="J1418" s="22" t="n">
        <f aca="false">I1418*Assumptions!B24</f>
        <v>9000</v>
      </c>
      <c r="K1418" s="21" t="n">
        <f aca="false">K1417*(1+Assumptions!B30)</f>
        <v>20.875451846114</v>
      </c>
      <c r="L1418" s="16" t="n">
        <f aca="false">ROUND(K1418*F1418,0)</f>
        <v>13</v>
      </c>
      <c r="M1418" s="22" t="n">
        <f aca="false">L1418*Assumptions!B31</f>
        <v>3900</v>
      </c>
      <c r="N1418" s="22" t="n">
        <f aca="false">J1418+M1418</f>
        <v>12900</v>
      </c>
      <c r="O1418" s="22" t="n">
        <f aca="false">IF(DAY(B1418)=1,Assumptions!B38*G1418,0)</f>
        <v>0</v>
      </c>
      <c r="P1418" s="22" t="n">
        <f aca="false">IF(DAY(B1418)=1,Assumptions!B39*G1418,0)</f>
        <v>0</v>
      </c>
      <c r="Q1418" s="22" t="n">
        <f aca="false">IF(DAY(B1418)=1,Assumptions!B40*G1418,0)</f>
        <v>0</v>
      </c>
      <c r="R1418" s="22" t="n">
        <f aca="false">IF(DAY(B1418)=1,Assumptions!B41*G1418,0)</f>
        <v>0</v>
      </c>
      <c r="S1418" s="22" t="n">
        <f aca="false">IF(AND(DAY(B1418)=1,D1418&gt;=13),Assumptions!B42*G1418,0)</f>
        <v>0</v>
      </c>
      <c r="T1418" s="22" t="n">
        <f aca="false">IF(DAY(B1418)=1,Assumptions!B43*G1418,0)</f>
        <v>0</v>
      </c>
      <c r="U1418" s="22" t="n">
        <f aca="false">SUM(O1418:T1418)</f>
        <v>0</v>
      </c>
      <c r="V1418" s="22" t="n">
        <f aca="false">N1418-U1418</f>
        <v>12900</v>
      </c>
      <c r="W1418" s="22" t="n">
        <f aca="false">W1417+V1418</f>
        <v>-681311.394835235</v>
      </c>
      <c r="X1418" s="23" t="str">
        <f aca="false">IF(W1418&gt;=0,"YES","No")</f>
        <v>No</v>
      </c>
    </row>
    <row r="1419" customFormat="false" ht="15" hidden="false" customHeight="false" outlineLevel="0" collapsed="false">
      <c r="A1419" s="16" t="n">
        <v>1418</v>
      </c>
      <c r="B1419" s="17" t="n">
        <f aca="false">B1418+1</f>
        <v>47440</v>
      </c>
      <c r="C1419" s="18" t="n">
        <f aca="false">MIN(ROUNDUP(A1419/365,0),5)</f>
        <v>4</v>
      </c>
      <c r="D1419" s="18" t="n">
        <f aca="false">DATEDIF(Assumptions!B5,B1419,"m")+1</f>
        <v>47</v>
      </c>
      <c r="E1419" s="18" t="str">
        <f aca="false">TEXT(B1419,"ddd")</f>
        <v>Sun</v>
      </c>
      <c r="F1419" s="19" t="n">
        <f aca="false">IF(WEEKDAY(B1419,2)&gt;=6,Assumptions!B34,Assumptions!B35)</f>
        <v>0.6</v>
      </c>
      <c r="G1419" s="20" t="n">
        <f aca="false">IF(D1419&gt;=13,(1+Assumptions!B46)^(D1419-12),1)</f>
        <v>1.11053603624372</v>
      </c>
      <c r="H1419" s="21" t="n">
        <f aca="false">H1418*(1+IF(C1419=1,Assumptions!B22,Assumptions!B23))</f>
        <v>24.7340695707653</v>
      </c>
      <c r="I1419" s="16" t="n">
        <f aca="false">ROUND(H1419*F1419,0)</f>
        <v>15</v>
      </c>
      <c r="J1419" s="22" t="n">
        <f aca="false">I1419*Assumptions!B24</f>
        <v>9000</v>
      </c>
      <c r="K1419" s="21" t="n">
        <f aca="false">K1418*(1+Assumptions!B30)</f>
        <v>20.8822768003191</v>
      </c>
      <c r="L1419" s="16" t="n">
        <f aca="false">ROUND(K1419*F1419,0)</f>
        <v>13</v>
      </c>
      <c r="M1419" s="22" t="n">
        <f aca="false">L1419*Assumptions!B31</f>
        <v>3900</v>
      </c>
      <c r="N1419" s="22" t="n">
        <f aca="false">J1419+M1419</f>
        <v>12900</v>
      </c>
      <c r="O1419" s="22" t="n">
        <f aca="false">IF(DAY(B1419)=1,Assumptions!B38*G1419,0)</f>
        <v>0</v>
      </c>
      <c r="P1419" s="22" t="n">
        <f aca="false">IF(DAY(B1419)=1,Assumptions!B39*G1419,0)</f>
        <v>0</v>
      </c>
      <c r="Q1419" s="22" t="n">
        <f aca="false">IF(DAY(B1419)=1,Assumptions!B40*G1419,0)</f>
        <v>0</v>
      </c>
      <c r="R1419" s="22" t="n">
        <f aca="false">IF(DAY(B1419)=1,Assumptions!B41*G1419,0)</f>
        <v>0</v>
      </c>
      <c r="S1419" s="22" t="n">
        <f aca="false">IF(AND(DAY(B1419)=1,D1419&gt;=13),Assumptions!B42*G1419,0)</f>
        <v>0</v>
      </c>
      <c r="T1419" s="22" t="n">
        <f aca="false">IF(DAY(B1419)=1,Assumptions!B43*G1419,0)</f>
        <v>0</v>
      </c>
      <c r="U1419" s="22" t="n">
        <f aca="false">SUM(O1419:T1419)</f>
        <v>0</v>
      </c>
      <c r="V1419" s="22" t="n">
        <f aca="false">N1419-U1419</f>
        <v>12900</v>
      </c>
      <c r="W1419" s="22" t="n">
        <f aca="false">W1418+V1419</f>
        <v>-668411.394835235</v>
      </c>
      <c r="X1419" s="23" t="str">
        <f aca="false">IF(W1419&gt;=0,"YES","No")</f>
        <v>No</v>
      </c>
    </row>
    <row r="1420" customFormat="false" ht="15" hidden="false" customHeight="false" outlineLevel="0" collapsed="false">
      <c r="A1420" s="16" t="n">
        <v>1419</v>
      </c>
      <c r="B1420" s="17" t="n">
        <f aca="false">B1419+1</f>
        <v>47441</v>
      </c>
      <c r="C1420" s="18" t="n">
        <f aca="false">MIN(ROUNDUP(A1420/365,0),5)</f>
        <v>4</v>
      </c>
      <c r="D1420" s="18" t="n">
        <f aca="false">DATEDIF(Assumptions!B5,B1420,"m")+1</f>
        <v>47</v>
      </c>
      <c r="E1420" s="18" t="str">
        <f aca="false">TEXT(B1420,"ddd")</f>
        <v>Mon</v>
      </c>
      <c r="F1420" s="19" t="n">
        <f aca="false">IF(WEEKDAY(B1420,2)&gt;=6,Assumptions!B34,Assumptions!B35)</f>
        <v>1</v>
      </c>
      <c r="G1420" s="20" t="n">
        <f aca="false">IF(D1420&gt;=13,(1+Assumptions!B46)^(D1420-12),1)</f>
        <v>1.11053603624372</v>
      </c>
      <c r="H1420" s="21" t="n">
        <f aca="false">H1419*(1+IF(C1420=1,Assumptions!B22,Assumptions!B23))</f>
        <v>24.7381225374412</v>
      </c>
      <c r="I1420" s="16" t="n">
        <f aca="false">ROUND(H1420*F1420,0)</f>
        <v>25</v>
      </c>
      <c r="J1420" s="22" t="n">
        <f aca="false">I1420*Assumptions!B24</f>
        <v>15000</v>
      </c>
      <c r="K1420" s="21" t="n">
        <f aca="false">K1419*(1+Assumptions!B30)</f>
        <v>20.8891039858532</v>
      </c>
      <c r="L1420" s="16" t="n">
        <f aca="false">ROUND(K1420*F1420,0)</f>
        <v>21</v>
      </c>
      <c r="M1420" s="22" t="n">
        <f aca="false">L1420*Assumptions!B31</f>
        <v>6300</v>
      </c>
      <c r="N1420" s="22" t="n">
        <f aca="false">J1420+M1420</f>
        <v>21300</v>
      </c>
      <c r="O1420" s="22" t="n">
        <f aca="false">IF(DAY(B1420)=1,Assumptions!B38*G1420,0)</f>
        <v>0</v>
      </c>
      <c r="P1420" s="22" t="n">
        <f aca="false">IF(DAY(B1420)=1,Assumptions!B39*G1420,0)</f>
        <v>0</v>
      </c>
      <c r="Q1420" s="22" t="n">
        <f aca="false">IF(DAY(B1420)=1,Assumptions!B40*G1420,0)</f>
        <v>0</v>
      </c>
      <c r="R1420" s="22" t="n">
        <f aca="false">IF(DAY(B1420)=1,Assumptions!B41*G1420,0)</f>
        <v>0</v>
      </c>
      <c r="S1420" s="22" t="n">
        <f aca="false">IF(AND(DAY(B1420)=1,D1420&gt;=13),Assumptions!B42*G1420,0)</f>
        <v>0</v>
      </c>
      <c r="T1420" s="22" t="n">
        <f aca="false">IF(DAY(B1420)=1,Assumptions!B43*G1420,0)</f>
        <v>0</v>
      </c>
      <c r="U1420" s="22" t="n">
        <f aca="false">SUM(O1420:T1420)</f>
        <v>0</v>
      </c>
      <c r="V1420" s="22" t="n">
        <f aca="false">N1420-U1420</f>
        <v>21300</v>
      </c>
      <c r="W1420" s="22" t="n">
        <f aca="false">W1419+V1420</f>
        <v>-647111.394835235</v>
      </c>
      <c r="X1420" s="23" t="str">
        <f aca="false">IF(W1420&gt;=0,"YES","No")</f>
        <v>No</v>
      </c>
    </row>
    <row r="1421" customFormat="false" ht="15" hidden="false" customHeight="false" outlineLevel="0" collapsed="false">
      <c r="A1421" s="16" t="n">
        <v>1420</v>
      </c>
      <c r="B1421" s="17" t="n">
        <f aca="false">B1420+1</f>
        <v>47442</v>
      </c>
      <c r="C1421" s="18" t="n">
        <f aca="false">MIN(ROUNDUP(A1421/365,0),5)</f>
        <v>4</v>
      </c>
      <c r="D1421" s="18" t="n">
        <f aca="false">DATEDIF(Assumptions!B5,B1421,"m")+1</f>
        <v>47</v>
      </c>
      <c r="E1421" s="18" t="str">
        <f aca="false">TEXT(B1421,"ddd")</f>
        <v>Tue</v>
      </c>
      <c r="F1421" s="19" t="n">
        <f aca="false">IF(WEEKDAY(B1421,2)&gt;=6,Assumptions!B34,Assumptions!B35)</f>
        <v>1</v>
      </c>
      <c r="G1421" s="20" t="n">
        <f aca="false">IF(D1421&gt;=13,(1+Assumptions!B46)^(D1421-12),1)</f>
        <v>1.11053603624372</v>
      </c>
      <c r="H1421" s="21" t="n">
        <f aca="false">H1420*(1+IF(C1421=1,Assumptions!B22,Assumptions!B23))</f>
        <v>24.7421761682431</v>
      </c>
      <c r="I1421" s="16" t="n">
        <f aca="false">ROUND(H1421*F1421,0)</f>
        <v>25</v>
      </c>
      <c r="J1421" s="22" t="n">
        <f aca="false">I1421*Assumptions!B24</f>
        <v>15000</v>
      </c>
      <c r="K1421" s="21" t="n">
        <f aca="false">K1420*(1+Assumptions!B30)</f>
        <v>20.8959334034457</v>
      </c>
      <c r="L1421" s="16" t="n">
        <f aca="false">ROUND(K1421*F1421,0)</f>
        <v>21</v>
      </c>
      <c r="M1421" s="22" t="n">
        <f aca="false">L1421*Assumptions!B31</f>
        <v>6300</v>
      </c>
      <c r="N1421" s="22" t="n">
        <f aca="false">J1421+M1421</f>
        <v>21300</v>
      </c>
      <c r="O1421" s="22" t="n">
        <f aca="false">IF(DAY(B1421)=1,Assumptions!B38*G1421,0)</f>
        <v>0</v>
      </c>
      <c r="P1421" s="22" t="n">
        <f aca="false">IF(DAY(B1421)=1,Assumptions!B39*G1421,0)</f>
        <v>0</v>
      </c>
      <c r="Q1421" s="22" t="n">
        <f aca="false">IF(DAY(B1421)=1,Assumptions!B40*G1421,0)</f>
        <v>0</v>
      </c>
      <c r="R1421" s="22" t="n">
        <f aca="false">IF(DAY(B1421)=1,Assumptions!B41*G1421,0)</f>
        <v>0</v>
      </c>
      <c r="S1421" s="22" t="n">
        <f aca="false">IF(AND(DAY(B1421)=1,D1421&gt;=13),Assumptions!B42*G1421,0)</f>
        <v>0</v>
      </c>
      <c r="T1421" s="22" t="n">
        <f aca="false">IF(DAY(B1421)=1,Assumptions!B43*G1421,0)</f>
        <v>0</v>
      </c>
      <c r="U1421" s="22" t="n">
        <f aca="false">SUM(O1421:T1421)</f>
        <v>0</v>
      </c>
      <c r="V1421" s="22" t="n">
        <f aca="false">N1421-U1421</f>
        <v>21300</v>
      </c>
      <c r="W1421" s="22" t="n">
        <f aca="false">W1420+V1421</f>
        <v>-625811.394835235</v>
      </c>
      <c r="X1421" s="23" t="str">
        <f aca="false">IF(W1421&gt;=0,"YES","No")</f>
        <v>No</v>
      </c>
    </row>
    <row r="1422" customFormat="false" ht="15" hidden="false" customHeight="false" outlineLevel="0" collapsed="false">
      <c r="A1422" s="16" t="n">
        <v>1421</v>
      </c>
      <c r="B1422" s="17" t="n">
        <f aca="false">B1421+1</f>
        <v>47443</v>
      </c>
      <c r="C1422" s="18" t="n">
        <f aca="false">MIN(ROUNDUP(A1422/365,0),5)</f>
        <v>4</v>
      </c>
      <c r="D1422" s="18" t="n">
        <f aca="false">DATEDIF(Assumptions!B5,B1422,"m")+1</f>
        <v>47</v>
      </c>
      <c r="E1422" s="18" t="str">
        <f aca="false">TEXT(B1422,"ddd")</f>
        <v>Wed</v>
      </c>
      <c r="F1422" s="19" t="n">
        <f aca="false">IF(WEEKDAY(B1422,2)&gt;=6,Assumptions!B34,Assumptions!B35)</f>
        <v>1</v>
      </c>
      <c r="G1422" s="20" t="n">
        <f aca="false">IF(D1422&gt;=13,(1+Assumptions!B46)^(D1422-12),1)</f>
        <v>1.11053603624372</v>
      </c>
      <c r="H1422" s="21" t="n">
        <f aca="false">H1421*(1+IF(C1422=1,Assumptions!B22,Assumptions!B23))</f>
        <v>24.7462304632799</v>
      </c>
      <c r="I1422" s="16" t="n">
        <f aca="false">ROUND(H1422*F1422,0)</f>
        <v>25</v>
      </c>
      <c r="J1422" s="22" t="n">
        <f aca="false">I1422*Assumptions!B24</f>
        <v>15000</v>
      </c>
      <c r="K1422" s="21" t="n">
        <f aca="false">K1421*(1+Assumptions!B30)</f>
        <v>20.9027650538265</v>
      </c>
      <c r="L1422" s="16" t="n">
        <f aca="false">ROUND(K1422*F1422,0)</f>
        <v>21</v>
      </c>
      <c r="M1422" s="22" t="n">
        <f aca="false">L1422*Assumptions!B31</f>
        <v>6300</v>
      </c>
      <c r="N1422" s="22" t="n">
        <f aca="false">J1422+M1422</f>
        <v>21300</v>
      </c>
      <c r="O1422" s="22" t="n">
        <f aca="false">IF(DAY(B1422)=1,Assumptions!B38*G1422,0)</f>
        <v>0</v>
      </c>
      <c r="P1422" s="22" t="n">
        <f aca="false">IF(DAY(B1422)=1,Assumptions!B39*G1422,0)</f>
        <v>0</v>
      </c>
      <c r="Q1422" s="22" t="n">
        <f aca="false">IF(DAY(B1422)=1,Assumptions!B40*G1422,0)</f>
        <v>0</v>
      </c>
      <c r="R1422" s="22" t="n">
        <f aca="false">IF(DAY(B1422)=1,Assumptions!B41*G1422,0)</f>
        <v>0</v>
      </c>
      <c r="S1422" s="22" t="n">
        <f aca="false">IF(AND(DAY(B1422)=1,D1422&gt;=13),Assumptions!B42*G1422,0)</f>
        <v>0</v>
      </c>
      <c r="T1422" s="22" t="n">
        <f aca="false">IF(DAY(B1422)=1,Assumptions!B43*G1422,0)</f>
        <v>0</v>
      </c>
      <c r="U1422" s="22" t="n">
        <f aca="false">SUM(O1422:T1422)</f>
        <v>0</v>
      </c>
      <c r="V1422" s="22" t="n">
        <f aca="false">N1422-U1422</f>
        <v>21300</v>
      </c>
      <c r="W1422" s="22" t="n">
        <f aca="false">W1421+V1422</f>
        <v>-604511.394835235</v>
      </c>
      <c r="X1422" s="23" t="str">
        <f aca="false">IF(W1422&gt;=0,"YES","No")</f>
        <v>No</v>
      </c>
    </row>
    <row r="1423" customFormat="false" ht="15" hidden="false" customHeight="false" outlineLevel="0" collapsed="false">
      <c r="A1423" s="16" t="n">
        <v>1422</v>
      </c>
      <c r="B1423" s="17" t="n">
        <f aca="false">B1422+1</f>
        <v>47444</v>
      </c>
      <c r="C1423" s="18" t="n">
        <f aca="false">MIN(ROUNDUP(A1423/365,0),5)</f>
        <v>4</v>
      </c>
      <c r="D1423" s="18" t="n">
        <f aca="false">DATEDIF(Assumptions!B5,B1423,"m")+1</f>
        <v>47</v>
      </c>
      <c r="E1423" s="18" t="str">
        <f aca="false">TEXT(B1423,"ddd")</f>
        <v>Thu</v>
      </c>
      <c r="F1423" s="19" t="n">
        <f aca="false">IF(WEEKDAY(B1423,2)&gt;=6,Assumptions!B34,Assumptions!B35)</f>
        <v>1</v>
      </c>
      <c r="G1423" s="20" t="n">
        <f aca="false">IF(D1423&gt;=13,(1+Assumptions!B46)^(D1423-12),1)</f>
        <v>1.11053603624372</v>
      </c>
      <c r="H1423" s="21" t="n">
        <f aca="false">H1422*(1+IF(C1423=1,Assumptions!B22,Assumptions!B23))</f>
        <v>24.7502854226603</v>
      </c>
      <c r="I1423" s="16" t="n">
        <f aca="false">ROUND(H1423*F1423,0)</f>
        <v>25</v>
      </c>
      <c r="J1423" s="22" t="n">
        <f aca="false">I1423*Assumptions!B24</f>
        <v>15000</v>
      </c>
      <c r="K1423" s="21" t="n">
        <f aca="false">K1422*(1+Assumptions!B30)</f>
        <v>20.9095989377254</v>
      </c>
      <c r="L1423" s="16" t="n">
        <f aca="false">ROUND(K1423*F1423,0)</f>
        <v>21</v>
      </c>
      <c r="M1423" s="22" t="n">
        <f aca="false">L1423*Assumptions!B31</f>
        <v>6300</v>
      </c>
      <c r="N1423" s="22" t="n">
        <f aca="false">J1423+M1423</f>
        <v>21300</v>
      </c>
      <c r="O1423" s="22" t="n">
        <f aca="false">IF(DAY(B1423)=1,Assumptions!B38*G1423,0)</f>
        <v>0</v>
      </c>
      <c r="P1423" s="22" t="n">
        <f aca="false">IF(DAY(B1423)=1,Assumptions!B39*G1423,0)</f>
        <v>0</v>
      </c>
      <c r="Q1423" s="22" t="n">
        <f aca="false">IF(DAY(B1423)=1,Assumptions!B40*G1423,0)</f>
        <v>0</v>
      </c>
      <c r="R1423" s="22" t="n">
        <f aca="false">IF(DAY(B1423)=1,Assumptions!B41*G1423,0)</f>
        <v>0</v>
      </c>
      <c r="S1423" s="22" t="n">
        <f aca="false">IF(AND(DAY(B1423)=1,D1423&gt;=13),Assumptions!B42*G1423,0)</f>
        <v>0</v>
      </c>
      <c r="T1423" s="22" t="n">
        <f aca="false">IF(DAY(B1423)=1,Assumptions!B43*G1423,0)</f>
        <v>0</v>
      </c>
      <c r="U1423" s="22" t="n">
        <f aca="false">SUM(O1423:T1423)</f>
        <v>0</v>
      </c>
      <c r="V1423" s="22" t="n">
        <f aca="false">N1423-U1423</f>
        <v>21300</v>
      </c>
      <c r="W1423" s="22" t="n">
        <f aca="false">W1422+V1423</f>
        <v>-583211.394835235</v>
      </c>
      <c r="X1423" s="23" t="str">
        <f aca="false">IF(W1423&gt;=0,"YES","No")</f>
        <v>No</v>
      </c>
    </row>
    <row r="1424" customFormat="false" ht="15" hidden="false" customHeight="false" outlineLevel="0" collapsed="false">
      <c r="A1424" s="16" t="n">
        <v>1423</v>
      </c>
      <c r="B1424" s="17" t="n">
        <f aca="false">B1423+1</f>
        <v>47445</v>
      </c>
      <c r="C1424" s="18" t="n">
        <f aca="false">MIN(ROUNDUP(A1424/365,0),5)</f>
        <v>4</v>
      </c>
      <c r="D1424" s="18" t="n">
        <f aca="false">DATEDIF(Assumptions!B5,B1424,"m")+1</f>
        <v>47</v>
      </c>
      <c r="E1424" s="18" t="str">
        <f aca="false">TEXT(B1424,"ddd")</f>
        <v>Fri</v>
      </c>
      <c r="F1424" s="19" t="n">
        <f aca="false">IF(WEEKDAY(B1424,2)&gt;=6,Assumptions!B34,Assumptions!B35)</f>
        <v>1</v>
      </c>
      <c r="G1424" s="20" t="n">
        <f aca="false">IF(D1424&gt;=13,(1+Assumptions!B46)^(D1424-12),1)</f>
        <v>1.11053603624372</v>
      </c>
      <c r="H1424" s="21" t="n">
        <f aca="false">H1423*(1+IF(C1424=1,Assumptions!B22,Assumptions!B23))</f>
        <v>24.7543410464933</v>
      </c>
      <c r="I1424" s="16" t="n">
        <f aca="false">ROUND(H1424*F1424,0)</f>
        <v>25</v>
      </c>
      <c r="J1424" s="22" t="n">
        <f aca="false">I1424*Assumptions!B24</f>
        <v>15000</v>
      </c>
      <c r="K1424" s="21" t="n">
        <f aca="false">K1423*(1+Assumptions!B30)</f>
        <v>20.9164350558726</v>
      </c>
      <c r="L1424" s="16" t="n">
        <f aca="false">ROUND(K1424*F1424,0)</f>
        <v>21</v>
      </c>
      <c r="M1424" s="22" t="n">
        <f aca="false">L1424*Assumptions!B31</f>
        <v>6300</v>
      </c>
      <c r="N1424" s="22" t="n">
        <f aca="false">J1424+M1424</f>
        <v>21300</v>
      </c>
      <c r="O1424" s="22" t="n">
        <f aca="false">IF(DAY(B1424)=1,Assumptions!B38*G1424,0)</f>
        <v>0</v>
      </c>
      <c r="P1424" s="22" t="n">
        <f aca="false">IF(DAY(B1424)=1,Assumptions!B39*G1424,0)</f>
        <v>0</v>
      </c>
      <c r="Q1424" s="22" t="n">
        <f aca="false">IF(DAY(B1424)=1,Assumptions!B40*G1424,0)</f>
        <v>0</v>
      </c>
      <c r="R1424" s="22" t="n">
        <f aca="false">IF(DAY(B1424)=1,Assumptions!B41*G1424,0)</f>
        <v>0</v>
      </c>
      <c r="S1424" s="22" t="n">
        <f aca="false">IF(AND(DAY(B1424)=1,D1424&gt;=13),Assumptions!B42*G1424,0)</f>
        <v>0</v>
      </c>
      <c r="T1424" s="22" t="n">
        <f aca="false">IF(DAY(B1424)=1,Assumptions!B43*G1424,0)</f>
        <v>0</v>
      </c>
      <c r="U1424" s="22" t="n">
        <f aca="false">SUM(O1424:T1424)</f>
        <v>0</v>
      </c>
      <c r="V1424" s="22" t="n">
        <f aca="false">N1424-U1424</f>
        <v>21300</v>
      </c>
      <c r="W1424" s="22" t="n">
        <f aca="false">W1423+V1424</f>
        <v>-561911.394835235</v>
      </c>
      <c r="X1424" s="23" t="str">
        <f aca="false">IF(W1424&gt;=0,"YES","No")</f>
        <v>No</v>
      </c>
    </row>
    <row r="1425" customFormat="false" ht="15" hidden="false" customHeight="false" outlineLevel="0" collapsed="false">
      <c r="A1425" s="16" t="n">
        <v>1424</v>
      </c>
      <c r="B1425" s="17" t="n">
        <f aca="false">B1424+1</f>
        <v>47446</v>
      </c>
      <c r="C1425" s="18" t="n">
        <f aca="false">MIN(ROUNDUP(A1425/365,0),5)</f>
        <v>4</v>
      </c>
      <c r="D1425" s="18" t="n">
        <f aca="false">DATEDIF(Assumptions!B5,B1425,"m")+1</f>
        <v>47</v>
      </c>
      <c r="E1425" s="18" t="str">
        <f aca="false">TEXT(B1425,"ddd")</f>
        <v>Sat</v>
      </c>
      <c r="F1425" s="19" t="n">
        <f aca="false">IF(WEEKDAY(B1425,2)&gt;=6,Assumptions!B34,Assumptions!B35)</f>
        <v>0.6</v>
      </c>
      <c r="G1425" s="20" t="n">
        <f aca="false">IF(D1425&gt;=13,(1+Assumptions!B46)^(D1425-12),1)</f>
        <v>1.11053603624372</v>
      </c>
      <c r="H1425" s="21" t="n">
        <f aca="false">H1424*(1+IF(C1425=1,Assumptions!B22,Assumptions!B23))</f>
        <v>24.7583973348876</v>
      </c>
      <c r="I1425" s="16" t="n">
        <f aca="false">ROUND(H1425*F1425,0)</f>
        <v>15</v>
      </c>
      <c r="J1425" s="22" t="n">
        <f aca="false">I1425*Assumptions!B24</f>
        <v>9000</v>
      </c>
      <c r="K1425" s="21" t="n">
        <f aca="false">K1424*(1+Assumptions!B30)</f>
        <v>20.9232734089988</v>
      </c>
      <c r="L1425" s="16" t="n">
        <f aca="false">ROUND(K1425*F1425,0)</f>
        <v>13</v>
      </c>
      <c r="M1425" s="22" t="n">
        <f aca="false">L1425*Assumptions!B31</f>
        <v>3900</v>
      </c>
      <c r="N1425" s="22" t="n">
        <f aca="false">J1425+M1425</f>
        <v>12900</v>
      </c>
      <c r="O1425" s="22" t="n">
        <f aca="false">IF(DAY(B1425)=1,Assumptions!B38*G1425,0)</f>
        <v>0</v>
      </c>
      <c r="P1425" s="22" t="n">
        <f aca="false">IF(DAY(B1425)=1,Assumptions!B39*G1425,0)</f>
        <v>0</v>
      </c>
      <c r="Q1425" s="22" t="n">
        <f aca="false">IF(DAY(B1425)=1,Assumptions!B40*G1425,0)</f>
        <v>0</v>
      </c>
      <c r="R1425" s="22" t="n">
        <f aca="false">IF(DAY(B1425)=1,Assumptions!B41*G1425,0)</f>
        <v>0</v>
      </c>
      <c r="S1425" s="22" t="n">
        <f aca="false">IF(AND(DAY(B1425)=1,D1425&gt;=13),Assumptions!B42*G1425,0)</f>
        <v>0</v>
      </c>
      <c r="T1425" s="22" t="n">
        <f aca="false">IF(DAY(B1425)=1,Assumptions!B43*G1425,0)</f>
        <v>0</v>
      </c>
      <c r="U1425" s="22" t="n">
        <f aca="false">SUM(O1425:T1425)</f>
        <v>0</v>
      </c>
      <c r="V1425" s="22" t="n">
        <f aca="false">N1425-U1425</f>
        <v>12900</v>
      </c>
      <c r="W1425" s="22" t="n">
        <f aca="false">W1424+V1425</f>
        <v>-549011.394835235</v>
      </c>
      <c r="X1425" s="23" t="str">
        <f aca="false">IF(W1425&gt;=0,"YES","No")</f>
        <v>No</v>
      </c>
    </row>
    <row r="1426" customFormat="false" ht="15" hidden="false" customHeight="false" outlineLevel="0" collapsed="false">
      <c r="A1426" s="16" t="n">
        <v>1425</v>
      </c>
      <c r="B1426" s="17" t="n">
        <f aca="false">B1425+1</f>
        <v>47447</v>
      </c>
      <c r="C1426" s="18" t="n">
        <f aca="false">MIN(ROUNDUP(A1426/365,0),5)</f>
        <v>4</v>
      </c>
      <c r="D1426" s="18" t="n">
        <f aca="false">DATEDIF(Assumptions!B5,B1426,"m")+1</f>
        <v>47</v>
      </c>
      <c r="E1426" s="18" t="str">
        <f aca="false">TEXT(B1426,"ddd")</f>
        <v>Sun</v>
      </c>
      <c r="F1426" s="19" t="n">
        <f aca="false">IF(WEEKDAY(B1426,2)&gt;=6,Assumptions!B34,Assumptions!B35)</f>
        <v>0.6</v>
      </c>
      <c r="G1426" s="20" t="n">
        <f aca="false">IF(D1426&gt;=13,(1+Assumptions!B46)^(D1426-12),1)</f>
        <v>1.11053603624372</v>
      </c>
      <c r="H1426" s="21" t="n">
        <f aca="false">H1425*(1+IF(C1426=1,Assumptions!B22,Assumptions!B23))</f>
        <v>24.7624542879523</v>
      </c>
      <c r="I1426" s="16" t="n">
        <f aca="false">ROUND(H1426*F1426,0)</f>
        <v>15</v>
      </c>
      <c r="J1426" s="22" t="n">
        <f aca="false">I1426*Assumptions!B24</f>
        <v>9000</v>
      </c>
      <c r="K1426" s="21" t="n">
        <f aca="false">K1425*(1+Assumptions!B30)</f>
        <v>20.9301139978344</v>
      </c>
      <c r="L1426" s="16" t="n">
        <f aca="false">ROUND(K1426*F1426,0)</f>
        <v>13</v>
      </c>
      <c r="M1426" s="22" t="n">
        <f aca="false">L1426*Assumptions!B31</f>
        <v>3900</v>
      </c>
      <c r="N1426" s="22" t="n">
        <f aca="false">J1426+M1426</f>
        <v>12900</v>
      </c>
      <c r="O1426" s="22" t="n">
        <f aca="false">IF(DAY(B1426)=1,Assumptions!B38*G1426,0)</f>
        <v>0</v>
      </c>
      <c r="P1426" s="22" t="n">
        <f aca="false">IF(DAY(B1426)=1,Assumptions!B39*G1426,0)</f>
        <v>0</v>
      </c>
      <c r="Q1426" s="22" t="n">
        <f aca="false">IF(DAY(B1426)=1,Assumptions!B40*G1426,0)</f>
        <v>0</v>
      </c>
      <c r="R1426" s="22" t="n">
        <f aca="false">IF(DAY(B1426)=1,Assumptions!B41*G1426,0)</f>
        <v>0</v>
      </c>
      <c r="S1426" s="22" t="n">
        <f aca="false">IF(AND(DAY(B1426)=1,D1426&gt;=13),Assumptions!B42*G1426,0)</f>
        <v>0</v>
      </c>
      <c r="T1426" s="22" t="n">
        <f aca="false">IF(DAY(B1426)=1,Assumptions!B43*G1426,0)</f>
        <v>0</v>
      </c>
      <c r="U1426" s="22" t="n">
        <f aca="false">SUM(O1426:T1426)</f>
        <v>0</v>
      </c>
      <c r="V1426" s="22" t="n">
        <f aca="false">N1426-U1426</f>
        <v>12900</v>
      </c>
      <c r="W1426" s="22" t="n">
        <f aca="false">W1425+V1426</f>
        <v>-536111.394835235</v>
      </c>
      <c r="X1426" s="23" t="str">
        <f aca="false">IF(W1426&gt;=0,"YES","No")</f>
        <v>No</v>
      </c>
    </row>
    <row r="1427" customFormat="false" ht="15" hidden="false" customHeight="false" outlineLevel="0" collapsed="false">
      <c r="A1427" s="16" t="n">
        <v>1426</v>
      </c>
      <c r="B1427" s="17" t="n">
        <f aca="false">B1426+1</f>
        <v>47448</v>
      </c>
      <c r="C1427" s="18" t="n">
        <f aca="false">MIN(ROUNDUP(A1427/365,0),5)</f>
        <v>4</v>
      </c>
      <c r="D1427" s="18" t="n">
        <f aca="false">DATEDIF(Assumptions!B5,B1427,"m")+1</f>
        <v>47</v>
      </c>
      <c r="E1427" s="18" t="str">
        <f aca="false">TEXT(B1427,"ddd")</f>
        <v>Mon</v>
      </c>
      <c r="F1427" s="19" t="n">
        <f aca="false">IF(WEEKDAY(B1427,2)&gt;=6,Assumptions!B34,Assumptions!B35)</f>
        <v>1</v>
      </c>
      <c r="G1427" s="20" t="n">
        <f aca="false">IF(D1427&gt;=13,(1+Assumptions!B46)^(D1427-12),1)</f>
        <v>1.11053603624372</v>
      </c>
      <c r="H1427" s="21" t="n">
        <f aca="false">H1426*(1+IF(C1427=1,Assumptions!B22,Assumptions!B23))</f>
        <v>24.7665119057962</v>
      </c>
      <c r="I1427" s="16" t="n">
        <f aca="false">ROUND(H1427*F1427,0)</f>
        <v>25</v>
      </c>
      <c r="J1427" s="22" t="n">
        <f aca="false">I1427*Assumptions!B24</f>
        <v>15000</v>
      </c>
      <c r="K1427" s="21" t="n">
        <f aca="false">K1426*(1+Assumptions!B30)</f>
        <v>20.9369568231106</v>
      </c>
      <c r="L1427" s="16" t="n">
        <f aca="false">ROUND(K1427*F1427,0)</f>
        <v>21</v>
      </c>
      <c r="M1427" s="22" t="n">
        <f aca="false">L1427*Assumptions!B31</f>
        <v>6300</v>
      </c>
      <c r="N1427" s="22" t="n">
        <f aca="false">J1427+M1427</f>
        <v>21300</v>
      </c>
      <c r="O1427" s="22" t="n">
        <f aca="false">IF(DAY(B1427)=1,Assumptions!B38*G1427,0)</f>
        <v>0</v>
      </c>
      <c r="P1427" s="22" t="n">
        <f aca="false">IF(DAY(B1427)=1,Assumptions!B39*G1427,0)</f>
        <v>0</v>
      </c>
      <c r="Q1427" s="22" t="n">
        <f aca="false">IF(DAY(B1427)=1,Assumptions!B40*G1427,0)</f>
        <v>0</v>
      </c>
      <c r="R1427" s="22" t="n">
        <f aca="false">IF(DAY(B1427)=1,Assumptions!B41*G1427,0)</f>
        <v>0</v>
      </c>
      <c r="S1427" s="22" t="n">
        <f aca="false">IF(AND(DAY(B1427)=1,D1427&gt;=13),Assumptions!B42*G1427,0)</f>
        <v>0</v>
      </c>
      <c r="T1427" s="22" t="n">
        <f aca="false">IF(DAY(B1427)=1,Assumptions!B43*G1427,0)</f>
        <v>0</v>
      </c>
      <c r="U1427" s="22" t="n">
        <f aca="false">SUM(O1427:T1427)</f>
        <v>0</v>
      </c>
      <c r="V1427" s="22" t="n">
        <f aca="false">N1427-U1427</f>
        <v>21300</v>
      </c>
      <c r="W1427" s="22" t="n">
        <f aca="false">W1426+V1427</f>
        <v>-514811.394835235</v>
      </c>
      <c r="X1427" s="23" t="str">
        <f aca="false">IF(W1427&gt;=0,"YES","No")</f>
        <v>No</v>
      </c>
    </row>
    <row r="1428" customFormat="false" ht="15" hidden="false" customHeight="false" outlineLevel="0" collapsed="false">
      <c r="A1428" s="16" t="n">
        <v>1427</v>
      </c>
      <c r="B1428" s="17" t="n">
        <f aca="false">B1427+1</f>
        <v>47449</v>
      </c>
      <c r="C1428" s="18" t="n">
        <f aca="false">MIN(ROUNDUP(A1428/365,0),5)</f>
        <v>4</v>
      </c>
      <c r="D1428" s="18" t="n">
        <f aca="false">DATEDIF(Assumptions!B5,B1428,"m")+1</f>
        <v>47</v>
      </c>
      <c r="E1428" s="18" t="str">
        <f aca="false">TEXT(B1428,"ddd")</f>
        <v>Tue</v>
      </c>
      <c r="F1428" s="19" t="n">
        <f aca="false">IF(WEEKDAY(B1428,2)&gt;=6,Assumptions!B34,Assumptions!B35)</f>
        <v>1</v>
      </c>
      <c r="G1428" s="20" t="n">
        <f aca="false">IF(D1428&gt;=13,(1+Assumptions!B46)^(D1428-12),1)</f>
        <v>1.11053603624372</v>
      </c>
      <c r="H1428" s="21" t="n">
        <f aca="false">H1427*(1+IF(C1428=1,Assumptions!B22,Assumptions!B23))</f>
        <v>24.7705701885283</v>
      </c>
      <c r="I1428" s="16" t="n">
        <f aca="false">ROUND(H1428*F1428,0)</f>
        <v>25</v>
      </c>
      <c r="J1428" s="22" t="n">
        <f aca="false">I1428*Assumptions!B24</f>
        <v>15000</v>
      </c>
      <c r="K1428" s="21" t="n">
        <f aca="false">K1427*(1+Assumptions!B30)</f>
        <v>20.9438018855584</v>
      </c>
      <c r="L1428" s="16" t="n">
        <f aca="false">ROUND(K1428*F1428,0)</f>
        <v>21</v>
      </c>
      <c r="M1428" s="22" t="n">
        <f aca="false">L1428*Assumptions!B31</f>
        <v>6300</v>
      </c>
      <c r="N1428" s="22" t="n">
        <f aca="false">J1428+M1428</f>
        <v>21300</v>
      </c>
      <c r="O1428" s="22" t="n">
        <f aca="false">IF(DAY(B1428)=1,Assumptions!B38*G1428,0)</f>
        <v>0</v>
      </c>
      <c r="P1428" s="22" t="n">
        <f aca="false">IF(DAY(B1428)=1,Assumptions!B39*G1428,0)</f>
        <v>0</v>
      </c>
      <c r="Q1428" s="22" t="n">
        <f aca="false">IF(DAY(B1428)=1,Assumptions!B40*G1428,0)</f>
        <v>0</v>
      </c>
      <c r="R1428" s="22" t="n">
        <f aca="false">IF(DAY(B1428)=1,Assumptions!B41*G1428,0)</f>
        <v>0</v>
      </c>
      <c r="S1428" s="22" t="n">
        <f aca="false">IF(AND(DAY(B1428)=1,D1428&gt;=13),Assumptions!B42*G1428,0)</f>
        <v>0</v>
      </c>
      <c r="T1428" s="22" t="n">
        <f aca="false">IF(DAY(B1428)=1,Assumptions!B43*G1428,0)</f>
        <v>0</v>
      </c>
      <c r="U1428" s="22" t="n">
        <f aca="false">SUM(O1428:T1428)</f>
        <v>0</v>
      </c>
      <c r="V1428" s="22" t="n">
        <f aca="false">N1428-U1428</f>
        <v>21300</v>
      </c>
      <c r="W1428" s="22" t="n">
        <f aca="false">W1427+V1428</f>
        <v>-493511.394835235</v>
      </c>
      <c r="X1428" s="23" t="str">
        <f aca="false">IF(W1428&gt;=0,"YES","No")</f>
        <v>No</v>
      </c>
    </row>
    <row r="1429" customFormat="false" ht="15" hidden="false" customHeight="false" outlineLevel="0" collapsed="false">
      <c r="A1429" s="16" t="n">
        <v>1428</v>
      </c>
      <c r="B1429" s="17" t="n">
        <f aca="false">B1428+1</f>
        <v>47450</v>
      </c>
      <c r="C1429" s="18" t="n">
        <f aca="false">MIN(ROUNDUP(A1429/365,0),5)</f>
        <v>4</v>
      </c>
      <c r="D1429" s="18" t="n">
        <f aca="false">DATEDIF(Assumptions!B5,B1429,"m")+1</f>
        <v>47</v>
      </c>
      <c r="E1429" s="18" t="str">
        <f aca="false">TEXT(B1429,"ddd")</f>
        <v>Wed</v>
      </c>
      <c r="F1429" s="19" t="n">
        <f aca="false">IF(WEEKDAY(B1429,2)&gt;=6,Assumptions!B34,Assumptions!B35)</f>
        <v>1</v>
      </c>
      <c r="G1429" s="20" t="n">
        <f aca="false">IF(D1429&gt;=13,(1+Assumptions!B46)^(D1429-12),1)</f>
        <v>1.11053603624372</v>
      </c>
      <c r="H1429" s="21" t="n">
        <f aca="false">H1428*(1+IF(C1429=1,Assumptions!B22,Assumptions!B23))</f>
        <v>24.7746291362575</v>
      </c>
      <c r="I1429" s="16" t="n">
        <f aca="false">ROUND(H1429*F1429,0)</f>
        <v>25</v>
      </c>
      <c r="J1429" s="22" t="n">
        <f aca="false">I1429*Assumptions!B24</f>
        <v>15000</v>
      </c>
      <c r="K1429" s="21" t="n">
        <f aca="false">K1428*(1+Assumptions!B30)</f>
        <v>20.9506491859092</v>
      </c>
      <c r="L1429" s="16" t="n">
        <f aca="false">ROUND(K1429*F1429,0)</f>
        <v>21</v>
      </c>
      <c r="M1429" s="22" t="n">
        <f aca="false">L1429*Assumptions!B31</f>
        <v>6300</v>
      </c>
      <c r="N1429" s="22" t="n">
        <f aca="false">J1429+M1429</f>
        <v>21300</v>
      </c>
      <c r="O1429" s="22" t="n">
        <f aca="false">IF(DAY(B1429)=1,Assumptions!B38*G1429,0)</f>
        <v>0</v>
      </c>
      <c r="P1429" s="22" t="n">
        <f aca="false">IF(DAY(B1429)=1,Assumptions!B39*G1429,0)</f>
        <v>0</v>
      </c>
      <c r="Q1429" s="22" t="n">
        <f aca="false">IF(DAY(B1429)=1,Assumptions!B40*G1429,0)</f>
        <v>0</v>
      </c>
      <c r="R1429" s="22" t="n">
        <f aca="false">IF(DAY(B1429)=1,Assumptions!B41*G1429,0)</f>
        <v>0</v>
      </c>
      <c r="S1429" s="22" t="n">
        <f aca="false">IF(AND(DAY(B1429)=1,D1429&gt;=13),Assumptions!B42*G1429,0)</f>
        <v>0</v>
      </c>
      <c r="T1429" s="22" t="n">
        <f aca="false">IF(DAY(B1429)=1,Assumptions!B43*G1429,0)</f>
        <v>0</v>
      </c>
      <c r="U1429" s="22" t="n">
        <f aca="false">SUM(O1429:T1429)</f>
        <v>0</v>
      </c>
      <c r="V1429" s="22" t="n">
        <f aca="false">N1429-U1429</f>
        <v>21300</v>
      </c>
      <c r="W1429" s="22" t="n">
        <f aca="false">W1428+V1429</f>
        <v>-472211.394835235</v>
      </c>
      <c r="X1429" s="23" t="str">
        <f aca="false">IF(W1429&gt;=0,"YES","No")</f>
        <v>No</v>
      </c>
    </row>
    <row r="1430" customFormat="false" ht="15" hidden="false" customHeight="false" outlineLevel="0" collapsed="false">
      <c r="A1430" s="16" t="n">
        <v>1429</v>
      </c>
      <c r="B1430" s="17" t="n">
        <f aca="false">B1429+1</f>
        <v>47451</v>
      </c>
      <c r="C1430" s="18" t="n">
        <f aca="false">MIN(ROUNDUP(A1430/365,0),5)</f>
        <v>4</v>
      </c>
      <c r="D1430" s="18" t="n">
        <f aca="false">DATEDIF(Assumptions!B5,B1430,"m")+1</f>
        <v>47</v>
      </c>
      <c r="E1430" s="18" t="str">
        <f aca="false">TEXT(B1430,"ddd")</f>
        <v>Thu</v>
      </c>
      <c r="F1430" s="19" t="n">
        <f aca="false">IF(WEEKDAY(B1430,2)&gt;=6,Assumptions!B34,Assumptions!B35)</f>
        <v>1</v>
      </c>
      <c r="G1430" s="20" t="n">
        <f aca="false">IF(D1430&gt;=13,(1+Assumptions!B46)^(D1430-12),1)</f>
        <v>1.11053603624372</v>
      </c>
      <c r="H1430" s="21" t="n">
        <f aca="false">H1429*(1+IF(C1430=1,Assumptions!B22,Assumptions!B23))</f>
        <v>24.7786887490927</v>
      </c>
      <c r="I1430" s="16" t="n">
        <f aca="false">ROUND(H1430*F1430,0)</f>
        <v>25</v>
      </c>
      <c r="J1430" s="22" t="n">
        <f aca="false">I1430*Assumptions!B24</f>
        <v>15000</v>
      </c>
      <c r="K1430" s="21" t="n">
        <f aca="false">K1429*(1+Assumptions!B30)</f>
        <v>20.9574987248948</v>
      </c>
      <c r="L1430" s="16" t="n">
        <f aca="false">ROUND(K1430*F1430,0)</f>
        <v>21</v>
      </c>
      <c r="M1430" s="22" t="n">
        <f aca="false">L1430*Assumptions!B31</f>
        <v>6300</v>
      </c>
      <c r="N1430" s="22" t="n">
        <f aca="false">J1430+M1430</f>
        <v>21300</v>
      </c>
      <c r="O1430" s="22" t="n">
        <f aca="false">IF(DAY(B1430)=1,Assumptions!B38*G1430,0)</f>
        <v>0</v>
      </c>
      <c r="P1430" s="22" t="n">
        <f aca="false">IF(DAY(B1430)=1,Assumptions!B39*G1430,0)</f>
        <v>0</v>
      </c>
      <c r="Q1430" s="22" t="n">
        <f aca="false">IF(DAY(B1430)=1,Assumptions!B40*G1430,0)</f>
        <v>0</v>
      </c>
      <c r="R1430" s="22" t="n">
        <f aca="false">IF(DAY(B1430)=1,Assumptions!B41*G1430,0)</f>
        <v>0</v>
      </c>
      <c r="S1430" s="22" t="n">
        <f aca="false">IF(AND(DAY(B1430)=1,D1430&gt;=13),Assumptions!B42*G1430,0)</f>
        <v>0</v>
      </c>
      <c r="T1430" s="22" t="n">
        <f aca="false">IF(DAY(B1430)=1,Assumptions!B43*G1430,0)</f>
        <v>0</v>
      </c>
      <c r="U1430" s="22" t="n">
        <f aca="false">SUM(O1430:T1430)</f>
        <v>0</v>
      </c>
      <c r="V1430" s="22" t="n">
        <f aca="false">N1430-U1430</f>
        <v>21300</v>
      </c>
      <c r="W1430" s="22" t="n">
        <f aca="false">W1429+V1430</f>
        <v>-450911.394835235</v>
      </c>
      <c r="X1430" s="23" t="str">
        <f aca="false">IF(W1430&gt;=0,"YES","No")</f>
        <v>No</v>
      </c>
    </row>
    <row r="1431" customFormat="false" ht="15" hidden="false" customHeight="false" outlineLevel="0" collapsed="false">
      <c r="A1431" s="16" t="n">
        <v>1430</v>
      </c>
      <c r="B1431" s="17" t="n">
        <f aca="false">B1430+1</f>
        <v>47452</v>
      </c>
      <c r="C1431" s="18" t="n">
        <f aca="false">MIN(ROUNDUP(A1431/365,0),5)</f>
        <v>4</v>
      </c>
      <c r="D1431" s="18" t="n">
        <f aca="false">DATEDIF(Assumptions!B5,B1431,"m")+1</f>
        <v>47</v>
      </c>
      <c r="E1431" s="18" t="str">
        <f aca="false">TEXT(B1431,"ddd")</f>
        <v>Fri</v>
      </c>
      <c r="F1431" s="19" t="n">
        <f aca="false">IF(WEEKDAY(B1431,2)&gt;=6,Assumptions!B34,Assumptions!B35)</f>
        <v>1</v>
      </c>
      <c r="G1431" s="20" t="n">
        <f aca="false">IF(D1431&gt;=13,(1+Assumptions!B46)^(D1431-12),1)</f>
        <v>1.11053603624372</v>
      </c>
      <c r="H1431" s="21" t="n">
        <f aca="false">H1430*(1+IF(C1431=1,Assumptions!B22,Assumptions!B23))</f>
        <v>24.782749027143</v>
      </c>
      <c r="I1431" s="16" t="n">
        <f aca="false">ROUND(H1431*F1431,0)</f>
        <v>25</v>
      </c>
      <c r="J1431" s="22" t="n">
        <f aca="false">I1431*Assumptions!B24</f>
        <v>15000</v>
      </c>
      <c r="K1431" s="21" t="n">
        <f aca="false">K1430*(1+Assumptions!B30)</f>
        <v>20.964350503247</v>
      </c>
      <c r="L1431" s="16" t="n">
        <f aca="false">ROUND(K1431*F1431,0)</f>
        <v>21</v>
      </c>
      <c r="M1431" s="22" t="n">
        <f aca="false">L1431*Assumptions!B31</f>
        <v>6300</v>
      </c>
      <c r="N1431" s="22" t="n">
        <f aca="false">J1431+M1431</f>
        <v>21300</v>
      </c>
      <c r="O1431" s="22" t="n">
        <f aca="false">IF(DAY(B1431)=1,Assumptions!B38*G1431,0)</f>
        <v>0</v>
      </c>
      <c r="P1431" s="22" t="n">
        <f aca="false">IF(DAY(B1431)=1,Assumptions!B39*G1431,0)</f>
        <v>0</v>
      </c>
      <c r="Q1431" s="22" t="n">
        <f aca="false">IF(DAY(B1431)=1,Assumptions!B40*G1431,0)</f>
        <v>0</v>
      </c>
      <c r="R1431" s="22" t="n">
        <f aca="false">IF(DAY(B1431)=1,Assumptions!B41*G1431,0)</f>
        <v>0</v>
      </c>
      <c r="S1431" s="22" t="n">
        <f aca="false">IF(AND(DAY(B1431)=1,D1431&gt;=13),Assumptions!B42*G1431,0)</f>
        <v>0</v>
      </c>
      <c r="T1431" s="22" t="n">
        <f aca="false">IF(DAY(B1431)=1,Assumptions!B43*G1431,0)</f>
        <v>0</v>
      </c>
      <c r="U1431" s="22" t="n">
        <f aca="false">SUM(O1431:T1431)</f>
        <v>0</v>
      </c>
      <c r="V1431" s="22" t="n">
        <f aca="false">N1431-U1431</f>
        <v>21300</v>
      </c>
      <c r="W1431" s="22" t="n">
        <f aca="false">W1430+V1431</f>
        <v>-429611.394835235</v>
      </c>
      <c r="X1431" s="23" t="str">
        <f aca="false">IF(W1431&gt;=0,"YES","No")</f>
        <v>No</v>
      </c>
    </row>
    <row r="1432" customFormat="false" ht="15" hidden="false" customHeight="false" outlineLevel="0" collapsed="false">
      <c r="A1432" s="16" t="n">
        <v>1431</v>
      </c>
      <c r="B1432" s="17" t="n">
        <f aca="false">B1431+1</f>
        <v>47453</v>
      </c>
      <c r="C1432" s="18" t="n">
        <f aca="false">MIN(ROUNDUP(A1432/365,0),5)</f>
        <v>4</v>
      </c>
      <c r="D1432" s="18" t="n">
        <f aca="false">DATEDIF(Assumptions!B5,B1432,"m")+1</f>
        <v>48</v>
      </c>
      <c r="E1432" s="18" t="str">
        <f aca="false">TEXT(B1432,"ddd")</f>
        <v>Sat</v>
      </c>
      <c r="F1432" s="19" t="n">
        <f aca="false">IF(WEEKDAY(B1432,2)&gt;=6,Assumptions!B34,Assumptions!B35)</f>
        <v>0.6</v>
      </c>
      <c r="G1432" s="20" t="n">
        <f aca="false">IF(D1432&gt;=13,(1+Assumptions!B46)^(D1432-12),1)</f>
        <v>1.11386764435245</v>
      </c>
      <c r="H1432" s="21" t="n">
        <f aca="false">H1431*(1+IF(C1432=1,Assumptions!B22,Assumptions!B23))</f>
        <v>24.7868099705174</v>
      </c>
      <c r="I1432" s="16" t="n">
        <f aca="false">ROUND(H1432*F1432,0)</f>
        <v>15</v>
      </c>
      <c r="J1432" s="22" t="n">
        <f aca="false">I1432*Assumptions!B24</f>
        <v>9000</v>
      </c>
      <c r="K1432" s="21" t="n">
        <f aca="false">K1431*(1+Assumptions!B30)</f>
        <v>20.971204521698</v>
      </c>
      <c r="L1432" s="16" t="n">
        <f aca="false">ROUND(K1432*F1432,0)</f>
        <v>13</v>
      </c>
      <c r="M1432" s="22" t="n">
        <f aca="false">L1432*Assumptions!B31</f>
        <v>3900</v>
      </c>
      <c r="N1432" s="22" t="n">
        <f aca="false">J1432+M1432</f>
        <v>12900</v>
      </c>
      <c r="O1432" s="22" t="n">
        <f aca="false">IF(DAY(B1432)=1,Assumptions!B38*G1432,0)</f>
        <v>167080.146652867</v>
      </c>
      <c r="P1432" s="22" t="n">
        <f aca="false">IF(DAY(B1432)=1,Assumptions!B39*G1432,0)</f>
        <v>44554.705774098</v>
      </c>
      <c r="Q1432" s="22" t="n">
        <f aca="false">IF(DAY(B1432)=1,Assumptions!B40*G1432,0)</f>
        <v>33416.0293305735</v>
      </c>
      <c r="R1432" s="22" t="n">
        <f aca="false">IF(DAY(B1432)=1,Assumptions!B41*G1432,0)</f>
        <v>22277.352887049</v>
      </c>
      <c r="S1432" s="22" t="n">
        <f aca="false">IF(AND(DAY(B1432)=1,D1432&gt;=13),Assumptions!B42*G1432,0)</f>
        <v>167080.146652867</v>
      </c>
      <c r="T1432" s="22" t="n">
        <f aca="false">IF(DAY(B1432)=1,Assumptions!B43*G1432,0)</f>
        <v>22277.352887049</v>
      </c>
      <c r="U1432" s="22" t="n">
        <f aca="false">SUM(O1432:T1432)</f>
        <v>456685.734184504</v>
      </c>
      <c r="V1432" s="22" t="n">
        <f aca="false">N1432-U1432</f>
        <v>-443785.734184504</v>
      </c>
      <c r="W1432" s="22" t="n">
        <f aca="false">W1431+V1432</f>
        <v>-873397.129019739</v>
      </c>
      <c r="X1432" s="23" t="str">
        <f aca="false">IF(W1432&gt;=0,"YES","No")</f>
        <v>No</v>
      </c>
    </row>
    <row r="1433" customFormat="false" ht="15" hidden="false" customHeight="false" outlineLevel="0" collapsed="false">
      <c r="A1433" s="16" t="n">
        <v>1432</v>
      </c>
      <c r="B1433" s="17" t="n">
        <f aca="false">B1432+1</f>
        <v>47454</v>
      </c>
      <c r="C1433" s="18" t="n">
        <f aca="false">MIN(ROUNDUP(A1433/365,0),5)</f>
        <v>4</v>
      </c>
      <c r="D1433" s="18" t="n">
        <f aca="false">DATEDIF(Assumptions!B5,B1433,"m")+1</f>
        <v>48</v>
      </c>
      <c r="E1433" s="18" t="str">
        <f aca="false">TEXT(B1433,"ddd")</f>
        <v>Sun</v>
      </c>
      <c r="F1433" s="19" t="n">
        <f aca="false">IF(WEEKDAY(B1433,2)&gt;=6,Assumptions!B34,Assumptions!B35)</f>
        <v>0.6</v>
      </c>
      <c r="G1433" s="20" t="n">
        <f aca="false">IF(D1433&gt;=13,(1+Assumptions!B46)^(D1433-12),1)</f>
        <v>1.11386764435245</v>
      </c>
      <c r="H1433" s="21" t="n">
        <f aca="false">H1432*(1+IF(C1433=1,Assumptions!B22,Assumptions!B23))</f>
        <v>24.7908715793248</v>
      </c>
      <c r="I1433" s="16" t="n">
        <f aca="false">ROUND(H1433*F1433,0)</f>
        <v>15</v>
      </c>
      <c r="J1433" s="22" t="n">
        <f aca="false">I1433*Assumptions!B24</f>
        <v>9000</v>
      </c>
      <c r="K1433" s="21" t="n">
        <f aca="false">K1432*(1+Assumptions!B30)</f>
        <v>20.97806078098</v>
      </c>
      <c r="L1433" s="16" t="n">
        <f aca="false">ROUND(K1433*F1433,0)</f>
        <v>13</v>
      </c>
      <c r="M1433" s="22" t="n">
        <f aca="false">L1433*Assumptions!B31</f>
        <v>3900</v>
      </c>
      <c r="N1433" s="22" t="n">
        <f aca="false">J1433+M1433</f>
        <v>12900</v>
      </c>
      <c r="O1433" s="22" t="n">
        <f aca="false">IF(DAY(B1433)=1,Assumptions!B38*G1433,0)</f>
        <v>0</v>
      </c>
      <c r="P1433" s="22" t="n">
        <f aca="false">IF(DAY(B1433)=1,Assumptions!B39*G1433,0)</f>
        <v>0</v>
      </c>
      <c r="Q1433" s="22" t="n">
        <f aca="false">IF(DAY(B1433)=1,Assumptions!B40*G1433,0)</f>
        <v>0</v>
      </c>
      <c r="R1433" s="22" t="n">
        <f aca="false">IF(DAY(B1433)=1,Assumptions!B41*G1433,0)</f>
        <v>0</v>
      </c>
      <c r="S1433" s="22" t="n">
        <f aca="false">IF(AND(DAY(B1433)=1,D1433&gt;=13),Assumptions!B42*G1433,0)</f>
        <v>0</v>
      </c>
      <c r="T1433" s="22" t="n">
        <f aca="false">IF(DAY(B1433)=1,Assumptions!B43*G1433,0)</f>
        <v>0</v>
      </c>
      <c r="U1433" s="22" t="n">
        <f aca="false">SUM(O1433:T1433)</f>
        <v>0</v>
      </c>
      <c r="V1433" s="22" t="n">
        <f aca="false">N1433-U1433</f>
        <v>12900</v>
      </c>
      <c r="W1433" s="22" t="n">
        <f aca="false">W1432+V1433</f>
        <v>-860497.129019739</v>
      </c>
      <c r="X1433" s="23" t="str">
        <f aca="false">IF(W1433&gt;=0,"YES","No")</f>
        <v>No</v>
      </c>
    </row>
    <row r="1434" customFormat="false" ht="15" hidden="false" customHeight="false" outlineLevel="0" collapsed="false">
      <c r="A1434" s="16" t="n">
        <v>1433</v>
      </c>
      <c r="B1434" s="17" t="n">
        <f aca="false">B1433+1</f>
        <v>47455</v>
      </c>
      <c r="C1434" s="18" t="n">
        <f aca="false">MIN(ROUNDUP(A1434/365,0),5)</f>
        <v>4</v>
      </c>
      <c r="D1434" s="18" t="n">
        <f aca="false">DATEDIF(Assumptions!B5,B1434,"m")+1</f>
        <v>48</v>
      </c>
      <c r="E1434" s="18" t="str">
        <f aca="false">TEXT(B1434,"ddd")</f>
        <v>Mon</v>
      </c>
      <c r="F1434" s="19" t="n">
        <f aca="false">IF(WEEKDAY(B1434,2)&gt;=6,Assumptions!B34,Assumptions!B35)</f>
        <v>1</v>
      </c>
      <c r="G1434" s="20" t="n">
        <f aca="false">IF(D1434&gt;=13,(1+Assumptions!B46)^(D1434-12),1)</f>
        <v>1.11386764435245</v>
      </c>
      <c r="H1434" s="21" t="n">
        <f aca="false">H1433*(1+IF(C1434=1,Assumptions!B22,Assumptions!B23))</f>
        <v>24.7949338536744</v>
      </c>
      <c r="I1434" s="16" t="n">
        <f aca="false">ROUND(H1434*F1434,0)</f>
        <v>25</v>
      </c>
      <c r="J1434" s="22" t="n">
        <f aca="false">I1434*Assumptions!B24</f>
        <v>15000</v>
      </c>
      <c r="K1434" s="21" t="n">
        <f aca="false">K1433*(1+Assumptions!B30)</f>
        <v>20.9849192818258</v>
      </c>
      <c r="L1434" s="16" t="n">
        <f aca="false">ROUND(K1434*F1434,0)</f>
        <v>21</v>
      </c>
      <c r="M1434" s="22" t="n">
        <f aca="false">L1434*Assumptions!B31</f>
        <v>6300</v>
      </c>
      <c r="N1434" s="22" t="n">
        <f aca="false">J1434+M1434</f>
        <v>21300</v>
      </c>
      <c r="O1434" s="22" t="n">
        <f aca="false">IF(DAY(B1434)=1,Assumptions!B38*G1434,0)</f>
        <v>0</v>
      </c>
      <c r="P1434" s="22" t="n">
        <f aca="false">IF(DAY(B1434)=1,Assumptions!B39*G1434,0)</f>
        <v>0</v>
      </c>
      <c r="Q1434" s="22" t="n">
        <f aca="false">IF(DAY(B1434)=1,Assumptions!B40*G1434,0)</f>
        <v>0</v>
      </c>
      <c r="R1434" s="22" t="n">
        <f aca="false">IF(DAY(B1434)=1,Assumptions!B41*G1434,0)</f>
        <v>0</v>
      </c>
      <c r="S1434" s="22" t="n">
        <f aca="false">IF(AND(DAY(B1434)=1,D1434&gt;=13),Assumptions!B42*G1434,0)</f>
        <v>0</v>
      </c>
      <c r="T1434" s="22" t="n">
        <f aca="false">IF(DAY(B1434)=1,Assumptions!B43*G1434,0)</f>
        <v>0</v>
      </c>
      <c r="U1434" s="22" t="n">
        <f aca="false">SUM(O1434:T1434)</f>
        <v>0</v>
      </c>
      <c r="V1434" s="22" t="n">
        <f aca="false">N1434-U1434</f>
        <v>21300</v>
      </c>
      <c r="W1434" s="22" t="n">
        <f aca="false">W1433+V1434</f>
        <v>-839197.129019739</v>
      </c>
      <c r="X1434" s="23" t="str">
        <f aca="false">IF(W1434&gt;=0,"YES","No")</f>
        <v>No</v>
      </c>
    </row>
    <row r="1435" customFormat="false" ht="15" hidden="false" customHeight="false" outlineLevel="0" collapsed="false">
      <c r="A1435" s="16" t="n">
        <v>1434</v>
      </c>
      <c r="B1435" s="17" t="n">
        <f aca="false">B1434+1</f>
        <v>47456</v>
      </c>
      <c r="C1435" s="18" t="n">
        <f aca="false">MIN(ROUNDUP(A1435/365,0),5)</f>
        <v>4</v>
      </c>
      <c r="D1435" s="18" t="n">
        <f aca="false">DATEDIF(Assumptions!B5,B1435,"m")+1</f>
        <v>48</v>
      </c>
      <c r="E1435" s="18" t="str">
        <f aca="false">TEXT(B1435,"ddd")</f>
        <v>Tue</v>
      </c>
      <c r="F1435" s="19" t="n">
        <f aca="false">IF(WEEKDAY(B1435,2)&gt;=6,Assumptions!B34,Assumptions!B35)</f>
        <v>1</v>
      </c>
      <c r="G1435" s="20" t="n">
        <f aca="false">IF(D1435&gt;=13,(1+Assumptions!B46)^(D1435-12),1)</f>
        <v>1.11386764435245</v>
      </c>
      <c r="H1435" s="21" t="n">
        <f aca="false">H1434*(1+IF(C1435=1,Assumptions!B22,Assumptions!B23))</f>
        <v>24.7989967936752</v>
      </c>
      <c r="I1435" s="16" t="n">
        <f aca="false">ROUND(H1435*F1435,0)</f>
        <v>25</v>
      </c>
      <c r="J1435" s="22" t="n">
        <f aca="false">I1435*Assumptions!B24</f>
        <v>15000</v>
      </c>
      <c r="K1435" s="21" t="n">
        <f aca="false">K1434*(1+Assumptions!B30)</f>
        <v>20.9917800249682</v>
      </c>
      <c r="L1435" s="16" t="n">
        <f aca="false">ROUND(K1435*F1435,0)</f>
        <v>21</v>
      </c>
      <c r="M1435" s="22" t="n">
        <f aca="false">L1435*Assumptions!B31</f>
        <v>6300</v>
      </c>
      <c r="N1435" s="22" t="n">
        <f aca="false">J1435+M1435</f>
        <v>21300</v>
      </c>
      <c r="O1435" s="22" t="n">
        <f aca="false">IF(DAY(B1435)=1,Assumptions!B38*G1435,0)</f>
        <v>0</v>
      </c>
      <c r="P1435" s="22" t="n">
        <f aca="false">IF(DAY(B1435)=1,Assumptions!B39*G1435,0)</f>
        <v>0</v>
      </c>
      <c r="Q1435" s="22" t="n">
        <f aca="false">IF(DAY(B1435)=1,Assumptions!B40*G1435,0)</f>
        <v>0</v>
      </c>
      <c r="R1435" s="22" t="n">
        <f aca="false">IF(DAY(B1435)=1,Assumptions!B41*G1435,0)</f>
        <v>0</v>
      </c>
      <c r="S1435" s="22" t="n">
        <f aca="false">IF(AND(DAY(B1435)=1,D1435&gt;=13),Assumptions!B42*G1435,0)</f>
        <v>0</v>
      </c>
      <c r="T1435" s="22" t="n">
        <f aca="false">IF(DAY(B1435)=1,Assumptions!B43*G1435,0)</f>
        <v>0</v>
      </c>
      <c r="U1435" s="22" t="n">
        <f aca="false">SUM(O1435:T1435)</f>
        <v>0</v>
      </c>
      <c r="V1435" s="22" t="n">
        <f aca="false">N1435-U1435</f>
        <v>21300</v>
      </c>
      <c r="W1435" s="22" t="n">
        <f aca="false">W1434+V1435</f>
        <v>-817897.129019739</v>
      </c>
      <c r="X1435" s="23" t="str">
        <f aca="false">IF(W1435&gt;=0,"YES","No")</f>
        <v>No</v>
      </c>
    </row>
    <row r="1436" customFormat="false" ht="15" hidden="false" customHeight="false" outlineLevel="0" collapsed="false">
      <c r="A1436" s="16" t="n">
        <v>1435</v>
      </c>
      <c r="B1436" s="17" t="n">
        <f aca="false">B1435+1</f>
        <v>47457</v>
      </c>
      <c r="C1436" s="18" t="n">
        <f aca="false">MIN(ROUNDUP(A1436/365,0),5)</f>
        <v>4</v>
      </c>
      <c r="D1436" s="18" t="n">
        <f aca="false">DATEDIF(Assumptions!B5,B1436,"m")+1</f>
        <v>48</v>
      </c>
      <c r="E1436" s="18" t="str">
        <f aca="false">TEXT(B1436,"ddd")</f>
        <v>Wed</v>
      </c>
      <c r="F1436" s="19" t="n">
        <f aca="false">IF(WEEKDAY(B1436,2)&gt;=6,Assumptions!B34,Assumptions!B35)</f>
        <v>1</v>
      </c>
      <c r="G1436" s="20" t="n">
        <f aca="false">IF(D1436&gt;=13,(1+Assumptions!B46)^(D1436-12),1)</f>
        <v>1.11386764435245</v>
      </c>
      <c r="H1436" s="21" t="n">
        <f aca="false">H1435*(1+IF(C1436=1,Assumptions!B22,Assumptions!B23))</f>
        <v>24.8030603994362</v>
      </c>
      <c r="I1436" s="16" t="n">
        <f aca="false">ROUND(H1436*F1436,0)</f>
        <v>25</v>
      </c>
      <c r="J1436" s="22" t="n">
        <f aca="false">I1436*Assumptions!B24</f>
        <v>15000</v>
      </c>
      <c r="K1436" s="21" t="n">
        <f aca="false">K1435*(1+Assumptions!B30)</f>
        <v>20.9986430111402</v>
      </c>
      <c r="L1436" s="16" t="n">
        <f aca="false">ROUND(K1436*F1436,0)</f>
        <v>21</v>
      </c>
      <c r="M1436" s="22" t="n">
        <f aca="false">L1436*Assumptions!B31</f>
        <v>6300</v>
      </c>
      <c r="N1436" s="22" t="n">
        <f aca="false">J1436+M1436</f>
        <v>21300</v>
      </c>
      <c r="O1436" s="22" t="n">
        <f aca="false">IF(DAY(B1436)=1,Assumptions!B38*G1436,0)</f>
        <v>0</v>
      </c>
      <c r="P1436" s="22" t="n">
        <f aca="false">IF(DAY(B1436)=1,Assumptions!B39*G1436,0)</f>
        <v>0</v>
      </c>
      <c r="Q1436" s="22" t="n">
        <f aca="false">IF(DAY(B1436)=1,Assumptions!B40*G1436,0)</f>
        <v>0</v>
      </c>
      <c r="R1436" s="22" t="n">
        <f aca="false">IF(DAY(B1436)=1,Assumptions!B41*G1436,0)</f>
        <v>0</v>
      </c>
      <c r="S1436" s="22" t="n">
        <f aca="false">IF(AND(DAY(B1436)=1,D1436&gt;=13),Assumptions!B42*G1436,0)</f>
        <v>0</v>
      </c>
      <c r="T1436" s="22" t="n">
        <f aca="false">IF(DAY(B1436)=1,Assumptions!B43*G1436,0)</f>
        <v>0</v>
      </c>
      <c r="U1436" s="22" t="n">
        <f aca="false">SUM(O1436:T1436)</f>
        <v>0</v>
      </c>
      <c r="V1436" s="22" t="n">
        <f aca="false">N1436-U1436</f>
        <v>21300</v>
      </c>
      <c r="W1436" s="22" t="n">
        <f aca="false">W1435+V1436</f>
        <v>-796597.129019739</v>
      </c>
      <c r="X1436" s="23" t="str">
        <f aca="false">IF(W1436&gt;=0,"YES","No")</f>
        <v>No</v>
      </c>
    </row>
    <row r="1437" customFormat="false" ht="15" hidden="false" customHeight="false" outlineLevel="0" collapsed="false">
      <c r="A1437" s="16" t="n">
        <v>1436</v>
      </c>
      <c r="B1437" s="17" t="n">
        <f aca="false">B1436+1</f>
        <v>47458</v>
      </c>
      <c r="C1437" s="18" t="n">
        <f aca="false">MIN(ROUNDUP(A1437/365,0),5)</f>
        <v>4</v>
      </c>
      <c r="D1437" s="18" t="n">
        <f aca="false">DATEDIF(Assumptions!B5,B1437,"m")+1</f>
        <v>48</v>
      </c>
      <c r="E1437" s="18" t="str">
        <f aca="false">TEXT(B1437,"ddd")</f>
        <v>Thu</v>
      </c>
      <c r="F1437" s="19" t="n">
        <f aca="false">IF(WEEKDAY(B1437,2)&gt;=6,Assumptions!B34,Assumptions!B35)</f>
        <v>1</v>
      </c>
      <c r="G1437" s="20" t="n">
        <f aca="false">IF(D1437&gt;=13,(1+Assumptions!B46)^(D1437-12),1)</f>
        <v>1.11386764435245</v>
      </c>
      <c r="H1437" s="21" t="n">
        <f aca="false">H1436*(1+IF(C1437=1,Assumptions!B22,Assumptions!B23))</f>
        <v>24.8071246710665</v>
      </c>
      <c r="I1437" s="16" t="n">
        <f aca="false">ROUND(H1437*F1437,0)</f>
        <v>25</v>
      </c>
      <c r="J1437" s="22" t="n">
        <f aca="false">I1437*Assumptions!B24</f>
        <v>15000</v>
      </c>
      <c r="K1437" s="21" t="n">
        <f aca="false">K1436*(1+Assumptions!B30)</f>
        <v>21.0055082410753</v>
      </c>
      <c r="L1437" s="16" t="n">
        <f aca="false">ROUND(K1437*F1437,0)</f>
        <v>21</v>
      </c>
      <c r="M1437" s="22" t="n">
        <f aca="false">L1437*Assumptions!B31</f>
        <v>6300</v>
      </c>
      <c r="N1437" s="22" t="n">
        <f aca="false">J1437+M1437</f>
        <v>21300</v>
      </c>
      <c r="O1437" s="22" t="n">
        <f aca="false">IF(DAY(B1437)=1,Assumptions!B38*G1437,0)</f>
        <v>0</v>
      </c>
      <c r="P1437" s="22" t="n">
        <f aca="false">IF(DAY(B1437)=1,Assumptions!B39*G1437,0)</f>
        <v>0</v>
      </c>
      <c r="Q1437" s="22" t="n">
        <f aca="false">IF(DAY(B1437)=1,Assumptions!B40*G1437,0)</f>
        <v>0</v>
      </c>
      <c r="R1437" s="22" t="n">
        <f aca="false">IF(DAY(B1437)=1,Assumptions!B41*G1437,0)</f>
        <v>0</v>
      </c>
      <c r="S1437" s="22" t="n">
        <f aca="false">IF(AND(DAY(B1437)=1,D1437&gt;=13),Assumptions!B42*G1437,0)</f>
        <v>0</v>
      </c>
      <c r="T1437" s="22" t="n">
        <f aca="false">IF(DAY(B1437)=1,Assumptions!B43*G1437,0)</f>
        <v>0</v>
      </c>
      <c r="U1437" s="22" t="n">
        <f aca="false">SUM(O1437:T1437)</f>
        <v>0</v>
      </c>
      <c r="V1437" s="22" t="n">
        <f aca="false">N1437-U1437</f>
        <v>21300</v>
      </c>
      <c r="W1437" s="22" t="n">
        <f aca="false">W1436+V1437</f>
        <v>-775297.129019739</v>
      </c>
      <c r="X1437" s="23" t="str">
        <f aca="false">IF(W1437&gt;=0,"YES","No")</f>
        <v>No</v>
      </c>
    </row>
    <row r="1438" customFormat="false" ht="15" hidden="false" customHeight="false" outlineLevel="0" collapsed="false">
      <c r="A1438" s="16" t="n">
        <v>1437</v>
      </c>
      <c r="B1438" s="17" t="n">
        <f aca="false">B1437+1</f>
        <v>47459</v>
      </c>
      <c r="C1438" s="18" t="n">
        <f aca="false">MIN(ROUNDUP(A1438/365,0),5)</f>
        <v>4</v>
      </c>
      <c r="D1438" s="18" t="n">
        <f aca="false">DATEDIF(Assumptions!B5,B1438,"m")+1</f>
        <v>48</v>
      </c>
      <c r="E1438" s="18" t="str">
        <f aca="false">TEXT(B1438,"ddd")</f>
        <v>Fri</v>
      </c>
      <c r="F1438" s="19" t="n">
        <f aca="false">IF(WEEKDAY(B1438,2)&gt;=6,Assumptions!B34,Assumptions!B35)</f>
        <v>1</v>
      </c>
      <c r="G1438" s="20" t="n">
        <f aca="false">IF(D1438&gt;=13,(1+Assumptions!B46)^(D1438-12),1)</f>
        <v>1.11386764435245</v>
      </c>
      <c r="H1438" s="21" t="n">
        <f aca="false">H1437*(1+IF(C1438=1,Assumptions!B22,Assumptions!B23))</f>
        <v>24.8111896086753</v>
      </c>
      <c r="I1438" s="16" t="n">
        <f aca="false">ROUND(H1438*F1438,0)</f>
        <v>25</v>
      </c>
      <c r="J1438" s="22" t="n">
        <f aca="false">I1438*Assumptions!B24</f>
        <v>15000</v>
      </c>
      <c r="K1438" s="21" t="n">
        <f aca="false">K1437*(1+Assumptions!B30)</f>
        <v>21.0123757155068</v>
      </c>
      <c r="L1438" s="16" t="n">
        <f aca="false">ROUND(K1438*F1438,0)</f>
        <v>21</v>
      </c>
      <c r="M1438" s="22" t="n">
        <f aca="false">L1438*Assumptions!B31</f>
        <v>6300</v>
      </c>
      <c r="N1438" s="22" t="n">
        <f aca="false">J1438+M1438</f>
        <v>21300</v>
      </c>
      <c r="O1438" s="22" t="n">
        <f aca="false">IF(DAY(B1438)=1,Assumptions!B38*G1438,0)</f>
        <v>0</v>
      </c>
      <c r="P1438" s="22" t="n">
        <f aca="false">IF(DAY(B1438)=1,Assumptions!B39*G1438,0)</f>
        <v>0</v>
      </c>
      <c r="Q1438" s="22" t="n">
        <f aca="false">IF(DAY(B1438)=1,Assumptions!B40*G1438,0)</f>
        <v>0</v>
      </c>
      <c r="R1438" s="22" t="n">
        <f aca="false">IF(DAY(B1438)=1,Assumptions!B41*G1438,0)</f>
        <v>0</v>
      </c>
      <c r="S1438" s="22" t="n">
        <f aca="false">IF(AND(DAY(B1438)=1,D1438&gt;=13),Assumptions!B42*G1438,0)</f>
        <v>0</v>
      </c>
      <c r="T1438" s="22" t="n">
        <f aca="false">IF(DAY(B1438)=1,Assumptions!B43*G1438,0)</f>
        <v>0</v>
      </c>
      <c r="U1438" s="22" t="n">
        <f aca="false">SUM(O1438:T1438)</f>
        <v>0</v>
      </c>
      <c r="V1438" s="22" t="n">
        <f aca="false">N1438-U1438</f>
        <v>21300</v>
      </c>
      <c r="W1438" s="22" t="n">
        <f aca="false">W1437+V1438</f>
        <v>-753997.129019739</v>
      </c>
      <c r="X1438" s="23" t="str">
        <f aca="false">IF(W1438&gt;=0,"YES","No")</f>
        <v>No</v>
      </c>
    </row>
    <row r="1439" customFormat="false" ht="15" hidden="false" customHeight="false" outlineLevel="0" collapsed="false">
      <c r="A1439" s="16" t="n">
        <v>1438</v>
      </c>
      <c r="B1439" s="17" t="n">
        <f aca="false">B1438+1</f>
        <v>47460</v>
      </c>
      <c r="C1439" s="18" t="n">
        <f aca="false">MIN(ROUNDUP(A1439/365,0),5)</f>
        <v>4</v>
      </c>
      <c r="D1439" s="18" t="n">
        <f aca="false">DATEDIF(Assumptions!B5,B1439,"m")+1</f>
        <v>48</v>
      </c>
      <c r="E1439" s="18" t="str">
        <f aca="false">TEXT(B1439,"ddd")</f>
        <v>Sat</v>
      </c>
      <c r="F1439" s="19" t="n">
        <f aca="false">IF(WEEKDAY(B1439,2)&gt;=6,Assumptions!B34,Assumptions!B35)</f>
        <v>0.6</v>
      </c>
      <c r="G1439" s="20" t="n">
        <f aca="false">IF(D1439&gt;=13,(1+Assumptions!B46)^(D1439-12),1)</f>
        <v>1.11386764435245</v>
      </c>
      <c r="H1439" s="21" t="n">
        <f aca="false">H1438*(1+IF(C1439=1,Assumptions!B22,Assumptions!B23))</f>
        <v>24.8152552123717</v>
      </c>
      <c r="I1439" s="16" t="n">
        <f aca="false">ROUND(H1439*F1439,0)</f>
        <v>15</v>
      </c>
      <c r="J1439" s="22" t="n">
        <f aca="false">I1439*Assumptions!B24</f>
        <v>9000</v>
      </c>
      <c r="K1439" s="21" t="n">
        <f aca="false">K1438*(1+Assumptions!B30)</f>
        <v>21.0192454351688</v>
      </c>
      <c r="L1439" s="16" t="n">
        <f aca="false">ROUND(K1439*F1439,0)</f>
        <v>13</v>
      </c>
      <c r="M1439" s="22" t="n">
        <f aca="false">L1439*Assumptions!B31</f>
        <v>3900</v>
      </c>
      <c r="N1439" s="22" t="n">
        <f aca="false">J1439+M1439</f>
        <v>12900</v>
      </c>
      <c r="O1439" s="22" t="n">
        <f aca="false">IF(DAY(B1439)=1,Assumptions!B38*G1439,0)</f>
        <v>0</v>
      </c>
      <c r="P1439" s="22" t="n">
        <f aca="false">IF(DAY(B1439)=1,Assumptions!B39*G1439,0)</f>
        <v>0</v>
      </c>
      <c r="Q1439" s="22" t="n">
        <f aca="false">IF(DAY(B1439)=1,Assumptions!B40*G1439,0)</f>
        <v>0</v>
      </c>
      <c r="R1439" s="22" t="n">
        <f aca="false">IF(DAY(B1439)=1,Assumptions!B41*G1439,0)</f>
        <v>0</v>
      </c>
      <c r="S1439" s="22" t="n">
        <f aca="false">IF(AND(DAY(B1439)=1,D1439&gt;=13),Assumptions!B42*G1439,0)</f>
        <v>0</v>
      </c>
      <c r="T1439" s="22" t="n">
        <f aca="false">IF(DAY(B1439)=1,Assumptions!B43*G1439,0)</f>
        <v>0</v>
      </c>
      <c r="U1439" s="22" t="n">
        <f aca="false">SUM(O1439:T1439)</f>
        <v>0</v>
      </c>
      <c r="V1439" s="22" t="n">
        <f aca="false">N1439-U1439</f>
        <v>12900</v>
      </c>
      <c r="W1439" s="22" t="n">
        <f aca="false">W1438+V1439</f>
        <v>-741097.129019739</v>
      </c>
      <c r="X1439" s="23" t="str">
        <f aca="false">IF(W1439&gt;=0,"YES","No")</f>
        <v>No</v>
      </c>
    </row>
    <row r="1440" customFormat="false" ht="15" hidden="false" customHeight="false" outlineLevel="0" collapsed="false">
      <c r="A1440" s="16" t="n">
        <v>1439</v>
      </c>
      <c r="B1440" s="17" t="n">
        <f aca="false">B1439+1</f>
        <v>47461</v>
      </c>
      <c r="C1440" s="18" t="n">
        <f aca="false">MIN(ROUNDUP(A1440/365,0),5)</f>
        <v>4</v>
      </c>
      <c r="D1440" s="18" t="n">
        <f aca="false">DATEDIF(Assumptions!B5,B1440,"m")+1</f>
        <v>48</v>
      </c>
      <c r="E1440" s="18" t="str">
        <f aca="false">TEXT(B1440,"ddd")</f>
        <v>Sun</v>
      </c>
      <c r="F1440" s="19" t="n">
        <f aca="false">IF(WEEKDAY(B1440,2)&gt;=6,Assumptions!B34,Assumptions!B35)</f>
        <v>0.6</v>
      </c>
      <c r="G1440" s="20" t="n">
        <f aca="false">IF(D1440&gt;=13,(1+Assumptions!B46)^(D1440-12),1)</f>
        <v>1.11386764435245</v>
      </c>
      <c r="H1440" s="21" t="n">
        <f aca="false">H1439*(1+IF(C1440=1,Assumptions!B22,Assumptions!B23))</f>
        <v>24.8193214822648</v>
      </c>
      <c r="I1440" s="16" t="n">
        <f aca="false">ROUND(H1440*F1440,0)</f>
        <v>15</v>
      </c>
      <c r="J1440" s="22" t="n">
        <f aca="false">I1440*Assumptions!B24</f>
        <v>9000</v>
      </c>
      <c r="K1440" s="21" t="n">
        <f aca="false">K1439*(1+Assumptions!B30)</f>
        <v>21.0261174007952</v>
      </c>
      <c r="L1440" s="16" t="n">
        <f aca="false">ROUND(K1440*F1440,0)</f>
        <v>13</v>
      </c>
      <c r="M1440" s="22" t="n">
        <f aca="false">L1440*Assumptions!B31</f>
        <v>3900</v>
      </c>
      <c r="N1440" s="22" t="n">
        <f aca="false">J1440+M1440</f>
        <v>12900</v>
      </c>
      <c r="O1440" s="22" t="n">
        <f aca="false">IF(DAY(B1440)=1,Assumptions!B38*G1440,0)</f>
        <v>0</v>
      </c>
      <c r="P1440" s="22" t="n">
        <f aca="false">IF(DAY(B1440)=1,Assumptions!B39*G1440,0)</f>
        <v>0</v>
      </c>
      <c r="Q1440" s="22" t="n">
        <f aca="false">IF(DAY(B1440)=1,Assumptions!B40*G1440,0)</f>
        <v>0</v>
      </c>
      <c r="R1440" s="22" t="n">
        <f aca="false">IF(DAY(B1440)=1,Assumptions!B41*G1440,0)</f>
        <v>0</v>
      </c>
      <c r="S1440" s="22" t="n">
        <f aca="false">IF(AND(DAY(B1440)=1,D1440&gt;=13),Assumptions!B42*G1440,0)</f>
        <v>0</v>
      </c>
      <c r="T1440" s="22" t="n">
        <f aca="false">IF(DAY(B1440)=1,Assumptions!B43*G1440,0)</f>
        <v>0</v>
      </c>
      <c r="U1440" s="22" t="n">
        <f aca="false">SUM(O1440:T1440)</f>
        <v>0</v>
      </c>
      <c r="V1440" s="22" t="n">
        <f aca="false">N1440-U1440</f>
        <v>12900</v>
      </c>
      <c r="W1440" s="22" t="n">
        <f aca="false">W1439+V1440</f>
        <v>-728197.129019739</v>
      </c>
      <c r="X1440" s="23" t="str">
        <f aca="false">IF(W1440&gt;=0,"YES","No")</f>
        <v>No</v>
      </c>
    </row>
    <row r="1441" customFormat="false" ht="15" hidden="false" customHeight="false" outlineLevel="0" collapsed="false">
      <c r="A1441" s="16" t="n">
        <v>1440</v>
      </c>
      <c r="B1441" s="17" t="n">
        <f aca="false">B1440+1</f>
        <v>47462</v>
      </c>
      <c r="C1441" s="18" t="n">
        <f aca="false">MIN(ROUNDUP(A1441/365,0),5)</f>
        <v>4</v>
      </c>
      <c r="D1441" s="18" t="n">
        <f aca="false">DATEDIF(Assumptions!B5,B1441,"m")+1</f>
        <v>48</v>
      </c>
      <c r="E1441" s="18" t="str">
        <f aca="false">TEXT(B1441,"ddd")</f>
        <v>Mon</v>
      </c>
      <c r="F1441" s="19" t="n">
        <f aca="false">IF(WEEKDAY(B1441,2)&gt;=6,Assumptions!B34,Assumptions!B35)</f>
        <v>1</v>
      </c>
      <c r="G1441" s="20" t="n">
        <f aca="false">IF(D1441&gt;=13,(1+Assumptions!B46)^(D1441-12),1)</f>
        <v>1.11386764435245</v>
      </c>
      <c r="H1441" s="21" t="n">
        <f aca="false">H1440*(1+IF(C1441=1,Assumptions!B22,Assumptions!B23))</f>
        <v>24.8233884184639</v>
      </c>
      <c r="I1441" s="16" t="n">
        <f aca="false">ROUND(H1441*F1441,0)</f>
        <v>25</v>
      </c>
      <c r="J1441" s="22" t="n">
        <f aca="false">I1441*Assumptions!B24</f>
        <v>15000</v>
      </c>
      <c r="K1441" s="21" t="n">
        <f aca="false">K1440*(1+Assumptions!B30)</f>
        <v>21.0329916131203</v>
      </c>
      <c r="L1441" s="16" t="n">
        <f aca="false">ROUND(K1441*F1441,0)</f>
        <v>21</v>
      </c>
      <c r="M1441" s="22" t="n">
        <f aca="false">L1441*Assumptions!B31</f>
        <v>6300</v>
      </c>
      <c r="N1441" s="22" t="n">
        <f aca="false">J1441+M1441</f>
        <v>21300</v>
      </c>
      <c r="O1441" s="22" t="n">
        <f aca="false">IF(DAY(B1441)=1,Assumptions!B38*G1441,0)</f>
        <v>0</v>
      </c>
      <c r="P1441" s="22" t="n">
        <f aca="false">IF(DAY(B1441)=1,Assumptions!B39*G1441,0)</f>
        <v>0</v>
      </c>
      <c r="Q1441" s="22" t="n">
        <f aca="false">IF(DAY(B1441)=1,Assumptions!B40*G1441,0)</f>
        <v>0</v>
      </c>
      <c r="R1441" s="22" t="n">
        <f aca="false">IF(DAY(B1441)=1,Assumptions!B41*G1441,0)</f>
        <v>0</v>
      </c>
      <c r="S1441" s="22" t="n">
        <f aca="false">IF(AND(DAY(B1441)=1,D1441&gt;=13),Assumptions!B42*G1441,0)</f>
        <v>0</v>
      </c>
      <c r="T1441" s="22" t="n">
        <f aca="false">IF(DAY(B1441)=1,Assumptions!B43*G1441,0)</f>
        <v>0</v>
      </c>
      <c r="U1441" s="22" t="n">
        <f aca="false">SUM(O1441:T1441)</f>
        <v>0</v>
      </c>
      <c r="V1441" s="22" t="n">
        <f aca="false">N1441-U1441</f>
        <v>21300</v>
      </c>
      <c r="W1441" s="22" t="n">
        <f aca="false">W1440+V1441</f>
        <v>-706897.129019739</v>
      </c>
      <c r="X1441" s="23" t="str">
        <f aca="false">IF(W1441&gt;=0,"YES","No")</f>
        <v>No</v>
      </c>
    </row>
    <row r="1442" customFormat="false" ht="15" hidden="false" customHeight="false" outlineLevel="0" collapsed="false">
      <c r="A1442" s="16" t="n">
        <v>1441</v>
      </c>
      <c r="B1442" s="17" t="n">
        <f aca="false">B1441+1</f>
        <v>47463</v>
      </c>
      <c r="C1442" s="18" t="n">
        <f aca="false">MIN(ROUNDUP(A1442/365,0),5)</f>
        <v>4</v>
      </c>
      <c r="D1442" s="18" t="n">
        <f aca="false">DATEDIF(Assumptions!B5,B1442,"m")+1</f>
        <v>48</v>
      </c>
      <c r="E1442" s="18" t="str">
        <f aca="false">TEXT(B1442,"ddd")</f>
        <v>Tue</v>
      </c>
      <c r="F1442" s="19" t="n">
        <f aca="false">IF(WEEKDAY(B1442,2)&gt;=6,Assumptions!B34,Assumptions!B35)</f>
        <v>1</v>
      </c>
      <c r="G1442" s="20" t="n">
        <f aca="false">IF(D1442&gt;=13,(1+Assumptions!B46)^(D1442-12),1)</f>
        <v>1.11386764435245</v>
      </c>
      <c r="H1442" s="21" t="n">
        <f aca="false">H1441*(1+IF(C1442=1,Assumptions!B22,Assumptions!B23))</f>
        <v>24.827456021078</v>
      </c>
      <c r="I1442" s="16" t="n">
        <f aca="false">ROUND(H1442*F1442,0)</f>
        <v>25</v>
      </c>
      <c r="J1442" s="22" t="n">
        <f aca="false">I1442*Assumptions!B24</f>
        <v>15000</v>
      </c>
      <c r="K1442" s="21" t="n">
        <f aca="false">K1441*(1+Assumptions!B30)</f>
        <v>21.0398680728786</v>
      </c>
      <c r="L1442" s="16" t="n">
        <f aca="false">ROUND(K1442*F1442,0)</f>
        <v>21</v>
      </c>
      <c r="M1442" s="22" t="n">
        <f aca="false">L1442*Assumptions!B31</f>
        <v>6300</v>
      </c>
      <c r="N1442" s="22" t="n">
        <f aca="false">J1442+M1442</f>
        <v>21300</v>
      </c>
      <c r="O1442" s="22" t="n">
        <f aca="false">IF(DAY(B1442)=1,Assumptions!B38*G1442,0)</f>
        <v>0</v>
      </c>
      <c r="P1442" s="22" t="n">
        <f aca="false">IF(DAY(B1442)=1,Assumptions!B39*G1442,0)</f>
        <v>0</v>
      </c>
      <c r="Q1442" s="22" t="n">
        <f aca="false">IF(DAY(B1442)=1,Assumptions!B40*G1442,0)</f>
        <v>0</v>
      </c>
      <c r="R1442" s="22" t="n">
        <f aca="false">IF(DAY(B1442)=1,Assumptions!B41*G1442,0)</f>
        <v>0</v>
      </c>
      <c r="S1442" s="22" t="n">
        <f aca="false">IF(AND(DAY(B1442)=1,D1442&gt;=13),Assumptions!B42*G1442,0)</f>
        <v>0</v>
      </c>
      <c r="T1442" s="22" t="n">
        <f aca="false">IF(DAY(B1442)=1,Assumptions!B43*G1442,0)</f>
        <v>0</v>
      </c>
      <c r="U1442" s="22" t="n">
        <f aca="false">SUM(O1442:T1442)</f>
        <v>0</v>
      </c>
      <c r="V1442" s="22" t="n">
        <f aca="false">N1442-U1442</f>
        <v>21300</v>
      </c>
      <c r="W1442" s="22" t="n">
        <f aca="false">W1441+V1442</f>
        <v>-685597.129019739</v>
      </c>
      <c r="X1442" s="23" t="str">
        <f aca="false">IF(W1442&gt;=0,"YES","No")</f>
        <v>No</v>
      </c>
    </row>
    <row r="1443" customFormat="false" ht="15" hidden="false" customHeight="false" outlineLevel="0" collapsed="false">
      <c r="A1443" s="16" t="n">
        <v>1442</v>
      </c>
      <c r="B1443" s="17" t="n">
        <f aca="false">B1442+1</f>
        <v>47464</v>
      </c>
      <c r="C1443" s="18" t="n">
        <f aca="false">MIN(ROUNDUP(A1443/365,0),5)</f>
        <v>4</v>
      </c>
      <c r="D1443" s="18" t="n">
        <f aca="false">DATEDIF(Assumptions!B5,B1443,"m")+1</f>
        <v>48</v>
      </c>
      <c r="E1443" s="18" t="str">
        <f aca="false">TEXT(B1443,"ddd")</f>
        <v>Wed</v>
      </c>
      <c r="F1443" s="19" t="n">
        <f aca="false">IF(WEEKDAY(B1443,2)&gt;=6,Assumptions!B34,Assumptions!B35)</f>
        <v>1</v>
      </c>
      <c r="G1443" s="20" t="n">
        <f aca="false">IF(D1443&gt;=13,(1+Assumptions!B46)^(D1443-12),1)</f>
        <v>1.11386764435245</v>
      </c>
      <c r="H1443" s="21" t="n">
        <f aca="false">H1442*(1+IF(C1443=1,Assumptions!B22,Assumptions!B23))</f>
        <v>24.8315242902163</v>
      </c>
      <c r="I1443" s="16" t="n">
        <f aca="false">ROUND(H1443*F1443,0)</f>
        <v>25</v>
      </c>
      <c r="J1443" s="22" t="n">
        <f aca="false">I1443*Assumptions!B24</f>
        <v>15000</v>
      </c>
      <c r="K1443" s="21" t="n">
        <f aca="false">K1442*(1+Assumptions!B30)</f>
        <v>21.0467467808049</v>
      </c>
      <c r="L1443" s="16" t="n">
        <f aca="false">ROUND(K1443*F1443,0)</f>
        <v>21</v>
      </c>
      <c r="M1443" s="22" t="n">
        <f aca="false">L1443*Assumptions!B31</f>
        <v>6300</v>
      </c>
      <c r="N1443" s="22" t="n">
        <f aca="false">J1443+M1443</f>
        <v>21300</v>
      </c>
      <c r="O1443" s="22" t="n">
        <f aca="false">IF(DAY(B1443)=1,Assumptions!B38*G1443,0)</f>
        <v>0</v>
      </c>
      <c r="P1443" s="22" t="n">
        <f aca="false">IF(DAY(B1443)=1,Assumptions!B39*G1443,0)</f>
        <v>0</v>
      </c>
      <c r="Q1443" s="22" t="n">
        <f aca="false">IF(DAY(B1443)=1,Assumptions!B40*G1443,0)</f>
        <v>0</v>
      </c>
      <c r="R1443" s="22" t="n">
        <f aca="false">IF(DAY(B1443)=1,Assumptions!B41*G1443,0)</f>
        <v>0</v>
      </c>
      <c r="S1443" s="22" t="n">
        <f aca="false">IF(AND(DAY(B1443)=1,D1443&gt;=13),Assumptions!B42*G1443,0)</f>
        <v>0</v>
      </c>
      <c r="T1443" s="22" t="n">
        <f aca="false">IF(DAY(B1443)=1,Assumptions!B43*G1443,0)</f>
        <v>0</v>
      </c>
      <c r="U1443" s="22" t="n">
        <f aca="false">SUM(O1443:T1443)</f>
        <v>0</v>
      </c>
      <c r="V1443" s="22" t="n">
        <f aca="false">N1443-U1443</f>
        <v>21300</v>
      </c>
      <c r="W1443" s="22" t="n">
        <f aca="false">W1442+V1443</f>
        <v>-664297.129019739</v>
      </c>
      <c r="X1443" s="23" t="str">
        <f aca="false">IF(W1443&gt;=0,"YES","No")</f>
        <v>No</v>
      </c>
    </row>
    <row r="1444" customFormat="false" ht="15" hidden="false" customHeight="false" outlineLevel="0" collapsed="false">
      <c r="A1444" s="16" t="n">
        <v>1443</v>
      </c>
      <c r="B1444" s="17" t="n">
        <f aca="false">B1443+1</f>
        <v>47465</v>
      </c>
      <c r="C1444" s="18" t="n">
        <f aca="false">MIN(ROUNDUP(A1444/365,0),5)</f>
        <v>4</v>
      </c>
      <c r="D1444" s="18" t="n">
        <f aca="false">DATEDIF(Assumptions!B5,B1444,"m")+1</f>
        <v>48</v>
      </c>
      <c r="E1444" s="18" t="str">
        <f aca="false">TEXT(B1444,"ddd")</f>
        <v>Thu</v>
      </c>
      <c r="F1444" s="19" t="n">
        <f aca="false">IF(WEEKDAY(B1444,2)&gt;=6,Assumptions!B34,Assumptions!B35)</f>
        <v>1</v>
      </c>
      <c r="G1444" s="20" t="n">
        <f aca="false">IF(D1444&gt;=13,(1+Assumptions!B46)^(D1444-12),1)</f>
        <v>1.11386764435245</v>
      </c>
      <c r="H1444" s="21" t="n">
        <f aca="false">H1443*(1+IF(C1444=1,Assumptions!B22,Assumptions!B23))</f>
        <v>24.8355932259882</v>
      </c>
      <c r="I1444" s="16" t="n">
        <f aca="false">ROUND(H1444*F1444,0)</f>
        <v>25</v>
      </c>
      <c r="J1444" s="22" t="n">
        <f aca="false">I1444*Assumptions!B24</f>
        <v>15000</v>
      </c>
      <c r="K1444" s="21" t="n">
        <f aca="false">K1443*(1+Assumptions!B30)</f>
        <v>21.0536277376343</v>
      </c>
      <c r="L1444" s="16" t="n">
        <f aca="false">ROUND(K1444*F1444,0)</f>
        <v>21</v>
      </c>
      <c r="M1444" s="22" t="n">
        <f aca="false">L1444*Assumptions!B31</f>
        <v>6300</v>
      </c>
      <c r="N1444" s="22" t="n">
        <f aca="false">J1444+M1444</f>
        <v>21300</v>
      </c>
      <c r="O1444" s="22" t="n">
        <f aca="false">IF(DAY(B1444)=1,Assumptions!B38*G1444,0)</f>
        <v>0</v>
      </c>
      <c r="P1444" s="22" t="n">
        <f aca="false">IF(DAY(B1444)=1,Assumptions!B39*G1444,0)</f>
        <v>0</v>
      </c>
      <c r="Q1444" s="22" t="n">
        <f aca="false">IF(DAY(B1444)=1,Assumptions!B40*G1444,0)</f>
        <v>0</v>
      </c>
      <c r="R1444" s="22" t="n">
        <f aca="false">IF(DAY(B1444)=1,Assumptions!B41*G1444,0)</f>
        <v>0</v>
      </c>
      <c r="S1444" s="22" t="n">
        <f aca="false">IF(AND(DAY(B1444)=1,D1444&gt;=13),Assumptions!B42*G1444,0)</f>
        <v>0</v>
      </c>
      <c r="T1444" s="22" t="n">
        <f aca="false">IF(DAY(B1444)=1,Assumptions!B43*G1444,0)</f>
        <v>0</v>
      </c>
      <c r="U1444" s="22" t="n">
        <f aca="false">SUM(O1444:T1444)</f>
        <v>0</v>
      </c>
      <c r="V1444" s="22" t="n">
        <f aca="false">N1444-U1444</f>
        <v>21300</v>
      </c>
      <c r="W1444" s="22" t="n">
        <f aca="false">W1443+V1444</f>
        <v>-642997.129019739</v>
      </c>
      <c r="X1444" s="23" t="str">
        <f aca="false">IF(W1444&gt;=0,"YES","No")</f>
        <v>No</v>
      </c>
    </row>
    <row r="1445" customFormat="false" ht="15" hidden="false" customHeight="false" outlineLevel="0" collapsed="false">
      <c r="A1445" s="16" t="n">
        <v>1444</v>
      </c>
      <c r="B1445" s="17" t="n">
        <f aca="false">B1444+1</f>
        <v>47466</v>
      </c>
      <c r="C1445" s="18" t="n">
        <f aca="false">MIN(ROUNDUP(A1445/365,0),5)</f>
        <v>4</v>
      </c>
      <c r="D1445" s="18" t="n">
        <f aca="false">DATEDIF(Assumptions!B5,B1445,"m")+1</f>
        <v>48</v>
      </c>
      <c r="E1445" s="18" t="str">
        <f aca="false">TEXT(B1445,"ddd")</f>
        <v>Fri</v>
      </c>
      <c r="F1445" s="19" t="n">
        <f aca="false">IF(WEEKDAY(B1445,2)&gt;=6,Assumptions!B34,Assumptions!B35)</f>
        <v>1</v>
      </c>
      <c r="G1445" s="20" t="n">
        <f aca="false">IF(D1445&gt;=13,(1+Assumptions!B46)^(D1445-12),1)</f>
        <v>1.11386764435245</v>
      </c>
      <c r="H1445" s="21" t="n">
        <f aca="false">H1444*(1+IF(C1445=1,Assumptions!B22,Assumptions!B23))</f>
        <v>24.8396628285028</v>
      </c>
      <c r="I1445" s="16" t="n">
        <f aca="false">ROUND(H1445*F1445,0)</f>
        <v>25</v>
      </c>
      <c r="J1445" s="22" t="n">
        <f aca="false">I1445*Assumptions!B24</f>
        <v>15000</v>
      </c>
      <c r="K1445" s="21" t="n">
        <f aca="false">K1444*(1+Assumptions!B30)</f>
        <v>21.0605109441019</v>
      </c>
      <c r="L1445" s="16" t="n">
        <f aca="false">ROUND(K1445*F1445,0)</f>
        <v>21</v>
      </c>
      <c r="M1445" s="22" t="n">
        <f aca="false">L1445*Assumptions!B31</f>
        <v>6300</v>
      </c>
      <c r="N1445" s="22" t="n">
        <f aca="false">J1445+M1445</f>
        <v>21300</v>
      </c>
      <c r="O1445" s="22" t="n">
        <f aca="false">IF(DAY(B1445)=1,Assumptions!B38*G1445,0)</f>
        <v>0</v>
      </c>
      <c r="P1445" s="22" t="n">
        <f aca="false">IF(DAY(B1445)=1,Assumptions!B39*G1445,0)</f>
        <v>0</v>
      </c>
      <c r="Q1445" s="22" t="n">
        <f aca="false">IF(DAY(B1445)=1,Assumptions!B40*G1445,0)</f>
        <v>0</v>
      </c>
      <c r="R1445" s="22" t="n">
        <f aca="false">IF(DAY(B1445)=1,Assumptions!B41*G1445,0)</f>
        <v>0</v>
      </c>
      <c r="S1445" s="22" t="n">
        <f aca="false">IF(AND(DAY(B1445)=1,D1445&gt;=13),Assumptions!B42*G1445,0)</f>
        <v>0</v>
      </c>
      <c r="T1445" s="22" t="n">
        <f aca="false">IF(DAY(B1445)=1,Assumptions!B43*G1445,0)</f>
        <v>0</v>
      </c>
      <c r="U1445" s="22" t="n">
        <f aca="false">SUM(O1445:T1445)</f>
        <v>0</v>
      </c>
      <c r="V1445" s="22" t="n">
        <f aca="false">N1445-U1445</f>
        <v>21300</v>
      </c>
      <c r="W1445" s="22" t="n">
        <f aca="false">W1444+V1445</f>
        <v>-621697.129019739</v>
      </c>
      <c r="X1445" s="23" t="str">
        <f aca="false">IF(W1445&gt;=0,"YES","No")</f>
        <v>No</v>
      </c>
    </row>
    <row r="1446" customFormat="false" ht="15" hidden="false" customHeight="false" outlineLevel="0" collapsed="false">
      <c r="A1446" s="16" t="n">
        <v>1445</v>
      </c>
      <c r="B1446" s="17" t="n">
        <f aca="false">B1445+1</f>
        <v>47467</v>
      </c>
      <c r="C1446" s="18" t="n">
        <f aca="false">MIN(ROUNDUP(A1446/365,0),5)</f>
        <v>4</v>
      </c>
      <c r="D1446" s="18" t="n">
        <f aca="false">DATEDIF(Assumptions!B5,B1446,"m")+1</f>
        <v>48</v>
      </c>
      <c r="E1446" s="18" t="str">
        <f aca="false">TEXT(B1446,"ddd")</f>
        <v>Sat</v>
      </c>
      <c r="F1446" s="19" t="n">
        <f aca="false">IF(WEEKDAY(B1446,2)&gt;=6,Assumptions!B34,Assumptions!B35)</f>
        <v>0.6</v>
      </c>
      <c r="G1446" s="20" t="n">
        <f aca="false">IF(D1446&gt;=13,(1+Assumptions!B46)^(D1446-12),1)</f>
        <v>1.11386764435245</v>
      </c>
      <c r="H1446" s="21" t="n">
        <f aca="false">H1445*(1+IF(C1446=1,Assumptions!B22,Assumptions!B23))</f>
        <v>24.8437330978694</v>
      </c>
      <c r="I1446" s="16" t="n">
        <f aca="false">ROUND(H1446*F1446,0)</f>
        <v>15</v>
      </c>
      <c r="J1446" s="22" t="n">
        <f aca="false">I1446*Assumptions!B24</f>
        <v>9000</v>
      </c>
      <c r="K1446" s="21" t="n">
        <f aca="false">K1445*(1+Assumptions!B30)</f>
        <v>21.0673964009432</v>
      </c>
      <c r="L1446" s="16" t="n">
        <f aca="false">ROUND(K1446*F1446,0)</f>
        <v>13</v>
      </c>
      <c r="M1446" s="22" t="n">
        <f aca="false">L1446*Assumptions!B31</f>
        <v>3900</v>
      </c>
      <c r="N1446" s="22" t="n">
        <f aca="false">J1446+M1446</f>
        <v>12900</v>
      </c>
      <c r="O1446" s="22" t="n">
        <f aca="false">IF(DAY(B1446)=1,Assumptions!B38*G1446,0)</f>
        <v>0</v>
      </c>
      <c r="P1446" s="22" t="n">
        <f aca="false">IF(DAY(B1446)=1,Assumptions!B39*G1446,0)</f>
        <v>0</v>
      </c>
      <c r="Q1446" s="22" t="n">
        <f aca="false">IF(DAY(B1446)=1,Assumptions!B40*G1446,0)</f>
        <v>0</v>
      </c>
      <c r="R1446" s="22" t="n">
        <f aca="false">IF(DAY(B1446)=1,Assumptions!B41*G1446,0)</f>
        <v>0</v>
      </c>
      <c r="S1446" s="22" t="n">
        <f aca="false">IF(AND(DAY(B1446)=1,D1446&gt;=13),Assumptions!B42*G1446,0)</f>
        <v>0</v>
      </c>
      <c r="T1446" s="22" t="n">
        <f aca="false">IF(DAY(B1446)=1,Assumptions!B43*G1446,0)</f>
        <v>0</v>
      </c>
      <c r="U1446" s="22" t="n">
        <f aca="false">SUM(O1446:T1446)</f>
        <v>0</v>
      </c>
      <c r="V1446" s="22" t="n">
        <f aca="false">N1446-U1446</f>
        <v>12900</v>
      </c>
      <c r="W1446" s="22" t="n">
        <f aca="false">W1445+V1446</f>
        <v>-608797.129019739</v>
      </c>
      <c r="X1446" s="23" t="str">
        <f aca="false">IF(W1446&gt;=0,"YES","No")</f>
        <v>No</v>
      </c>
    </row>
    <row r="1447" customFormat="false" ht="15" hidden="false" customHeight="false" outlineLevel="0" collapsed="false">
      <c r="A1447" s="16" t="n">
        <v>1446</v>
      </c>
      <c r="B1447" s="17" t="n">
        <f aca="false">B1446+1</f>
        <v>47468</v>
      </c>
      <c r="C1447" s="18" t="n">
        <f aca="false">MIN(ROUNDUP(A1447/365,0),5)</f>
        <v>4</v>
      </c>
      <c r="D1447" s="18" t="n">
        <f aca="false">DATEDIF(Assumptions!B5,B1447,"m")+1</f>
        <v>48</v>
      </c>
      <c r="E1447" s="18" t="str">
        <f aca="false">TEXT(B1447,"ddd")</f>
        <v>Sun</v>
      </c>
      <c r="F1447" s="19" t="n">
        <f aca="false">IF(WEEKDAY(B1447,2)&gt;=6,Assumptions!B34,Assumptions!B35)</f>
        <v>0.6</v>
      </c>
      <c r="G1447" s="20" t="n">
        <f aca="false">IF(D1447&gt;=13,(1+Assumptions!B46)^(D1447-12),1)</f>
        <v>1.11386764435245</v>
      </c>
      <c r="H1447" s="21" t="n">
        <f aca="false">H1446*(1+IF(C1447=1,Assumptions!B22,Assumptions!B23))</f>
        <v>24.8478040341972</v>
      </c>
      <c r="I1447" s="16" t="n">
        <f aca="false">ROUND(H1447*F1447,0)</f>
        <v>15</v>
      </c>
      <c r="J1447" s="22" t="n">
        <f aca="false">I1447*Assumptions!B24</f>
        <v>9000</v>
      </c>
      <c r="K1447" s="21" t="n">
        <f aca="false">K1446*(1+Assumptions!B30)</f>
        <v>21.0742841088941</v>
      </c>
      <c r="L1447" s="16" t="n">
        <f aca="false">ROUND(K1447*F1447,0)</f>
        <v>13</v>
      </c>
      <c r="M1447" s="22" t="n">
        <f aca="false">L1447*Assumptions!B31</f>
        <v>3900</v>
      </c>
      <c r="N1447" s="22" t="n">
        <f aca="false">J1447+M1447</f>
        <v>12900</v>
      </c>
      <c r="O1447" s="22" t="n">
        <f aca="false">IF(DAY(B1447)=1,Assumptions!B38*G1447,0)</f>
        <v>0</v>
      </c>
      <c r="P1447" s="22" t="n">
        <f aca="false">IF(DAY(B1447)=1,Assumptions!B39*G1447,0)</f>
        <v>0</v>
      </c>
      <c r="Q1447" s="22" t="n">
        <f aca="false">IF(DAY(B1447)=1,Assumptions!B40*G1447,0)</f>
        <v>0</v>
      </c>
      <c r="R1447" s="22" t="n">
        <f aca="false">IF(DAY(B1447)=1,Assumptions!B41*G1447,0)</f>
        <v>0</v>
      </c>
      <c r="S1447" s="22" t="n">
        <f aca="false">IF(AND(DAY(B1447)=1,D1447&gt;=13),Assumptions!B42*G1447,0)</f>
        <v>0</v>
      </c>
      <c r="T1447" s="22" t="n">
        <f aca="false">IF(DAY(B1447)=1,Assumptions!B43*G1447,0)</f>
        <v>0</v>
      </c>
      <c r="U1447" s="22" t="n">
        <f aca="false">SUM(O1447:T1447)</f>
        <v>0</v>
      </c>
      <c r="V1447" s="22" t="n">
        <f aca="false">N1447-U1447</f>
        <v>12900</v>
      </c>
      <c r="W1447" s="22" t="n">
        <f aca="false">W1446+V1447</f>
        <v>-595897.129019739</v>
      </c>
      <c r="X1447" s="23" t="str">
        <f aca="false">IF(W1447&gt;=0,"YES","No")</f>
        <v>No</v>
      </c>
    </row>
    <row r="1448" customFormat="false" ht="15" hidden="false" customHeight="false" outlineLevel="0" collapsed="false">
      <c r="A1448" s="16" t="n">
        <v>1447</v>
      </c>
      <c r="B1448" s="17" t="n">
        <f aca="false">B1447+1</f>
        <v>47469</v>
      </c>
      <c r="C1448" s="18" t="n">
        <f aca="false">MIN(ROUNDUP(A1448/365,0),5)</f>
        <v>4</v>
      </c>
      <c r="D1448" s="18" t="n">
        <f aca="false">DATEDIF(Assumptions!B5,B1448,"m")+1</f>
        <v>48</v>
      </c>
      <c r="E1448" s="18" t="str">
        <f aca="false">TEXT(B1448,"ddd")</f>
        <v>Mon</v>
      </c>
      <c r="F1448" s="19" t="n">
        <f aca="false">IF(WEEKDAY(B1448,2)&gt;=6,Assumptions!B34,Assumptions!B35)</f>
        <v>1</v>
      </c>
      <c r="G1448" s="20" t="n">
        <f aca="false">IF(D1448&gt;=13,(1+Assumptions!B46)^(D1448-12),1)</f>
        <v>1.11386764435245</v>
      </c>
      <c r="H1448" s="21" t="n">
        <f aca="false">H1447*(1+IF(C1448=1,Assumptions!B22,Assumptions!B23))</f>
        <v>24.8518756375956</v>
      </c>
      <c r="I1448" s="16" t="n">
        <f aca="false">ROUND(H1448*F1448,0)</f>
        <v>25</v>
      </c>
      <c r="J1448" s="22" t="n">
        <f aca="false">I1448*Assumptions!B24</f>
        <v>15000</v>
      </c>
      <c r="K1448" s="21" t="n">
        <f aca="false">K1447*(1+Assumptions!B30)</f>
        <v>21.0811740686904</v>
      </c>
      <c r="L1448" s="16" t="n">
        <f aca="false">ROUND(K1448*F1448,0)</f>
        <v>21</v>
      </c>
      <c r="M1448" s="22" t="n">
        <f aca="false">L1448*Assumptions!B31</f>
        <v>6300</v>
      </c>
      <c r="N1448" s="22" t="n">
        <f aca="false">J1448+M1448</f>
        <v>21300</v>
      </c>
      <c r="O1448" s="22" t="n">
        <f aca="false">IF(DAY(B1448)=1,Assumptions!B38*G1448,0)</f>
        <v>0</v>
      </c>
      <c r="P1448" s="22" t="n">
        <f aca="false">IF(DAY(B1448)=1,Assumptions!B39*G1448,0)</f>
        <v>0</v>
      </c>
      <c r="Q1448" s="22" t="n">
        <f aca="false">IF(DAY(B1448)=1,Assumptions!B40*G1448,0)</f>
        <v>0</v>
      </c>
      <c r="R1448" s="22" t="n">
        <f aca="false">IF(DAY(B1448)=1,Assumptions!B41*G1448,0)</f>
        <v>0</v>
      </c>
      <c r="S1448" s="22" t="n">
        <f aca="false">IF(AND(DAY(B1448)=1,D1448&gt;=13),Assumptions!B42*G1448,0)</f>
        <v>0</v>
      </c>
      <c r="T1448" s="22" t="n">
        <f aca="false">IF(DAY(B1448)=1,Assumptions!B43*G1448,0)</f>
        <v>0</v>
      </c>
      <c r="U1448" s="22" t="n">
        <f aca="false">SUM(O1448:T1448)</f>
        <v>0</v>
      </c>
      <c r="V1448" s="22" t="n">
        <f aca="false">N1448-U1448</f>
        <v>21300</v>
      </c>
      <c r="W1448" s="22" t="n">
        <f aca="false">W1447+V1448</f>
        <v>-574597.129019739</v>
      </c>
      <c r="X1448" s="23" t="str">
        <f aca="false">IF(W1448&gt;=0,"YES","No")</f>
        <v>No</v>
      </c>
    </row>
    <row r="1449" customFormat="false" ht="15" hidden="false" customHeight="false" outlineLevel="0" collapsed="false">
      <c r="A1449" s="16" t="n">
        <v>1448</v>
      </c>
      <c r="B1449" s="17" t="n">
        <f aca="false">B1448+1</f>
        <v>47470</v>
      </c>
      <c r="C1449" s="18" t="n">
        <f aca="false">MIN(ROUNDUP(A1449/365,0),5)</f>
        <v>4</v>
      </c>
      <c r="D1449" s="18" t="n">
        <f aca="false">DATEDIF(Assumptions!B5,B1449,"m")+1</f>
        <v>48</v>
      </c>
      <c r="E1449" s="18" t="str">
        <f aca="false">TEXT(B1449,"ddd")</f>
        <v>Tue</v>
      </c>
      <c r="F1449" s="19" t="n">
        <f aca="false">IF(WEEKDAY(B1449,2)&gt;=6,Assumptions!B34,Assumptions!B35)</f>
        <v>1</v>
      </c>
      <c r="G1449" s="20" t="n">
        <f aca="false">IF(D1449&gt;=13,(1+Assumptions!B46)^(D1449-12),1)</f>
        <v>1.11386764435245</v>
      </c>
      <c r="H1449" s="21" t="n">
        <f aca="false">H1448*(1+IF(C1449=1,Assumptions!B22,Assumptions!B23))</f>
        <v>24.8559479081739</v>
      </c>
      <c r="I1449" s="16" t="n">
        <f aca="false">ROUND(H1449*F1449,0)</f>
        <v>25</v>
      </c>
      <c r="J1449" s="22" t="n">
        <f aca="false">I1449*Assumptions!B24</f>
        <v>15000</v>
      </c>
      <c r="K1449" s="21" t="n">
        <f aca="false">K1448*(1+Assumptions!B30)</f>
        <v>21.0880662810684</v>
      </c>
      <c r="L1449" s="16" t="n">
        <f aca="false">ROUND(K1449*F1449,0)</f>
        <v>21</v>
      </c>
      <c r="M1449" s="22" t="n">
        <f aca="false">L1449*Assumptions!B31</f>
        <v>6300</v>
      </c>
      <c r="N1449" s="22" t="n">
        <f aca="false">J1449+M1449</f>
        <v>21300</v>
      </c>
      <c r="O1449" s="22" t="n">
        <f aca="false">IF(DAY(B1449)=1,Assumptions!B38*G1449,0)</f>
        <v>0</v>
      </c>
      <c r="P1449" s="22" t="n">
        <f aca="false">IF(DAY(B1449)=1,Assumptions!B39*G1449,0)</f>
        <v>0</v>
      </c>
      <c r="Q1449" s="22" t="n">
        <f aca="false">IF(DAY(B1449)=1,Assumptions!B40*G1449,0)</f>
        <v>0</v>
      </c>
      <c r="R1449" s="22" t="n">
        <f aca="false">IF(DAY(B1449)=1,Assumptions!B41*G1449,0)</f>
        <v>0</v>
      </c>
      <c r="S1449" s="22" t="n">
        <f aca="false">IF(AND(DAY(B1449)=1,D1449&gt;=13),Assumptions!B42*G1449,0)</f>
        <v>0</v>
      </c>
      <c r="T1449" s="22" t="n">
        <f aca="false">IF(DAY(B1449)=1,Assumptions!B43*G1449,0)</f>
        <v>0</v>
      </c>
      <c r="U1449" s="22" t="n">
        <f aca="false">SUM(O1449:T1449)</f>
        <v>0</v>
      </c>
      <c r="V1449" s="22" t="n">
        <f aca="false">N1449-U1449</f>
        <v>21300</v>
      </c>
      <c r="W1449" s="22" t="n">
        <f aca="false">W1448+V1449</f>
        <v>-553297.129019739</v>
      </c>
      <c r="X1449" s="23" t="str">
        <f aca="false">IF(W1449&gt;=0,"YES","No")</f>
        <v>No</v>
      </c>
    </row>
    <row r="1450" customFormat="false" ht="15" hidden="false" customHeight="false" outlineLevel="0" collapsed="false">
      <c r="A1450" s="16" t="n">
        <v>1449</v>
      </c>
      <c r="B1450" s="17" t="n">
        <f aca="false">B1449+1</f>
        <v>47471</v>
      </c>
      <c r="C1450" s="18" t="n">
        <f aca="false">MIN(ROUNDUP(A1450/365,0),5)</f>
        <v>4</v>
      </c>
      <c r="D1450" s="18" t="n">
        <f aca="false">DATEDIF(Assumptions!B5,B1450,"m")+1</f>
        <v>48</v>
      </c>
      <c r="E1450" s="18" t="str">
        <f aca="false">TEXT(B1450,"ddd")</f>
        <v>Wed</v>
      </c>
      <c r="F1450" s="19" t="n">
        <f aca="false">IF(WEEKDAY(B1450,2)&gt;=6,Assumptions!B34,Assumptions!B35)</f>
        <v>1</v>
      </c>
      <c r="G1450" s="20" t="n">
        <f aca="false">IF(D1450&gt;=13,(1+Assumptions!B46)^(D1450-12),1)</f>
        <v>1.11386764435245</v>
      </c>
      <c r="H1450" s="21" t="n">
        <f aca="false">H1449*(1+IF(C1450=1,Assumptions!B22,Assumptions!B23))</f>
        <v>24.8600208460413</v>
      </c>
      <c r="I1450" s="16" t="n">
        <f aca="false">ROUND(H1450*F1450,0)</f>
        <v>25</v>
      </c>
      <c r="J1450" s="22" t="n">
        <f aca="false">I1450*Assumptions!B24</f>
        <v>15000</v>
      </c>
      <c r="K1450" s="21" t="n">
        <f aca="false">K1449*(1+Assumptions!B30)</f>
        <v>21.0949607467644</v>
      </c>
      <c r="L1450" s="16" t="n">
        <f aca="false">ROUND(K1450*F1450,0)</f>
        <v>21</v>
      </c>
      <c r="M1450" s="22" t="n">
        <f aca="false">L1450*Assumptions!B31</f>
        <v>6300</v>
      </c>
      <c r="N1450" s="22" t="n">
        <f aca="false">J1450+M1450</f>
        <v>21300</v>
      </c>
      <c r="O1450" s="22" t="n">
        <f aca="false">IF(DAY(B1450)=1,Assumptions!B38*G1450,0)</f>
        <v>0</v>
      </c>
      <c r="P1450" s="22" t="n">
        <f aca="false">IF(DAY(B1450)=1,Assumptions!B39*G1450,0)</f>
        <v>0</v>
      </c>
      <c r="Q1450" s="22" t="n">
        <f aca="false">IF(DAY(B1450)=1,Assumptions!B40*G1450,0)</f>
        <v>0</v>
      </c>
      <c r="R1450" s="22" t="n">
        <f aca="false">IF(DAY(B1450)=1,Assumptions!B41*G1450,0)</f>
        <v>0</v>
      </c>
      <c r="S1450" s="22" t="n">
        <f aca="false">IF(AND(DAY(B1450)=1,D1450&gt;=13),Assumptions!B42*G1450,0)</f>
        <v>0</v>
      </c>
      <c r="T1450" s="22" t="n">
        <f aca="false">IF(DAY(B1450)=1,Assumptions!B43*G1450,0)</f>
        <v>0</v>
      </c>
      <c r="U1450" s="22" t="n">
        <f aca="false">SUM(O1450:T1450)</f>
        <v>0</v>
      </c>
      <c r="V1450" s="22" t="n">
        <f aca="false">N1450-U1450</f>
        <v>21300</v>
      </c>
      <c r="W1450" s="22" t="n">
        <f aca="false">W1449+V1450</f>
        <v>-531997.129019739</v>
      </c>
      <c r="X1450" s="23" t="str">
        <f aca="false">IF(W1450&gt;=0,"YES","No")</f>
        <v>No</v>
      </c>
    </row>
    <row r="1451" customFormat="false" ht="15" hidden="false" customHeight="false" outlineLevel="0" collapsed="false">
      <c r="A1451" s="16" t="n">
        <v>1450</v>
      </c>
      <c r="B1451" s="17" t="n">
        <f aca="false">B1450+1</f>
        <v>47472</v>
      </c>
      <c r="C1451" s="18" t="n">
        <f aca="false">MIN(ROUNDUP(A1451/365,0),5)</f>
        <v>4</v>
      </c>
      <c r="D1451" s="18" t="n">
        <f aca="false">DATEDIF(Assumptions!B5,B1451,"m")+1</f>
        <v>48</v>
      </c>
      <c r="E1451" s="18" t="str">
        <f aca="false">TEXT(B1451,"ddd")</f>
        <v>Thu</v>
      </c>
      <c r="F1451" s="19" t="n">
        <f aca="false">IF(WEEKDAY(B1451,2)&gt;=6,Assumptions!B34,Assumptions!B35)</f>
        <v>1</v>
      </c>
      <c r="G1451" s="20" t="n">
        <f aca="false">IF(D1451&gt;=13,(1+Assumptions!B46)^(D1451-12),1)</f>
        <v>1.11386764435245</v>
      </c>
      <c r="H1451" s="21" t="n">
        <f aca="false">H1450*(1+IF(C1451=1,Assumptions!B22,Assumptions!B23))</f>
        <v>24.8640944513072</v>
      </c>
      <c r="I1451" s="16" t="n">
        <f aca="false">ROUND(H1451*F1451,0)</f>
        <v>25</v>
      </c>
      <c r="J1451" s="22" t="n">
        <f aca="false">I1451*Assumptions!B24</f>
        <v>15000</v>
      </c>
      <c r="K1451" s="21" t="n">
        <f aca="false">K1450*(1+Assumptions!B30)</f>
        <v>21.1018574665153</v>
      </c>
      <c r="L1451" s="16" t="n">
        <f aca="false">ROUND(K1451*F1451,0)</f>
        <v>21</v>
      </c>
      <c r="M1451" s="22" t="n">
        <f aca="false">L1451*Assumptions!B31</f>
        <v>6300</v>
      </c>
      <c r="N1451" s="22" t="n">
        <f aca="false">J1451+M1451</f>
        <v>21300</v>
      </c>
      <c r="O1451" s="22" t="n">
        <f aca="false">IF(DAY(B1451)=1,Assumptions!B38*G1451,0)</f>
        <v>0</v>
      </c>
      <c r="P1451" s="22" t="n">
        <f aca="false">IF(DAY(B1451)=1,Assumptions!B39*G1451,0)</f>
        <v>0</v>
      </c>
      <c r="Q1451" s="22" t="n">
        <f aca="false">IF(DAY(B1451)=1,Assumptions!B40*G1451,0)</f>
        <v>0</v>
      </c>
      <c r="R1451" s="22" t="n">
        <f aca="false">IF(DAY(B1451)=1,Assumptions!B41*G1451,0)</f>
        <v>0</v>
      </c>
      <c r="S1451" s="22" t="n">
        <f aca="false">IF(AND(DAY(B1451)=1,D1451&gt;=13),Assumptions!B42*G1451,0)</f>
        <v>0</v>
      </c>
      <c r="T1451" s="22" t="n">
        <f aca="false">IF(DAY(B1451)=1,Assumptions!B43*G1451,0)</f>
        <v>0</v>
      </c>
      <c r="U1451" s="22" t="n">
        <f aca="false">SUM(O1451:T1451)</f>
        <v>0</v>
      </c>
      <c r="V1451" s="22" t="n">
        <f aca="false">N1451-U1451</f>
        <v>21300</v>
      </c>
      <c r="W1451" s="22" t="n">
        <f aca="false">W1450+V1451</f>
        <v>-510697.129019739</v>
      </c>
      <c r="X1451" s="23" t="str">
        <f aca="false">IF(W1451&gt;=0,"YES","No")</f>
        <v>No</v>
      </c>
    </row>
    <row r="1452" customFormat="false" ht="15" hidden="false" customHeight="false" outlineLevel="0" collapsed="false">
      <c r="A1452" s="16" t="n">
        <v>1451</v>
      </c>
      <c r="B1452" s="17" t="n">
        <f aca="false">B1451+1</f>
        <v>47473</v>
      </c>
      <c r="C1452" s="18" t="n">
        <f aca="false">MIN(ROUNDUP(A1452/365,0),5)</f>
        <v>4</v>
      </c>
      <c r="D1452" s="18" t="n">
        <f aca="false">DATEDIF(Assumptions!B5,B1452,"m")+1</f>
        <v>48</v>
      </c>
      <c r="E1452" s="18" t="str">
        <f aca="false">TEXT(B1452,"ddd")</f>
        <v>Fri</v>
      </c>
      <c r="F1452" s="19" t="n">
        <f aca="false">IF(WEEKDAY(B1452,2)&gt;=6,Assumptions!B34,Assumptions!B35)</f>
        <v>1</v>
      </c>
      <c r="G1452" s="20" t="n">
        <f aca="false">IF(D1452&gt;=13,(1+Assumptions!B46)^(D1452-12),1)</f>
        <v>1.11386764435245</v>
      </c>
      <c r="H1452" s="21" t="n">
        <f aca="false">H1451*(1+IF(C1452=1,Assumptions!B22,Assumptions!B23))</f>
        <v>24.868168724081</v>
      </c>
      <c r="I1452" s="16" t="n">
        <f aca="false">ROUND(H1452*F1452,0)</f>
        <v>25</v>
      </c>
      <c r="J1452" s="22" t="n">
        <f aca="false">I1452*Assumptions!B24</f>
        <v>15000</v>
      </c>
      <c r="K1452" s="21" t="n">
        <f aca="false">K1451*(1+Assumptions!B30)</f>
        <v>21.108756441058</v>
      </c>
      <c r="L1452" s="16" t="n">
        <f aca="false">ROUND(K1452*F1452,0)</f>
        <v>21</v>
      </c>
      <c r="M1452" s="22" t="n">
        <f aca="false">L1452*Assumptions!B31</f>
        <v>6300</v>
      </c>
      <c r="N1452" s="22" t="n">
        <f aca="false">J1452+M1452</f>
        <v>21300</v>
      </c>
      <c r="O1452" s="22" t="n">
        <f aca="false">IF(DAY(B1452)=1,Assumptions!B38*G1452,0)</f>
        <v>0</v>
      </c>
      <c r="P1452" s="22" t="n">
        <f aca="false">IF(DAY(B1452)=1,Assumptions!B39*G1452,0)</f>
        <v>0</v>
      </c>
      <c r="Q1452" s="22" t="n">
        <f aca="false">IF(DAY(B1452)=1,Assumptions!B40*G1452,0)</f>
        <v>0</v>
      </c>
      <c r="R1452" s="22" t="n">
        <f aca="false">IF(DAY(B1452)=1,Assumptions!B41*G1452,0)</f>
        <v>0</v>
      </c>
      <c r="S1452" s="22" t="n">
        <f aca="false">IF(AND(DAY(B1452)=1,D1452&gt;=13),Assumptions!B42*G1452,0)</f>
        <v>0</v>
      </c>
      <c r="T1452" s="22" t="n">
        <f aca="false">IF(DAY(B1452)=1,Assumptions!B43*G1452,0)</f>
        <v>0</v>
      </c>
      <c r="U1452" s="22" t="n">
        <f aca="false">SUM(O1452:T1452)</f>
        <v>0</v>
      </c>
      <c r="V1452" s="22" t="n">
        <f aca="false">N1452-U1452</f>
        <v>21300</v>
      </c>
      <c r="W1452" s="22" t="n">
        <f aca="false">W1451+V1452</f>
        <v>-489397.129019739</v>
      </c>
      <c r="X1452" s="23" t="str">
        <f aca="false">IF(W1452&gt;=0,"YES","No")</f>
        <v>No</v>
      </c>
    </row>
    <row r="1453" customFormat="false" ht="15" hidden="false" customHeight="false" outlineLevel="0" collapsed="false">
      <c r="A1453" s="16" t="n">
        <v>1452</v>
      </c>
      <c r="B1453" s="17" t="n">
        <f aca="false">B1452+1</f>
        <v>47474</v>
      </c>
      <c r="C1453" s="18" t="n">
        <f aca="false">MIN(ROUNDUP(A1453/365,0),5)</f>
        <v>4</v>
      </c>
      <c r="D1453" s="18" t="n">
        <f aca="false">DATEDIF(Assumptions!B5,B1453,"m")+1</f>
        <v>48</v>
      </c>
      <c r="E1453" s="18" t="str">
        <f aca="false">TEXT(B1453,"ddd")</f>
        <v>Sat</v>
      </c>
      <c r="F1453" s="19" t="n">
        <f aca="false">IF(WEEKDAY(B1453,2)&gt;=6,Assumptions!B34,Assumptions!B35)</f>
        <v>0.6</v>
      </c>
      <c r="G1453" s="20" t="n">
        <f aca="false">IF(D1453&gt;=13,(1+Assumptions!B46)^(D1453-12),1)</f>
        <v>1.11386764435245</v>
      </c>
      <c r="H1453" s="21" t="n">
        <f aca="false">H1452*(1+IF(C1453=1,Assumptions!B22,Assumptions!B23))</f>
        <v>24.8722436644721</v>
      </c>
      <c r="I1453" s="16" t="n">
        <f aca="false">ROUND(H1453*F1453,0)</f>
        <v>15</v>
      </c>
      <c r="J1453" s="22" t="n">
        <f aca="false">I1453*Assumptions!B24</f>
        <v>9000</v>
      </c>
      <c r="K1453" s="21" t="n">
        <f aca="false">K1452*(1+Assumptions!B30)</f>
        <v>21.1156576711295</v>
      </c>
      <c r="L1453" s="16" t="n">
        <f aca="false">ROUND(K1453*F1453,0)</f>
        <v>13</v>
      </c>
      <c r="M1453" s="22" t="n">
        <f aca="false">L1453*Assumptions!B31</f>
        <v>3900</v>
      </c>
      <c r="N1453" s="22" t="n">
        <f aca="false">J1453+M1453</f>
        <v>12900</v>
      </c>
      <c r="O1453" s="22" t="n">
        <f aca="false">IF(DAY(B1453)=1,Assumptions!B38*G1453,0)</f>
        <v>0</v>
      </c>
      <c r="P1453" s="22" t="n">
        <f aca="false">IF(DAY(B1453)=1,Assumptions!B39*G1453,0)</f>
        <v>0</v>
      </c>
      <c r="Q1453" s="22" t="n">
        <f aca="false">IF(DAY(B1453)=1,Assumptions!B40*G1453,0)</f>
        <v>0</v>
      </c>
      <c r="R1453" s="22" t="n">
        <f aca="false">IF(DAY(B1453)=1,Assumptions!B41*G1453,0)</f>
        <v>0</v>
      </c>
      <c r="S1453" s="22" t="n">
        <f aca="false">IF(AND(DAY(B1453)=1,D1453&gt;=13),Assumptions!B42*G1453,0)</f>
        <v>0</v>
      </c>
      <c r="T1453" s="22" t="n">
        <f aca="false">IF(DAY(B1453)=1,Assumptions!B43*G1453,0)</f>
        <v>0</v>
      </c>
      <c r="U1453" s="22" t="n">
        <f aca="false">SUM(O1453:T1453)</f>
        <v>0</v>
      </c>
      <c r="V1453" s="22" t="n">
        <f aca="false">N1453-U1453</f>
        <v>12900</v>
      </c>
      <c r="W1453" s="22" t="n">
        <f aca="false">W1452+V1453</f>
        <v>-476497.129019739</v>
      </c>
      <c r="X1453" s="23" t="str">
        <f aca="false">IF(W1453&gt;=0,"YES","No")</f>
        <v>No</v>
      </c>
    </row>
    <row r="1454" customFormat="false" ht="15" hidden="false" customHeight="false" outlineLevel="0" collapsed="false">
      <c r="A1454" s="16" t="n">
        <v>1453</v>
      </c>
      <c r="B1454" s="17" t="n">
        <f aca="false">B1453+1</f>
        <v>47475</v>
      </c>
      <c r="C1454" s="18" t="n">
        <f aca="false">MIN(ROUNDUP(A1454/365,0),5)</f>
        <v>4</v>
      </c>
      <c r="D1454" s="18" t="n">
        <f aca="false">DATEDIF(Assumptions!B5,B1454,"m")+1</f>
        <v>48</v>
      </c>
      <c r="E1454" s="18" t="str">
        <f aca="false">TEXT(B1454,"ddd")</f>
        <v>Sun</v>
      </c>
      <c r="F1454" s="19" t="n">
        <f aca="false">IF(WEEKDAY(B1454,2)&gt;=6,Assumptions!B34,Assumptions!B35)</f>
        <v>0.6</v>
      </c>
      <c r="G1454" s="20" t="n">
        <f aca="false">IF(D1454&gt;=13,(1+Assumptions!B46)^(D1454-12),1)</f>
        <v>1.11386764435245</v>
      </c>
      <c r="H1454" s="21" t="n">
        <f aca="false">H1453*(1+IF(C1454=1,Assumptions!B22,Assumptions!B23))</f>
        <v>24.8763192725899</v>
      </c>
      <c r="I1454" s="16" t="n">
        <f aca="false">ROUND(H1454*F1454,0)</f>
        <v>15</v>
      </c>
      <c r="J1454" s="22" t="n">
        <f aca="false">I1454*Assumptions!B24</f>
        <v>9000</v>
      </c>
      <c r="K1454" s="21" t="n">
        <f aca="false">K1453*(1+Assumptions!B30)</f>
        <v>21.1225611574674</v>
      </c>
      <c r="L1454" s="16" t="n">
        <f aca="false">ROUND(K1454*F1454,0)</f>
        <v>13</v>
      </c>
      <c r="M1454" s="22" t="n">
        <f aca="false">L1454*Assumptions!B31</f>
        <v>3900</v>
      </c>
      <c r="N1454" s="22" t="n">
        <f aca="false">J1454+M1454</f>
        <v>12900</v>
      </c>
      <c r="O1454" s="22" t="n">
        <f aca="false">IF(DAY(B1454)=1,Assumptions!B38*G1454,0)</f>
        <v>0</v>
      </c>
      <c r="P1454" s="22" t="n">
        <f aca="false">IF(DAY(B1454)=1,Assumptions!B39*G1454,0)</f>
        <v>0</v>
      </c>
      <c r="Q1454" s="22" t="n">
        <f aca="false">IF(DAY(B1454)=1,Assumptions!B40*G1454,0)</f>
        <v>0</v>
      </c>
      <c r="R1454" s="22" t="n">
        <f aca="false">IF(DAY(B1454)=1,Assumptions!B41*G1454,0)</f>
        <v>0</v>
      </c>
      <c r="S1454" s="22" t="n">
        <f aca="false">IF(AND(DAY(B1454)=1,D1454&gt;=13),Assumptions!B42*G1454,0)</f>
        <v>0</v>
      </c>
      <c r="T1454" s="22" t="n">
        <f aca="false">IF(DAY(B1454)=1,Assumptions!B43*G1454,0)</f>
        <v>0</v>
      </c>
      <c r="U1454" s="22" t="n">
        <f aca="false">SUM(O1454:T1454)</f>
        <v>0</v>
      </c>
      <c r="V1454" s="22" t="n">
        <f aca="false">N1454-U1454</f>
        <v>12900</v>
      </c>
      <c r="W1454" s="22" t="n">
        <f aca="false">W1453+V1454</f>
        <v>-463597.129019739</v>
      </c>
      <c r="X1454" s="23" t="str">
        <f aca="false">IF(W1454&gt;=0,"YES","No")</f>
        <v>No</v>
      </c>
    </row>
    <row r="1455" customFormat="false" ht="15" hidden="false" customHeight="false" outlineLevel="0" collapsed="false">
      <c r="A1455" s="16" t="n">
        <v>1454</v>
      </c>
      <c r="B1455" s="17" t="n">
        <f aca="false">B1454+1</f>
        <v>47476</v>
      </c>
      <c r="C1455" s="18" t="n">
        <f aca="false">MIN(ROUNDUP(A1455/365,0),5)</f>
        <v>4</v>
      </c>
      <c r="D1455" s="18" t="n">
        <f aca="false">DATEDIF(Assumptions!B5,B1455,"m")+1</f>
        <v>48</v>
      </c>
      <c r="E1455" s="18" t="str">
        <f aca="false">TEXT(B1455,"ddd")</f>
        <v>Mon</v>
      </c>
      <c r="F1455" s="19" t="n">
        <f aca="false">IF(WEEKDAY(B1455,2)&gt;=6,Assumptions!B34,Assumptions!B35)</f>
        <v>1</v>
      </c>
      <c r="G1455" s="20" t="n">
        <f aca="false">IF(D1455&gt;=13,(1+Assumptions!B46)^(D1455-12),1)</f>
        <v>1.11386764435245</v>
      </c>
      <c r="H1455" s="21" t="n">
        <f aca="false">H1454*(1+IF(C1455=1,Assumptions!B22,Assumptions!B23))</f>
        <v>24.8803955485437</v>
      </c>
      <c r="I1455" s="16" t="n">
        <f aca="false">ROUND(H1455*F1455,0)</f>
        <v>25</v>
      </c>
      <c r="J1455" s="22" t="n">
        <f aca="false">I1455*Assumptions!B24</f>
        <v>15000</v>
      </c>
      <c r="K1455" s="21" t="n">
        <f aca="false">K1454*(1+Assumptions!B30)</f>
        <v>21.1294669008093</v>
      </c>
      <c r="L1455" s="16" t="n">
        <f aca="false">ROUND(K1455*F1455,0)</f>
        <v>21</v>
      </c>
      <c r="M1455" s="22" t="n">
        <f aca="false">L1455*Assumptions!B31</f>
        <v>6300</v>
      </c>
      <c r="N1455" s="22" t="n">
        <f aca="false">J1455+M1455</f>
        <v>21300</v>
      </c>
      <c r="O1455" s="22" t="n">
        <f aca="false">IF(DAY(B1455)=1,Assumptions!B38*G1455,0)</f>
        <v>0</v>
      </c>
      <c r="P1455" s="22" t="n">
        <f aca="false">IF(DAY(B1455)=1,Assumptions!B39*G1455,0)</f>
        <v>0</v>
      </c>
      <c r="Q1455" s="22" t="n">
        <f aca="false">IF(DAY(B1455)=1,Assumptions!B40*G1455,0)</f>
        <v>0</v>
      </c>
      <c r="R1455" s="22" t="n">
        <f aca="false">IF(DAY(B1455)=1,Assumptions!B41*G1455,0)</f>
        <v>0</v>
      </c>
      <c r="S1455" s="22" t="n">
        <f aca="false">IF(AND(DAY(B1455)=1,D1455&gt;=13),Assumptions!B42*G1455,0)</f>
        <v>0</v>
      </c>
      <c r="T1455" s="22" t="n">
        <f aca="false">IF(DAY(B1455)=1,Assumptions!B43*G1455,0)</f>
        <v>0</v>
      </c>
      <c r="U1455" s="22" t="n">
        <f aca="false">SUM(O1455:T1455)</f>
        <v>0</v>
      </c>
      <c r="V1455" s="22" t="n">
        <f aca="false">N1455-U1455</f>
        <v>21300</v>
      </c>
      <c r="W1455" s="22" t="n">
        <f aca="false">W1454+V1455</f>
        <v>-442297.129019739</v>
      </c>
      <c r="X1455" s="23" t="str">
        <f aca="false">IF(W1455&gt;=0,"YES","No")</f>
        <v>No</v>
      </c>
    </row>
    <row r="1456" customFormat="false" ht="15" hidden="false" customHeight="false" outlineLevel="0" collapsed="false">
      <c r="A1456" s="16" t="n">
        <v>1455</v>
      </c>
      <c r="B1456" s="17" t="n">
        <f aca="false">B1455+1</f>
        <v>47477</v>
      </c>
      <c r="C1456" s="18" t="n">
        <f aca="false">MIN(ROUNDUP(A1456/365,0),5)</f>
        <v>4</v>
      </c>
      <c r="D1456" s="18" t="n">
        <f aca="false">DATEDIF(Assumptions!B5,B1456,"m")+1</f>
        <v>48</v>
      </c>
      <c r="E1456" s="18" t="str">
        <f aca="false">TEXT(B1456,"ddd")</f>
        <v>Tue</v>
      </c>
      <c r="F1456" s="19" t="n">
        <f aca="false">IF(WEEKDAY(B1456,2)&gt;=6,Assumptions!B34,Assumptions!B35)</f>
        <v>1</v>
      </c>
      <c r="G1456" s="20" t="n">
        <f aca="false">IF(D1456&gt;=13,(1+Assumptions!B46)^(D1456-12),1)</f>
        <v>1.11386764435245</v>
      </c>
      <c r="H1456" s="21" t="n">
        <f aca="false">H1455*(1+IF(C1456=1,Assumptions!B22,Assumptions!B23))</f>
        <v>24.884472492443</v>
      </c>
      <c r="I1456" s="16" t="n">
        <f aca="false">ROUND(H1456*F1456,0)</f>
        <v>25</v>
      </c>
      <c r="J1456" s="22" t="n">
        <f aca="false">I1456*Assumptions!B24</f>
        <v>15000</v>
      </c>
      <c r="K1456" s="21" t="n">
        <f aca="false">K1455*(1+Assumptions!B30)</f>
        <v>21.136374901893</v>
      </c>
      <c r="L1456" s="16" t="n">
        <f aca="false">ROUND(K1456*F1456,0)</f>
        <v>21</v>
      </c>
      <c r="M1456" s="22" t="n">
        <f aca="false">L1456*Assumptions!B31</f>
        <v>6300</v>
      </c>
      <c r="N1456" s="22" t="n">
        <f aca="false">J1456+M1456</f>
        <v>21300</v>
      </c>
      <c r="O1456" s="22" t="n">
        <f aca="false">IF(DAY(B1456)=1,Assumptions!B38*G1456,0)</f>
        <v>0</v>
      </c>
      <c r="P1456" s="22" t="n">
        <f aca="false">IF(DAY(B1456)=1,Assumptions!B39*G1456,0)</f>
        <v>0</v>
      </c>
      <c r="Q1456" s="22" t="n">
        <f aca="false">IF(DAY(B1456)=1,Assumptions!B40*G1456,0)</f>
        <v>0</v>
      </c>
      <c r="R1456" s="22" t="n">
        <f aca="false">IF(DAY(B1456)=1,Assumptions!B41*G1456,0)</f>
        <v>0</v>
      </c>
      <c r="S1456" s="22" t="n">
        <f aca="false">IF(AND(DAY(B1456)=1,D1456&gt;=13),Assumptions!B42*G1456,0)</f>
        <v>0</v>
      </c>
      <c r="T1456" s="22" t="n">
        <f aca="false">IF(DAY(B1456)=1,Assumptions!B43*G1456,0)</f>
        <v>0</v>
      </c>
      <c r="U1456" s="22" t="n">
        <f aca="false">SUM(O1456:T1456)</f>
        <v>0</v>
      </c>
      <c r="V1456" s="22" t="n">
        <f aca="false">N1456-U1456</f>
        <v>21300</v>
      </c>
      <c r="W1456" s="22" t="n">
        <f aca="false">W1455+V1456</f>
        <v>-420997.129019739</v>
      </c>
      <c r="X1456" s="23" t="str">
        <f aca="false">IF(W1456&gt;=0,"YES","No")</f>
        <v>No</v>
      </c>
    </row>
    <row r="1457" customFormat="false" ht="15" hidden="false" customHeight="false" outlineLevel="0" collapsed="false">
      <c r="A1457" s="16" t="n">
        <v>1456</v>
      </c>
      <c r="B1457" s="17" t="n">
        <f aca="false">B1456+1</f>
        <v>47478</v>
      </c>
      <c r="C1457" s="18" t="n">
        <f aca="false">MIN(ROUNDUP(A1457/365,0),5)</f>
        <v>4</v>
      </c>
      <c r="D1457" s="18" t="n">
        <f aca="false">DATEDIF(Assumptions!B5,B1457,"m")+1</f>
        <v>48</v>
      </c>
      <c r="E1457" s="18" t="str">
        <f aca="false">TEXT(B1457,"ddd")</f>
        <v>Wed</v>
      </c>
      <c r="F1457" s="19" t="n">
        <f aca="false">IF(WEEKDAY(B1457,2)&gt;=6,Assumptions!B34,Assumptions!B35)</f>
        <v>1</v>
      </c>
      <c r="G1457" s="20" t="n">
        <f aca="false">IF(D1457&gt;=13,(1+Assumptions!B46)^(D1457-12),1)</f>
        <v>1.11386764435245</v>
      </c>
      <c r="H1457" s="21" t="n">
        <f aca="false">H1456*(1+IF(C1457=1,Assumptions!B22,Assumptions!B23))</f>
        <v>24.8885501043973</v>
      </c>
      <c r="I1457" s="16" t="n">
        <f aca="false">ROUND(H1457*F1457,0)</f>
        <v>25</v>
      </c>
      <c r="J1457" s="22" t="n">
        <f aca="false">I1457*Assumptions!B24</f>
        <v>15000</v>
      </c>
      <c r="K1457" s="21" t="n">
        <f aca="false">K1456*(1+Assumptions!B30)</f>
        <v>21.1432851614568</v>
      </c>
      <c r="L1457" s="16" t="n">
        <f aca="false">ROUND(K1457*F1457,0)</f>
        <v>21</v>
      </c>
      <c r="M1457" s="22" t="n">
        <f aca="false">L1457*Assumptions!B31</f>
        <v>6300</v>
      </c>
      <c r="N1457" s="22" t="n">
        <f aca="false">J1457+M1457</f>
        <v>21300</v>
      </c>
      <c r="O1457" s="22" t="n">
        <f aca="false">IF(DAY(B1457)=1,Assumptions!B38*G1457,0)</f>
        <v>0</v>
      </c>
      <c r="P1457" s="22" t="n">
        <f aca="false">IF(DAY(B1457)=1,Assumptions!B39*G1457,0)</f>
        <v>0</v>
      </c>
      <c r="Q1457" s="22" t="n">
        <f aca="false">IF(DAY(B1457)=1,Assumptions!B40*G1457,0)</f>
        <v>0</v>
      </c>
      <c r="R1457" s="22" t="n">
        <f aca="false">IF(DAY(B1457)=1,Assumptions!B41*G1457,0)</f>
        <v>0</v>
      </c>
      <c r="S1457" s="22" t="n">
        <f aca="false">IF(AND(DAY(B1457)=1,D1457&gt;=13),Assumptions!B42*G1457,0)</f>
        <v>0</v>
      </c>
      <c r="T1457" s="22" t="n">
        <f aca="false">IF(DAY(B1457)=1,Assumptions!B43*G1457,0)</f>
        <v>0</v>
      </c>
      <c r="U1457" s="22" t="n">
        <f aca="false">SUM(O1457:T1457)</f>
        <v>0</v>
      </c>
      <c r="V1457" s="22" t="n">
        <f aca="false">N1457-U1457</f>
        <v>21300</v>
      </c>
      <c r="W1457" s="22" t="n">
        <f aca="false">W1456+V1457</f>
        <v>-399697.129019739</v>
      </c>
      <c r="X1457" s="23" t="str">
        <f aca="false">IF(W1457&gt;=0,"YES","No")</f>
        <v>No</v>
      </c>
    </row>
    <row r="1458" customFormat="false" ht="15" hidden="false" customHeight="false" outlineLevel="0" collapsed="false">
      <c r="A1458" s="16" t="n">
        <v>1457</v>
      </c>
      <c r="B1458" s="17" t="n">
        <f aca="false">B1457+1</f>
        <v>47479</v>
      </c>
      <c r="C1458" s="18" t="n">
        <f aca="false">MIN(ROUNDUP(A1458/365,0),5)</f>
        <v>4</v>
      </c>
      <c r="D1458" s="18" t="n">
        <f aca="false">DATEDIF(Assumptions!B5,B1458,"m")+1</f>
        <v>48</v>
      </c>
      <c r="E1458" s="18" t="str">
        <f aca="false">TEXT(B1458,"ddd")</f>
        <v>Thu</v>
      </c>
      <c r="F1458" s="19" t="n">
        <f aca="false">IF(WEEKDAY(B1458,2)&gt;=6,Assumptions!B34,Assumptions!B35)</f>
        <v>1</v>
      </c>
      <c r="G1458" s="20" t="n">
        <f aca="false">IF(D1458&gt;=13,(1+Assumptions!B46)^(D1458-12),1)</f>
        <v>1.11386764435245</v>
      </c>
      <c r="H1458" s="21" t="n">
        <f aca="false">H1457*(1+IF(C1458=1,Assumptions!B22,Assumptions!B23))</f>
        <v>24.892628384516</v>
      </c>
      <c r="I1458" s="16" t="n">
        <f aca="false">ROUND(H1458*F1458,0)</f>
        <v>25</v>
      </c>
      <c r="J1458" s="22" t="n">
        <f aca="false">I1458*Assumptions!B24</f>
        <v>15000</v>
      </c>
      <c r="K1458" s="21" t="n">
        <f aca="false">K1457*(1+Assumptions!B30)</f>
        <v>21.150197680239</v>
      </c>
      <c r="L1458" s="16" t="n">
        <f aca="false">ROUND(K1458*F1458,0)</f>
        <v>21</v>
      </c>
      <c r="M1458" s="22" t="n">
        <f aca="false">L1458*Assumptions!B31</f>
        <v>6300</v>
      </c>
      <c r="N1458" s="22" t="n">
        <f aca="false">J1458+M1458</f>
        <v>21300</v>
      </c>
      <c r="O1458" s="22" t="n">
        <f aca="false">IF(DAY(B1458)=1,Assumptions!B38*G1458,0)</f>
        <v>0</v>
      </c>
      <c r="P1458" s="22" t="n">
        <f aca="false">IF(DAY(B1458)=1,Assumptions!B39*G1458,0)</f>
        <v>0</v>
      </c>
      <c r="Q1458" s="22" t="n">
        <f aca="false">IF(DAY(B1458)=1,Assumptions!B40*G1458,0)</f>
        <v>0</v>
      </c>
      <c r="R1458" s="22" t="n">
        <f aca="false">IF(DAY(B1458)=1,Assumptions!B41*G1458,0)</f>
        <v>0</v>
      </c>
      <c r="S1458" s="22" t="n">
        <f aca="false">IF(AND(DAY(B1458)=1,D1458&gt;=13),Assumptions!B42*G1458,0)</f>
        <v>0</v>
      </c>
      <c r="T1458" s="22" t="n">
        <f aca="false">IF(DAY(B1458)=1,Assumptions!B43*G1458,0)</f>
        <v>0</v>
      </c>
      <c r="U1458" s="22" t="n">
        <f aca="false">SUM(O1458:T1458)</f>
        <v>0</v>
      </c>
      <c r="V1458" s="22" t="n">
        <f aca="false">N1458-U1458</f>
        <v>21300</v>
      </c>
      <c r="W1458" s="22" t="n">
        <f aca="false">W1457+V1458</f>
        <v>-378397.129019739</v>
      </c>
      <c r="X1458" s="23" t="str">
        <f aca="false">IF(W1458&gt;=0,"YES","No")</f>
        <v>No</v>
      </c>
    </row>
    <row r="1459" customFormat="false" ht="15" hidden="false" customHeight="false" outlineLevel="0" collapsed="false">
      <c r="A1459" s="16" t="n">
        <v>1458</v>
      </c>
      <c r="B1459" s="17" t="n">
        <f aca="false">B1458+1</f>
        <v>47480</v>
      </c>
      <c r="C1459" s="18" t="n">
        <f aca="false">MIN(ROUNDUP(A1459/365,0),5)</f>
        <v>4</v>
      </c>
      <c r="D1459" s="18" t="n">
        <f aca="false">DATEDIF(Assumptions!B5,B1459,"m")+1</f>
        <v>48</v>
      </c>
      <c r="E1459" s="18" t="str">
        <f aca="false">TEXT(B1459,"ddd")</f>
        <v>Fri</v>
      </c>
      <c r="F1459" s="19" t="n">
        <f aca="false">IF(WEEKDAY(B1459,2)&gt;=6,Assumptions!B34,Assumptions!B35)</f>
        <v>1</v>
      </c>
      <c r="G1459" s="20" t="n">
        <f aca="false">IF(D1459&gt;=13,(1+Assumptions!B46)^(D1459-12),1)</f>
        <v>1.11386764435245</v>
      </c>
      <c r="H1459" s="21" t="n">
        <f aca="false">H1458*(1+IF(C1459=1,Assumptions!B22,Assumptions!B23))</f>
        <v>24.8967073329086</v>
      </c>
      <c r="I1459" s="16" t="n">
        <f aca="false">ROUND(H1459*F1459,0)</f>
        <v>25</v>
      </c>
      <c r="J1459" s="22" t="n">
        <f aca="false">I1459*Assumptions!B24</f>
        <v>15000</v>
      </c>
      <c r="K1459" s="21" t="n">
        <f aca="false">K1458*(1+Assumptions!B30)</f>
        <v>21.1571124589783</v>
      </c>
      <c r="L1459" s="16" t="n">
        <f aca="false">ROUND(K1459*F1459,0)</f>
        <v>21</v>
      </c>
      <c r="M1459" s="22" t="n">
        <f aca="false">L1459*Assumptions!B31</f>
        <v>6300</v>
      </c>
      <c r="N1459" s="22" t="n">
        <f aca="false">J1459+M1459</f>
        <v>21300</v>
      </c>
      <c r="O1459" s="22" t="n">
        <f aca="false">IF(DAY(B1459)=1,Assumptions!B38*G1459,0)</f>
        <v>0</v>
      </c>
      <c r="P1459" s="22" t="n">
        <f aca="false">IF(DAY(B1459)=1,Assumptions!B39*G1459,0)</f>
        <v>0</v>
      </c>
      <c r="Q1459" s="22" t="n">
        <f aca="false">IF(DAY(B1459)=1,Assumptions!B40*G1459,0)</f>
        <v>0</v>
      </c>
      <c r="R1459" s="22" t="n">
        <f aca="false">IF(DAY(B1459)=1,Assumptions!B41*G1459,0)</f>
        <v>0</v>
      </c>
      <c r="S1459" s="22" t="n">
        <f aca="false">IF(AND(DAY(B1459)=1,D1459&gt;=13),Assumptions!B42*G1459,0)</f>
        <v>0</v>
      </c>
      <c r="T1459" s="22" t="n">
        <f aca="false">IF(DAY(B1459)=1,Assumptions!B43*G1459,0)</f>
        <v>0</v>
      </c>
      <c r="U1459" s="22" t="n">
        <f aca="false">SUM(O1459:T1459)</f>
        <v>0</v>
      </c>
      <c r="V1459" s="22" t="n">
        <f aca="false">N1459-U1459</f>
        <v>21300</v>
      </c>
      <c r="W1459" s="22" t="n">
        <f aca="false">W1458+V1459</f>
        <v>-357097.129019739</v>
      </c>
      <c r="X1459" s="23" t="str">
        <f aca="false">IF(W1459&gt;=0,"YES","No")</f>
        <v>No</v>
      </c>
    </row>
    <row r="1460" customFormat="false" ht="15" hidden="false" customHeight="false" outlineLevel="0" collapsed="false">
      <c r="A1460" s="16" t="n">
        <v>1459</v>
      </c>
      <c r="B1460" s="17" t="n">
        <f aca="false">B1459+1</f>
        <v>47481</v>
      </c>
      <c r="C1460" s="18" t="n">
        <f aca="false">MIN(ROUNDUP(A1460/365,0),5)</f>
        <v>4</v>
      </c>
      <c r="D1460" s="18" t="n">
        <f aca="false">DATEDIF(Assumptions!B5,B1460,"m")+1</f>
        <v>48</v>
      </c>
      <c r="E1460" s="18" t="str">
        <f aca="false">TEXT(B1460,"ddd")</f>
        <v>Sat</v>
      </c>
      <c r="F1460" s="19" t="n">
        <f aca="false">IF(WEEKDAY(B1460,2)&gt;=6,Assumptions!B34,Assumptions!B35)</f>
        <v>0.6</v>
      </c>
      <c r="G1460" s="20" t="n">
        <f aca="false">IF(D1460&gt;=13,(1+Assumptions!B46)^(D1460-12),1)</f>
        <v>1.11386764435245</v>
      </c>
      <c r="H1460" s="21" t="n">
        <f aca="false">H1459*(1+IF(C1460=1,Assumptions!B22,Assumptions!B23))</f>
        <v>24.9007869496846</v>
      </c>
      <c r="I1460" s="16" t="n">
        <f aca="false">ROUND(H1460*F1460,0)</f>
        <v>15</v>
      </c>
      <c r="J1460" s="22" t="n">
        <f aca="false">I1460*Assumptions!B24</f>
        <v>9000</v>
      </c>
      <c r="K1460" s="21" t="n">
        <f aca="false">K1459*(1+Assumptions!B30)</f>
        <v>21.1640294984134</v>
      </c>
      <c r="L1460" s="16" t="n">
        <f aca="false">ROUND(K1460*F1460,0)</f>
        <v>13</v>
      </c>
      <c r="M1460" s="22" t="n">
        <f aca="false">L1460*Assumptions!B31</f>
        <v>3900</v>
      </c>
      <c r="N1460" s="22" t="n">
        <f aca="false">J1460+M1460</f>
        <v>12900</v>
      </c>
      <c r="O1460" s="22" t="n">
        <f aca="false">IF(DAY(B1460)=1,Assumptions!B38*G1460,0)</f>
        <v>0</v>
      </c>
      <c r="P1460" s="22" t="n">
        <f aca="false">IF(DAY(B1460)=1,Assumptions!B39*G1460,0)</f>
        <v>0</v>
      </c>
      <c r="Q1460" s="22" t="n">
        <f aca="false">IF(DAY(B1460)=1,Assumptions!B40*G1460,0)</f>
        <v>0</v>
      </c>
      <c r="R1460" s="22" t="n">
        <f aca="false">IF(DAY(B1460)=1,Assumptions!B41*G1460,0)</f>
        <v>0</v>
      </c>
      <c r="S1460" s="22" t="n">
        <f aca="false">IF(AND(DAY(B1460)=1,D1460&gt;=13),Assumptions!B42*G1460,0)</f>
        <v>0</v>
      </c>
      <c r="T1460" s="22" t="n">
        <f aca="false">IF(DAY(B1460)=1,Assumptions!B43*G1460,0)</f>
        <v>0</v>
      </c>
      <c r="U1460" s="22" t="n">
        <f aca="false">SUM(O1460:T1460)</f>
        <v>0</v>
      </c>
      <c r="V1460" s="22" t="n">
        <f aca="false">N1460-U1460</f>
        <v>12900</v>
      </c>
      <c r="W1460" s="22" t="n">
        <f aca="false">W1459+V1460</f>
        <v>-344197.129019739</v>
      </c>
      <c r="X1460" s="23" t="str">
        <f aca="false">IF(W1460&gt;=0,"YES","No")</f>
        <v>No</v>
      </c>
    </row>
    <row r="1461" customFormat="false" ht="15" hidden="false" customHeight="false" outlineLevel="0" collapsed="false">
      <c r="A1461" s="16" t="n">
        <v>1460</v>
      </c>
      <c r="B1461" s="17" t="n">
        <f aca="false">B1460+1</f>
        <v>47482</v>
      </c>
      <c r="C1461" s="18" t="n">
        <f aca="false">MIN(ROUNDUP(A1461/365,0),5)</f>
        <v>4</v>
      </c>
      <c r="D1461" s="18" t="n">
        <f aca="false">DATEDIF(Assumptions!B5,B1461,"m")+1</f>
        <v>48</v>
      </c>
      <c r="E1461" s="18" t="str">
        <f aca="false">TEXT(B1461,"ddd")</f>
        <v>Sun</v>
      </c>
      <c r="F1461" s="19" t="n">
        <f aca="false">IF(WEEKDAY(B1461,2)&gt;=6,Assumptions!B34,Assumptions!B35)</f>
        <v>0.6</v>
      </c>
      <c r="G1461" s="20" t="n">
        <f aca="false">IF(D1461&gt;=13,(1+Assumptions!B46)^(D1461-12),1)</f>
        <v>1.11386764435245</v>
      </c>
      <c r="H1461" s="21" t="n">
        <f aca="false">H1460*(1+IF(C1461=1,Assumptions!B22,Assumptions!B23))</f>
        <v>24.9048672349536</v>
      </c>
      <c r="I1461" s="16" t="n">
        <f aca="false">ROUND(H1461*F1461,0)</f>
        <v>15</v>
      </c>
      <c r="J1461" s="22" t="n">
        <f aca="false">I1461*Assumptions!B24</f>
        <v>9000</v>
      </c>
      <c r="K1461" s="21" t="n">
        <f aca="false">K1460*(1+Assumptions!B30)</f>
        <v>21.1709487992835</v>
      </c>
      <c r="L1461" s="16" t="n">
        <f aca="false">ROUND(K1461*F1461,0)</f>
        <v>13</v>
      </c>
      <c r="M1461" s="22" t="n">
        <f aca="false">L1461*Assumptions!B31</f>
        <v>3900</v>
      </c>
      <c r="N1461" s="22" t="n">
        <f aca="false">J1461+M1461</f>
        <v>12900</v>
      </c>
      <c r="O1461" s="22" t="n">
        <f aca="false">IF(DAY(B1461)=1,Assumptions!B38*G1461,0)</f>
        <v>0</v>
      </c>
      <c r="P1461" s="22" t="n">
        <f aca="false">IF(DAY(B1461)=1,Assumptions!B39*G1461,0)</f>
        <v>0</v>
      </c>
      <c r="Q1461" s="22" t="n">
        <f aca="false">IF(DAY(B1461)=1,Assumptions!B40*G1461,0)</f>
        <v>0</v>
      </c>
      <c r="R1461" s="22" t="n">
        <f aca="false">IF(DAY(B1461)=1,Assumptions!B41*G1461,0)</f>
        <v>0</v>
      </c>
      <c r="S1461" s="22" t="n">
        <f aca="false">IF(AND(DAY(B1461)=1,D1461&gt;=13),Assumptions!B42*G1461,0)</f>
        <v>0</v>
      </c>
      <c r="T1461" s="22" t="n">
        <f aca="false">IF(DAY(B1461)=1,Assumptions!B43*G1461,0)</f>
        <v>0</v>
      </c>
      <c r="U1461" s="22" t="n">
        <f aca="false">SUM(O1461:T1461)</f>
        <v>0</v>
      </c>
      <c r="V1461" s="22" t="n">
        <f aca="false">N1461-U1461</f>
        <v>12900</v>
      </c>
      <c r="W1461" s="22" t="n">
        <f aca="false">W1460+V1461</f>
        <v>-331297.129019739</v>
      </c>
      <c r="X1461" s="23" t="str">
        <f aca="false">IF(W1461&gt;=0,"YES","No")</f>
        <v>No</v>
      </c>
    </row>
    <row r="1462" customFormat="false" ht="15" hidden="false" customHeight="false" outlineLevel="0" collapsed="false">
      <c r="A1462" s="16" t="n">
        <v>1461</v>
      </c>
      <c r="B1462" s="17" t="n">
        <f aca="false">B1461+1</f>
        <v>47483</v>
      </c>
      <c r="C1462" s="18" t="n">
        <f aca="false">MIN(ROUNDUP(A1462/365,0),5)</f>
        <v>5</v>
      </c>
      <c r="D1462" s="18" t="n">
        <f aca="false">DATEDIF(Assumptions!B5,B1462,"m")+1</f>
        <v>48</v>
      </c>
      <c r="E1462" s="18" t="str">
        <f aca="false">TEXT(B1462,"ddd")</f>
        <v>Mon</v>
      </c>
      <c r="F1462" s="19" t="n">
        <f aca="false">IF(WEEKDAY(B1462,2)&gt;=6,Assumptions!B34,Assumptions!B35)</f>
        <v>1</v>
      </c>
      <c r="G1462" s="20" t="n">
        <f aca="false">IF(D1462&gt;=13,(1+Assumptions!B46)^(D1462-12),1)</f>
        <v>1.11386764435245</v>
      </c>
      <c r="H1462" s="21" t="n">
        <f aca="false">H1461*(1+IF(C1462=1,Assumptions!B22,Assumptions!B23))</f>
        <v>24.908948188825</v>
      </c>
      <c r="I1462" s="16" t="n">
        <f aca="false">ROUND(H1462*F1462,0)</f>
        <v>25</v>
      </c>
      <c r="J1462" s="22" t="n">
        <f aca="false">I1462*Assumptions!B24</f>
        <v>15000</v>
      </c>
      <c r="K1462" s="21" t="n">
        <f aca="false">K1461*(1+Assumptions!B30)</f>
        <v>21.177870362328</v>
      </c>
      <c r="L1462" s="16" t="n">
        <f aca="false">ROUND(K1462*F1462,0)</f>
        <v>21</v>
      </c>
      <c r="M1462" s="22" t="n">
        <f aca="false">L1462*Assumptions!B31</f>
        <v>6300</v>
      </c>
      <c r="N1462" s="22" t="n">
        <f aca="false">J1462+M1462</f>
        <v>21300</v>
      </c>
      <c r="O1462" s="22" t="n">
        <f aca="false">IF(DAY(B1462)=1,Assumptions!B38*G1462,0)</f>
        <v>0</v>
      </c>
      <c r="P1462" s="22" t="n">
        <f aca="false">IF(DAY(B1462)=1,Assumptions!B39*G1462,0)</f>
        <v>0</v>
      </c>
      <c r="Q1462" s="22" t="n">
        <f aca="false">IF(DAY(B1462)=1,Assumptions!B40*G1462,0)</f>
        <v>0</v>
      </c>
      <c r="R1462" s="22" t="n">
        <f aca="false">IF(DAY(B1462)=1,Assumptions!B41*G1462,0)</f>
        <v>0</v>
      </c>
      <c r="S1462" s="22" t="n">
        <f aca="false">IF(AND(DAY(B1462)=1,D1462&gt;=13),Assumptions!B42*G1462,0)</f>
        <v>0</v>
      </c>
      <c r="T1462" s="22" t="n">
        <f aca="false">IF(DAY(B1462)=1,Assumptions!B43*G1462,0)</f>
        <v>0</v>
      </c>
      <c r="U1462" s="22" t="n">
        <f aca="false">SUM(O1462:T1462)</f>
        <v>0</v>
      </c>
      <c r="V1462" s="22" t="n">
        <f aca="false">N1462-U1462</f>
        <v>21300</v>
      </c>
      <c r="W1462" s="22" t="n">
        <f aca="false">W1461+V1462</f>
        <v>-309997.129019739</v>
      </c>
      <c r="X1462" s="23" t="str">
        <f aca="false">IF(W1462&gt;=0,"YES","No")</f>
        <v>No</v>
      </c>
    </row>
    <row r="1463" customFormat="false" ht="15" hidden="false" customHeight="false" outlineLevel="0" collapsed="false">
      <c r="A1463" s="16" t="n">
        <v>1462</v>
      </c>
      <c r="B1463" s="17" t="n">
        <f aca="false">B1462+1</f>
        <v>47484</v>
      </c>
      <c r="C1463" s="18" t="n">
        <f aca="false">MIN(ROUNDUP(A1463/365,0),5)</f>
        <v>5</v>
      </c>
      <c r="D1463" s="18" t="n">
        <f aca="false">DATEDIF(Assumptions!B5,B1463,"m")+1</f>
        <v>49</v>
      </c>
      <c r="E1463" s="18" t="str">
        <f aca="false">TEXT(B1463,"ddd")</f>
        <v>Tue</v>
      </c>
      <c r="F1463" s="19" t="n">
        <f aca="false">IF(WEEKDAY(B1463,2)&gt;=6,Assumptions!B34,Assumptions!B35)</f>
        <v>1</v>
      </c>
      <c r="G1463" s="20" t="n">
        <f aca="false">IF(D1463&gt;=13,(1+Assumptions!B46)^(D1463-12),1)</f>
        <v>1.11720924728551</v>
      </c>
      <c r="H1463" s="21" t="n">
        <f aca="false">H1462*(1+IF(C1463=1,Assumptions!B22,Assumptions!B23))</f>
        <v>24.9130298114085</v>
      </c>
      <c r="I1463" s="16" t="n">
        <f aca="false">ROUND(H1463*F1463,0)</f>
        <v>25</v>
      </c>
      <c r="J1463" s="22" t="n">
        <f aca="false">I1463*Assumptions!B24</f>
        <v>15000</v>
      </c>
      <c r="K1463" s="21" t="n">
        <f aca="false">K1462*(1+Assumptions!B30)</f>
        <v>21.1847941882864</v>
      </c>
      <c r="L1463" s="16" t="n">
        <f aca="false">ROUND(K1463*F1463,0)</f>
        <v>21</v>
      </c>
      <c r="M1463" s="22" t="n">
        <f aca="false">L1463*Assumptions!B31</f>
        <v>6300</v>
      </c>
      <c r="N1463" s="22" t="n">
        <f aca="false">J1463+M1463</f>
        <v>21300</v>
      </c>
      <c r="O1463" s="22" t="n">
        <f aca="false">IF(DAY(B1463)=1,Assumptions!B38*G1463,0)</f>
        <v>167581.387092826</v>
      </c>
      <c r="P1463" s="22" t="n">
        <f aca="false">IF(DAY(B1463)=1,Assumptions!B39*G1463,0)</f>
        <v>44688.3698914202</v>
      </c>
      <c r="Q1463" s="22" t="n">
        <f aca="false">IF(DAY(B1463)=1,Assumptions!B40*G1463,0)</f>
        <v>33516.2774185652</v>
      </c>
      <c r="R1463" s="22" t="n">
        <f aca="false">IF(DAY(B1463)=1,Assumptions!B41*G1463,0)</f>
        <v>22344.1849457101</v>
      </c>
      <c r="S1463" s="22" t="n">
        <f aca="false">IF(AND(DAY(B1463)=1,D1463&gt;=13),Assumptions!B42*G1463,0)</f>
        <v>167581.387092826</v>
      </c>
      <c r="T1463" s="22" t="n">
        <f aca="false">IF(DAY(B1463)=1,Assumptions!B43*G1463,0)</f>
        <v>22344.1849457101</v>
      </c>
      <c r="U1463" s="22" t="n">
        <f aca="false">SUM(O1463:T1463)</f>
        <v>458055.791387057</v>
      </c>
      <c r="V1463" s="22" t="n">
        <f aca="false">N1463-U1463</f>
        <v>-436755.791387057</v>
      </c>
      <c r="W1463" s="22" t="n">
        <f aca="false">W1462+V1463</f>
        <v>-746752.920406796</v>
      </c>
      <c r="X1463" s="23" t="str">
        <f aca="false">IF(W1463&gt;=0,"YES","No")</f>
        <v>No</v>
      </c>
    </row>
    <row r="1464" customFormat="false" ht="15" hidden="false" customHeight="false" outlineLevel="0" collapsed="false">
      <c r="A1464" s="16" t="n">
        <v>1463</v>
      </c>
      <c r="B1464" s="17" t="n">
        <f aca="false">B1463+1</f>
        <v>47485</v>
      </c>
      <c r="C1464" s="18" t="n">
        <f aca="false">MIN(ROUNDUP(A1464/365,0),5)</f>
        <v>5</v>
      </c>
      <c r="D1464" s="18" t="n">
        <f aca="false">DATEDIF(Assumptions!B5,B1464,"m")+1</f>
        <v>49</v>
      </c>
      <c r="E1464" s="18" t="str">
        <f aca="false">TEXT(B1464,"ddd")</f>
        <v>Wed</v>
      </c>
      <c r="F1464" s="19" t="n">
        <f aca="false">IF(WEEKDAY(B1464,2)&gt;=6,Assumptions!B34,Assumptions!B35)</f>
        <v>1</v>
      </c>
      <c r="G1464" s="20" t="n">
        <f aca="false">IF(D1464&gt;=13,(1+Assumptions!B46)^(D1464-12),1)</f>
        <v>1.11720924728551</v>
      </c>
      <c r="H1464" s="21" t="n">
        <f aca="false">H1463*(1+IF(C1464=1,Assumptions!B22,Assumptions!B23))</f>
        <v>24.9171121028136</v>
      </c>
      <c r="I1464" s="16" t="n">
        <f aca="false">ROUND(H1464*F1464,0)</f>
        <v>25</v>
      </c>
      <c r="J1464" s="22" t="n">
        <f aca="false">I1464*Assumptions!B24</f>
        <v>15000</v>
      </c>
      <c r="K1464" s="21" t="n">
        <f aca="false">K1463*(1+Assumptions!B30)</f>
        <v>21.1917202778985</v>
      </c>
      <c r="L1464" s="16" t="n">
        <f aca="false">ROUND(K1464*F1464,0)</f>
        <v>21</v>
      </c>
      <c r="M1464" s="22" t="n">
        <f aca="false">L1464*Assumptions!B31</f>
        <v>6300</v>
      </c>
      <c r="N1464" s="22" t="n">
        <f aca="false">J1464+M1464</f>
        <v>21300</v>
      </c>
      <c r="O1464" s="22" t="n">
        <f aca="false">IF(DAY(B1464)=1,Assumptions!B38*G1464,0)</f>
        <v>0</v>
      </c>
      <c r="P1464" s="22" t="n">
        <f aca="false">IF(DAY(B1464)=1,Assumptions!B39*G1464,0)</f>
        <v>0</v>
      </c>
      <c r="Q1464" s="22" t="n">
        <f aca="false">IF(DAY(B1464)=1,Assumptions!B40*G1464,0)</f>
        <v>0</v>
      </c>
      <c r="R1464" s="22" t="n">
        <f aca="false">IF(DAY(B1464)=1,Assumptions!B41*G1464,0)</f>
        <v>0</v>
      </c>
      <c r="S1464" s="22" t="n">
        <f aca="false">IF(AND(DAY(B1464)=1,D1464&gt;=13),Assumptions!B42*G1464,0)</f>
        <v>0</v>
      </c>
      <c r="T1464" s="22" t="n">
        <f aca="false">IF(DAY(B1464)=1,Assumptions!B43*G1464,0)</f>
        <v>0</v>
      </c>
      <c r="U1464" s="22" t="n">
        <f aca="false">SUM(O1464:T1464)</f>
        <v>0</v>
      </c>
      <c r="V1464" s="22" t="n">
        <f aca="false">N1464-U1464</f>
        <v>21300</v>
      </c>
      <c r="W1464" s="22" t="n">
        <f aca="false">W1463+V1464</f>
        <v>-725452.920406796</v>
      </c>
      <c r="X1464" s="23" t="str">
        <f aca="false">IF(W1464&gt;=0,"YES","No")</f>
        <v>No</v>
      </c>
    </row>
    <row r="1465" customFormat="false" ht="15" hidden="false" customHeight="false" outlineLevel="0" collapsed="false">
      <c r="A1465" s="16" t="n">
        <v>1464</v>
      </c>
      <c r="B1465" s="17" t="n">
        <f aca="false">B1464+1</f>
        <v>47486</v>
      </c>
      <c r="C1465" s="18" t="n">
        <f aca="false">MIN(ROUNDUP(A1465/365,0),5)</f>
        <v>5</v>
      </c>
      <c r="D1465" s="18" t="n">
        <f aca="false">DATEDIF(Assumptions!B5,B1465,"m")+1</f>
        <v>49</v>
      </c>
      <c r="E1465" s="18" t="str">
        <f aca="false">TEXT(B1465,"ddd")</f>
        <v>Thu</v>
      </c>
      <c r="F1465" s="19" t="n">
        <f aca="false">IF(WEEKDAY(B1465,2)&gt;=6,Assumptions!B34,Assumptions!B35)</f>
        <v>1</v>
      </c>
      <c r="G1465" s="20" t="n">
        <f aca="false">IF(D1465&gt;=13,(1+Assumptions!B46)^(D1465-12),1)</f>
        <v>1.11720924728551</v>
      </c>
      <c r="H1465" s="21" t="n">
        <f aca="false">H1464*(1+IF(C1465=1,Assumptions!B22,Assumptions!B23))</f>
        <v>24.9211950631499</v>
      </c>
      <c r="I1465" s="16" t="n">
        <f aca="false">ROUND(H1465*F1465,0)</f>
        <v>25</v>
      </c>
      <c r="J1465" s="22" t="n">
        <f aca="false">I1465*Assumptions!B24</f>
        <v>15000</v>
      </c>
      <c r="K1465" s="21" t="n">
        <f aca="false">K1464*(1+Assumptions!B30)</f>
        <v>21.1986486319045</v>
      </c>
      <c r="L1465" s="16" t="n">
        <f aca="false">ROUND(K1465*F1465,0)</f>
        <v>21</v>
      </c>
      <c r="M1465" s="22" t="n">
        <f aca="false">L1465*Assumptions!B31</f>
        <v>6300</v>
      </c>
      <c r="N1465" s="22" t="n">
        <f aca="false">J1465+M1465</f>
        <v>21300</v>
      </c>
      <c r="O1465" s="22" t="n">
        <f aca="false">IF(DAY(B1465)=1,Assumptions!B38*G1465,0)</f>
        <v>0</v>
      </c>
      <c r="P1465" s="22" t="n">
        <f aca="false">IF(DAY(B1465)=1,Assumptions!B39*G1465,0)</f>
        <v>0</v>
      </c>
      <c r="Q1465" s="22" t="n">
        <f aca="false">IF(DAY(B1465)=1,Assumptions!B40*G1465,0)</f>
        <v>0</v>
      </c>
      <c r="R1465" s="22" t="n">
        <f aca="false">IF(DAY(B1465)=1,Assumptions!B41*G1465,0)</f>
        <v>0</v>
      </c>
      <c r="S1465" s="22" t="n">
        <f aca="false">IF(AND(DAY(B1465)=1,D1465&gt;=13),Assumptions!B42*G1465,0)</f>
        <v>0</v>
      </c>
      <c r="T1465" s="22" t="n">
        <f aca="false">IF(DAY(B1465)=1,Assumptions!B43*G1465,0)</f>
        <v>0</v>
      </c>
      <c r="U1465" s="22" t="n">
        <f aca="false">SUM(O1465:T1465)</f>
        <v>0</v>
      </c>
      <c r="V1465" s="22" t="n">
        <f aca="false">N1465-U1465</f>
        <v>21300</v>
      </c>
      <c r="W1465" s="22" t="n">
        <f aca="false">W1464+V1465</f>
        <v>-704152.920406796</v>
      </c>
      <c r="X1465" s="23" t="str">
        <f aca="false">IF(W1465&gt;=0,"YES","No")</f>
        <v>No</v>
      </c>
    </row>
    <row r="1466" customFormat="false" ht="15" hidden="false" customHeight="false" outlineLevel="0" collapsed="false">
      <c r="A1466" s="16" t="n">
        <v>1465</v>
      </c>
      <c r="B1466" s="17" t="n">
        <f aca="false">B1465+1</f>
        <v>47487</v>
      </c>
      <c r="C1466" s="18" t="n">
        <f aca="false">MIN(ROUNDUP(A1466/365,0),5)</f>
        <v>5</v>
      </c>
      <c r="D1466" s="18" t="n">
        <f aca="false">DATEDIF(Assumptions!B5,B1466,"m")+1</f>
        <v>49</v>
      </c>
      <c r="E1466" s="18" t="str">
        <f aca="false">TEXT(B1466,"ddd")</f>
        <v>Fri</v>
      </c>
      <c r="F1466" s="19" t="n">
        <f aca="false">IF(WEEKDAY(B1466,2)&gt;=6,Assumptions!B34,Assumptions!B35)</f>
        <v>1</v>
      </c>
      <c r="G1466" s="20" t="n">
        <f aca="false">IF(D1466&gt;=13,(1+Assumptions!B46)^(D1466-12),1)</f>
        <v>1.11720924728551</v>
      </c>
      <c r="H1466" s="21" t="n">
        <f aca="false">H1465*(1+IF(C1466=1,Assumptions!B22,Assumptions!B23))</f>
        <v>24.925278692527</v>
      </c>
      <c r="I1466" s="16" t="n">
        <f aca="false">ROUND(H1466*F1466,0)</f>
        <v>25</v>
      </c>
      <c r="J1466" s="22" t="n">
        <f aca="false">I1466*Assumptions!B24</f>
        <v>15000</v>
      </c>
      <c r="K1466" s="21" t="n">
        <f aca="false">K1465*(1+Assumptions!B30)</f>
        <v>21.2055792510446</v>
      </c>
      <c r="L1466" s="16" t="n">
        <f aca="false">ROUND(K1466*F1466,0)</f>
        <v>21</v>
      </c>
      <c r="M1466" s="22" t="n">
        <f aca="false">L1466*Assumptions!B31</f>
        <v>6300</v>
      </c>
      <c r="N1466" s="22" t="n">
        <f aca="false">J1466+M1466</f>
        <v>21300</v>
      </c>
      <c r="O1466" s="22" t="n">
        <f aca="false">IF(DAY(B1466)=1,Assumptions!B38*G1466,0)</f>
        <v>0</v>
      </c>
      <c r="P1466" s="22" t="n">
        <f aca="false">IF(DAY(B1466)=1,Assumptions!B39*G1466,0)</f>
        <v>0</v>
      </c>
      <c r="Q1466" s="22" t="n">
        <f aca="false">IF(DAY(B1466)=1,Assumptions!B40*G1466,0)</f>
        <v>0</v>
      </c>
      <c r="R1466" s="22" t="n">
        <f aca="false">IF(DAY(B1466)=1,Assumptions!B41*G1466,0)</f>
        <v>0</v>
      </c>
      <c r="S1466" s="22" t="n">
        <f aca="false">IF(AND(DAY(B1466)=1,D1466&gt;=13),Assumptions!B42*G1466,0)</f>
        <v>0</v>
      </c>
      <c r="T1466" s="22" t="n">
        <f aca="false">IF(DAY(B1466)=1,Assumptions!B43*G1466,0)</f>
        <v>0</v>
      </c>
      <c r="U1466" s="22" t="n">
        <f aca="false">SUM(O1466:T1466)</f>
        <v>0</v>
      </c>
      <c r="V1466" s="22" t="n">
        <f aca="false">N1466-U1466</f>
        <v>21300</v>
      </c>
      <c r="W1466" s="22" t="n">
        <f aca="false">W1465+V1466</f>
        <v>-682852.920406796</v>
      </c>
      <c r="X1466" s="23" t="str">
        <f aca="false">IF(W1466&gt;=0,"YES","No")</f>
        <v>No</v>
      </c>
    </row>
    <row r="1467" customFormat="false" ht="15" hidden="false" customHeight="false" outlineLevel="0" collapsed="false">
      <c r="A1467" s="16" t="n">
        <v>1466</v>
      </c>
      <c r="B1467" s="17" t="n">
        <f aca="false">B1466+1</f>
        <v>47488</v>
      </c>
      <c r="C1467" s="18" t="n">
        <f aca="false">MIN(ROUNDUP(A1467/365,0),5)</f>
        <v>5</v>
      </c>
      <c r="D1467" s="18" t="n">
        <f aca="false">DATEDIF(Assumptions!B5,B1467,"m")+1</f>
        <v>49</v>
      </c>
      <c r="E1467" s="18" t="str">
        <f aca="false">TEXT(B1467,"ddd")</f>
        <v>Sat</v>
      </c>
      <c r="F1467" s="19" t="n">
        <f aca="false">IF(WEEKDAY(B1467,2)&gt;=6,Assumptions!B34,Assumptions!B35)</f>
        <v>0.6</v>
      </c>
      <c r="G1467" s="20" t="n">
        <f aca="false">IF(D1467&gt;=13,(1+Assumptions!B46)^(D1467-12),1)</f>
        <v>1.11720924728551</v>
      </c>
      <c r="H1467" s="21" t="n">
        <f aca="false">H1466*(1+IF(C1467=1,Assumptions!B22,Assumptions!B23))</f>
        <v>24.9293629910546</v>
      </c>
      <c r="I1467" s="16" t="n">
        <f aca="false">ROUND(H1467*F1467,0)</f>
        <v>15</v>
      </c>
      <c r="J1467" s="22" t="n">
        <f aca="false">I1467*Assumptions!B24</f>
        <v>9000</v>
      </c>
      <c r="K1467" s="21" t="n">
        <f aca="false">K1466*(1+Assumptions!B30)</f>
        <v>21.2125121360595</v>
      </c>
      <c r="L1467" s="16" t="n">
        <f aca="false">ROUND(K1467*F1467,0)</f>
        <v>13</v>
      </c>
      <c r="M1467" s="22" t="n">
        <f aca="false">L1467*Assumptions!B31</f>
        <v>3900</v>
      </c>
      <c r="N1467" s="22" t="n">
        <f aca="false">J1467+M1467</f>
        <v>12900</v>
      </c>
      <c r="O1467" s="22" t="n">
        <f aca="false">IF(DAY(B1467)=1,Assumptions!B38*G1467,0)</f>
        <v>0</v>
      </c>
      <c r="P1467" s="22" t="n">
        <f aca="false">IF(DAY(B1467)=1,Assumptions!B39*G1467,0)</f>
        <v>0</v>
      </c>
      <c r="Q1467" s="22" t="n">
        <f aca="false">IF(DAY(B1467)=1,Assumptions!B40*G1467,0)</f>
        <v>0</v>
      </c>
      <c r="R1467" s="22" t="n">
        <f aca="false">IF(DAY(B1467)=1,Assumptions!B41*G1467,0)</f>
        <v>0</v>
      </c>
      <c r="S1467" s="22" t="n">
        <f aca="false">IF(AND(DAY(B1467)=1,D1467&gt;=13),Assumptions!B42*G1467,0)</f>
        <v>0</v>
      </c>
      <c r="T1467" s="22" t="n">
        <f aca="false">IF(DAY(B1467)=1,Assumptions!B43*G1467,0)</f>
        <v>0</v>
      </c>
      <c r="U1467" s="22" t="n">
        <f aca="false">SUM(O1467:T1467)</f>
        <v>0</v>
      </c>
      <c r="V1467" s="22" t="n">
        <f aca="false">N1467-U1467</f>
        <v>12900</v>
      </c>
      <c r="W1467" s="22" t="n">
        <f aca="false">W1466+V1467</f>
        <v>-669952.920406796</v>
      </c>
      <c r="X1467" s="23" t="str">
        <f aca="false">IF(W1467&gt;=0,"YES","No")</f>
        <v>No</v>
      </c>
    </row>
    <row r="1468" customFormat="false" ht="15" hidden="false" customHeight="false" outlineLevel="0" collapsed="false">
      <c r="A1468" s="16" t="n">
        <v>1467</v>
      </c>
      <c r="B1468" s="17" t="n">
        <f aca="false">B1467+1</f>
        <v>47489</v>
      </c>
      <c r="C1468" s="18" t="n">
        <f aca="false">MIN(ROUNDUP(A1468/365,0),5)</f>
        <v>5</v>
      </c>
      <c r="D1468" s="18" t="n">
        <f aca="false">DATEDIF(Assumptions!B5,B1468,"m")+1</f>
        <v>49</v>
      </c>
      <c r="E1468" s="18" t="str">
        <f aca="false">TEXT(B1468,"ddd")</f>
        <v>Sun</v>
      </c>
      <c r="F1468" s="19" t="n">
        <f aca="false">IF(WEEKDAY(B1468,2)&gt;=6,Assumptions!B34,Assumptions!B35)</f>
        <v>0.6</v>
      </c>
      <c r="G1468" s="20" t="n">
        <f aca="false">IF(D1468&gt;=13,(1+Assumptions!B46)^(D1468-12),1)</f>
        <v>1.11720924728551</v>
      </c>
      <c r="H1468" s="21" t="n">
        <f aca="false">H1467*(1+IF(C1468=1,Assumptions!B22,Assumptions!B23))</f>
        <v>24.9334479588422</v>
      </c>
      <c r="I1468" s="16" t="n">
        <f aca="false">ROUND(H1468*F1468,0)</f>
        <v>15</v>
      </c>
      <c r="J1468" s="22" t="n">
        <f aca="false">I1468*Assumptions!B24</f>
        <v>9000</v>
      </c>
      <c r="K1468" s="21" t="n">
        <f aca="false">K1467*(1+Assumptions!B30)</f>
        <v>21.2194472876898</v>
      </c>
      <c r="L1468" s="16" t="n">
        <f aca="false">ROUND(K1468*F1468,0)</f>
        <v>13</v>
      </c>
      <c r="M1468" s="22" t="n">
        <f aca="false">L1468*Assumptions!B31</f>
        <v>3900</v>
      </c>
      <c r="N1468" s="22" t="n">
        <f aca="false">J1468+M1468</f>
        <v>12900</v>
      </c>
      <c r="O1468" s="22" t="n">
        <f aca="false">IF(DAY(B1468)=1,Assumptions!B38*G1468,0)</f>
        <v>0</v>
      </c>
      <c r="P1468" s="22" t="n">
        <f aca="false">IF(DAY(B1468)=1,Assumptions!B39*G1468,0)</f>
        <v>0</v>
      </c>
      <c r="Q1468" s="22" t="n">
        <f aca="false">IF(DAY(B1468)=1,Assumptions!B40*G1468,0)</f>
        <v>0</v>
      </c>
      <c r="R1468" s="22" t="n">
        <f aca="false">IF(DAY(B1468)=1,Assumptions!B41*G1468,0)</f>
        <v>0</v>
      </c>
      <c r="S1468" s="22" t="n">
        <f aca="false">IF(AND(DAY(B1468)=1,D1468&gt;=13),Assumptions!B42*G1468,0)</f>
        <v>0</v>
      </c>
      <c r="T1468" s="22" t="n">
        <f aca="false">IF(DAY(B1468)=1,Assumptions!B43*G1468,0)</f>
        <v>0</v>
      </c>
      <c r="U1468" s="22" t="n">
        <f aca="false">SUM(O1468:T1468)</f>
        <v>0</v>
      </c>
      <c r="V1468" s="22" t="n">
        <f aca="false">N1468-U1468</f>
        <v>12900</v>
      </c>
      <c r="W1468" s="22" t="n">
        <f aca="false">W1467+V1468</f>
        <v>-657052.920406796</v>
      </c>
      <c r="X1468" s="23" t="str">
        <f aca="false">IF(W1468&gt;=0,"YES","No")</f>
        <v>No</v>
      </c>
    </row>
    <row r="1469" customFormat="false" ht="15" hidden="false" customHeight="false" outlineLevel="0" collapsed="false">
      <c r="A1469" s="16" t="n">
        <v>1468</v>
      </c>
      <c r="B1469" s="17" t="n">
        <f aca="false">B1468+1</f>
        <v>47490</v>
      </c>
      <c r="C1469" s="18" t="n">
        <f aca="false">MIN(ROUNDUP(A1469/365,0),5)</f>
        <v>5</v>
      </c>
      <c r="D1469" s="18" t="n">
        <f aca="false">DATEDIF(Assumptions!B5,B1469,"m")+1</f>
        <v>49</v>
      </c>
      <c r="E1469" s="18" t="str">
        <f aca="false">TEXT(B1469,"ddd")</f>
        <v>Mon</v>
      </c>
      <c r="F1469" s="19" t="n">
        <f aca="false">IF(WEEKDAY(B1469,2)&gt;=6,Assumptions!B34,Assumptions!B35)</f>
        <v>1</v>
      </c>
      <c r="G1469" s="20" t="n">
        <f aca="false">IF(D1469&gt;=13,(1+Assumptions!B46)^(D1469-12),1)</f>
        <v>1.11720924728551</v>
      </c>
      <c r="H1469" s="21" t="n">
        <f aca="false">H1468*(1+IF(C1469=1,Assumptions!B22,Assumptions!B23))</f>
        <v>24.9375335959997</v>
      </c>
      <c r="I1469" s="16" t="n">
        <f aca="false">ROUND(H1469*F1469,0)</f>
        <v>25</v>
      </c>
      <c r="J1469" s="22" t="n">
        <f aca="false">I1469*Assumptions!B24</f>
        <v>15000</v>
      </c>
      <c r="K1469" s="21" t="n">
        <f aca="false">K1468*(1+Assumptions!B30)</f>
        <v>21.2263847066767</v>
      </c>
      <c r="L1469" s="16" t="n">
        <f aca="false">ROUND(K1469*F1469,0)</f>
        <v>21</v>
      </c>
      <c r="M1469" s="22" t="n">
        <f aca="false">L1469*Assumptions!B31</f>
        <v>6300</v>
      </c>
      <c r="N1469" s="22" t="n">
        <f aca="false">J1469+M1469</f>
        <v>21300</v>
      </c>
      <c r="O1469" s="22" t="n">
        <f aca="false">IF(DAY(B1469)=1,Assumptions!B38*G1469,0)</f>
        <v>0</v>
      </c>
      <c r="P1469" s="22" t="n">
        <f aca="false">IF(DAY(B1469)=1,Assumptions!B39*G1469,0)</f>
        <v>0</v>
      </c>
      <c r="Q1469" s="22" t="n">
        <f aca="false">IF(DAY(B1469)=1,Assumptions!B40*G1469,0)</f>
        <v>0</v>
      </c>
      <c r="R1469" s="22" t="n">
        <f aca="false">IF(DAY(B1469)=1,Assumptions!B41*G1469,0)</f>
        <v>0</v>
      </c>
      <c r="S1469" s="22" t="n">
        <f aca="false">IF(AND(DAY(B1469)=1,D1469&gt;=13),Assumptions!B42*G1469,0)</f>
        <v>0</v>
      </c>
      <c r="T1469" s="22" t="n">
        <f aca="false">IF(DAY(B1469)=1,Assumptions!B43*G1469,0)</f>
        <v>0</v>
      </c>
      <c r="U1469" s="22" t="n">
        <f aca="false">SUM(O1469:T1469)</f>
        <v>0</v>
      </c>
      <c r="V1469" s="22" t="n">
        <f aca="false">N1469-U1469</f>
        <v>21300</v>
      </c>
      <c r="W1469" s="22" t="n">
        <f aca="false">W1468+V1469</f>
        <v>-635752.920406796</v>
      </c>
      <c r="X1469" s="23" t="str">
        <f aca="false">IF(W1469&gt;=0,"YES","No")</f>
        <v>No</v>
      </c>
    </row>
    <row r="1470" customFormat="false" ht="15" hidden="false" customHeight="false" outlineLevel="0" collapsed="false">
      <c r="A1470" s="16" t="n">
        <v>1469</v>
      </c>
      <c r="B1470" s="17" t="n">
        <f aca="false">B1469+1</f>
        <v>47491</v>
      </c>
      <c r="C1470" s="18" t="n">
        <f aca="false">MIN(ROUNDUP(A1470/365,0),5)</f>
        <v>5</v>
      </c>
      <c r="D1470" s="18" t="n">
        <f aca="false">DATEDIF(Assumptions!B5,B1470,"m")+1</f>
        <v>49</v>
      </c>
      <c r="E1470" s="18" t="str">
        <f aca="false">TEXT(B1470,"ddd")</f>
        <v>Tue</v>
      </c>
      <c r="F1470" s="19" t="n">
        <f aca="false">IF(WEEKDAY(B1470,2)&gt;=6,Assumptions!B34,Assumptions!B35)</f>
        <v>1</v>
      </c>
      <c r="G1470" s="20" t="n">
        <f aca="false">IF(D1470&gt;=13,(1+Assumptions!B46)^(D1470-12),1)</f>
        <v>1.11720924728551</v>
      </c>
      <c r="H1470" s="21" t="n">
        <f aca="false">H1469*(1+IF(C1470=1,Assumptions!B22,Assumptions!B23))</f>
        <v>24.9416199026365</v>
      </c>
      <c r="I1470" s="16" t="n">
        <f aca="false">ROUND(H1470*F1470,0)</f>
        <v>25</v>
      </c>
      <c r="J1470" s="22" t="n">
        <f aca="false">I1470*Assumptions!B24</f>
        <v>15000</v>
      </c>
      <c r="K1470" s="21" t="n">
        <f aca="false">K1469*(1+Assumptions!B30)</f>
        <v>21.2333243937614</v>
      </c>
      <c r="L1470" s="16" t="n">
        <f aca="false">ROUND(K1470*F1470,0)</f>
        <v>21</v>
      </c>
      <c r="M1470" s="22" t="n">
        <f aca="false">L1470*Assumptions!B31</f>
        <v>6300</v>
      </c>
      <c r="N1470" s="22" t="n">
        <f aca="false">J1470+M1470</f>
        <v>21300</v>
      </c>
      <c r="O1470" s="22" t="n">
        <f aca="false">IF(DAY(B1470)=1,Assumptions!B38*G1470,0)</f>
        <v>0</v>
      </c>
      <c r="P1470" s="22" t="n">
        <f aca="false">IF(DAY(B1470)=1,Assumptions!B39*G1470,0)</f>
        <v>0</v>
      </c>
      <c r="Q1470" s="22" t="n">
        <f aca="false">IF(DAY(B1470)=1,Assumptions!B40*G1470,0)</f>
        <v>0</v>
      </c>
      <c r="R1470" s="22" t="n">
        <f aca="false">IF(DAY(B1470)=1,Assumptions!B41*G1470,0)</f>
        <v>0</v>
      </c>
      <c r="S1470" s="22" t="n">
        <f aca="false">IF(AND(DAY(B1470)=1,D1470&gt;=13),Assumptions!B42*G1470,0)</f>
        <v>0</v>
      </c>
      <c r="T1470" s="22" t="n">
        <f aca="false">IF(DAY(B1470)=1,Assumptions!B43*G1470,0)</f>
        <v>0</v>
      </c>
      <c r="U1470" s="22" t="n">
        <f aca="false">SUM(O1470:T1470)</f>
        <v>0</v>
      </c>
      <c r="V1470" s="22" t="n">
        <f aca="false">N1470-U1470</f>
        <v>21300</v>
      </c>
      <c r="W1470" s="22" t="n">
        <f aca="false">W1469+V1470</f>
        <v>-614452.920406796</v>
      </c>
      <c r="X1470" s="23" t="str">
        <f aca="false">IF(W1470&gt;=0,"YES","No")</f>
        <v>No</v>
      </c>
    </row>
    <row r="1471" customFormat="false" ht="15" hidden="false" customHeight="false" outlineLevel="0" collapsed="false">
      <c r="A1471" s="16" t="n">
        <v>1470</v>
      </c>
      <c r="B1471" s="17" t="n">
        <f aca="false">B1470+1</f>
        <v>47492</v>
      </c>
      <c r="C1471" s="18" t="n">
        <f aca="false">MIN(ROUNDUP(A1471/365,0),5)</f>
        <v>5</v>
      </c>
      <c r="D1471" s="18" t="n">
        <f aca="false">DATEDIF(Assumptions!B5,B1471,"m")+1</f>
        <v>49</v>
      </c>
      <c r="E1471" s="18" t="str">
        <f aca="false">TEXT(B1471,"ddd")</f>
        <v>Wed</v>
      </c>
      <c r="F1471" s="19" t="n">
        <f aca="false">IF(WEEKDAY(B1471,2)&gt;=6,Assumptions!B34,Assumptions!B35)</f>
        <v>1</v>
      </c>
      <c r="G1471" s="20" t="n">
        <f aca="false">IF(D1471&gt;=13,(1+Assumptions!B46)^(D1471-12),1)</f>
        <v>1.11720924728551</v>
      </c>
      <c r="H1471" s="21" t="n">
        <f aca="false">H1470*(1+IF(C1471=1,Assumptions!B22,Assumptions!B23))</f>
        <v>24.9457068788626</v>
      </c>
      <c r="I1471" s="16" t="n">
        <f aca="false">ROUND(H1471*F1471,0)</f>
        <v>25</v>
      </c>
      <c r="J1471" s="22" t="n">
        <f aca="false">I1471*Assumptions!B24</f>
        <v>15000</v>
      </c>
      <c r="K1471" s="21" t="n">
        <f aca="false">K1470*(1+Assumptions!B30)</f>
        <v>21.2402663496854</v>
      </c>
      <c r="L1471" s="16" t="n">
        <f aca="false">ROUND(K1471*F1471,0)</f>
        <v>21</v>
      </c>
      <c r="M1471" s="22" t="n">
        <f aca="false">L1471*Assumptions!B31</f>
        <v>6300</v>
      </c>
      <c r="N1471" s="22" t="n">
        <f aca="false">J1471+M1471</f>
        <v>21300</v>
      </c>
      <c r="O1471" s="22" t="n">
        <f aca="false">IF(DAY(B1471)=1,Assumptions!B38*G1471,0)</f>
        <v>0</v>
      </c>
      <c r="P1471" s="22" t="n">
        <f aca="false">IF(DAY(B1471)=1,Assumptions!B39*G1471,0)</f>
        <v>0</v>
      </c>
      <c r="Q1471" s="22" t="n">
        <f aca="false">IF(DAY(B1471)=1,Assumptions!B40*G1471,0)</f>
        <v>0</v>
      </c>
      <c r="R1471" s="22" t="n">
        <f aca="false">IF(DAY(B1471)=1,Assumptions!B41*G1471,0)</f>
        <v>0</v>
      </c>
      <c r="S1471" s="22" t="n">
        <f aca="false">IF(AND(DAY(B1471)=1,D1471&gt;=13),Assumptions!B42*G1471,0)</f>
        <v>0</v>
      </c>
      <c r="T1471" s="22" t="n">
        <f aca="false">IF(DAY(B1471)=1,Assumptions!B43*G1471,0)</f>
        <v>0</v>
      </c>
      <c r="U1471" s="22" t="n">
        <f aca="false">SUM(O1471:T1471)</f>
        <v>0</v>
      </c>
      <c r="V1471" s="22" t="n">
        <f aca="false">N1471-U1471</f>
        <v>21300</v>
      </c>
      <c r="W1471" s="22" t="n">
        <f aca="false">W1470+V1471</f>
        <v>-593152.920406796</v>
      </c>
      <c r="X1471" s="23" t="str">
        <f aca="false">IF(W1471&gt;=0,"YES","No")</f>
        <v>No</v>
      </c>
    </row>
    <row r="1472" customFormat="false" ht="15" hidden="false" customHeight="false" outlineLevel="0" collapsed="false">
      <c r="A1472" s="16" t="n">
        <v>1471</v>
      </c>
      <c r="B1472" s="17" t="n">
        <f aca="false">B1471+1</f>
        <v>47493</v>
      </c>
      <c r="C1472" s="18" t="n">
        <f aca="false">MIN(ROUNDUP(A1472/365,0),5)</f>
        <v>5</v>
      </c>
      <c r="D1472" s="18" t="n">
        <f aca="false">DATEDIF(Assumptions!B5,B1472,"m")+1</f>
        <v>49</v>
      </c>
      <c r="E1472" s="18" t="str">
        <f aca="false">TEXT(B1472,"ddd")</f>
        <v>Thu</v>
      </c>
      <c r="F1472" s="19" t="n">
        <f aca="false">IF(WEEKDAY(B1472,2)&gt;=6,Assumptions!B34,Assumptions!B35)</f>
        <v>1</v>
      </c>
      <c r="G1472" s="20" t="n">
        <f aca="false">IF(D1472&gt;=13,(1+Assumptions!B46)^(D1472-12),1)</f>
        <v>1.11720924728551</v>
      </c>
      <c r="H1472" s="21" t="n">
        <f aca="false">H1471*(1+IF(C1472=1,Assumptions!B22,Assumptions!B23))</f>
        <v>24.9497945247875</v>
      </c>
      <c r="I1472" s="16" t="n">
        <f aca="false">ROUND(H1472*F1472,0)</f>
        <v>25</v>
      </c>
      <c r="J1472" s="22" t="n">
        <f aca="false">I1472*Assumptions!B24</f>
        <v>15000</v>
      </c>
      <c r="K1472" s="21" t="n">
        <f aca="false">K1471*(1+Assumptions!B30)</f>
        <v>21.2472105751906</v>
      </c>
      <c r="L1472" s="16" t="n">
        <f aca="false">ROUND(K1472*F1472,0)</f>
        <v>21</v>
      </c>
      <c r="M1472" s="22" t="n">
        <f aca="false">L1472*Assumptions!B31</f>
        <v>6300</v>
      </c>
      <c r="N1472" s="22" t="n">
        <f aca="false">J1472+M1472</f>
        <v>21300</v>
      </c>
      <c r="O1472" s="22" t="n">
        <f aca="false">IF(DAY(B1472)=1,Assumptions!B38*G1472,0)</f>
        <v>0</v>
      </c>
      <c r="P1472" s="22" t="n">
        <f aca="false">IF(DAY(B1472)=1,Assumptions!B39*G1472,0)</f>
        <v>0</v>
      </c>
      <c r="Q1472" s="22" t="n">
        <f aca="false">IF(DAY(B1472)=1,Assumptions!B40*G1472,0)</f>
        <v>0</v>
      </c>
      <c r="R1472" s="22" t="n">
        <f aca="false">IF(DAY(B1472)=1,Assumptions!B41*G1472,0)</f>
        <v>0</v>
      </c>
      <c r="S1472" s="22" t="n">
        <f aca="false">IF(AND(DAY(B1472)=1,D1472&gt;=13),Assumptions!B42*G1472,0)</f>
        <v>0</v>
      </c>
      <c r="T1472" s="22" t="n">
        <f aca="false">IF(DAY(B1472)=1,Assumptions!B43*G1472,0)</f>
        <v>0</v>
      </c>
      <c r="U1472" s="22" t="n">
        <f aca="false">SUM(O1472:T1472)</f>
        <v>0</v>
      </c>
      <c r="V1472" s="22" t="n">
        <f aca="false">N1472-U1472</f>
        <v>21300</v>
      </c>
      <c r="W1472" s="22" t="n">
        <f aca="false">W1471+V1472</f>
        <v>-571852.920406796</v>
      </c>
      <c r="X1472" s="23" t="str">
        <f aca="false">IF(W1472&gt;=0,"YES","No")</f>
        <v>No</v>
      </c>
    </row>
    <row r="1473" customFormat="false" ht="15" hidden="false" customHeight="false" outlineLevel="0" collapsed="false">
      <c r="A1473" s="16" t="n">
        <v>1472</v>
      </c>
      <c r="B1473" s="17" t="n">
        <f aca="false">B1472+1</f>
        <v>47494</v>
      </c>
      <c r="C1473" s="18" t="n">
        <f aca="false">MIN(ROUNDUP(A1473/365,0),5)</f>
        <v>5</v>
      </c>
      <c r="D1473" s="18" t="n">
        <f aca="false">DATEDIF(Assumptions!B5,B1473,"m")+1</f>
        <v>49</v>
      </c>
      <c r="E1473" s="18" t="str">
        <f aca="false">TEXT(B1473,"ddd")</f>
        <v>Fri</v>
      </c>
      <c r="F1473" s="19" t="n">
        <f aca="false">IF(WEEKDAY(B1473,2)&gt;=6,Assumptions!B34,Assumptions!B35)</f>
        <v>1</v>
      </c>
      <c r="G1473" s="20" t="n">
        <f aca="false">IF(D1473&gt;=13,(1+Assumptions!B46)^(D1473-12),1)</f>
        <v>1.11720924728551</v>
      </c>
      <c r="H1473" s="21" t="n">
        <f aca="false">H1472*(1+IF(C1473=1,Assumptions!B22,Assumptions!B23))</f>
        <v>24.953882840521</v>
      </c>
      <c r="I1473" s="16" t="n">
        <f aca="false">ROUND(H1473*F1473,0)</f>
        <v>25</v>
      </c>
      <c r="J1473" s="22" t="n">
        <f aca="false">I1473*Assumptions!B24</f>
        <v>15000</v>
      </c>
      <c r="K1473" s="21" t="n">
        <f aca="false">K1472*(1+Assumptions!B30)</f>
        <v>21.2541570710189</v>
      </c>
      <c r="L1473" s="16" t="n">
        <f aca="false">ROUND(K1473*F1473,0)</f>
        <v>21</v>
      </c>
      <c r="M1473" s="22" t="n">
        <f aca="false">L1473*Assumptions!B31</f>
        <v>6300</v>
      </c>
      <c r="N1473" s="22" t="n">
        <f aca="false">J1473+M1473</f>
        <v>21300</v>
      </c>
      <c r="O1473" s="22" t="n">
        <f aca="false">IF(DAY(B1473)=1,Assumptions!B38*G1473,0)</f>
        <v>0</v>
      </c>
      <c r="P1473" s="22" t="n">
        <f aca="false">IF(DAY(B1473)=1,Assumptions!B39*G1473,0)</f>
        <v>0</v>
      </c>
      <c r="Q1473" s="22" t="n">
        <f aca="false">IF(DAY(B1473)=1,Assumptions!B40*G1473,0)</f>
        <v>0</v>
      </c>
      <c r="R1473" s="22" t="n">
        <f aca="false">IF(DAY(B1473)=1,Assumptions!B41*G1473,0)</f>
        <v>0</v>
      </c>
      <c r="S1473" s="22" t="n">
        <f aca="false">IF(AND(DAY(B1473)=1,D1473&gt;=13),Assumptions!B42*G1473,0)</f>
        <v>0</v>
      </c>
      <c r="T1473" s="22" t="n">
        <f aca="false">IF(DAY(B1473)=1,Assumptions!B43*G1473,0)</f>
        <v>0</v>
      </c>
      <c r="U1473" s="22" t="n">
        <f aca="false">SUM(O1473:T1473)</f>
        <v>0</v>
      </c>
      <c r="V1473" s="22" t="n">
        <f aca="false">N1473-U1473</f>
        <v>21300</v>
      </c>
      <c r="W1473" s="22" t="n">
        <f aca="false">W1472+V1473</f>
        <v>-550552.920406796</v>
      </c>
      <c r="X1473" s="23" t="str">
        <f aca="false">IF(W1473&gt;=0,"YES","No")</f>
        <v>No</v>
      </c>
    </row>
    <row r="1474" customFormat="false" ht="15" hidden="false" customHeight="false" outlineLevel="0" collapsed="false">
      <c r="A1474" s="16" t="n">
        <v>1473</v>
      </c>
      <c r="B1474" s="17" t="n">
        <f aca="false">B1473+1</f>
        <v>47495</v>
      </c>
      <c r="C1474" s="18" t="n">
        <f aca="false">MIN(ROUNDUP(A1474/365,0),5)</f>
        <v>5</v>
      </c>
      <c r="D1474" s="18" t="n">
        <f aca="false">DATEDIF(Assumptions!B5,B1474,"m")+1</f>
        <v>49</v>
      </c>
      <c r="E1474" s="18" t="str">
        <f aca="false">TEXT(B1474,"ddd")</f>
        <v>Sat</v>
      </c>
      <c r="F1474" s="19" t="n">
        <f aca="false">IF(WEEKDAY(B1474,2)&gt;=6,Assumptions!B34,Assumptions!B35)</f>
        <v>0.6</v>
      </c>
      <c r="G1474" s="20" t="n">
        <f aca="false">IF(D1474&gt;=13,(1+Assumptions!B46)^(D1474-12),1)</f>
        <v>1.11720924728551</v>
      </c>
      <c r="H1474" s="21" t="n">
        <f aca="false">H1473*(1+IF(C1474=1,Assumptions!B22,Assumptions!B23))</f>
        <v>24.9579718261728</v>
      </c>
      <c r="I1474" s="16" t="n">
        <f aca="false">ROUND(H1474*F1474,0)</f>
        <v>15</v>
      </c>
      <c r="J1474" s="22" t="n">
        <f aca="false">I1474*Assumptions!B24</f>
        <v>9000</v>
      </c>
      <c r="K1474" s="21" t="n">
        <f aca="false">K1473*(1+Assumptions!B30)</f>
        <v>21.2611058379125</v>
      </c>
      <c r="L1474" s="16" t="n">
        <f aca="false">ROUND(K1474*F1474,0)</f>
        <v>13</v>
      </c>
      <c r="M1474" s="22" t="n">
        <f aca="false">L1474*Assumptions!B31</f>
        <v>3900</v>
      </c>
      <c r="N1474" s="22" t="n">
        <f aca="false">J1474+M1474</f>
        <v>12900</v>
      </c>
      <c r="O1474" s="22" t="n">
        <f aca="false">IF(DAY(B1474)=1,Assumptions!B38*G1474,0)</f>
        <v>0</v>
      </c>
      <c r="P1474" s="22" t="n">
        <f aca="false">IF(DAY(B1474)=1,Assumptions!B39*G1474,0)</f>
        <v>0</v>
      </c>
      <c r="Q1474" s="22" t="n">
        <f aca="false">IF(DAY(B1474)=1,Assumptions!B40*G1474,0)</f>
        <v>0</v>
      </c>
      <c r="R1474" s="22" t="n">
        <f aca="false">IF(DAY(B1474)=1,Assumptions!B41*G1474,0)</f>
        <v>0</v>
      </c>
      <c r="S1474" s="22" t="n">
        <f aca="false">IF(AND(DAY(B1474)=1,D1474&gt;=13),Assumptions!B42*G1474,0)</f>
        <v>0</v>
      </c>
      <c r="T1474" s="22" t="n">
        <f aca="false">IF(DAY(B1474)=1,Assumptions!B43*G1474,0)</f>
        <v>0</v>
      </c>
      <c r="U1474" s="22" t="n">
        <f aca="false">SUM(O1474:T1474)</f>
        <v>0</v>
      </c>
      <c r="V1474" s="22" t="n">
        <f aca="false">N1474-U1474</f>
        <v>12900</v>
      </c>
      <c r="W1474" s="22" t="n">
        <f aca="false">W1473+V1474</f>
        <v>-537652.920406796</v>
      </c>
      <c r="X1474" s="23" t="str">
        <f aca="false">IF(W1474&gt;=0,"YES","No")</f>
        <v>No</v>
      </c>
    </row>
    <row r="1475" customFormat="false" ht="15" hidden="false" customHeight="false" outlineLevel="0" collapsed="false">
      <c r="A1475" s="16" t="n">
        <v>1474</v>
      </c>
      <c r="B1475" s="17" t="n">
        <f aca="false">B1474+1</f>
        <v>47496</v>
      </c>
      <c r="C1475" s="18" t="n">
        <f aca="false">MIN(ROUNDUP(A1475/365,0),5)</f>
        <v>5</v>
      </c>
      <c r="D1475" s="18" t="n">
        <f aca="false">DATEDIF(Assumptions!B5,B1475,"m")+1</f>
        <v>49</v>
      </c>
      <c r="E1475" s="18" t="str">
        <f aca="false">TEXT(B1475,"ddd")</f>
        <v>Sun</v>
      </c>
      <c r="F1475" s="19" t="n">
        <f aca="false">IF(WEEKDAY(B1475,2)&gt;=6,Assumptions!B34,Assumptions!B35)</f>
        <v>0.6</v>
      </c>
      <c r="G1475" s="20" t="n">
        <f aca="false">IF(D1475&gt;=13,(1+Assumptions!B46)^(D1475-12),1)</f>
        <v>1.11720924728551</v>
      </c>
      <c r="H1475" s="21" t="n">
        <f aca="false">H1474*(1+IF(C1475=1,Assumptions!B22,Assumptions!B23))</f>
        <v>24.9620614818529</v>
      </c>
      <c r="I1475" s="16" t="n">
        <f aca="false">ROUND(H1475*F1475,0)</f>
        <v>15</v>
      </c>
      <c r="J1475" s="22" t="n">
        <f aca="false">I1475*Assumptions!B24</f>
        <v>9000</v>
      </c>
      <c r="K1475" s="21" t="n">
        <f aca="false">K1474*(1+Assumptions!B30)</f>
        <v>21.2680568766141</v>
      </c>
      <c r="L1475" s="16" t="n">
        <f aca="false">ROUND(K1475*F1475,0)</f>
        <v>13</v>
      </c>
      <c r="M1475" s="22" t="n">
        <f aca="false">L1475*Assumptions!B31</f>
        <v>3900</v>
      </c>
      <c r="N1475" s="22" t="n">
        <f aca="false">J1475+M1475</f>
        <v>12900</v>
      </c>
      <c r="O1475" s="22" t="n">
        <f aca="false">IF(DAY(B1475)=1,Assumptions!B38*G1475,0)</f>
        <v>0</v>
      </c>
      <c r="P1475" s="22" t="n">
        <f aca="false">IF(DAY(B1475)=1,Assumptions!B39*G1475,0)</f>
        <v>0</v>
      </c>
      <c r="Q1475" s="22" t="n">
        <f aca="false">IF(DAY(B1475)=1,Assumptions!B40*G1475,0)</f>
        <v>0</v>
      </c>
      <c r="R1475" s="22" t="n">
        <f aca="false">IF(DAY(B1475)=1,Assumptions!B41*G1475,0)</f>
        <v>0</v>
      </c>
      <c r="S1475" s="22" t="n">
        <f aca="false">IF(AND(DAY(B1475)=1,D1475&gt;=13),Assumptions!B42*G1475,0)</f>
        <v>0</v>
      </c>
      <c r="T1475" s="22" t="n">
        <f aca="false">IF(DAY(B1475)=1,Assumptions!B43*G1475,0)</f>
        <v>0</v>
      </c>
      <c r="U1475" s="22" t="n">
        <f aca="false">SUM(O1475:T1475)</f>
        <v>0</v>
      </c>
      <c r="V1475" s="22" t="n">
        <f aca="false">N1475-U1475</f>
        <v>12900</v>
      </c>
      <c r="W1475" s="22" t="n">
        <f aca="false">W1474+V1475</f>
        <v>-524752.920406796</v>
      </c>
      <c r="X1475" s="23" t="str">
        <f aca="false">IF(W1475&gt;=0,"YES","No")</f>
        <v>No</v>
      </c>
    </row>
    <row r="1476" customFormat="false" ht="15" hidden="false" customHeight="false" outlineLevel="0" collapsed="false">
      <c r="A1476" s="16" t="n">
        <v>1475</v>
      </c>
      <c r="B1476" s="17" t="n">
        <f aca="false">B1475+1</f>
        <v>47497</v>
      </c>
      <c r="C1476" s="18" t="n">
        <f aca="false">MIN(ROUNDUP(A1476/365,0),5)</f>
        <v>5</v>
      </c>
      <c r="D1476" s="18" t="n">
        <f aca="false">DATEDIF(Assumptions!B5,B1476,"m")+1</f>
        <v>49</v>
      </c>
      <c r="E1476" s="18" t="str">
        <f aca="false">TEXT(B1476,"ddd")</f>
        <v>Mon</v>
      </c>
      <c r="F1476" s="19" t="n">
        <f aca="false">IF(WEEKDAY(B1476,2)&gt;=6,Assumptions!B34,Assumptions!B35)</f>
        <v>1</v>
      </c>
      <c r="G1476" s="20" t="n">
        <f aca="false">IF(D1476&gt;=13,(1+Assumptions!B46)^(D1476-12),1)</f>
        <v>1.11720924728551</v>
      </c>
      <c r="H1476" s="21" t="n">
        <f aca="false">H1475*(1+IF(C1476=1,Assumptions!B22,Assumptions!B23))</f>
        <v>24.9661518076708</v>
      </c>
      <c r="I1476" s="16" t="n">
        <f aca="false">ROUND(H1476*F1476,0)</f>
        <v>25</v>
      </c>
      <c r="J1476" s="22" t="n">
        <f aca="false">I1476*Assumptions!B24</f>
        <v>15000</v>
      </c>
      <c r="K1476" s="21" t="n">
        <f aca="false">K1475*(1+Assumptions!B30)</f>
        <v>21.2750101878662</v>
      </c>
      <c r="L1476" s="16" t="n">
        <f aca="false">ROUND(K1476*F1476,0)</f>
        <v>21</v>
      </c>
      <c r="M1476" s="22" t="n">
        <f aca="false">L1476*Assumptions!B31</f>
        <v>6300</v>
      </c>
      <c r="N1476" s="22" t="n">
        <f aca="false">J1476+M1476</f>
        <v>21300</v>
      </c>
      <c r="O1476" s="22" t="n">
        <f aca="false">IF(DAY(B1476)=1,Assumptions!B38*G1476,0)</f>
        <v>0</v>
      </c>
      <c r="P1476" s="22" t="n">
        <f aca="false">IF(DAY(B1476)=1,Assumptions!B39*G1476,0)</f>
        <v>0</v>
      </c>
      <c r="Q1476" s="22" t="n">
        <f aca="false">IF(DAY(B1476)=1,Assumptions!B40*G1476,0)</f>
        <v>0</v>
      </c>
      <c r="R1476" s="22" t="n">
        <f aca="false">IF(DAY(B1476)=1,Assumptions!B41*G1476,0)</f>
        <v>0</v>
      </c>
      <c r="S1476" s="22" t="n">
        <f aca="false">IF(AND(DAY(B1476)=1,D1476&gt;=13),Assumptions!B42*G1476,0)</f>
        <v>0</v>
      </c>
      <c r="T1476" s="22" t="n">
        <f aca="false">IF(DAY(B1476)=1,Assumptions!B43*G1476,0)</f>
        <v>0</v>
      </c>
      <c r="U1476" s="22" t="n">
        <f aca="false">SUM(O1476:T1476)</f>
        <v>0</v>
      </c>
      <c r="V1476" s="22" t="n">
        <f aca="false">N1476-U1476</f>
        <v>21300</v>
      </c>
      <c r="W1476" s="22" t="n">
        <f aca="false">W1475+V1476</f>
        <v>-503452.920406796</v>
      </c>
      <c r="X1476" s="23" t="str">
        <f aca="false">IF(W1476&gt;=0,"YES","No")</f>
        <v>No</v>
      </c>
    </row>
    <row r="1477" customFormat="false" ht="15" hidden="false" customHeight="false" outlineLevel="0" collapsed="false">
      <c r="A1477" s="16" t="n">
        <v>1476</v>
      </c>
      <c r="B1477" s="17" t="n">
        <f aca="false">B1476+1</f>
        <v>47498</v>
      </c>
      <c r="C1477" s="18" t="n">
        <f aca="false">MIN(ROUNDUP(A1477/365,0),5)</f>
        <v>5</v>
      </c>
      <c r="D1477" s="18" t="n">
        <f aca="false">DATEDIF(Assumptions!B5,B1477,"m")+1</f>
        <v>49</v>
      </c>
      <c r="E1477" s="18" t="str">
        <f aca="false">TEXT(B1477,"ddd")</f>
        <v>Tue</v>
      </c>
      <c r="F1477" s="19" t="n">
        <f aca="false">IF(WEEKDAY(B1477,2)&gt;=6,Assumptions!B34,Assumptions!B35)</f>
        <v>1</v>
      </c>
      <c r="G1477" s="20" t="n">
        <f aca="false">IF(D1477&gt;=13,(1+Assumptions!B46)^(D1477-12),1)</f>
        <v>1.11720924728551</v>
      </c>
      <c r="H1477" s="21" t="n">
        <f aca="false">H1476*(1+IF(C1477=1,Assumptions!B22,Assumptions!B23))</f>
        <v>24.9702428037365</v>
      </c>
      <c r="I1477" s="16" t="n">
        <f aca="false">ROUND(H1477*F1477,0)</f>
        <v>25</v>
      </c>
      <c r="J1477" s="22" t="n">
        <f aca="false">I1477*Assumptions!B24</f>
        <v>15000</v>
      </c>
      <c r="K1477" s="21" t="n">
        <f aca="false">K1476*(1+Assumptions!B30)</f>
        <v>21.281965772412</v>
      </c>
      <c r="L1477" s="16" t="n">
        <f aca="false">ROUND(K1477*F1477,0)</f>
        <v>21</v>
      </c>
      <c r="M1477" s="22" t="n">
        <f aca="false">L1477*Assumptions!B31</f>
        <v>6300</v>
      </c>
      <c r="N1477" s="22" t="n">
        <f aca="false">J1477+M1477</f>
        <v>21300</v>
      </c>
      <c r="O1477" s="22" t="n">
        <f aca="false">IF(DAY(B1477)=1,Assumptions!B38*G1477,0)</f>
        <v>0</v>
      </c>
      <c r="P1477" s="22" t="n">
        <f aca="false">IF(DAY(B1477)=1,Assumptions!B39*G1477,0)</f>
        <v>0</v>
      </c>
      <c r="Q1477" s="22" t="n">
        <f aca="false">IF(DAY(B1477)=1,Assumptions!B40*G1477,0)</f>
        <v>0</v>
      </c>
      <c r="R1477" s="22" t="n">
        <f aca="false">IF(DAY(B1477)=1,Assumptions!B41*G1477,0)</f>
        <v>0</v>
      </c>
      <c r="S1477" s="22" t="n">
        <f aca="false">IF(AND(DAY(B1477)=1,D1477&gt;=13),Assumptions!B42*G1477,0)</f>
        <v>0</v>
      </c>
      <c r="T1477" s="22" t="n">
        <f aca="false">IF(DAY(B1477)=1,Assumptions!B43*G1477,0)</f>
        <v>0</v>
      </c>
      <c r="U1477" s="22" t="n">
        <f aca="false">SUM(O1477:T1477)</f>
        <v>0</v>
      </c>
      <c r="V1477" s="22" t="n">
        <f aca="false">N1477-U1477</f>
        <v>21300</v>
      </c>
      <c r="W1477" s="22" t="n">
        <f aca="false">W1476+V1477</f>
        <v>-482152.920406796</v>
      </c>
      <c r="X1477" s="23" t="str">
        <f aca="false">IF(W1477&gt;=0,"YES","No")</f>
        <v>No</v>
      </c>
    </row>
    <row r="1478" customFormat="false" ht="15" hidden="false" customHeight="false" outlineLevel="0" collapsed="false">
      <c r="A1478" s="16" t="n">
        <v>1477</v>
      </c>
      <c r="B1478" s="17" t="n">
        <f aca="false">B1477+1</f>
        <v>47499</v>
      </c>
      <c r="C1478" s="18" t="n">
        <f aca="false">MIN(ROUNDUP(A1478/365,0),5)</f>
        <v>5</v>
      </c>
      <c r="D1478" s="18" t="n">
        <f aca="false">DATEDIF(Assumptions!B5,B1478,"m")+1</f>
        <v>49</v>
      </c>
      <c r="E1478" s="18" t="str">
        <f aca="false">TEXT(B1478,"ddd")</f>
        <v>Wed</v>
      </c>
      <c r="F1478" s="19" t="n">
        <f aca="false">IF(WEEKDAY(B1478,2)&gt;=6,Assumptions!B34,Assumptions!B35)</f>
        <v>1</v>
      </c>
      <c r="G1478" s="20" t="n">
        <f aca="false">IF(D1478&gt;=13,(1+Assumptions!B46)^(D1478-12),1)</f>
        <v>1.11720924728551</v>
      </c>
      <c r="H1478" s="21" t="n">
        <f aca="false">H1477*(1+IF(C1478=1,Assumptions!B22,Assumptions!B23))</f>
        <v>24.9743344701597</v>
      </c>
      <c r="I1478" s="16" t="n">
        <f aca="false">ROUND(H1478*F1478,0)</f>
        <v>25</v>
      </c>
      <c r="J1478" s="22" t="n">
        <f aca="false">I1478*Assumptions!B24</f>
        <v>15000</v>
      </c>
      <c r="K1478" s="21" t="n">
        <f aca="false">K1477*(1+Assumptions!B30)</f>
        <v>21.2889236309945</v>
      </c>
      <c r="L1478" s="16" t="n">
        <f aca="false">ROUND(K1478*F1478,0)</f>
        <v>21</v>
      </c>
      <c r="M1478" s="22" t="n">
        <f aca="false">L1478*Assumptions!B31</f>
        <v>6300</v>
      </c>
      <c r="N1478" s="22" t="n">
        <f aca="false">J1478+M1478</f>
        <v>21300</v>
      </c>
      <c r="O1478" s="22" t="n">
        <f aca="false">IF(DAY(B1478)=1,Assumptions!B38*G1478,0)</f>
        <v>0</v>
      </c>
      <c r="P1478" s="22" t="n">
        <f aca="false">IF(DAY(B1478)=1,Assumptions!B39*G1478,0)</f>
        <v>0</v>
      </c>
      <c r="Q1478" s="22" t="n">
        <f aca="false">IF(DAY(B1478)=1,Assumptions!B40*G1478,0)</f>
        <v>0</v>
      </c>
      <c r="R1478" s="22" t="n">
        <f aca="false">IF(DAY(B1478)=1,Assumptions!B41*G1478,0)</f>
        <v>0</v>
      </c>
      <c r="S1478" s="22" t="n">
        <f aca="false">IF(AND(DAY(B1478)=1,D1478&gt;=13),Assumptions!B42*G1478,0)</f>
        <v>0</v>
      </c>
      <c r="T1478" s="22" t="n">
        <f aca="false">IF(DAY(B1478)=1,Assumptions!B43*G1478,0)</f>
        <v>0</v>
      </c>
      <c r="U1478" s="22" t="n">
        <f aca="false">SUM(O1478:T1478)</f>
        <v>0</v>
      </c>
      <c r="V1478" s="22" t="n">
        <f aca="false">N1478-U1478</f>
        <v>21300</v>
      </c>
      <c r="W1478" s="22" t="n">
        <f aca="false">W1477+V1478</f>
        <v>-460852.920406796</v>
      </c>
      <c r="X1478" s="23" t="str">
        <f aca="false">IF(W1478&gt;=0,"YES","No")</f>
        <v>No</v>
      </c>
    </row>
    <row r="1479" customFormat="false" ht="15" hidden="false" customHeight="false" outlineLevel="0" collapsed="false">
      <c r="A1479" s="16" t="n">
        <v>1478</v>
      </c>
      <c r="B1479" s="17" t="n">
        <f aca="false">B1478+1</f>
        <v>47500</v>
      </c>
      <c r="C1479" s="18" t="n">
        <f aca="false">MIN(ROUNDUP(A1479/365,0),5)</f>
        <v>5</v>
      </c>
      <c r="D1479" s="18" t="n">
        <f aca="false">DATEDIF(Assumptions!B5,B1479,"m")+1</f>
        <v>49</v>
      </c>
      <c r="E1479" s="18" t="str">
        <f aca="false">TEXT(B1479,"ddd")</f>
        <v>Thu</v>
      </c>
      <c r="F1479" s="19" t="n">
        <f aca="false">IF(WEEKDAY(B1479,2)&gt;=6,Assumptions!B34,Assumptions!B35)</f>
        <v>1</v>
      </c>
      <c r="G1479" s="20" t="n">
        <f aca="false">IF(D1479&gt;=13,(1+Assumptions!B46)^(D1479-12),1)</f>
        <v>1.11720924728551</v>
      </c>
      <c r="H1479" s="21" t="n">
        <f aca="false">H1478*(1+IF(C1479=1,Assumptions!B22,Assumptions!B23))</f>
        <v>24.9784268070504</v>
      </c>
      <c r="I1479" s="16" t="n">
        <f aca="false">ROUND(H1479*F1479,0)</f>
        <v>25</v>
      </c>
      <c r="J1479" s="22" t="n">
        <f aca="false">I1479*Assumptions!B24</f>
        <v>15000</v>
      </c>
      <c r="K1479" s="21" t="n">
        <f aca="false">K1478*(1+Assumptions!B30)</f>
        <v>21.2958837643573</v>
      </c>
      <c r="L1479" s="16" t="n">
        <f aca="false">ROUND(K1479*F1479,0)</f>
        <v>21</v>
      </c>
      <c r="M1479" s="22" t="n">
        <f aca="false">L1479*Assumptions!B31</f>
        <v>6300</v>
      </c>
      <c r="N1479" s="22" t="n">
        <f aca="false">J1479+M1479</f>
        <v>21300</v>
      </c>
      <c r="O1479" s="22" t="n">
        <f aca="false">IF(DAY(B1479)=1,Assumptions!B38*G1479,0)</f>
        <v>0</v>
      </c>
      <c r="P1479" s="22" t="n">
        <f aca="false">IF(DAY(B1479)=1,Assumptions!B39*G1479,0)</f>
        <v>0</v>
      </c>
      <c r="Q1479" s="22" t="n">
        <f aca="false">IF(DAY(B1479)=1,Assumptions!B40*G1479,0)</f>
        <v>0</v>
      </c>
      <c r="R1479" s="22" t="n">
        <f aca="false">IF(DAY(B1479)=1,Assumptions!B41*G1479,0)</f>
        <v>0</v>
      </c>
      <c r="S1479" s="22" t="n">
        <f aca="false">IF(AND(DAY(B1479)=1,D1479&gt;=13),Assumptions!B42*G1479,0)</f>
        <v>0</v>
      </c>
      <c r="T1479" s="22" t="n">
        <f aca="false">IF(DAY(B1479)=1,Assumptions!B43*G1479,0)</f>
        <v>0</v>
      </c>
      <c r="U1479" s="22" t="n">
        <f aca="false">SUM(O1479:T1479)</f>
        <v>0</v>
      </c>
      <c r="V1479" s="22" t="n">
        <f aca="false">N1479-U1479</f>
        <v>21300</v>
      </c>
      <c r="W1479" s="22" t="n">
        <f aca="false">W1478+V1479</f>
        <v>-439552.920406796</v>
      </c>
      <c r="X1479" s="23" t="str">
        <f aca="false">IF(W1479&gt;=0,"YES","No")</f>
        <v>No</v>
      </c>
    </row>
    <row r="1480" customFormat="false" ht="15" hidden="false" customHeight="false" outlineLevel="0" collapsed="false">
      <c r="A1480" s="16" t="n">
        <v>1479</v>
      </c>
      <c r="B1480" s="17" t="n">
        <f aca="false">B1479+1</f>
        <v>47501</v>
      </c>
      <c r="C1480" s="18" t="n">
        <f aca="false">MIN(ROUNDUP(A1480/365,0),5)</f>
        <v>5</v>
      </c>
      <c r="D1480" s="18" t="n">
        <f aca="false">DATEDIF(Assumptions!B5,B1480,"m")+1</f>
        <v>49</v>
      </c>
      <c r="E1480" s="18" t="str">
        <f aca="false">TEXT(B1480,"ddd")</f>
        <v>Fri</v>
      </c>
      <c r="F1480" s="19" t="n">
        <f aca="false">IF(WEEKDAY(B1480,2)&gt;=6,Assumptions!B34,Assumptions!B35)</f>
        <v>1</v>
      </c>
      <c r="G1480" s="20" t="n">
        <f aca="false">IF(D1480&gt;=13,(1+Assumptions!B46)^(D1480-12),1)</f>
        <v>1.11720924728551</v>
      </c>
      <c r="H1480" s="21" t="n">
        <f aca="false">H1479*(1+IF(C1480=1,Assumptions!B22,Assumptions!B23))</f>
        <v>24.9825198145183</v>
      </c>
      <c r="I1480" s="16" t="n">
        <f aca="false">ROUND(H1480*F1480,0)</f>
        <v>25</v>
      </c>
      <c r="J1480" s="22" t="n">
        <f aca="false">I1480*Assumptions!B24</f>
        <v>15000</v>
      </c>
      <c r="K1480" s="21" t="n">
        <f aca="false">K1479*(1+Assumptions!B30)</f>
        <v>21.3028461732442</v>
      </c>
      <c r="L1480" s="16" t="n">
        <f aca="false">ROUND(K1480*F1480,0)</f>
        <v>21</v>
      </c>
      <c r="M1480" s="22" t="n">
        <f aca="false">L1480*Assumptions!B31</f>
        <v>6300</v>
      </c>
      <c r="N1480" s="22" t="n">
        <f aca="false">J1480+M1480</f>
        <v>21300</v>
      </c>
      <c r="O1480" s="22" t="n">
        <f aca="false">IF(DAY(B1480)=1,Assumptions!B38*G1480,0)</f>
        <v>0</v>
      </c>
      <c r="P1480" s="22" t="n">
        <f aca="false">IF(DAY(B1480)=1,Assumptions!B39*G1480,0)</f>
        <v>0</v>
      </c>
      <c r="Q1480" s="22" t="n">
        <f aca="false">IF(DAY(B1480)=1,Assumptions!B40*G1480,0)</f>
        <v>0</v>
      </c>
      <c r="R1480" s="22" t="n">
        <f aca="false">IF(DAY(B1480)=1,Assumptions!B41*G1480,0)</f>
        <v>0</v>
      </c>
      <c r="S1480" s="22" t="n">
        <f aca="false">IF(AND(DAY(B1480)=1,D1480&gt;=13),Assumptions!B42*G1480,0)</f>
        <v>0</v>
      </c>
      <c r="T1480" s="22" t="n">
        <f aca="false">IF(DAY(B1480)=1,Assumptions!B43*G1480,0)</f>
        <v>0</v>
      </c>
      <c r="U1480" s="22" t="n">
        <f aca="false">SUM(O1480:T1480)</f>
        <v>0</v>
      </c>
      <c r="V1480" s="22" t="n">
        <f aca="false">N1480-U1480</f>
        <v>21300</v>
      </c>
      <c r="W1480" s="22" t="n">
        <f aca="false">W1479+V1480</f>
        <v>-418252.920406796</v>
      </c>
      <c r="X1480" s="23" t="str">
        <f aca="false">IF(W1480&gt;=0,"YES","No")</f>
        <v>No</v>
      </c>
    </row>
    <row r="1481" customFormat="false" ht="15" hidden="false" customHeight="false" outlineLevel="0" collapsed="false">
      <c r="A1481" s="16" t="n">
        <v>1480</v>
      </c>
      <c r="B1481" s="17" t="n">
        <f aca="false">B1480+1</f>
        <v>47502</v>
      </c>
      <c r="C1481" s="18" t="n">
        <f aca="false">MIN(ROUNDUP(A1481/365,0),5)</f>
        <v>5</v>
      </c>
      <c r="D1481" s="18" t="n">
        <f aca="false">DATEDIF(Assumptions!B5,B1481,"m")+1</f>
        <v>49</v>
      </c>
      <c r="E1481" s="18" t="str">
        <f aca="false">TEXT(B1481,"ddd")</f>
        <v>Sat</v>
      </c>
      <c r="F1481" s="19" t="n">
        <f aca="false">IF(WEEKDAY(B1481,2)&gt;=6,Assumptions!B34,Assumptions!B35)</f>
        <v>0.6</v>
      </c>
      <c r="G1481" s="20" t="n">
        <f aca="false">IF(D1481&gt;=13,(1+Assumptions!B46)^(D1481-12),1)</f>
        <v>1.11720924728551</v>
      </c>
      <c r="H1481" s="21" t="n">
        <f aca="false">H1480*(1+IF(C1481=1,Assumptions!B22,Assumptions!B23))</f>
        <v>24.9866134926734</v>
      </c>
      <c r="I1481" s="16" t="n">
        <f aca="false">ROUND(H1481*F1481,0)</f>
        <v>15</v>
      </c>
      <c r="J1481" s="22" t="n">
        <f aca="false">I1481*Assumptions!B24</f>
        <v>9000</v>
      </c>
      <c r="K1481" s="21" t="n">
        <f aca="false">K1480*(1+Assumptions!B30)</f>
        <v>21.3098108583989</v>
      </c>
      <c r="L1481" s="16" t="n">
        <f aca="false">ROUND(K1481*F1481,0)</f>
        <v>13</v>
      </c>
      <c r="M1481" s="22" t="n">
        <f aca="false">L1481*Assumptions!B31</f>
        <v>3900</v>
      </c>
      <c r="N1481" s="22" t="n">
        <f aca="false">J1481+M1481</f>
        <v>12900</v>
      </c>
      <c r="O1481" s="22" t="n">
        <f aca="false">IF(DAY(B1481)=1,Assumptions!B38*G1481,0)</f>
        <v>0</v>
      </c>
      <c r="P1481" s="22" t="n">
        <f aca="false">IF(DAY(B1481)=1,Assumptions!B39*G1481,0)</f>
        <v>0</v>
      </c>
      <c r="Q1481" s="22" t="n">
        <f aca="false">IF(DAY(B1481)=1,Assumptions!B40*G1481,0)</f>
        <v>0</v>
      </c>
      <c r="R1481" s="22" t="n">
        <f aca="false">IF(DAY(B1481)=1,Assumptions!B41*G1481,0)</f>
        <v>0</v>
      </c>
      <c r="S1481" s="22" t="n">
        <f aca="false">IF(AND(DAY(B1481)=1,D1481&gt;=13),Assumptions!B42*G1481,0)</f>
        <v>0</v>
      </c>
      <c r="T1481" s="22" t="n">
        <f aca="false">IF(DAY(B1481)=1,Assumptions!B43*G1481,0)</f>
        <v>0</v>
      </c>
      <c r="U1481" s="22" t="n">
        <f aca="false">SUM(O1481:T1481)</f>
        <v>0</v>
      </c>
      <c r="V1481" s="22" t="n">
        <f aca="false">N1481-U1481</f>
        <v>12900</v>
      </c>
      <c r="W1481" s="22" t="n">
        <f aca="false">W1480+V1481</f>
        <v>-405352.920406796</v>
      </c>
      <c r="X1481" s="23" t="str">
        <f aca="false">IF(W1481&gt;=0,"YES","No")</f>
        <v>No</v>
      </c>
    </row>
    <row r="1482" customFormat="false" ht="15" hidden="false" customHeight="false" outlineLevel="0" collapsed="false">
      <c r="A1482" s="16" t="n">
        <v>1481</v>
      </c>
      <c r="B1482" s="17" t="n">
        <f aca="false">B1481+1</f>
        <v>47503</v>
      </c>
      <c r="C1482" s="18" t="n">
        <f aca="false">MIN(ROUNDUP(A1482/365,0),5)</f>
        <v>5</v>
      </c>
      <c r="D1482" s="18" t="n">
        <f aca="false">DATEDIF(Assumptions!B5,B1482,"m")+1</f>
        <v>49</v>
      </c>
      <c r="E1482" s="18" t="str">
        <f aca="false">TEXT(B1482,"ddd")</f>
        <v>Sun</v>
      </c>
      <c r="F1482" s="19" t="n">
        <f aca="false">IF(WEEKDAY(B1482,2)&gt;=6,Assumptions!B34,Assumptions!B35)</f>
        <v>0.6</v>
      </c>
      <c r="G1482" s="20" t="n">
        <f aca="false">IF(D1482&gt;=13,(1+Assumptions!B46)^(D1482-12),1)</f>
        <v>1.11720924728551</v>
      </c>
      <c r="H1482" s="21" t="n">
        <f aca="false">H1481*(1+IF(C1482=1,Assumptions!B22,Assumptions!B23))</f>
        <v>24.9907078416256</v>
      </c>
      <c r="I1482" s="16" t="n">
        <f aca="false">ROUND(H1482*F1482,0)</f>
        <v>15</v>
      </c>
      <c r="J1482" s="22" t="n">
        <f aca="false">I1482*Assumptions!B24</f>
        <v>9000</v>
      </c>
      <c r="K1482" s="21" t="n">
        <f aca="false">K1481*(1+Assumptions!B30)</f>
        <v>21.3167778205658</v>
      </c>
      <c r="L1482" s="16" t="n">
        <f aca="false">ROUND(K1482*F1482,0)</f>
        <v>13</v>
      </c>
      <c r="M1482" s="22" t="n">
        <f aca="false">L1482*Assumptions!B31</f>
        <v>3900</v>
      </c>
      <c r="N1482" s="22" t="n">
        <f aca="false">J1482+M1482</f>
        <v>12900</v>
      </c>
      <c r="O1482" s="22" t="n">
        <f aca="false">IF(DAY(B1482)=1,Assumptions!B38*G1482,0)</f>
        <v>0</v>
      </c>
      <c r="P1482" s="22" t="n">
        <f aca="false">IF(DAY(B1482)=1,Assumptions!B39*G1482,0)</f>
        <v>0</v>
      </c>
      <c r="Q1482" s="22" t="n">
        <f aca="false">IF(DAY(B1482)=1,Assumptions!B40*G1482,0)</f>
        <v>0</v>
      </c>
      <c r="R1482" s="22" t="n">
        <f aca="false">IF(DAY(B1482)=1,Assumptions!B41*G1482,0)</f>
        <v>0</v>
      </c>
      <c r="S1482" s="22" t="n">
        <f aca="false">IF(AND(DAY(B1482)=1,D1482&gt;=13),Assumptions!B42*G1482,0)</f>
        <v>0</v>
      </c>
      <c r="T1482" s="22" t="n">
        <f aca="false">IF(DAY(B1482)=1,Assumptions!B43*G1482,0)</f>
        <v>0</v>
      </c>
      <c r="U1482" s="22" t="n">
        <f aca="false">SUM(O1482:T1482)</f>
        <v>0</v>
      </c>
      <c r="V1482" s="22" t="n">
        <f aca="false">N1482-U1482</f>
        <v>12900</v>
      </c>
      <c r="W1482" s="22" t="n">
        <f aca="false">W1481+V1482</f>
        <v>-392452.920406796</v>
      </c>
      <c r="X1482" s="23" t="str">
        <f aca="false">IF(W1482&gt;=0,"YES","No")</f>
        <v>No</v>
      </c>
    </row>
    <row r="1483" customFormat="false" ht="15" hidden="false" customHeight="false" outlineLevel="0" collapsed="false">
      <c r="A1483" s="16" t="n">
        <v>1482</v>
      </c>
      <c r="B1483" s="17" t="n">
        <f aca="false">B1482+1</f>
        <v>47504</v>
      </c>
      <c r="C1483" s="18" t="n">
        <f aca="false">MIN(ROUNDUP(A1483/365,0),5)</f>
        <v>5</v>
      </c>
      <c r="D1483" s="18" t="n">
        <f aca="false">DATEDIF(Assumptions!B5,B1483,"m")+1</f>
        <v>49</v>
      </c>
      <c r="E1483" s="18" t="str">
        <f aca="false">TEXT(B1483,"ddd")</f>
        <v>Mon</v>
      </c>
      <c r="F1483" s="19" t="n">
        <f aca="false">IF(WEEKDAY(B1483,2)&gt;=6,Assumptions!B34,Assumptions!B35)</f>
        <v>1</v>
      </c>
      <c r="G1483" s="20" t="n">
        <f aca="false">IF(D1483&gt;=13,(1+Assumptions!B46)^(D1483-12),1)</f>
        <v>1.11720924728551</v>
      </c>
      <c r="H1483" s="21" t="n">
        <f aca="false">H1482*(1+IF(C1483=1,Assumptions!B22,Assumptions!B23))</f>
        <v>24.9948028614847</v>
      </c>
      <c r="I1483" s="16" t="n">
        <f aca="false">ROUND(H1483*F1483,0)</f>
        <v>25</v>
      </c>
      <c r="J1483" s="22" t="n">
        <f aca="false">I1483*Assumptions!B24</f>
        <v>15000</v>
      </c>
      <c r="K1483" s="21" t="n">
        <f aca="false">K1482*(1+Assumptions!B30)</f>
        <v>21.3237470604893</v>
      </c>
      <c r="L1483" s="16" t="n">
        <f aca="false">ROUND(K1483*F1483,0)</f>
        <v>21</v>
      </c>
      <c r="M1483" s="22" t="n">
        <f aca="false">L1483*Assumptions!B31</f>
        <v>6300</v>
      </c>
      <c r="N1483" s="22" t="n">
        <f aca="false">J1483+M1483</f>
        <v>21300</v>
      </c>
      <c r="O1483" s="22" t="n">
        <f aca="false">IF(DAY(B1483)=1,Assumptions!B38*G1483,0)</f>
        <v>0</v>
      </c>
      <c r="P1483" s="22" t="n">
        <f aca="false">IF(DAY(B1483)=1,Assumptions!B39*G1483,0)</f>
        <v>0</v>
      </c>
      <c r="Q1483" s="22" t="n">
        <f aca="false">IF(DAY(B1483)=1,Assumptions!B40*G1483,0)</f>
        <v>0</v>
      </c>
      <c r="R1483" s="22" t="n">
        <f aca="false">IF(DAY(B1483)=1,Assumptions!B41*G1483,0)</f>
        <v>0</v>
      </c>
      <c r="S1483" s="22" t="n">
        <f aca="false">IF(AND(DAY(B1483)=1,D1483&gt;=13),Assumptions!B42*G1483,0)</f>
        <v>0</v>
      </c>
      <c r="T1483" s="22" t="n">
        <f aca="false">IF(DAY(B1483)=1,Assumptions!B43*G1483,0)</f>
        <v>0</v>
      </c>
      <c r="U1483" s="22" t="n">
        <f aca="false">SUM(O1483:T1483)</f>
        <v>0</v>
      </c>
      <c r="V1483" s="22" t="n">
        <f aca="false">N1483-U1483</f>
        <v>21300</v>
      </c>
      <c r="W1483" s="22" t="n">
        <f aca="false">W1482+V1483</f>
        <v>-371152.920406796</v>
      </c>
      <c r="X1483" s="23" t="str">
        <f aca="false">IF(W1483&gt;=0,"YES","No")</f>
        <v>No</v>
      </c>
    </row>
    <row r="1484" customFormat="false" ht="15" hidden="false" customHeight="false" outlineLevel="0" collapsed="false">
      <c r="A1484" s="16" t="n">
        <v>1483</v>
      </c>
      <c r="B1484" s="17" t="n">
        <f aca="false">B1483+1</f>
        <v>47505</v>
      </c>
      <c r="C1484" s="18" t="n">
        <f aca="false">MIN(ROUNDUP(A1484/365,0),5)</f>
        <v>5</v>
      </c>
      <c r="D1484" s="18" t="n">
        <f aca="false">DATEDIF(Assumptions!B5,B1484,"m")+1</f>
        <v>49</v>
      </c>
      <c r="E1484" s="18" t="str">
        <f aca="false">TEXT(B1484,"ddd")</f>
        <v>Tue</v>
      </c>
      <c r="F1484" s="19" t="n">
        <f aca="false">IF(WEEKDAY(B1484,2)&gt;=6,Assumptions!B34,Assumptions!B35)</f>
        <v>1</v>
      </c>
      <c r="G1484" s="20" t="n">
        <f aca="false">IF(D1484&gt;=13,(1+Assumptions!B46)^(D1484-12),1)</f>
        <v>1.11720924728551</v>
      </c>
      <c r="H1484" s="21" t="n">
        <f aca="false">H1483*(1+IF(C1484=1,Assumptions!B22,Assumptions!B23))</f>
        <v>24.9988985523608</v>
      </c>
      <c r="I1484" s="16" t="n">
        <f aca="false">ROUND(H1484*F1484,0)</f>
        <v>25</v>
      </c>
      <c r="J1484" s="22" t="n">
        <f aca="false">I1484*Assumptions!B24</f>
        <v>15000</v>
      </c>
      <c r="K1484" s="21" t="n">
        <f aca="false">K1483*(1+Assumptions!B30)</f>
        <v>21.330718578914</v>
      </c>
      <c r="L1484" s="16" t="n">
        <f aca="false">ROUND(K1484*F1484,0)</f>
        <v>21</v>
      </c>
      <c r="M1484" s="22" t="n">
        <f aca="false">L1484*Assumptions!B31</f>
        <v>6300</v>
      </c>
      <c r="N1484" s="22" t="n">
        <f aca="false">J1484+M1484</f>
        <v>21300</v>
      </c>
      <c r="O1484" s="22" t="n">
        <f aca="false">IF(DAY(B1484)=1,Assumptions!B38*G1484,0)</f>
        <v>0</v>
      </c>
      <c r="P1484" s="22" t="n">
        <f aca="false">IF(DAY(B1484)=1,Assumptions!B39*G1484,0)</f>
        <v>0</v>
      </c>
      <c r="Q1484" s="22" t="n">
        <f aca="false">IF(DAY(B1484)=1,Assumptions!B40*G1484,0)</f>
        <v>0</v>
      </c>
      <c r="R1484" s="22" t="n">
        <f aca="false">IF(DAY(B1484)=1,Assumptions!B41*G1484,0)</f>
        <v>0</v>
      </c>
      <c r="S1484" s="22" t="n">
        <f aca="false">IF(AND(DAY(B1484)=1,D1484&gt;=13),Assumptions!B42*G1484,0)</f>
        <v>0</v>
      </c>
      <c r="T1484" s="22" t="n">
        <f aca="false">IF(DAY(B1484)=1,Assumptions!B43*G1484,0)</f>
        <v>0</v>
      </c>
      <c r="U1484" s="22" t="n">
        <f aca="false">SUM(O1484:T1484)</f>
        <v>0</v>
      </c>
      <c r="V1484" s="22" t="n">
        <f aca="false">N1484-U1484</f>
        <v>21300</v>
      </c>
      <c r="W1484" s="22" t="n">
        <f aca="false">W1483+V1484</f>
        <v>-349852.920406796</v>
      </c>
      <c r="X1484" s="23" t="str">
        <f aca="false">IF(W1484&gt;=0,"YES","No")</f>
        <v>No</v>
      </c>
    </row>
    <row r="1485" customFormat="false" ht="15" hidden="false" customHeight="false" outlineLevel="0" collapsed="false">
      <c r="A1485" s="16" t="n">
        <v>1484</v>
      </c>
      <c r="B1485" s="17" t="n">
        <f aca="false">B1484+1</f>
        <v>47506</v>
      </c>
      <c r="C1485" s="18" t="n">
        <f aca="false">MIN(ROUNDUP(A1485/365,0),5)</f>
        <v>5</v>
      </c>
      <c r="D1485" s="18" t="n">
        <f aca="false">DATEDIF(Assumptions!B5,B1485,"m")+1</f>
        <v>49</v>
      </c>
      <c r="E1485" s="18" t="str">
        <f aca="false">TEXT(B1485,"ddd")</f>
        <v>Wed</v>
      </c>
      <c r="F1485" s="19" t="n">
        <f aca="false">IF(WEEKDAY(B1485,2)&gt;=6,Assumptions!B34,Assumptions!B35)</f>
        <v>1</v>
      </c>
      <c r="G1485" s="20" t="n">
        <f aca="false">IF(D1485&gt;=13,(1+Assumptions!B46)^(D1485-12),1)</f>
        <v>1.11720924728551</v>
      </c>
      <c r="H1485" s="21" t="n">
        <f aca="false">H1484*(1+IF(C1485=1,Assumptions!B22,Assumptions!B23))</f>
        <v>25.0029949143637</v>
      </c>
      <c r="I1485" s="16" t="n">
        <f aca="false">ROUND(H1485*F1485,0)</f>
        <v>25</v>
      </c>
      <c r="J1485" s="22" t="n">
        <f aca="false">I1485*Assumptions!B24</f>
        <v>15000</v>
      </c>
      <c r="K1485" s="21" t="n">
        <f aca="false">K1484*(1+Assumptions!B30)</f>
        <v>21.3376923765849</v>
      </c>
      <c r="L1485" s="16" t="n">
        <f aca="false">ROUND(K1485*F1485,0)</f>
        <v>21</v>
      </c>
      <c r="M1485" s="22" t="n">
        <f aca="false">L1485*Assumptions!B31</f>
        <v>6300</v>
      </c>
      <c r="N1485" s="22" t="n">
        <f aca="false">J1485+M1485</f>
        <v>21300</v>
      </c>
      <c r="O1485" s="22" t="n">
        <f aca="false">IF(DAY(B1485)=1,Assumptions!B38*G1485,0)</f>
        <v>0</v>
      </c>
      <c r="P1485" s="22" t="n">
        <f aca="false">IF(DAY(B1485)=1,Assumptions!B39*G1485,0)</f>
        <v>0</v>
      </c>
      <c r="Q1485" s="22" t="n">
        <f aca="false">IF(DAY(B1485)=1,Assumptions!B40*G1485,0)</f>
        <v>0</v>
      </c>
      <c r="R1485" s="22" t="n">
        <f aca="false">IF(DAY(B1485)=1,Assumptions!B41*G1485,0)</f>
        <v>0</v>
      </c>
      <c r="S1485" s="22" t="n">
        <f aca="false">IF(AND(DAY(B1485)=1,D1485&gt;=13),Assumptions!B42*G1485,0)</f>
        <v>0</v>
      </c>
      <c r="T1485" s="22" t="n">
        <f aca="false">IF(DAY(B1485)=1,Assumptions!B43*G1485,0)</f>
        <v>0</v>
      </c>
      <c r="U1485" s="22" t="n">
        <f aca="false">SUM(O1485:T1485)</f>
        <v>0</v>
      </c>
      <c r="V1485" s="22" t="n">
        <f aca="false">N1485-U1485</f>
        <v>21300</v>
      </c>
      <c r="W1485" s="22" t="n">
        <f aca="false">W1484+V1485</f>
        <v>-328552.920406796</v>
      </c>
      <c r="X1485" s="23" t="str">
        <f aca="false">IF(W1485&gt;=0,"YES","No")</f>
        <v>No</v>
      </c>
    </row>
    <row r="1486" customFormat="false" ht="15" hidden="false" customHeight="false" outlineLevel="0" collapsed="false">
      <c r="A1486" s="16" t="n">
        <v>1485</v>
      </c>
      <c r="B1486" s="17" t="n">
        <f aca="false">B1485+1</f>
        <v>47507</v>
      </c>
      <c r="C1486" s="18" t="n">
        <f aca="false">MIN(ROUNDUP(A1486/365,0),5)</f>
        <v>5</v>
      </c>
      <c r="D1486" s="18" t="n">
        <f aca="false">DATEDIF(Assumptions!B5,B1486,"m")+1</f>
        <v>49</v>
      </c>
      <c r="E1486" s="18" t="str">
        <f aca="false">TEXT(B1486,"ddd")</f>
        <v>Thu</v>
      </c>
      <c r="F1486" s="19" t="n">
        <f aca="false">IF(WEEKDAY(B1486,2)&gt;=6,Assumptions!B34,Assumptions!B35)</f>
        <v>1</v>
      </c>
      <c r="G1486" s="20" t="n">
        <f aca="false">IF(D1486&gt;=13,(1+Assumptions!B46)^(D1486-12),1)</f>
        <v>1.11720924728551</v>
      </c>
      <c r="H1486" s="21" t="n">
        <f aca="false">H1485*(1+IF(C1486=1,Assumptions!B22,Assumptions!B23))</f>
        <v>25.0070919476035</v>
      </c>
      <c r="I1486" s="16" t="n">
        <f aca="false">ROUND(H1486*F1486,0)</f>
        <v>25</v>
      </c>
      <c r="J1486" s="22" t="n">
        <f aca="false">I1486*Assumptions!B24</f>
        <v>15000</v>
      </c>
      <c r="K1486" s="21" t="n">
        <f aca="false">K1485*(1+Assumptions!B30)</f>
        <v>21.3446684542472</v>
      </c>
      <c r="L1486" s="16" t="n">
        <f aca="false">ROUND(K1486*F1486,0)</f>
        <v>21</v>
      </c>
      <c r="M1486" s="22" t="n">
        <f aca="false">L1486*Assumptions!B31</f>
        <v>6300</v>
      </c>
      <c r="N1486" s="22" t="n">
        <f aca="false">J1486+M1486</f>
        <v>21300</v>
      </c>
      <c r="O1486" s="22" t="n">
        <f aca="false">IF(DAY(B1486)=1,Assumptions!B38*G1486,0)</f>
        <v>0</v>
      </c>
      <c r="P1486" s="22" t="n">
        <f aca="false">IF(DAY(B1486)=1,Assumptions!B39*G1486,0)</f>
        <v>0</v>
      </c>
      <c r="Q1486" s="22" t="n">
        <f aca="false">IF(DAY(B1486)=1,Assumptions!B40*G1486,0)</f>
        <v>0</v>
      </c>
      <c r="R1486" s="22" t="n">
        <f aca="false">IF(DAY(B1486)=1,Assumptions!B41*G1486,0)</f>
        <v>0</v>
      </c>
      <c r="S1486" s="22" t="n">
        <f aca="false">IF(AND(DAY(B1486)=1,D1486&gt;=13),Assumptions!B42*G1486,0)</f>
        <v>0</v>
      </c>
      <c r="T1486" s="22" t="n">
        <f aca="false">IF(DAY(B1486)=1,Assumptions!B43*G1486,0)</f>
        <v>0</v>
      </c>
      <c r="U1486" s="22" t="n">
        <f aca="false">SUM(O1486:T1486)</f>
        <v>0</v>
      </c>
      <c r="V1486" s="22" t="n">
        <f aca="false">N1486-U1486</f>
        <v>21300</v>
      </c>
      <c r="W1486" s="22" t="n">
        <f aca="false">W1485+V1486</f>
        <v>-307252.920406796</v>
      </c>
      <c r="X1486" s="23" t="str">
        <f aca="false">IF(W1486&gt;=0,"YES","No")</f>
        <v>No</v>
      </c>
    </row>
    <row r="1487" customFormat="false" ht="15" hidden="false" customHeight="false" outlineLevel="0" collapsed="false">
      <c r="A1487" s="16" t="n">
        <v>1486</v>
      </c>
      <c r="B1487" s="17" t="n">
        <f aca="false">B1486+1</f>
        <v>47508</v>
      </c>
      <c r="C1487" s="18" t="n">
        <f aca="false">MIN(ROUNDUP(A1487/365,0),5)</f>
        <v>5</v>
      </c>
      <c r="D1487" s="18" t="n">
        <f aca="false">DATEDIF(Assumptions!B5,B1487,"m")+1</f>
        <v>49</v>
      </c>
      <c r="E1487" s="18" t="str">
        <f aca="false">TEXT(B1487,"ddd")</f>
        <v>Fri</v>
      </c>
      <c r="F1487" s="19" t="n">
        <f aca="false">IF(WEEKDAY(B1487,2)&gt;=6,Assumptions!B34,Assumptions!B35)</f>
        <v>1</v>
      </c>
      <c r="G1487" s="20" t="n">
        <f aca="false">IF(D1487&gt;=13,(1+Assumptions!B46)^(D1487-12),1)</f>
        <v>1.11720924728551</v>
      </c>
      <c r="H1487" s="21" t="n">
        <f aca="false">H1486*(1+IF(C1487=1,Assumptions!B22,Assumptions!B23))</f>
        <v>25.0111896521901</v>
      </c>
      <c r="I1487" s="16" t="n">
        <f aca="false">ROUND(H1487*F1487,0)</f>
        <v>25</v>
      </c>
      <c r="J1487" s="22" t="n">
        <f aca="false">I1487*Assumptions!B24</f>
        <v>15000</v>
      </c>
      <c r="K1487" s="21" t="n">
        <f aca="false">K1486*(1+Assumptions!B30)</f>
        <v>21.3516468126462</v>
      </c>
      <c r="L1487" s="16" t="n">
        <f aca="false">ROUND(K1487*F1487,0)</f>
        <v>21</v>
      </c>
      <c r="M1487" s="22" t="n">
        <f aca="false">L1487*Assumptions!B31</f>
        <v>6300</v>
      </c>
      <c r="N1487" s="22" t="n">
        <f aca="false">J1487+M1487</f>
        <v>21300</v>
      </c>
      <c r="O1487" s="22" t="n">
        <f aca="false">IF(DAY(B1487)=1,Assumptions!B38*G1487,0)</f>
        <v>0</v>
      </c>
      <c r="P1487" s="22" t="n">
        <f aca="false">IF(DAY(B1487)=1,Assumptions!B39*G1487,0)</f>
        <v>0</v>
      </c>
      <c r="Q1487" s="22" t="n">
        <f aca="false">IF(DAY(B1487)=1,Assumptions!B40*G1487,0)</f>
        <v>0</v>
      </c>
      <c r="R1487" s="22" t="n">
        <f aca="false">IF(DAY(B1487)=1,Assumptions!B41*G1487,0)</f>
        <v>0</v>
      </c>
      <c r="S1487" s="22" t="n">
        <f aca="false">IF(AND(DAY(B1487)=1,D1487&gt;=13),Assumptions!B42*G1487,0)</f>
        <v>0</v>
      </c>
      <c r="T1487" s="22" t="n">
        <f aca="false">IF(DAY(B1487)=1,Assumptions!B43*G1487,0)</f>
        <v>0</v>
      </c>
      <c r="U1487" s="22" t="n">
        <f aca="false">SUM(O1487:T1487)</f>
        <v>0</v>
      </c>
      <c r="V1487" s="22" t="n">
        <f aca="false">N1487-U1487</f>
        <v>21300</v>
      </c>
      <c r="W1487" s="22" t="n">
        <f aca="false">W1486+V1487</f>
        <v>-285952.920406796</v>
      </c>
      <c r="X1487" s="23" t="str">
        <f aca="false">IF(W1487&gt;=0,"YES","No")</f>
        <v>No</v>
      </c>
    </row>
    <row r="1488" customFormat="false" ht="15" hidden="false" customHeight="false" outlineLevel="0" collapsed="false">
      <c r="A1488" s="16" t="n">
        <v>1487</v>
      </c>
      <c r="B1488" s="17" t="n">
        <f aca="false">B1487+1</f>
        <v>47509</v>
      </c>
      <c r="C1488" s="18" t="n">
        <f aca="false">MIN(ROUNDUP(A1488/365,0),5)</f>
        <v>5</v>
      </c>
      <c r="D1488" s="18" t="n">
        <f aca="false">DATEDIF(Assumptions!B5,B1488,"m")+1</f>
        <v>49</v>
      </c>
      <c r="E1488" s="18" t="str">
        <f aca="false">TEXT(B1488,"ddd")</f>
        <v>Sat</v>
      </c>
      <c r="F1488" s="19" t="n">
        <f aca="false">IF(WEEKDAY(B1488,2)&gt;=6,Assumptions!B34,Assumptions!B35)</f>
        <v>0.6</v>
      </c>
      <c r="G1488" s="20" t="n">
        <f aca="false">IF(D1488&gt;=13,(1+Assumptions!B46)^(D1488-12),1)</f>
        <v>1.11720924728551</v>
      </c>
      <c r="H1488" s="21" t="n">
        <f aca="false">H1487*(1+IF(C1488=1,Assumptions!B22,Assumptions!B23))</f>
        <v>25.0152880282335</v>
      </c>
      <c r="I1488" s="16" t="n">
        <f aca="false">ROUND(H1488*F1488,0)</f>
        <v>15</v>
      </c>
      <c r="J1488" s="22" t="n">
        <f aca="false">I1488*Assumptions!B24</f>
        <v>9000</v>
      </c>
      <c r="K1488" s="21" t="n">
        <f aca="false">K1487*(1+Assumptions!B30)</f>
        <v>21.3586274525277</v>
      </c>
      <c r="L1488" s="16" t="n">
        <f aca="false">ROUND(K1488*F1488,0)</f>
        <v>13</v>
      </c>
      <c r="M1488" s="22" t="n">
        <f aca="false">L1488*Assumptions!B31</f>
        <v>3900</v>
      </c>
      <c r="N1488" s="22" t="n">
        <f aca="false">J1488+M1488</f>
        <v>12900</v>
      </c>
      <c r="O1488" s="22" t="n">
        <f aca="false">IF(DAY(B1488)=1,Assumptions!B38*G1488,0)</f>
        <v>0</v>
      </c>
      <c r="P1488" s="22" t="n">
        <f aca="false">IF(DAY(B1488)=1,Assumptions!B39*G1488,0)</f>
        <v>0</v>
      </c>
      <c r="Q1488" s="22" t="n">
        <f aca="false">IF(DAY(B1488)=1,Assumptions!B40*G1488,0)</f>
        <v>0</v>
      </c>
      <c r="R1488" s="22" t="n">
        <f aca="false">IF(DAY(B1488)=1,Assumptions!B41*G1488,0)</f>
        <v>0</v>
      </c>
      <c r="S1488" s="22" t="n">
        <f aca="false">IF(AND(DAY(B1488)=1,D1488&gt;=13),Assumptions!B42*G1488,0)</f>
        <v>0</v>
      </c>
      <c r="T1488" s="22" t="n">
        <f aca="false">IF(DAY(B1488)=1,Assumptions!B43*G1488,0)</f>
        <v>0</v>
      </c>
      <c r="U1488" s="22" t="n">
        <f aca="false">SUM(O1488:T1488)</f>
        <v>0</v>
      </c>
      <c r="V1488" s="22" t="n">
        <f aca="false">N1488-U1488</f>
        <v>12900</v>
      </c>
      <c r="W1488" s="22" t="n">
        <f aca="false">W1487+V1488</f>
        <v>-273052.920406796</v>
      </c>
      <c r="X1488" s="23" t="str">
        <f aca="false">IF(W1488&gt;=0,"YES","No")</f>
        <v>No</v>
      </c>
    </row>
    <row r="1489" customFormat="false" ht="15" hidden="false" customHeight="false" outlineLevel="0" collapsed="false">
      <c r="A1489" s="16" t="n">
        <v>1488</v>
      </c>
      <c r="B1489" s="17" t="n">
        <f aca="false">B1488+1</f>
        <v>47510</v>
      </c>
      <c r="C1489" s="18" t="n">
        <f aca="false">MIN(ROUNDUP(A1489/365,0),5)</f>
        <v>5</v>
      </c>
      <c r="D1489" s="18" t="n">
        <f aca="false">DATEDIF(Assumptions!B5,B1489,"m")+1</f>
        <v>49</v>
      </c>
      <c r="E1489" s="18" t="str">
        <f aca="false">TEXT(B1489,"ddd")</f>
        <v>Sun</v>
      </c>
      <c r="F1489" s="19" t="n">
        <f aca="false">IF(WEEKDAY(B1489,2)&gt;=6,Assumptions!B34,Assumptions!B35)</f>
        <v>0.6</v>
      </c>
      <c r="G1489" s="20" t="n">
        <f aca="false">IF(D1489&gt;=13,(1+Assumptions!B46)^(D1489-12),1)</f>
        <v>1.11720924728551</v>
      </c>
      <c r="H1489" s="21" t="n">
        <f aca="false">H1488*(1+IF(C1489=1,Assumptions!B22,Assumptions!B23))</f>
        <v>25.0193870758438</v>
      </c>
      <c r="I1489" s="16" t="n">
        <f aca="false">ROUND(H1489*F1489,0)</f>
        <v>15</v>
      </c>
      <c r="J1489" s="22" t="n">
        <f aca="false">I1489*Assumptions!B24</f>
        <v>9000</v>
      </c>
      <c r="K1489" s="21" t="n">
        <f aca="false">K1488*(1+Assumptions!B30)</f>
        <v>21.3656103746375</v>
      </c>
      <c r="L1489" s="16" t="n">
        <f aca="false">ROUND(K1489*F1489,0)</f>
        <v>13</v>
      </c>
      <c r="M1489" s="22" t="n">
        <f aca="false">L1489*Assumptions!B31</f>
        <v>3900</v>
      </c>
      <c r="N1489" s="22" t="n">
        <f aca="false">J1489+M1489</f>
        <v>12900</v>
      </c>
      <c r="O1489" s="22" t="n">
        <f aca="false">IF(DAY(B1489)=1,Assumptions!B38*G1489,0)</f>
        <v>0</v>
      </c>
      <c r="P1489" s="22" t="n">
        <f aca="false">IF(DAY(B1489)=1,Assumptions!B39*G1489,0)</f>
        <v>0</v>
      </c>
      <c r="Q1489" s="22" t="n">
        <f aca="false">IF(DAY(B1489)=1,Assumptions!B40*G1489,0)</f>
        <v>0</v>
      </c>
      <c r="R1489" s="22" t="n">
        <f aca="false">IF(DAY(B1489)=1,Assumptions!B41*G1489,0)</f>
        <v>0</v>
      </c>
      <c r="S1489" s="22" t="n">
        <f aca="false">IF(AND(DAY(B1489)=1,D1489&gt;=13),Assumptions!B42*G1489,0)</f>
        <v>0</v>
      </c>
      <c r="T1489" s="22" t="n">
        <f aca="false">IF(DAY(B1489)=1,Assumptions!B43*G1489,0)</f>
        <v>0</v>
      </c>
      <c r="U1489" s="22" t="n">
        <f aca="false">SUM(O1489:T1489)</f>
        <v>0</v>
      </c>
      <c r="V1489" s="22" t="n">
        <f aca="false">N1489-U1489</f>
        <v>12900</v>
      </c>
      <c r="W1489" s="22" t="n">
        <f aca="false">W1488+V1489</f>
        <v>-260152.920406796</v>
      </c>
      <c r="X1489" s="23" t="str">
        <f aca="false">IF(W1489&gt;=0,"YES","No")</f>
        <v>No</v>
      </c>
    </row>
    <row r="1490" customFormat="false" ht="15" hidden="false" customHeight="false" outlineLevel="0" collapsed="false">
      <c r="A1490" s="16" t="n">
        <v>1489</v>
      </c>
      <c r="B1490" s="17" t="n">
        <f aca="false">B1489+1</f>
        <v>47511</v>
      </c>
      <c r="C1490" s="18" t="n">
        <f aca="false">MIN(ROUNDUP(A1490/365,0),5)</f>
        <v>5</v>
      </c>
      <c r="D1490" s="18" t="n">
        <f aca="false">DATEDIF(Assumptions!B5,B1490,"m")+1</f>
        <v>49</v>
      </c>
      <c r="E1490" s="18" t="str">
        <f aca="false">TEXT(B1490,"ddd")</f>
        <v>Mon</v>
      </c>
      <c r="F1490" s="19" t="n">
        <f aca="false">IF(WEEKDAY(B1490,2)&gt;=6,Assumptions!B34,Assumptions!B35)</f>
        <v>1</v>
      </c>
      <c r="G1490" s="20" t="n">
        <f aca="false">IF(D1490&gt;=13,(1+Assumptions!B46)^(D1490-12),1)</f>
        <v>1.11720924728551</v>
      </c>
      <c r="H1490" s="21" t="n">
        <f aca="false">H1489*(1+IF(C1490=1,Assumptions!B22,Assumptions!B23))</f>
        <v>25.023486795131</v>
      </c>
      <c r="I1490" s="16" t="n">
        <f aca="false">ROUND(H1490*F1490,0)</f>
        <v>25</v>
      </c>
      <c r="J1490" s="22" t="n">
        <f aca="false">I1490*Assumptions!B24</f>
        <v>15000</v>
      </c>
      <c r="K1490" s="21" t="n">
        <f aca="false">K1489*(1+Assumptions!B30)</f>
        <v>21.3725955797218</v>
      </c>
      <c r="L1490" s="16" t="n">
        <f aca="false">ROUND(K1490*F1490,0)</f>
        <v>21</v>
      </c>
      <c r="M1490" s="22" t="n">
        <f aca="false">L1490*Assumptions!B31</f>
        <v>6300</v>
      </c>
      <c r="N1490" s="22" t="n">
        <f aca="false">J1490+M1490</f>
        <v>21300</v>
      </c>
      <c r="O1490" s="22" t="n">
        <f aca="false">IF(DAY(B1490)=1,Assumptions!B38*G1490,0)</f>
        <v>0</v>
      </c>
      <c r="P1490" s="22" t="n">
        <f aca="false">IF(DAY(B1490)=1,Assumptions!B39*G1490,0)</f>
        <v>0</v>
      </c>
      <c r="Q1490" s="22" t="n">
        <f aca="false">IF(DAY(B1490)=1,Assumptions!B40*G1490,0)</f>
        <v>0</v>
      </c>
      <c r="R1490" s="22" t="n">
        <f aca="false">IF(DAY(B1490)=1,Assumptions!B41*G1490,0)</f>
        <v>0</v>
      </c>
      <c r="S1490" s="22" t="n">
        <f aca="false">IF(AND(DAY(B1490)=1,D1490&gt;=13),Assumptions!B42*G1490,0)</f>
        <v>0</v>
      </c>
      <c r="T1490" s="22" t="n">
        <f aca="false">IF(DAY(B1490)=1,Assumptions!B43*G1490,0)</f>
        <v>0</v>
      </c>
      <c r="U1490" s="22" t="n">
        <f aca="false">SUM(O1490:T1490)</f>
        <v>0</v>
      </c>
      <c r="V1490" s="22" t="n">
        <f aca="false">N1490-U1490</f>
        <v>21300</v>
      </c>
      <c r="W1490" s="22" t="n">
        <f aca="false">W1489+V1490</f>
        <v>-238852.920406796</v>
      </c>
      <c r="X1490" s="23" t="str">
        <f aca="false">IF(W1490&gt;=0,"YES","No")</f>
        <v>No</v>
      </c>
    </row>
    <row r="1491" customFormat="false" ht="15" hidden="false" customHeight="false" outlineLevel="0" collapsed="false">
      <c r="A1491" s="16" t="n">
        <v>1490</v>
      </c>
      <c r="B1491" s="17" t="n">
        <f aca="false">B1490+1</f>
        <v>47512</v>
      </c>
      <c r="C1491" s="18" t="n">
        <f aca="false">MIN(ROUNDUP(A1491/365,0),5)</f>
        <v>5</v>
      </c>
      <c r="D1491" s="18" t="n">
        <f aca="false">DATEDIF(Assumptions!B5,B1491,"m")+1</f>
        <v>49</v>
      </c>
      <c r="E1491" s="18" t="str">
        <f aca="false">TEXT(B1491,"ddd")</f>
        <v>Tue</v>
      </c>
      <c r="F1491" s="19" t="n">
        <f aca="false">IF(WEEKDAY(B1491,2)&gt;=6,Assumptions!B34,Assumptions!B35)</f>
        <v>1</v>
      </c>
      <c r="G1491" s="20" t="n">
        <f aca="false">IF(D1491&gt;=13,(1+Assumptions!B46)^(D1491-12),1)</f>
        <v>1.11720924728551</v>
      </c>
      <c r="H1491" s="21" t="n">
        <f aca="false">H1490*(1+IF(C1491=1,Assumptions!B22,Assumptions!B23))</f>
        <v>25.0275871862051</v>
      </c>
      <c r="I1491" s="16" t="n">
        <f aca="false">ROUND(H1491*F1491,0)</f>
        <v>25</v>
      </c>
      <c r="J1491" s="22" t="n">
        <f aca="false">I1491*Assumptions!B24</f>
        <v>15000</v>
      </c>
      <c r="K1491" s="21" t="n">
        <f aca="false">K1490*(1+Assumptions!B30)</f>
        <v>21.3795830685269</v>
      </c>
      <c r="L1491" s="16" t="n">
        <f aca="false">ROUND(K1491*F1491,0)</f>
        <v>21</v>
      </c>
      <c r="M1491" s="22" t="n">
        <f aca="false">L1491*Assumptions!B31</f>
        <v>6300</v>
      </c>
      <c r="N1491" s="22" t="n">
        <f aca="false">J1491+M1491</f>
        <v>21300</v>
      </c>
      <c r="O1491" s="22" t="n">
        <f aca="false">IF(DAY(B1491)=1,Assumptions!B38*G1491,0)</f>
        <v>0</v>
      </c>
      <c r="P1491" s="22" t="n">
        <f aca="false">IF(DAY(B1491)=1,Assumptions!B39*G1491,0)</f>
        <v>0</v>
      </c>
      <c r="Q1491" s="22" t="n">
        <f aca="false">IF(DAY(B1491)=1,Assumptions!B40*G1491,0)</f>
        <v>0</v>
      </c>
      <c r="R1491" s="22" t="n">
        <f aca="false">IF(DAY(B1491)=1,Assumptions!B41*G1491,0)</f>
        <v>0</v>
      </c>
      <c r="S1491" s="22" t="n">
        <f aca="false">IF(AND(DAY(B1491)=1,D1491&gt;=13),Assumptions!B42*G1491,0)</f>
        <v>0</v>
      </c>
      <c r="T1491" s="22" t="n">
        <f aca="false">IF(DAY(B1491)=1,Assumptions!B43*G1491,0)</f>
        <v>0</v>
      </c>
      <c r="U1491" s="22" t="n">
        <f aca="false">SUM(O1491:T1491)</f>
        <v>0</v>
      </c>
      <c r="V1491" s="22" t="n">
        <f aca="false">N1491-U1491</f>
        <v>21300</v>
      </c>
      <c r="W1491" s="22" t="n">
        <f aca="false">W1490+V1491</f>
        <v>-217552.920406796</v>
      </c>
      <c r="X1491" s="23" t="str">
        <f aca="false">IF(W1491&gt;=0,"YES","No")</f>
        <v>No</v>
      </c>
    </row>
    <row r="1492" customFormat="false" ht="15" hidden="false" customHeight="false" outlineLevel="0" collapsed="false">
      <c r="A1492" s="16" t="n">
        <v>1491</v>
      </c>
      <c r="B1492" s="17" t="n">
        <f aca="false">B1491+1</f>
        <v>47513</v>
      </c>
      <c r="C1492" s="18" t="n">
        <f aca="false">MIN(ROUNDUP(A1492/365,0),5)</f>
        <v>5</v>
      </c>
      <c r="D1492" s="18" t="n">
        <f aca="false">DATEDIF(Assumptions!B5,B1492,"m")+1</f>
        <v>49</v>
      </c>
      <c r="E1492" s="18" t="str">
        <f aca="false">TEXT(B1492,"ddd")</f>
        <v>Wed</v>
      </c>
      <c r="F1492" s="19" t="n">
        <f aca="false">IF(WEEKDAY(B1492,2)&gt;=6,Assumptions!B34,Assumptions!B35)</f>
        <v>1</v>
      </c>
      <c r="G1492" s="20" t="n">
        <f aca="false">IF(D1492&gt;=13,(1+Assumptions!B46)^(D1492-12),1)</f>
        <v>1.11720924728551</v>
      </c>
      <c r="H1492" s="21" t="n">
        <f aca="false">H1491*(1+IF(C1492=1,Assumptions!B22,Assumptions!B23))</f>
        <v>25.0316882491764</v>
      </c>
      <c r="I1492" s="16" t="n">
        <f aca="false">ROUND(H1492*F1492,0)</f>
        <v>25</v>
      </c>
      <c r="J1492" s="22" t="n">
        <f aca="false">I1492*Assumptions!B24</f>
        <v>15000</v>
      </c>
      <c r="K1492" s="21" t="n">
        <f aca="false">K1491*(1+Assumptions!B30)</f>
        <v>21.3865728417995</v>
      </c>
      <c r="L1492" s="16" t="n">
        <f aca="false">ROUND(K1492*F1492,0)</f>
        <v>21</v>
      </c>
      <c r="M1492" s="22" t="n">
        <f aca="false">L1492*Assumptions!B31</f>
        <v>6300</v>
      </c>
      <c r="N1492" s="22" t="n">
        <f aca="false">J1492+M1492</f>
        <v>21300</v>
      </c>
      <c r="O1492" s="22" t="n">
        <f aca="false">IF(DAY(B1492)=1,Assumptions!B38*G1492,0)</f>
        <v>0</v>
      </c>
      <c r="P1492" s="22" t="n">
        <f aca="false">IF(DAY(B1492)=1,Assumptions!B39*G1492,0)</f>
        <v>0</v>
      </c>
      <c r="Q1492" s="22" t="n">
        <f aca="false">IF(DAY(B1492)=1,Assumptions!B40*G1492,0)</f>
        <v>0</v>
      </c>
      <c r="R1492" s="22" t="n">
        <f aca="false">IF(DAY(B1492)=1,Assumptions!B41*G1492,0)</f>
        <v>0</v>
      </c>
      <c r="S1492" s="22" t="n">
        <f aca="false">IF(AND(DAY(B1492)=1,D1492&gt;=13),Assumptions!B42*G1492,0)</f>
        <v>0</v>
      </c>
      <c r="T1492" s="22" t="n">
        <f aca="false">IF(DAY(B1492)=1,Assumptions!B43*G1492,0)</f>
        <v>0</v>
      </c>
      <c r="U1492" s="22" t="n">
        <f aca="false">SUM(O1492:T1492)</f>
        <v>0</v>
      </c>
      <c r="V1492" s="22" t="n">
        <f aca="false">N1492-U1492</f>
        <v>21300</v>
      </c>
      <c r="W1492" s="22" t="n">
        <f aca="false">W1491+V1492</f>
        <v>-196252.920406796</v>
      </c>
      <c r="X1492" s="23" t="str">
        <f aca="false">IF(W1492&gt;=0,"YES","No")</f>
        <v>No</v>
      </c>
    </row>
    <row r="1493" customFormat="false" ht="15" hidden="false" customHeight="false" outlineLevel="0" collapsed="false">
      <c r="A1493" s="16" t="n">
        <v>1492</v>
      </c>
      <c r="B1493" s="17" t="n">
        <f aca="false">B1492+1</f>
        <v>47514</v>
      </c>
      <c r="C1493" s="18" t="n">
        <f aca="false">MIN(ROUNDUP(A1493/365,0),5)</f>
        <v>5</v>
      </c>
      <c r="D1493" s="18" t="n">
        <f aca="false">DATEDIF(Assumptions!B5,B1493,"m")+1</f>
        <v>49</v>
      </c>
      <c r="E1493" s="18" t="str">
        <f aca="false">TEXT(B1493,"ddd")</f>
        <v>Thu</v>
      </c>
      <c r="F1493" s="19" t="n">
        <f aca="false">IF(WEEKDAY(B1493,2)&gt;=6,Assumptions!B34,Assumptions!B35)</f>
        <v>1</v>
      </c>
      <c r="G1493" s="20" t="n">
        <f aca="false">IF(D1493&gt;=13,(1+Assumptions!B46)^(D1493-12),1)</f>
        <v>1.11720924728551</v>
      </c>
      <c r="H1493" s="21" t="n">
        <f aca="false">H1492*(1+IF(C1493=1,Assumptions!B22,Assumptions!B23))</f>
        <v>25.0357899841547</v>
      </c>
      <c r="I1493" s="16" t="n">
        <f aca="false">ROUND(H1493*F1493,0)</f>
        <v>25</v>
      </c>
      <c r="J1493" s="22" t="n">
        <f aca="false">I1493*Assumptions!B24</f>
        <v>15000</v>
      </c>
      <c r="K1493" s="21" t="n">
        <f aca="false">K1492*(1+Assumptions!B30)</f>
        <v>21.3935649002865</v>
      </c>
      <c r="L1493" s="16" t="n">
        <f aca="false">ROUND(K1493*F1493,0)</f>
        <v>21</v>
      </c>
      <c r="M1493" s="22" t="n">
        <f aca="false">L1493*Assumptions!B31</f>
        <v>6300</v>
      </c>
      <c r="N1493" s="22" t="n">
        <f aca="false">J1493+M1493</f>
        <v>21300</v>
      </c>
      <c r="O1493" s="22" t="n">
        <f aca="false">IF(DAY(B1493)=1,Assumptions!B38*G1493,0)</f>
        <v>0</v>
      </c>
      <c r="P1493" s="22" t="n">
        <f aca="false">IF(DAY(B1493)=1,Assumptions!B39*G1493,0)</f>
        <v>0</v>
      </c>
      <c r="Q1493" s="22" t="n">
        <f aca="false">IF(DAY(B1493)=1,Assumptions!B40*G1493,0)</f>
        <v>0</v>
      </c>
      <c r="R1493" s="22" t="n">
        <f aca="false">IF(DAY(B1493)=1,Assumptions!B41*G1493,0)</f>
        <v>0</v>
      </c>
      <c r="S1493" s="22" t="n">
        <f aca="false">IF(AND(DAY(B1493)=1,D1493&gt;=13),Assumptions!B42*G1493,0)</f>
        <v>0</v>
      </c>
      <c r="T1493" s="22" t="n">
        <f aca="false">IF(DAY(B1493)=1,Assumptions!B43*G1493,0)</f>
        <v>0</v>
      </c>
      <c r="U1493" s="22" t="n">
        <f aca="false">SUM(O1493:T1493)</f>
        <v>0</v>
      </c>
      <c r="V1493" s="22" t="n">
        <f aca="false">N1493-U1493</f>
        <v>21300</v>
      </c>
      <c r="W1493" s="22" t="n">
        <f aca="false">W1492+V1493</f>
        <v>-174952.920406796</v>
      </c>
      <c r="X1493" s="23" t="str">
        <f aca="false">IF(W1493&gt;=0,"YES","No")</f>
        <v>No</v>
      </c>
    </row>
    <row r="1494" customFormat="false" ht="15" hidden="false" customHeight="false" outlineLevel="0" collapsed="false">
      <c r="A1494" s="16" t="n">
        <v>1493</v>
      </c>
      <c r="B1494" s="17" t="n">
        <f aca="false">B1493+1</f>
        <v>47515</v>
      </c>
      <c r="C1494" s="18" t="n">
        <f aca="false">MIN(ROUNDUP(A1494/365,0),5)</f>
        <v>5</v>
      </c>
      <c r="D1494" s="18" t="n">
        <f aca="false">DATEDIF(Assumptions!B5,B1494,"m")+1</f>
        <v>50</v>
      </c>
      <c r="E1494" s="18" t="str">
        <f aca="false">TEXT(B1494,"ddd")</f>
        <v>Fri</v>
      </c>
      <c r="F1494" s="19" t="n">
        <f aca="false">IF(WEEKDAY(B1494,2)&gt;=6,Assumptions!B34,Assumptions!B35)</f>
        <v>1</v>
      </c>
      <c r="G1494" s="20" t="n">
        <f aca="false">IF(D1494&gt;=13,(1+Assumptions!B46)^(D1494-12),1)</f>
        <v>1.12056087502736</v>
      </c>
      <c r="H1494" s="21" t="n">
        <f aca="false">H1493*(1+IF(C1494=1,Assumptions!B22,Assumptions!B23))</f>
        <v>25.0398923912504</v>
      </c>
      <c r="I1494" s="16" t="n">
        <f aca="false">ROUND(H1494*F1494,0)</f>
        <v>25</v>
      </c>
      <c r="J1494" s="22" t="n">
        <f aca="false">I1494*Assumptions!B24</f>
        <v>15000</v>
      </c>
      <c r="K1494" s="21" t="n">
        <f aca="false">K1493*(1+Assumptions!B30)</f>
        <v>21.400559244735</v>
      </c>
      <c r="L1494" s="16" t="n">
        <f aca="false">ROUND(K1494*F1494,0)</f>
        <v>21</v>
      </c>
      <c r="M1494" s="22" t="n">
        <f aca="false">L1494*Assumptions!B31</f>
        <v>6300</v>
      </c>
      <c r="N1494" s="22" t="n">
        <f aca="false">J1494+M1494</f>
        <v>21300</v>
      </c>
      <c r="O1494" s="22" t="n">
        <f aca="false">IF(DAY(B1494)=1,Assumptions!B38*G1494,0)</f>
        <v>168084.131254104</v>
      </c>
      <c r="P1494" s="22" t="n">
        <f aca="false">IF(DAY(B1494)=1,Assumptions!B39*G1494,0)</f>
        <v>44822.4350010945</v>
      </c>
      <c r="Q1494" s="22" t="n">
        <f aca="false">IF(DAY(B1494)=1,Assumptions!B40*G1494,0)</f>
        <v>33616.8262508209</v>
      </c>
      <c r="R1494" s="22" t="n">
        <f aca="false">IF(DAY(B1494)=1,Assumptions!B41*G1494,0)</f>
        <v>22411.2175005472</v>
      </c>
      <c r="S1494" s="22" t="n">
        <f aca="false">IF(AND(DAY(B1494)=1,D1494&gt;=13),Assumptions!B42*G1494,0)</f>
        <v>168084.131254104</v>
      </c>
      <c r="T1494" s="22" t="n">
        <f aca="false">IF(DAY(B1494)=1,Assumptions!B43*G1494,0)</f>
        <v>22411.2175005472</v>
      </c>
      <c r="U1494" s="22" t="n">
        <f aca="false">SUM(O1494:T1494)</f>
        <v>459429.958761219</v>
      </c>
      <c r="V1494" s="22" t="n">
        <f aca="false">N1494-U1494</f>
        <v>-438129.958761219</v>
      </c>
      <c r="W1494" s="22" t="n">
        <f aca="false">W1493+V1494</f>
        <v>-613082.879168015</v>
      </c>
      <c r="X1494" s="23" t="str">
        <f aca="false">IF(W1494&gt;=0,"YES","No")</f>
        <v>No</v>
      </c>
    </row>
    <row r="1495" customFormat="false" ht="15" hidden="false" customHeight="false" outlineLevel="0" collapsed="false">
      <c r="A1495" s="16" t="n">
        <v>1494</v>
      </c>
      <c r="B1495" s="17" t="n">
        <f aca="false">B1494+1</f>
        <v>47516</v>
      </c>
      <c r="C1495" s="18" t="n">
        <f aca="false">MIN(ROUNDUP(A1495/365,0),5)</f>
        <v>5</v>
      </c>
      <c r="D1495" s="18" t="n">
        <f aca="false">DATEDIF(Assumptions!B5,B1495,"m")+1</f>
        <v>50</v>
      </c>
      <c r="E1495" s="18" t="str">
        <f aca="false">TEXT(B1495,"ddd")</f>
        <v>Sat</v>
      </c>
      <c r="F1495" s="19" t="n">
        <f aca="false">IF(WEEKDAY(B1495,2)&gt;=6,Assumptions!B34,Assumptions!B35)</f>
        <v>0.6</v>
      </c>
      <c r="G1495" s="20" t="n">
        <f aca="false">IF(D1495&gt;=13,(1+Assumptions!B46)^(D1495-12),1)</f>
        <v>1.12056087502736</v>
      </c>
      <c r="H1495" s="21" t="n">
        <f aca="false">H1494*(1+IF(C1495=1,Assumptions!B22,Assumptions!B23))</f>
        <v>25.0439954705734</v>
      </c>
      <c r="I1495" s="16" t="n">
        <f aca="false">ROUND(H1495*F1495,0)</f>
        <v>15</v>
      </c>
      <c r="J1495" s="22" t="n">
        <f aca="false">I1495*Assumptions!B24</f>
        <v>9000</v>
      </c>
      <c r="K1495" s="21" t="n">
        <f aca="false">K1494*(1+Assumptions!B30)</f>
        <v>21.4075558758923</v>
      </c>
      <c r="L1495" s="16" t="n">
        <f aca="false">ROUND(K1495*F1495,0)</f>
        <v>13</v>
      </c>
      <c r="M1495" s="22" t="n">
        <f aca="false">L1495*Assumptions!B31</f>
        <v>3900</v>
      </c>
      <c r="N1495" s="22" t="n">
        <f aca="false">J1495+M1495</f>
        <v>12900</v>
      </c>
      <c r="O1495" s="22" t="n">
        <f aca="false">IF(DAY(B1495)=1,Assumptions!B38*G1495,0)</f>
        <v>0</v>
      </c>
      <c r="P1495" s="22" t="n">
        <f aca="false">IF(DAY(B1495)=1,Assumptions!B39*G1495,0)</f>
        <v>0</v>
      </c>
      <c r="Q1495" s="22" t="n">
        <f aca="false">IF(DAY(B1495)=1,Assumptions!B40*G1495,0)</f>
        <v>0</v>
      </c>
      <c r="R1495" s="22" t="n">
        <f aca="false">IF(DAY(B1495)=1,Assumptions!B41*G1495,0)</f>
        <v>0</v>
      </c>
      <c r="S1495" s="22" t="n">
        <f aca="false">IF(AND(DAY(B1495)=1,D1495&gt;=13),Assumptions!B42*G1495,0)</f>
        <v>0</v>
      </c>
      <c r="T1495" s="22" t="n">
        <f aca="false">IF(DAY(B1495)=1,Assumptions!B43*G1495,0)</f>
        <v>0</v>
      </c>
      <c r="U1495" s="22" t="n">
        <f aca="false">SUM(O1495:T1495)</f>
        <v>0</v>
      </c>
      <c r="V1495" s="22" t="n">
        <f aca="false">N1495-U1495</f>
        <v>12900</v>
      </c>
      <c r="W1495" s="22" t="n">
        <f aca="false">W1494+V1495</f>
        <v>-600182.879168015</v>
      </c>
      <c r="X1495" s="23" t="str">
        <f aca="false">IF(W1495&gt;=0,"YES","No")</f>
        <v>No</v>
      </c>
    </row>
    <row r="1496" customFormat="false" ht="15" hidden="false" customHeight="false" outlineLevel="0" collapsed="false">
      <c r="A1496" s="16" t="n">
        <v>1495</v>
      </c>
      <c r="B1496" s="17" t="n">
        <f aca="false">B1495+1</f>
        <v>47517</v>
      </c>
      <c r="C1496" s="18" t="n">
        <f aca="false">MIN(ROUNDUP(A1496/365,0),5)</f>
        <v>5</v>
      </c>
      <c r="D1496" s="18" t="n">
        <f aca="false">DATEDIF(Assumptions!B5,B1496,"m")+1</f>
        <v>50</v>
      </c>
      <c r="E1496" s="18" t="str">
        <f aca="false">TEXT(B1496,"ddd")</f>
        <v>Sun</v>
      </c>
      <c r="F1496" s="19" t="n">
        <f aca="false">IF(WEEKDAY(B1496,2)&gt;=6,Assumptions!B34,Assumptions!B35)</f>
        <v>0.6</v>
      </c>
      <c r="G1496" s="20" t="n">
        <f aca="false">IF(D1496&gt;=13,(1+Assumptions!B46)^(D1496-12),1)</f>
        <v>1.12056087502736</v>
      </c>
      <c r="H1496" s="21" t="n">
        <f aca="false">H1495*(1+IF(C1496=1,Assumptions!B22,Assumptions!B23))</f>
        <v>25.048099222234</v>
      </c>
      <c r="I1496" s="16" t="n">
        <f aca="false">ROUND(H1496*F1496,0)</f>
        <v>15</v>
      </c>
      <c r="J1496" s="22" t="n">
        <f aca="false">I1496*Assumptions!B24</f>
        <v>9000</v>
      </c>
      <c r="K1496" s="21" t="n">
        <f aca="false">K1495*(1+Assumptions!B30)</f>
        <v>21.4145547945061</v>
      </c>
      <c r="L1496" s="16" t="n">
        <f aca="false">ROUND(K1496*F1496,0)</f>
        <v>13</v>
      </c>
      <c r="M1496" s="22" t="n">
        <f aca="false">L1496*Assumptions!B31</f>
        <v>3900</v>
      </c>
      <c r="N1496" s="22" t="n">
        <f aca="false">J1496+M1496</f>
        <v>12900</v>
      </c>
      <c r="O1496" s="22" t="n">
        <f aca="false">IF(DAY(B1496)=1,Assumptions!B38*G1496,0)</f>
        <v>0</v>
      </c>
      <c r="P1496" s="22" t="n">
        <f aca="false">IF(DAY(B1496)=1,Assumptions!B39*G1496,0)</f>
        <v>0</v>
      </c>
      <c r="Q1496" s="22" t="n">
        <f aca="false">IF(DAY(B1496)=1,Assumptions!B40*G1496,0)</f>
        <v>0</v>
      </c>
      <c r="R1496" s="22" t="n">
        <f aca="false">IF(DAY(B1496)=1,Assumptions!B41*G1496,0)</f>
        <v>0</v>
      </c>
      <c r="S1496" s="22" t="n">
        <f aca="false">IF(AND(DAY(B1496)=1,D1496&gt;=13),Assumptions!B42*G1496,0)</f>
        <v>0</v>
      </c>
      <c r="T1496" s="22" t="n">
        <f aca="false">IF(DAY(B1496)=1,Assumptions!B43*G1496,0)</f>
        <v>0</v>
      </c>
      <c r="U1496" s="22" t="n">
        <f aca="false">SUM(O1496:T1496)</f>
        <v>0</v>
      </c>
      <c r="V1496" s="22" t="n">
        <f aca="false">N1496-U1496</f>
        <v>12900</v>
      </c>
      <c r="W1496" s="22" t="n">
        <f aca="false">W1495+V1496</f>
        <v>-587282.879168015</v>
      </c>
      <c r="X1496" s="23" t="str">
        <f aca="false">IF(W1496&gt;=0,"YES","No")</f>
        <v>No</v>
      </c>
    </row>
    <row r="1497" customFormat="false" ht="15" hidden="false" customHeight="false" outlineLevel="0" collapsed="false">
      <c r="A1497" s="16" t="n">
        <v>1496</v>
      </c>
      <c r="B1497" s="17" t="n">
        <f aca="false">B1496+1</f>
        <v>47518</v>
      </c>
      <c r="C1497" s="18" t="n">
        <f aca="false">MIN(ROUNDUP(A1497/365,0),5)</f>
        <v>5</v>
      </c>
      <c r="D1497" s="18" t="n">
        <f aca="false">DATEDIF(Assumptions!B5,B1497,"m")+1</f>
        <v>50</v>
      </c>
      <c r="E1497" s="18" t="str">
        <f aca="false">TEXT(B1497,"ddd")</f>
        <v>Mon</v>
      </c>
      <c r="F1497" s="19" t="n">
        <f aca="false">IF(WEEKDAY(B1497,2)&gt;=6,Assumptions!B34,Assumptions!B35)</f>
        <v>1</v>
      </c>
      <c r="G1497" s="20" t="n">
        <f aca="false">IF(D1497&gt;=13,(1+Assumptions!B46)^(D1497-12),1)</f>
        <v>1.12056087502736</v>
      </c>
      <c r="H1497" s="21" t="n">
        <f aca="false">H1496*(1+IF(C1497=1,Assumptions!B22,Assumptions!B23))</f>
        <v>25.0522036463423</v>
      </c>
      <c r="I1497" s="16" t="n">
        <f aca="false">ROUND(H1497*F1497,0)</f>
        <v>25</v>
      </c>
      <c r="J1497" s="22" t="n">
        <f aca="false">I1497*Assumptions!B24</f>
        <v>15000</v>
      </c>
      <c r="K1497" s="21" t="n">
        <f aca="false">K1496*(1+Assumptions!B30)</f>
        <v>21.4215560013242</v>
      </c>
      <c r="L1497" s="16" t="n">
        <f aca="false">ROUND(K1497*F1497,0)</f>
        <v>21</v>
      </c>
      <c r="M1497" s="22" t="n">
        <f aca="false">L1497*Assumptions!B31</f>
        <v>6300</v>
      </c>
      <c r="N1497" s="22" t="n">
        <f aca="false">J1497+M1497</f>
        <v>21300</v>
      </c>
      <c r="O1497" s="22" t="n">
        <f aca="false">IF(DAY(B1497)=1,Assumptions!B38*G1497,0)</f>
        <v>0</v>
      </c>
      <c r="P1497" s="22" t="n">
        <f aca="false">IF(DAY(B1497)=1,Assumptions!B39*G1497,0)</f>
        <v>0</v>
      </c>
      <c r="Q1497" s="22" t="n">
        <f aca="false">IF(DAY(B1497)=1,Assumptions!B40*G1497,0)</f>
        <v>0</v>
      </c>
      <c r="R1497" s="22" t="n">
        <f aca="false">IF(DAY(B1497)=1,Assumptions!B41*G1497,0)</f>
        <v>0</v>
      </c>
      <c r="S1497" s="22" t="n">
        <f aca="false">IF(AND(DAY(B1497)=1,D1497&gt;=13),Assumptions!B42*G1497,0)</f>
        <v>0</v>
      </c>
      <c r="T1497" s="22" t="n">
        <f aca="false">IF(DAY(B1497)=1,Assumptions!B43*G1497,0)</f>
        <v>0</v>
      </c>
      <c r="U1497" s="22" t="n">
        <f aca="false">SUM(O1497:T1497)</f>
        <v>0</v>
      </c>
      <c r="V1497" s="22" t="n">
        <f aca="false">N1497-U1497</f>
        <v>21300</v>
      </c>
      <c r="W1497" s="22" t="n">
        <f aca="false">W1496+V1497</f>
        <v>-565982.879168015</v>
      </c>
      <c r="X1497" s="23" t="str">
        <f aca="false">IF(W1497&gt;=0,"YES","No")</f>
        <v>No</v>
      </c>
    </row>
    <row r="1498" customFormat="false" ht="15" hidden="false" customHeight="false" outlineLevel="0" collapsed="false">
      <c r="A1498" s="16" t="n">
        <v>1497</v>
      </c>
      <c r="B1498" s="17" t="n">
        <f aca="false">B1497+1</f>
        <v>47519</v>
      </c>
      <c r="C1498" s="18" t="n">
        <f aca="false">MIN(ROUNDUP(A1498/365,0),5)</f>
        <v>5</v>
      </c>
      <c r="D1498" s="18" t="n">
        <f aca="false">DATEDIF(Assumptions!B5,B1498,"m")+1</f>
        <v>50</v>
      </c>
      <c r="E1498" s="18" t="str">
        <f aca="false">TEXT(B1498,"ddd")</f>
        <v>Tue</v>
      </c>
      <c r="F1498" s="19" t="n">
        <f aca="false">IF(WEEKDAY(B1498,2)&gt;=6,Assumptions!B34,Assumptions!B35)</f>
        <v>1</v>
      </c>
      <c r="G1498" s="20" t="n">
        <f aca="false">IF(D1498&gt;=13,(1+Assumptions!B46)^(D1498-12),1)</f>
        <v>1.12056087502736</v>
      </c>
      <c r="H1498" s="21" t="n">
        <f aca="false">H1497*(1+IF(C1498=1,Assumptions!B22,Assumptions!B23))</f>
        <v>25.0563087430085</v>
      </c>
      <c r="I1498" s="16" t="n">
        <f aca="false">ROUND(H1498*F1498,0)</f>
        <v>25</v>
      </c>
      <c r="J1498" s="22" t="n">
        <f aca="false">I1498*Assumptions!B24</f>
        <v>15000</v>
      </c>
      <c r="K1498" s="21" t="n">
        <f aca="false">K1497*(1+Assumptions!B30)</f>
        <v>21.4285594970947</v>
      </c>
      <c r="L1498" s="16" t="n">
        <f aca="false">ROUND(K1498*F1498,0)</f>
        <v>21</v>
      </c>
      <c r="M1498" s="22" t="n">
        <f aca="false">L1498*Assumptions!B31</f>
        <v>6300</v>
      </c>
      <c r="N1498" s="22" t="n">
        <f aca="false">J1498+M1498</f>
        <v>21300</v>
      </c>
      <c r="O1498" s="22" t="n">
        <f aca="false">IF(DAY(B1498)=1,Assumptions!B38*G1498,0)</f>
        <v>0</v>
      </c>
      <c r="P1498" s="22" t="n">
        <f aca="false">IF(DAY(B1498)=1,Assumptions!B39*G1498,0)</f>
        <v>0</v>
      </c>
      <c r="Q1498" s="22" t="n">
        <f aca="false">IF(DAY(B1498)=1,Assumptions!B40*G1498,0)</f>
        <v>0</v>
      </c>
      <c r="R1498" s="22" t="n">
        <f aca="false">IF(DAY(B1498)=1,Assumptions!B41*G1498,0)</f>
        <v>0</v>
      </c>
      <c r="S1498" s="22" t="n">
        <f aca="false">IF(AND(DAY(B1498)=1,D1498&gt;=13),Assumptions!B42*G1498,0)</f>
        <v>0</v>
      </c>
      <c r="T1498" s="22" t="n">
        <f aca="false">IF(DAY(B1498)=1,Assumptions!B43*G1498,0)</f>
        <v>0</v>
      </c>
      <c r="U1498" s="22" t="n">
        <f aca="false">SUM(O1498:T1498)</f>
        <v>0</v>
      </c>
      <c r="V1498" s="22" t="n">
        <f aca="false">N1498-U1498</f>
        <v>21300</v>
      </c>
      <c r="W1498" s="22" t="n">
        <f aca="false">W1497+V1498</f>
        <v>-544682.879168015</v>
      </c>
      <c r="X1498" s="23" t="str">
        <f aca="false">IF(W1498&gt;=0,"YES","No")</f>
        <v>No</v>
      </c>
    </row>
    <row r="1499" customFormat="false" ht="15" hidden="false" customHeight="false" outlineLevel="0" collapsed="false">
      <c r="A1499" s="16" t="n">
        <v>1498</v>
      </c>
      <c r="B1499" s="17" t="n">
        <f aca="false">B1498+1</f>
        <v>47520</v>
      </c>
      <c r="C1499" s="18" t="n">
        <f aca="false">MIN(ROUNDUP(A1499/365,0),5)</f>
        <v>5</v>
      </c>
      <c r="D1499" s="18" t="n">
        <f aca="false">DATEDIF(Assumptions!B5,B1499,"m")+1</f>
        <v>50</v>
      </c>
      <c r="E1499" s="18" t="str">
        <f aca="false">TEXT(B1499,"ddd")</f>
        <v>Wed</v>
      </c>
      <c r="F1499" s="19" t="n">
        <f aca="false">IF(WEEKDAY(B1499,2)&gt;=6,Assumptions!B34,Assumptions!B35)</f>
        <v>1</v>
      </c>
      <c r="G1499" s="20" t="n">
        <f aca="false">IF(D1499&gt;=13,(1+Assumptions!B46)^(D1499-12),1)</f>
        <v>1.12056087502736</v>
      </c>
      <c r="H1499" s="21" t="n">
        <f aca="false">H1498*(1+IF(C1499=1,Assumptions!B22,Assumptions!B23))</f>
        <v>25.0604145123428</v>
      </c>
      <c r="I1499" s="16" t="n">
        <f aca="false">ROUND(H1499*F1499,0)</f>
        <v>25</v>
      </c>
      <c r="J1499" s="22" t="n">
        <f aca="false">I1499*Assumptions!B24</f>
        <v>15000</v>
      </c>
      <c r="K1499" s="21" t="n">
        <f aca="false">K1498*(1+Assumptions!B30)</f>
        <v>21.435565282566</v>
      </c>
      <c r="L1499" s="16" t="n">
        <f aca="false">ROUND(K1499*F1499,0)</f>
        <v>21</v>
      </c>
      <c r="M1499" s="22" t="n">
        <f aca="false">L1499*Assumptions!B31</f>
        <v>6300</v>
      </c>
      <c r="N1499" s="22" t="n">
        <f aca="false">J1499+M1499</f>
        <v>21300</v>
      </c>
      <c r="O1499" s="22" t="n">
        <f aca="false">IF(DAY(B1499)=1,Assumptions!B38*G1499,0)</f>
        <v>0</v>
      </c>
      <c r="P1499" s="22" t="n">
        <f aca="false">IF(DAY(B1499)=1,Assumptions!B39*G1499,0)</f>
        <v>0</v>
      </c>
      <c r="Q1499" s="22" t="n">
        <f aca="false">IF(DAY(B1499)=1,Assumptions!B40*G1499,0)</f>
        <v>0</v>
      </c>
      <c r="R1499" s="22" t="n">
        <f aca="false">IF(DAY(B1499)=1,Assumptions!B41*G1499,0)</f>
        <v>0</v>
      </c>
      <c r="S1499" s="22" t="n">
        <f aca="false">IF(AND(DAY(B1499)=1,D1499&gt;=13),Assumptions!B42*G1499,0)</f>
        <v>0</v>
      </c>
      <c r="T1499" s="22" t="n">
        <f aca="false">IF(DAY(B1499)=1,Assumptions!B43*G1499,0)</f>
        <v>0</v>
      </c>
      <c r="U1499" s="22" t="n">
        <f aca="false">SUM(O1499:T1499)</f>
        <v>0</v>
      </c>
      <c r="V1499" s="22" t="n">
        <f aca="false">N1499-U1499</f>
        <v>21300</v>
      </c>
      <c r="W1499" s="22" t="n">
        <f aca="false">W1498+V1499</f>
        <v>-523382.879168015</v>
      </c>
      <c r="X1499" s="23" t="str">
        <f aca="false">IF(W1499&gt;=0,"YES","No")</f>
        <v>No</v>
      </c>
    </row>
    <row r="1500" customFormat="false" ht="15" hidden="false" customHeight="false" outlineLevel="0" collapsed="false">
      <c r="A1500" s="16" t="n">
        <v>1499</v>
      </c>
      <c r="B1500" s="17" t="n">
        <f aca="false">B1499+1</f>
        <v>47521</v>
      </c>
      <c r="C1500" s="18" t="n">
        <f aca="false">MIN(ROUNDUP(A1500/365,0),5)</f>
        <v>5</v>
      </c>
      <c r="D1500" s="18" t="n">
        <f aca="false">DATEDIF(Assumptions!B5,B1500,"m")+1</f>
        <v>50</v>
      </c>
      <c r="E1500" s="18" t="str">
        <f aca="false">TEXT(B1500,"ddd")</f>
        <v>Thu</v>
      </c>
      <c r="F1500" s="19" t="n">
        <f aca="false">IF(WEEKDAY(B1500,2)&gt;=6,Assumptions!B34,Assumptions!B35)</f>
        <v>1</v>
      </c>
      <c r="G1500" s="20" t="n">
        <f aca="false">IF(D1500&gt;=13,(1+Assumptions!B46)^(D1500-12),1)</f>
        <v>1.12056087502736</v>
      </c>
      <c r="H1500" s="21" t="n">
        <f aca="false">H1499*(1+IF(C1500=1,Assumptions!B22,Assumptions!B23))</f>
        <v>25.0645209544555</v>
      </c>
      <c r="I1500" s="16" t="n">
        <f aca="false">ROUND(H1500*F1500,0)</f>
        <v>25</v>
      </c>
      <c r="J1500" s="22" t="n">
        <f aca="false">I1500*Assumptions!B24</f>
        <v>15000</v>
      </c>
      <c r="K1500" s="21" t="n">
        <f aca="false">K1499*(1+Assumptions!B30)</f>
        <v>21.4425733584866</v>
      </c>
      <c r="L1500" s="16" t="n">
        <f aca="false">ROUND(K1500*F1500,0)</f>
        <v>21</v>
      </c>
      <c r="M1500" s="22" t="n">
        <f aca="false">L1500*Assumptions!B31</f>
        <v>6300</v>
      </c>
      <c r="N1500" s="22" t="n">
        <f aca="false">J1500+M1500</f>
        <v>21300</v>
      </c>
      <c r="O1500" s="22" t="n">
        <f aca="false">IF(DAY(B1500)=1,Assumptions!B38*G1500,0)</f>
        <v>0</v>
      </c>
      <c r="P1500" s="22" t="n">
        <f aca="false">IF(DAY(B1500)=1,Assumptions!B39*G1500,0)</f>
        <v>0</v>
      </c>
      <c r="Q1500" s="22" t="n">
        <f aca="false">IF(DAY(B1500)=1,Assumptions!B40*G1500,0)</f>
        <v>0</v>
      </c>
      <c r="R1500" s="22" t="n">
        <f aca="false">IF(DAY(B1500)=1,Assumptions!B41*G1500,0)</f>
        <v>0</v>
      </c>
      <c r="S1500" s="22" t="n">
        <f aca="false">IF(AND(DAY(B1500)=1,D1500&gt;=13),Assumptions!B42*G1500,0)</f>
        <v>0</v>
      </c>
      <c r="T1500" s="22" t="n">
        <f aca="false">IF(DAY(B1500)=1,Assumptions!B43*G1500,0)</f>
        <v>0</v>
      </c>
      <c r="U1500" s="22" t="n">
        <f aca="false">SUM(O1500:T1500)</f>
        <v>0</v>
      </c>
      <c r="V1500" s="22" t="n">
        <f aca="false">N1500-U1500</f>
        <v>21300</v>
      </c>
      <c r="W1500" s="22" t="n">
        <f aca="false">W1499+V1500</f>
        <v>-502082.879168015</v>
      </c>
      <c r="X1500" s="23" t="str">
        <f aca="false">IF(W1500&gt;=0,"YES","No")</f>
        <v>No</v>
      </c>
    </row>
    <row r="1501" customFormat="false" ht="15" hidden="false" customHeight="false" outlineLevel="0" collapsed="false">
      <c r="A1501" s="16" t="n">
        <v>1500</v>
      </c>
      <c r="B1501" s="17" t="n">
        <f aca="false">B1500+1</f>
        <v>47522</v>
      </c>
      <c r="C1501" s="18" t="n">
        <f aca="false">MIN(ROUNDUP(A1501/365,0),5)</f>
        <v>5</v>
      </c>
      <c r="D1501" s="18" t="n">
        <f aca="false">DATEDIF(Assumptions!B5,B1501,"m")+1</f>
        <v>50</v>
      </c>
      <c r="E1501" s="18" t="str">
        <f aca="false">TEXT(B1501,"ddd")</f>
        <v>Fri</v>
      </c>
      <c r="F1501" s="19" t="n">
        <f aca="false">IF(WEEKDAY(B1501,2)&gt;=6,Assumptions!B34,Assumptions!B35)</f>
        <v>1</v>
      </c>
      <c r="G1501" s="20" t="n">
        <f aca="false">IF(D1501&gt;=13,(1+Assumptions!B46)^(D1501-12),1)</f>
        <v>1.12056087502736</v>
      </c>
      <c r="H1501" s="21" t="n">
        <f aca="false">H1500*(1+IF(C1501=1,Assumptions!B22,Assumptions!B23))</f>
        <v>25.0686280694567</v>
      </c>
      <c r="I1501" s="16" t="n">
        <f aca="false">ROUND(H1501*F1501,0)</f>
        <v>25</v>
      </c>
      <c r="J1501" s="22" t="n">
        <f aca="false">I1501*Assumptions!B24</f>
        <v>15000</v>
      </c>
      <c r="K1501" s="21" t="n">
        <f aca="false">K1500*(1+Assumptions!B30)</f>
        <v>21.4495837256054</v>
      </c>
      <c r="L1501" s="16" t="n">
        <f aca="false">ROUND(K1501*F1501,0)</f>
        <v>21</v>
      </c>
      <c r="M1501" s="22" t="n">
        <f aca="false">L1501*Assumptions!B31</f>
        <v>6300</v>
      </c>
      <c r="N1501" s="22" t="n">
        <f aca="false">J1501+M1501</f>
        <v>21300</v>
      </c>
      <c r="O1501" s="22" t="n">
        <f aca="false">IF(DAY(B1501)=1,Assumptions!B38*G1501,0)</f>
        <v>0</v>
      </c>
      <c r="P1501" s="22" t="n">
        <f aca="false">IF(DAY(B1501)=1,Assumptions!B39*G1501,0)</f>
        <v>0</v>
      </c>
      <c r="Q1501" s="22" t="n">
        <f aca="false">IF(DAY(B1501)=1,Assumptions!B40*G1501,0)</f>
        <v>0</v>
      </c>
      <c r="R1501" s="22" t="n">
        <f aca="false">IF(DAY(B1501)=1,Assumptions!B41*G1501,0)</f>
        <v>0</v>
      </c>
      <c r="S1501" s="22" t="n">
        <f aca="false">IF(AND(DAY(B1501)=1,D1501&gt;=13),Assumptions!B42*G1501,0)</f>
        <v>0</v>
      </c>
      <c r="T1501" s="22" t="n">
        <f aca="false">IF(DAY(B1501)=1,Assumptions!B43*G1501,0)</f>
        <v>0</v>
      </c>
      <c r="U1501" s="22" t="n">
        <f aca="false">SUM(O1501:T1501)</f>
        <v>0</v>
      </c>
      <c r="V1501" s="22" t="n">
        <f aca="false">N1501-U1501</f>
        <v>21300</v>
      </c>
      <c r="W1501" s="22" t="n">
        <f aca="false">W1500+V1501</f>
        <v>-480782.879168015</v>
      </c>
      <c r="X1501" s="23" t="str">
        <f aca="false">IF(W1501&gt;=0,"YES","No")</f>
        <v>No</v>
      </c>
    </row>
    <row r="1502" customFormat="false" ht="15" hidden="false" customHeight="false" outlineLevel="0" collapsed="false">
      <c r="A1502" s="16" t="n">
        <v>1501</v>
      </c>
      <c r="B1502" s="17" t="n">
        <f aca="false">B1501+1</f>
        <v>47523</v>
      </c>
      <c r="C1502" s="18" t="n">
        <f aca="false">MIN(ROUNDUP(A1502/365,0),5)</f>
        <v>5</v>
      </c>
      <c r="D1502" s="18" t="n">
        <f aca="false">DATEDIF(Assumptions!B5,B1502,"m")+1</f>
        <v>50</v>
      </c>
      <c r="E1502" s="18" t="str">
        <f aca="false">TEXT(B1502,"ddd")</f>
        <v>Sat</v>
      </c>
      <c r="F1502" s="19" t="n">
        <f aca="false">IF(WEEKDAY(B1502,2)&gt;=6,Assumptions!B34,Assumptions!B35)</f>
        <v>0.6</v>
      </c>
      <c r="G1502" s="20" t="n">
        <f aca="false">IF(D1502&gt;=13,(1+Assumptions!B46)^(D1502-12),1)</f>
        <v>1.12056087502736</v>
      </c>
      <c r="H1502" s="21" t="n">
        <f aca="false">H1501*(1+IF(C1502=1,Assumptions!B22,Assumptions!B23))</f>
        <v>25.0727358574568</v>
      </c>
      <c r="I1502" s="16" t="n">
        <f aca="false">ROUND(H1502*F1502,0)</f>
        <v>15</v>
      </c>
      <c r="J1502" s="22" t="n">
        <f aca="false">I1502*Assumptions!B24</f>
        <v>9000</v>
      </c>
      <c r="K1502" s="21" t="n">
        <f aca="false">K1501*(1+Assumptions!B30)</f>
        <v>21.4565963846714</v>
      </c>
      <c r="L1502" s="16" t="n">
        <f aca="false">ROUND(K1502*F1502,0)</f>
        <v>13</v>
      </c>
      <c r="M1502" s="22" t="n">
        <f aca="false">L1502*Assumptions!B31</f>
        <v>3900</v>
      </c>
      <c r="N1502" s="22" t="n">
        <f aca="false">J1502+M1502</f>
        <v>12900</v>
      </c>
      <c r="O1502" s="22" t="n">
        <f aca="false">IF(DAY(B1502)=1,Assumptions!B38*G1502,0)</f>
        <v>0</v>
      </c>
      <c r="P1502" s="22" t="n">
        <f aca="false">IF(DAY(B1502)=1,Assumptions!B39*G1502,0)</f>
        <v>0</v>
      </c>
      <c r="Q1502" s="22" t="n">
        <f aca="false">IF(DAY(B1502)=1,Assumptions!B40*G1502,0)</f>
        <v>0</v>
      </c>
      <c r="R1502" s="22" t="n">
        <f aca="false">IF(DAY(B1502)=1,Assumptions!B41*G1502,0)</f>
        <v>0</v>
      </c>
      <c r="S1502" s="22" t="n">
        <f aca="false">IF(AND(DAY(B1502)=1,D1502&gt;=13),Assumptions!B42*G1502,0)</f>
        <v>0</v>
      </c>
      <c r="T1502" s="22" t="n">
        <f aca="false">IF(DAY(B1502)=1,Assumptions!B43*G1502,0)</f>
        <v>0</v>
      </c>
      <c r="U1502" s="22" t="n">
        <f aca="false">SUM(O1502:T1502)</f>
        <v>0</v>
      </c>
      <c r="V1502" s="22" t="n">
        <f aca="false">N1502-U1502</f>
        <v>12900</v>
      </c>
      <c r="W1502" s="22" t="n">
        <f aca="false">W1501+V1502</f>
        <v>-467882.879168015</v>
      </c>
      <c r="X1502" s="23" t="str">
        <f aca="false">IF(W1502&gt;=0,"YES","No")</f>
        <v>No</v>
      </c>
    </row>
    <row r="1503" customFormat="false" ht="15" hidden="false" customHeight="false" outlineLevel="0" collapsed="false">
      <c r="A1503" s="16" t="n">
        <v>1502</v>
      </c>
      <c r="B1503" s="17" t="n">
        <f aca="false">B1502+1</f>
        <v>47524</v>
      </c>
      <c r="C1503" s="18" t="n">
        <f aca="false">MIN(ROUNDUP(A1503/365,0),5)</f>
        <v>5</v>
      </c>
      <c r="D1503" s="18" t="n">
        <f aca="false">DATEDIF(Assumptions!B5,B1503,"m")+1</f>
        <v>50</v>
      </c>
      <c r="E1503" s="18" t="str">
        <f aca="false">TEXT(B1503,"ddd")</f>
        <v>Sun</v>
      </c>
      <c r="F1503" s="19" t="n">
        <f aca="false">IF(WEEKDAY(B1503,2)&gt;=6,Assumptions!B34,Assumptions!B35)</f>
        <v>0.6</v>
      </c>
      <c r="G1503" s="20" t="n">
        <f aca="false">IF(D1503&gt;=13,(1+Assumptions!B46)^(D1503-12),1)</f>
        <v>1.12056087502736</v>
      </c>
      <c r="H1503" s="21" t="n">
        <f aca="false">H1502*(1+IF(C1503=1,Assumptions!B22,Assumptions!B23))</f>
        <v>25.0768443185661</v>
      </c>
      <c r="I1503" s="16" t="n">
        <f aca="false">ROUND(H1503*F1503,0)</f>
        <v>15</v>
      </c>
      <c r="J1503" s="22" t="n">
        <f aca="false">I1503*Assumptions!B24</f>
        <v>9000</v>
      </c>
      <c r="K1503" s="21" t="n">
        <f aca="false">K1502*(1+Assumptions!B30)</f>
        <v>21.463611336434</v>
      </c>
      <c r="L1503" s="16" t="n">
        <f aca="false">ROUND(K1503*F1503,0)</f>
        <v>13</v>
      </c>
      <c r="M1503" s="22" t="n">
        <f aca="false">L1503*Assumptions!B31</f>
        <v>3900</v>
      </c>
      <c r="N1503" s="22" t="n">
        <f aca="false">J1503+M1503</f>
        <v>12900</v>
      </c>
      <c r="O1503" s="22" t="n">
        <f aca="false">IF(DAY(B1503)=1,Assumptions!B38*G1503,0)</f>
        <v>0</v>
      </c>
      <c r="P1503" s="22" t="n">
        <f aca="false">IF(DAY(B1503)=1,Assumptions!B39*G1503,0)</f>
        <v>0</v>
      </c>
      <c r="Q1503" s="22" t="n">
        <f aca="false">IF(DAY(B1503)=1,Assumptions!B40*G1503,0)</f>
        <v>0</v>
      </c>
      <c r="R1503" s="22" t="n">
        <f aca="false">IF(DAY(B1503)=1,Assumptions!B41*G1503,0)</f>
        <v>0</v>
      </c>
      <c r="S1503" s="22" t="n">
        <f aca="false">IF(AND(DAY(B1503)=1,D1503&gt;=13),Assumptions!B42*G1503,0)</f>
        <v>0</v>
      </c>
      <c r="T1503" s="22" t="n">
        <f aca="false">IF(DAY(B1503)=1,Assumptions!B43*G1503,0)</f>
        <v>0</v>
      </c>
      <c r="U1503" s="22" t="n">
        <f aca="false">SUM(O1503:T1503)</f>
        <v>0</v>
      </c>
      <c r="V1503" s="22" t="n">
        <f aca="false">N1503-U1503</f>
        <v>12900</v>
      </c>
      <c r="W1503" s="22" t="n">
        <f aca="false">W1502+V1503</f>
        <v>-454982.879168015</v>
      </c>
      <c r="X1503" s="23" t="str">
        <f aca="false">IF(W1503&gt;=0,"YES","No")</f>
        <v>No</v>
      </c>
    </row>
    <row r="1504" customFormat="false" ht="15" hidden="false" customHeight="false" outlineLevel="0" collapsed="false">
      <c r="A1504" s="16" t="n">
        <v>1503</v>
      </c>
      <c r="B1504" s="17" t="n">
        <f aca="false">B1503+1</f>
        <v>47525</v>
      </c>
      <c r="C1504" s="18" t="n">
        <f aca="false">MIN(ROUNDUP(A1504/365,0),5)</f>
        <v>5</v>
      </c>
      <c r="D1504" s="18" t="n">
        <f aca="false">DATEDIF(Assumptions!B5,B1504,"m")+1</f>
        <v>50</v>
      </c>
      <c r="E1504" s="18" t="str">
        <f aca="false">TEXT(B1504,"ddd")</f>
        <v>Mon</v>
      </c>
      <c r="F1504" s="19" t="n">
        <f aca="false">IF(WEEKDAY(B1504,2)&gt;=6,Assumptions!B34,Assumptions!B35)</f>
        <v>1</v>
      </c>
      <c r="G1504" s="20" t="n">
        <f aca="false">IF(D1504&gt;=13,(1+Assumptions!B46)^(D1504-12),1)</f>
        <v>1.12056087502736</v>
      </c>
      <c r="H1504" s="21" t="n">
        <f aca="false">H1503*(1+IF(C1504=1,Assumptions!B22,Assumptions!B23))</f>
        <v>25.0809534528947</v>
      </c>
      <c r="I1504" s="16" t="n">
        <f aca="false">ROUND(H1504*F1504,0)</f>
        <v>25</v>
      </c>
      <c r="J1504" s="22" t="n">
        <f aca="false">I1504*Assumptions!B24</f>
        <v>15000</v>
      </c>
      <c r="K1504" s="21" t="n">
        <f aca="false">K1503*(1+Assumptions!B30)</f>
        <v>21.4706285816428</v>
      </c>
      <c r="L1504" s="16" t="n">
        <f aca="false">ROUND(K1504*F1504,0)</f>
        <v>21</v>
      </c>
      <c r="M1504" s="22" t="n">
        <f aca="false">L1504*Assumptions!B31</f>
        <v>6300</v>
      </c>
      <c r="N1504" s="22" t="n">
        <f aca="false">J1504+M1504</f>
        <v>21300</v>
      </c>
      <c r="O1504" s="22" t="n">
        <f aca="false">IF(DAY(B1504)=1,Assumptions!B38*G1504,0)</f>
        <v>0</v>
      </c>
      <c r="P1504" s="22" t="n">
        <f aca="false">IF(DAY(B1504)=1,Assumptions!B39*G1504,0)</f>
        <v>0</v>
      </c>
      <c r="Q1504" s="22" t="n">
        <f aca="false">IF(DAY(B1504)=1,Assumptions!B40*G1504,0)</f>
        <v>0</v>
      </c>
      <c r="R1504" s="22" t="n">
        <f aca="false">IF(DAY(B1504)=1,Assumptions!B41*G1504,0)</f>
        <v>0</v>
      </c>
      <c r="S1504" s="22" t="n">
        <f aca="false">IF(AND(DAY(B1504)=1,D1504&gt;=13),Assumptions!B42*G1504,0)</f>
        <v>0</v>
      </c>
      <c r="T1504" s="22" t="n">
        <f aca="false">IF(DAY(B1504)=1,Assumptions!B43*G1504,0)</f>
        <v>0</v>
      </c>
      <c r="U1504" s="22" t="n">
        <f aca="false">SUM(O1504:T1504)</f>
        <v>0</v>
      </c>
      <c r="V1504" s="22" t="n">
        <f aca="false">N1504-U1504</f>
        <v>21300</v>
      </c>
      <c r="W1504" s="22" t="n">
        <f aca="false">W1503+V1504</f>
        <v>-433682.879168015</v>
      </c>
      <c r="X1504" s="23" t="str">
        <f aca="false">IF(W1504&gt;=0,"YES","No")</f>
        <v>No</v>
      </c>
    </row>
    <row r="1505" customFormat="false" ht="15" hidden="false" customHeight="false" outlineLevel="0" collapsed="false">
      <c r="A1505" s="16" t="n">
        <v>1504</v>
      </c>
      <c r="B1505" s="17" t="n">
        <f aca="false">B1504+1</f>
        <v>47526</v>
      </c>
      <c r="C1505" s="18" t="n">
        <f aca="false">MIN(ROUNDUP(A1505/365,0),5)</f>
        <v>5</v>
      </c>
      <c r="D1505" s="18" t="n">
        <f aca="false">DATEDIF(Assumptions!B5,B1505,"m")+1</f>
        <v>50</v>
      </c>
      <c r="E1505" s="18" t="str">
        <f aca="false">TEXT(B1505,"ddd")</f>
        <v>Tue</v>
      </c>
      <c r="F1505" s="19" t="n">
        <f aca="false">IF(WEEKDAY(B1505,2)&gt;=6,Assumptions!B34,Assumptions!B35)</f>
        <v>1</v>
      </c>
      <c r="G1505" s="20" t="n">
        <f aca="false">IF(D1505&gt;=13,(1+Assumptions!B46)^(D1505-12),1)</f>
        <v>1.12056087502736</v>
      </c>
      <c r="H1505" s="21" t="n">
        <f aca="false">H1504*(1+IF(C1505=1,Assumptions!B22,Assumptions!B23))</f>
        <v>25.0850632605531</v>
      </c>
      <c r="I1505" s="16" t="n">
        <f aca="false">ROUND(H1505*F1505,0)</f>
        <v>25</v>
      </c>
      <c r="J1505" s="22" t="n">
        <f aca="false">I1505*Assumptions!B24</f>
        <v>15000</v>
      </c>
      <c r="K1505" s="21" t="n">
        <f aca="false">K1504*(1+Assumptions!B30)</f>
        <v>21.4776481210475</v>
      </c>
      <c r="L1505" s="16" t="n">
        <f aca="false">ROUND(K1505*F1505,0)</f>
        <v>21</v>
      </c>
      <c r="M1505" s="22" t="n">
        <f aca="false">L1505*Assumptions!B31</f>
        <v>6300</v>
      </c>
      <c r="N1505" s="22" t="n">
        <f aca="false">J1505+M1505</f>
        <v>21300</v>
      </c>
      <c r="O1505" s="22" t="n">
        <f aca="false">IF(DAY(B1505)=1,Assumptions!B38*G1505,0)</f>
        <v>0</v>
      </c>
      <c r="P1505" s="22" t="n">
        <f aca="false">IF(DAY(B1505)=1,Assumptions!B39*G1505,0)</f>
        <v>0</v>
      </c>
      <c r="Q1505" s="22" t="n">
        <f aca="false">IF(DAY(B1505)=1,Assumptions!B40*G1505,0)</f>
        <v>0</v>
      </c>
      <c r="R1505" s="22" t="n">
        <f aca="false">IF(DAY(B1505)=1,Assumptions!B41*G1505,0)</f>
        <v>0</v>
      </c>
      <c r="S1505" s="22" t="n">
        <f aca="false">IF(AND(DAY(B1505)=1,D1505&gt;=13),Assumptions!B42*G1505,0)</f>
        <v>0</v>
      </c>
      <c r="T1505" s="22" t="n">
        <f aca="false">IF(DAY(B1505)=1,Assumptions!B43*G1505,0)</f>
        <v>0</v>
      </c>
      <c r="U1505" s="22" t="n">
        <f aca="false">SUM(O1505:T1505)</f>
        <v>0</v>
      </c>
      <c r="V1505" s="22" t="n">
        <f aca="false">N1505-U1505</f>
        <v>21300</v>
      </c>
      <c r="W1505" s="22" t="n">
        <f aca="false">W1504+V1505</f>
        <v>-412382.879168015</v>
      </c>
      <c r="X1505" s="23" t="str">
        <f aca="false">IF(W1505&gt;=0,"YES","No")</f>
        <v>No</v>
      </c>
    </row>
    <row r="1506" customFormat="false" ht="15" hidden="false" customHeight="false" outlineLevel="0" collapsed="false">
      <c r="A1506" s="16" t="n">
        <v>1505</v>
      </c>
      <c r="B1506" s="17" t="n">
        <f aca="false">B1505+1</f>
        <v>47527</v>
      </c>
      <c r="C1506" s="18" t="n">
        <f aca="false">MIN(ROUNDUP(A1506/365,0),5)</f>
        <v>5</v>
      </c>
      <c r="D1506" s="18" t="n">
        <f aca="false">DATEDIF(Assumptions!B5,B1506,"m")+1</f>
        <v>50</v>
      </c>
      <c r="E1506" s="18" t="str">
        <f aca="false">TEXT(B1506,"ddd")</f>
        <v>Wed</v>
      </c>
      <c r="F1506" s="19" t="n">
        <f aca="false">IF(WEEKDAY(B1506,2)&gt;=6,Assumptions!B34,Assumptions!B35)</f>
        <v>1</v>
      </c>
      <c r="G1506" s="20" t="n">
        <f aca="false">IF(D1506&gt;=13,(1+Assumptions!B46)^(D1506-12),1)</f>
        <v>1.12056087502736</v>
      </c>
      <c r="H1506" s="21" t="n">
        <f aca="false">H1505*(1+IF(C1506=1,Assumptions!B22,Assumptions!B23))</f>
        <v>25.0891737416515</v>
      </c>
      <c r="I1506" s="16" t="n">
        <f aca="false">ROUND(H1506*F1506,0)</f>
        <v>25</v>
      </c>
      <c r="J1506" s="22" t="n">
        <f aca="false">I1506*Assumptions!B24</f>
        <v>15000</v>
      </c>
      <c r="K1506" s="21" t="n">
        <f aca="false">K1505*(1+Assumptions!B30)</f>
        <v>21.4846699553983</v>
      </c>
      <c r="L1506" s="16" t="n">
        <f aca="false">ROUND(K1506*F1506,0)</f>
        <v>21</v>
      </c>
      <c r="M1506" s="22" t="n">
        <f aca="false">L1506*Assumptions!B31</f>
        <v>6300</v>
      </c>
      <c r="N1506" s="22" t="n">
        <f aca="false">J1506+M1506</f>
        <v>21300</v>
      </c>
      <c r="O1506" s="22" t="n">
        <f aca="false">IF(DAY(B1506)=1,Assumptions!B38*G1506,0)</f>
        <v>0</v>
      </c>
      <c r="P1506" s="22" t="n">
        <f aca="false">IF(DAY(B1506)=1,Assumptions!B39*G1506,0)</f>
        <v>0</v>
      </c>
      <c r="Q1506" s="22" t="n">
        <f aca="false">IF(DAY(B1506)=1,Assumptions!B40*G1506,0)</f>
        <v>0</v>
      </c>
      <c r="R1506" s="22" t="n">
        <f aca="false">IF(DAY(B1506)=1,Assumptions!B41*G1506,0)</f>
        <v>0</v>
      </c>
      <c r="S1506" s="22" t="n">
        <f aca="false">IF(AND(DAY(B1506)=1,D1506&gt;=13),Assumptions!B42*G1506,0)</f>
        <v>0</v>
      </c>
      <c r="T1506" s="22" t="n">
        <f aca="false">IF(DAY(B1506)=1,Assumptions!B43*G1506,0)</f>
        <v>0</v>
      </c>
      <c r="U1506" s="22" t="n">
        <f aca="false">SUM(O1506:T1506)</f>
        <v>0</v>
      </c>
      <c r="V1506" s="22" t="n">
        <f aca="false">N1506-U1506</f>
        <v>21300</v>
      </c>
      <c r="W1506" s="22" t="n">
        <f aca="false">W1505+V1506</f>
        <v>-391082.879168015</v>
      </c>
      <c r="X1506" s="23" t="str">
        <f aca="false">IF(W1506&gt;=0,"YES","No")</f>
        <v>No</v>
      </c>
    </row>
    <row r="1507" customFormat="false" ht="15" hidden="false" customHeight="false" outlineLevel="0" collapsed="false">
      <c r="A1507" s="16" t="n">
        <v>1506</v>
      </c>
      <c r="B1507" s="17" t="n">
        <f aca="false">B1506+1</f>
        <v>47528</v>
      </c>
      <c r="C1507" s="18" t="n">
        <f aca="false">MIN(ROUNDUP(A1507/365,0),5)</f>
        <v>5</v>
      </c>
      <c r="D1507" s="18" t="n">
        <f aca="false">DATEDIF(Assumptions!B5,B1507,"m")+1</f>
        <v>50</v>
      </c>
      <c r="E1507" s="18" t="str">
        <f aca="false">TEXT(B1507,"ddd")</f>
        <v>Thu</v>
      </c>
      <c r="F1507" s="19" t="n">
        <f aca="false">IF(WEEKDAY(B1507,2)&gt;=6,Assumptions!B34,Assumptions!B35)</f>
        <v>1</v>
      </c>
      <c r="G1507" s="20" t="n">
        <f aca="false">IF(D1507&gt;=13,(1+Assumptions!B46)^(D1507-12),1)</f>
        <v>1.12056087502736</v>
      </c>
      <c r="H1507" s="21" t="n">
        <f aca="false">H1506*(1+IF(C1507=1,Assumptions!B22,Assumptions!B23))</f>
        <v>25.0932848963004</v>
      </c>
      <c r="I1507" s="16" t="n">
        <f aca="false">ROUND(H1507*F1507,0)</f>
        <v>25</v>
      </c>
      <c r="J1507" s="22" t="n">
        <f aca="false">I1507*Assumptions!B24</f>
        <v>15000</v>
      </c>
      <c r="K1507" s="21" t="n">
        <f aca="false">K1506*(1+Assumptions!B30)</f>
        <v>21.4916940854453</v>
      </c>
      <c r="L1507" s="16" t="n">
        <f aca="false">ROUND(K1507*F1507,0)</f>
        <v>21</v>
      </c>
      <c r="M1507" s="22" t="n">
        <f aca="false">L1507*Assumptions!B31</f>
        <v>6300</v>
      </c>
      <c r="N1507" s="22" t="n">
        <f aca="false">J1507+M1507</f>
        <v>21300</v>
      </c>
      <c r="O1507" s="22" t="n">
        <f aca="false">IF(DAY(B1507)=1,Assumptions!B38*G1507,0)</f>
        <v>0</v>
      </c>
      <c r="P1507" s="22" t="n">
        <f aca="false">IF(DAY(B1507)=1,Assumptions!B39*G1507,0)</f>
        <v>0</v>
      </c>
      <c r="Q1507" s="22" t="n">
        <f aca="false">IF(DAY(B1507)=1,Assumptions!B40*G1507,0)</f>
        <v>0</v>
      </c>
      <c r="R1507" s="22" t="n">
        <f aca="false">IF(DAY(B1507)=1,Assumptions!B41*G1507,0)</f>
        <v>0</v>
      </c>
      <c r="S1507" s="22" t="n">
        <f aca="false">IF(AND(DAY(B1507)=1,D1507&gt;=13),Assumptions!B42*G1507,0)</f>
        <v>0</v>
      </c>
      <c r="T1507" s="22" t="n">
        <f aca="false">IF(DAY(B1507)=1,Assumptions!B43*G1507,0)</f>
        <v>0</v>
      </c>
      <c r="U1507" s="22" t="n">
        <f aca="false">SUM(O1507:T1507)</f>
        <v>0</v>
      </c>
      <c r="V1507" s="22" t="n">
        <f aca="false">N1507-U1507</f>
        <v>21300</v>
      </c>
      <c r="W1507" s="22" t="n">
        <f aca="false">W1506+V1507</f>
        <v>-369782.879168015</v>
      </c>
      <c r="X1507" s="23" t="str">
        <f aca="false">IF(W1507&gt;=0,"YES","No")</f>
        <v>No</v>
      </c>
    </row>
    <row r="1508" customFormat="false" ht="15" hidden="false" customHeight="false" outlineLevel="0" collapsed="false">
      <c r="A1508" s="16" t="n">
        <v>1507</v>
      </c>
      <c r="B1508" s="17" t="n">
        <f aca="false">B1507+1</f>
        <v>47529</v>
      </c>
      <c r="C1508" s="18" t="n">
        <f aca="false">MIN(ROUNDUP(A1508/365,0),5)</f>
        <v>5</v>
      </c>
      <c r="D1508" s="18" t="n">
        <f aca="false">DATEDIF(Assumptions!B5,B1508,"m")+1</f>
        <v>50</v>
      </c>
      <c r="E1508" s="18" t="str">
        <f aca="false">TEXT(B1508,"ddd")</f>
        <v>Fri</v>
      </c>
      <c r="F1508" s="19" t="n">
        <f aca="false">IF(WEEKDAY(B1508,2)&gt;=6,Assumptions!B34,Assumptions!B35)</f>
        <v>1</v>
      </c>
      <c r="G1508" s="20" t="n">
        <f aca="false">IF(D1508&gt;=13,(1+Assumptions!B46)^(D1508-12),1)</f>
        <v>1.12056087502736</v>
      </c>
      <c r="H1508" s="21" t="n">
        <f aca="false">H1507*(1+IF(C1508=1,Assumptions!B22,Assumptions!B23))</f>
        <v>25.09739672461</v>
      </c>
      <c r="I1508" s="16" t="n">
        <f aca="false">ROUND(H1508*F1508,0)</f>
        <v>25</v>
      </c>
      <c r="J1508" s="22" t="n">
        <f aca="false">I1508*Assumptions!B24</f>
        <v>15000</v>
      </c>
      <c r="K1508" s="21" t="n">
        <f aca="false">K1507*(1+Assumptions!B30)</f>
        <v>21.4987205119393</v>
      </c>
      <c r="L1508" s="16" t="n">
        <f aca="false">ROUND(K1508*F1508,0)</f>
        <v>21</v>
      </c>
      <c r="M1508" s="22" t="n">
        <f aca="false">L1508*Assumptions!B31</f>
        <v>6300</v>
      </c>
      <c r="N1508" s="22" t="n">
        <f aca="false">J1508+M1508</f>
        <v>21300</v>
      </c>
      <c r="O1508" s="22" t="n">
        <f aca="false">IF(DAY(B1508)=1,Assumptions!B38*G1508,0)</f>
        <v>0</v>
      </c>
      <c r="P1508" s="22" t="n">
        <f aca="false">IF(DAY(B1508)=1,Assumptions!B39*G1508,0)</f>
        <v>0</v>
      </c>
      <c r="Q1508" s="22" t="n">
        <f aca="false">IF(DAY(B1508)=1,Assumptions!B40*G1508,0)</f>
        <v>0</v>
      </c>
      <c r="R1508" s="22" t="n">
        <f aca="false">IF(DAY(B1508)=1,Assumptions!B41*G1508,0)</f>
        <v>0</v>
      </c>
      <c r="S1508" s="22" t="n">
        <f aca="false">IF(AND(DAY(B1508)=1,D1508&gt;=13),Assumptions!B42*G1508,0)</f>
        <v>0</v>
      </c>
      <c r="T1508" s="22" t="n">
        <f aca="false">IF(DAY(B1508)=1,Assumptions!B43*G1508,0)</f>
        <v>0</v>
      </c>
      <c r="U1508" s="22" t="n">
        <f aca="false">SUM(O1508:T1508)</f>
        <v>0</v>
      </c>
      <c r="V1508" s="22" t="n">
        <f aca="false">N1508-U1508</f>
        <v>21300</v>
      </c>
      <c r="W1508" s="22" t="n">
        <f aca="false">W1507+V1508</f>
        <v>-348482.879168015</v>
      </c>
      <c r="X1508" s="23" t="str">
        <f aca="false">IF(W1508&gt;=0,"YES","No")</f>
        <v>No</v>
      </c>
    </row>
    <row r="1509" customFormat="false" ht="15" hidden="false" customHeight="false" outlineLevel="0" collapsed="false">
      <c r="A1509" s="16" t="n">
        <v>1508</v>
      </c>
      <c r="B1509" s="17" t="n">
        <f aca="false">B1508+1</f>
        <v>47530</v>
      </c>
      <c r="C1509" s="18" t="n">
        <f aca="false">MIN(ROUNDUP(A1509/365,0),5)</f>
        <v>5</v>
      </c>
      <c r="D1509" s="18" t="n">
        <f aca="false">DATEDIF(Assumptions!B5,B1509,"m")+1</f>
        <v>50</v>
      </c>
      <c r="E1509" s="18" t="str">
        <f aca="false">TEXT(B1509,"ddd")</f>
        <v>Sat</v>
      </c>
      <c r="F1509" s="19" t="n">
        <f aca="false">IF(WEEKDAY(B1509,2)&gt;=6,Assumptions!B34,Assumptions!B35)</f>
        <v>0.6</v>
      </c>
      <c r="G1509" s="20" t="n">
        <f aca="false">IF(D1509&gt;=13,(1+Assumptions!B46)^(D1509-12),1)</f>
        <v>1.12056087502736</v>
      </c>
      <c r="H1509" s="21" t="n">
        <f aca="false">H1508*(1+IF(C1509=1,Assumptions!B22,Assumptions!B23))</f>
        <v>25.1015092266909</v>
      </c>
      <c r="I1509" s="16" t="n">
        <f aca="false">ROUND(H1509*F1509,0)</f>
        <v>15</v>
      </c>
      <c r="J1509" s="22" t="n">
        <f aca="false">I1509*Assumptions!B24</f>
        <v>9000</v>
      </c>
      <c r="K1509" s="21" t="n">
        <f aca="false">K1508*(1+Assumptions!B30)</f>
        <v>21.5057492356308</v>
      </c>
      <c r="L1509" s="16" t="n">
        <f aca="false">ROUND(K1509*F1509,0)</f>
        <v>13</v>
      </c>
      <c r="M1509" s="22" t="n">
        <f aca="false">L1509*Assumptions!B31</f>
        <v>3900</v>
      </c>
      <c r="N1509" s="22" t="n">
        <f aca="false">J1509+M1509</f>
        <v>12900</v>
      </c>
      <c r="O1509" s="22" t="n">
        <f aca="false">IF(DAY(B1509)=1,Assumptions!B38*G1509,0)</f>
        <v>0</v>
      </c>
      <c r="P1509" s="22" t="n">
        <f aca="false">IF(DAY(B1509)=1,Assumptions!B39*G1509,0)</f>
        <v>0</v>
      </c>
      <c r="Q1509" s="22" t="n">
        <f aca="false">IF(DAY(B1509)=1,Assumptions!B40*G1509,0)</f>
        <v>0</v>
      </c>
      <c r="R1509" s="22" t="n">
        <f aca="false">IF(DAY(B1509)=1,Assumptions!B41*G1509,0)</f>
        <v>0</v>
      </c>
      <c r="S1509" s="22" t="n">
        <f aca="false">IF(AND(DAY(B1509)=1,D1509&gt;=13),Assumptions!B42*G1509,0)</f>
        <v>0</v>
      </c>
      <c r="T1509" s="22" t="n">
        <f aca="false">IF(DAY(B1509)=1,Assumptions!B43*G1509,0)</f>
        <v>0</v>
      </c>
      <c r="U1509" s="22" t="n">
        <f aca="false">SUM(O1509:T1509)</f>
        <v>0</v>
      </c>
      <c r="V1509" s="22" t="n">
        <f aca="false">N1509-U1509</f>
        <v>12900</v>
      </c>
      <c r="W1509" s="22" t="n">
        <f aca="false">W1508+V1509</f>
        <v>-335582.879168015</v>
      </c>
      <c r="X1509" s="23" t="str">
        <f aca="false">IF(W1509&gt;=0,"YES","No")</f>
        <v>No</v>
      </c>
    </row>
    <row r="1510" customFormat="false" ht="15" hidden="false" customHeight="false" outlineLevel="0" collapsed="false">
      <c r="A1510" s="16" t="n">
        <v>1509</v>
      </c>
      <c r="B1510" s="17" t="n">
        <f aca="false">B1509+1</f>
        <v>47531</v>
      </c>
      <c r="C1510" s="18" t="n">
        <f aca="false">MIN(ROUNDUP(A1510/365,0),5)</f>
        <v>5</v>
      </c>
      <c r="D1510" s="18" t="n">
        <f aca="false">DATEDIF(Assumptions!B5,B1510,"m")+1</f>
        <v>50</v>
      </c>
      <c r="E1510" s="18" t="str">
        <f aca="false">TEXT(B1510,"ddd")</f>
        <v>Sun</v>
      </c>
      <c r="F1510" s="19" t="n">
        <f aca="false">IF(WEEKDAY(B1510,2)&gt;=6,Assumptions!B34,Assumptions!B35)</f>
        <v>0.6</v>
      </c>
      <c r="G1510" s="20" t="n">
        <f aca="false">IF(D1510&gt;=13,(1+Assumptions!B46)^(D1510-12),1)</f>
        <v>1.12056087502736</v>
      </c>
      <c r="H1510" s="21" t="n">
        <f aca="false">H1509*(1+IF(C1510=1,Assumptions!B22,Assumptions!B23))</f>
        <v>25.1056224026533</v>
      </c>
      <c r="I1510" s="16" t="n">
        <f aca="false">ROUND(H1510*F1510,0)</f>
        <v>15</v>
      </c>
      <c r="J1510" s="22" t="n">
        <f aca="false">I1510*Assumptions!B24</f>
        <v>9000</v>
      </c>
      <c r="K1510" s="21" t="n">
        <f aca="false">K1509*(1+Assumptions!B30)</f>
        <v>21.5127802572711</v>
      </c>
      <c r="L1510" s="16" t="n">
        <f aca="false">ROUND(K1510*F1510,0)</f>
        <v>13</v>
      </c>
      <c r="M1510" s="22" t="n">
        <f aca="false">L1510*Assumptions!B31</f>
        <v>3900</v>
      </c>
      <c r="N1510" s="22" t="n">
        <f aca="false">J1510+M1510</f>
        <v>12900</v>
      </c>
      <c r="O1510" s="22" t="n">
        <f aca="false">IF(DAY(B1510)=1,Assumptions!B38*G1510,0)</f>
        <v>0</v>
      </c>
      <c r="P1510" s="22" t="n">
        <f aca="false">IF(DAY(B1510)=1,Assumptions!B39*G1510,0)</f>
        <v>0</v>
      </c>
      <c r="Q1510" s="22" t="n">
        <f aca="false">IF(DAY(B1510)=1,Assumptions!B40*G1510,0)</f>
        <v>0</v>
      </c>
      <c r="R1510" s="22" t="n">
        <f aca="false">IF(DAY(B1510)=1,Assumptions!B41*G1510,0)</f>
        <v>0</v>
      </c>
      <c r="S1510" s="22" t="n">
        <f aca="false">IF(AND(DAY(B1510)=1,D1510&gt;=13),Assumptions!B42*G1510,0)</f>
        <v>0</v>
      </c>
      <c r="T1510" s="22" t="n">
        <f aca="false">IF(DAY(B1510)=1,Assumptions!B43*G1510,0)</f>
        <v>0</v>
      </c>
      <c r="U1510" s="22" t="n">
        <f aca="false">SUM(O1510:T1510)</f>
        <v>0</v>
      </c>
      <c r="V1510" s="22" t="n">
        <f aca="false">N1510-U1510</f>
        <v>12900</v>
      </c>
      <c r="W1510" s="22" t="n">
        <f aca="false">W1509+V1510</f>
        <v>-322682.879168015</v>
      </c>
      <c r="X1510" s="23" t="str">
        <f aca="false">IF(W1510&gt;=0,"YES","No")</f>
        <v>No</v>
      </c>
    </row>
    <row r="1511" customFormat="false" ht="15" hidden="false" customHeight="false" outlineLevel="0" collapsed="false">
      <c r="A1511" s="16" t="n">
        <v>1510</v>
      </c>
      <c r="B1511" s="17" t="n">
        <f aca="false">B1510+1</f>
        <v>47532</v>
      </c>
      <c r="C1511" s="18" t="n">
        <f aca="false">MIN(ROUNDUP(A1511/365,0),5)</f>
        <v>5</v>
      </c>
      <c r="D1511" s="18" t="n">
        <f aca="false">DATEDIF(Assumptions!B5,B1511,"m")+1</f>
        <v>50</v>
      </c>
      <c r="E1511" s="18" t="str">
        <f aca="false">TEXT(B1511,"ddd")</f>
        <v>Mon</v>
      </c>
      <c r="F1511" s="19" t="n">
        <f aca="false">IF(WEEKDAY(B1511,2)&gt;=6,Assumptions!B34,Assumptions!B35)</f>
        <v>1</v>
      </c>
      <c r="G1511" s="20" t="n">
        <f aca="false">IF(D1511&gt;=13,(1+Assumptions!B46)^(D1511-12),1)</f>
        <v>1.12056087502736</v>
      </c>
      <c r="H1511" s="21" t="n">
        <f aca="false">H1510*(1+IF(C1511=1,Assumptions!B22,Assumptions!B23))</f>
        <v>25.1097362526077</v>
      </c>
      <c r="I1511" s="16" t="n">
        <f aca="false">ROUND(H1511*F1511,0)</f>
        <v>25</v>
      </c>
      <c r="J1511" s="22" t="n">
        <f aca="false">I1511*Assumptions!B24</f>
        <v>15000</v>
      </c>
      <c r="K1511" s="21" t="n">
        <f aca="false">K1510*(1+Assumptions!B30)</f>
        <v>21.5198135776113</v>
      </c>
      <c r="L1511" s="16" t="n">
        <f aca="false">ROUND(K1511*F1511,0)</f>
        <v>22</v>
      </c>
      <c r="M1511" s="22" t="n">
        <f aca="false">L1511*Assumptions!B31</f>
        <v>6600</v>
      </c>
      <c r="N1511" s="22" t="n">
        <f aca="false">J1511+M1511</f>
        <v>21600</v>
      </c>
      <c r="O1511" s="22" t="n">
        <f aca="false">IF(DAY(B1511)=1,Assumptions!B38*G1511,0)</f>
        <v>0</v>
      </c>
      <c r="P1511" s="22" t="n">
        <f aca="false">IF(DAY(B1511)=1,Assumptions!B39*G1511,0)</f>
        <v>0</v>
      </c>
      <c r="Q1511" s="22" t="n">
        <f aca="false">IF(DAY(B1511)=1,Assumptions!B40*G1511,0)</f>
        <v>0</v>
      </c>
      <c r="R1511" s="22" t="n">
        <f aca="false">IF(DAY(B1511)=1,Assumptions!B41*G1511,0)</f>
        <v>0</v>
      </c>
      <c r="S1511" s="22" t="n">
        <f aca="false">IF(AND(DAY(B1511)=1,D1511&gt;=13),Assumptions!B42*G1511,0)</f>
        <v>0</v>
      </c>
      <c r="T1511" s="22" t="n">
        <f aca="false">IF(DAY(B1511)=1,Assumptions!B43*G1511,0)</f>
        <v>0</v>
      </c>
      <c r="U1511" s="22" t="n">
        <f aca="false">SUM(O1511:T1511)</f>
        <v>0</v>
      </c>
      <c r="V1511" s="22" t="n">
        <f aca="false">N1511-U1511</f>
        <v>21600</v>
      </c>
      <c r="W1511" s="22" t="n">
        <f aca="false">W1510+V1511</f>
        <v>-301082.879168015</v>
      </c>
      <c r="X1511" s="23" t="str">
        <f aca="false">IF(W1511&gt;=0,"YES","No")</f>
        <v>No</v>
      </c>
    </row>
    <row r="1512" customFormat="false" ht="15" hidden="false" customHeight="false" outlineLevel="0" collapsed="false">
      <c r="A1512" s="16" t="n">
        <v>1511</v>
      </c>
      <c r="B1512" s="17" t="n">
        <f aca="false">B1511+1</f>
        <v>47533</v>
      </c>
      <c r="C1512" s="18" t="n">
        <f aca="false">MIN(ROUNDUP(A1512/365,0),5)</f>
        <v>5</v>
      </c>
      <c r="D1512" s="18" t="n">
        <f aca="false">DATEDIF(Assumptions!B5,B1512,"m")+1</f>
        <v>50</v>
      </c>
      <c r="E1512" s="18" t="str">
        <f aca="false">TEXT(B1512,"ddd")</f>
        <v>Tue</v>
      </c>
      <c r="F1512" s="19" t="n">
        <f aca="false">IF(WEEKDAY(B1512,2)&gt;=6,Assumptions!B34,Assumptions!B35)</f>
        <v>1</v>
      </c>
      <c r="G1512" s="20" t="n">
        <f aca="false">IF(D1512&gt;=13,(1+Assumptions!B46)^(D1512-12),1)</f>
        <v>1.12056087502736</v>
      </c>
      <c r="H1512" s="21" t="n">
        <f aca="false">H1511*(1+IF(C1512=1,Assumptions!B22,Assumptions!B23))</f>
        <v>25.1138507766645</v>
      </c>
      <c r="I1512" s="16" t="n">
        <f aca="false">ROUND(H1512*F1512,0)</f>
        <v>25</v>
      </c>
      <c r="J1512" s="22" t="n">
        <f aca="false">I1512*Assumptions!B24</f>
        <v>15000</v>
      </c>
      <c r="K1512" s="21" t="n">
        <f aca="false">K1511*(1+Assumptions!B30)</f>
        <v>21.5268491974031</v>
      </c>
      <c r="L1512" s="16" t="n">
        <f aca="false">ROUND(K1512*F1512,0)</f>
        <v>22</v>
      </c>
      <c r="M1512" s="22" t="n">
        <f aca="false">L1512*Assumptions!B31</f>
        <v>6600</v>
      </c>
      <c r="N1512" s="22" t="n">
        <f aca="false">J1512+M1512</f>
        <v>21600</v>
      </c>
      <c r="O1512" s="22" t="n">
        <f aca="false">IF(DAY(B1512)=1,Assumptions!B38*G1512,0)</f>
        <v>0</v>
      </c>
      <c r="P1512" s="22" t="n">
        <f aca="false">IF(DAY(B1512)=1,Assumptions!B39*G1512,0)</f>
        <v>0</v>
      </c>
      <c r="Q1512" s="22" t="n">
        <f aca="false">IF(DAY(B1512)=1,Assumptions!B40*G1512,0)</f>
        <v>0</v>
      </c>
      <c r="R1512" s="22" t="n">
        <f aca="false">IF(DAY(B1512)=1,Assumptions!B41*G1512,0)</f>
        <v>0</v>
      </c>
      <c r="S1512" s="22" t="n">
        <f aca="false">IF(AND(DAY(B1512)=1,D1512&gt;=13),Assumptions!B42*G1512,0)</f>
        <v>0</v>
      </c>
      <c r="T1512" s="22" t="n">
        <f aca="false">IF(DAY(B1512)=1,Assumptions!B43*G1512,0)</f>
        <v>0</v>
      </c>
      <c r="U1512" s="22" t="n">
        <f aca="false">SUM(O1512:T1512)</f>
        <v>0</v>
      </c>
      <c r="V1512" s="22" t="n">
        <f aca="false">N1512-U1512</f>
        <v>21600</v>
      </c>
      <c r="W1512" s="22" t="n">
        <f aca="false">W1511+V1512</f>
        <v>-279482.879168015</v>
      </c>
      <c r="X1512" s="23" t="str">
        <f aca="false">IF(W1512&gt;=0,"YES","No")</f>
        <v>No</v>
      </c>
    </row>
    <row r="1513" customFormat="false" ht="15" hidden="false" customHeight="false" outlineLevel="0" collapsed="false">
      <c r="A1513" s="16" t="n">
        <v>1512</v>
      </c>
      <c r="B1513" s="17" t="n">
        <f aca="false">B1512+1</f>
        <v>47534</v>
      </c>
      <c r="C1513" s="18" t="n">
        <f aca="false">MIN(ROUNDUP(A1513/365,0),5)</f>
        <v>5</v>
      </c>
      <c r="D1513" s="18" t="n">
        <f aca="false">DATEDIF(Assumptions!B5,B1513,"m")+1</f>
        <v>50</v>
      </c>
      <c r="E1513" s="18" t="str">
        <f aca="false">TEXT(B1513,"ddd")</f>
        <v>Wed</v>
      </c>
      <c r="F1513" s="19" t="n">
        <f aca="false">IF(WEEKDAY(B1513,2)&gt;=6,Assumptions!B34,Assumptions!B35)</f>
        <v>1</v>
      </c>
      <c r="G1513" s="20" t="n">
        <f aca="false">IF(D1513&gt;=13,(1+Assumptions!B46)^(D1513-12),1)</f>
        <v>1.12056087502736</v>
      </c>
      <c r="H1513" s="21" t="n">
        <f aca="false">H1512*(1+IF(C1513=1,Assumptions!B22,Assumptions!B23))</f>
        <v>25.1179659749343</v>
      </c>
      <c r="I1513" s="16" t="n">
        <f aca="false">ROUND(H1513*F1513,0)</f>
        <v>25</v>
      </c>
      <c r="J1513" s="22" t="n">
        <f aca="false">I1513*Assumptions!B24</f>
        <v>15000</v>
      </c>
      <c r="K1513" s="21" t="n">
        <f aca="false">K1512*(1+Assumptions!B30)</f>
        <v>21.5338871173981</v>
      </c>
      <c r="L1513" s="16" t="n">
        <f aca="false">ROUND(K1513*F1513,0)</f>
        <v>22</v>
      </c>
      <c r="M1513" s="22" t="n">
        <f aca="false">L1513*Assumptions!B31</f>
        <v>6600</v>
      </c>
      <c r="N1513" s="22" t="n">
        <f aca="false">J1513+M1513</f>
        <v>21600</v>
      </c>
      <c r="O1513" s="22" t="n">
        <f aca="false">IF(DAY(B1513)=1,Assumptions!B38*G1513,0)</f>
        <v>0</v>
      </c>
      <c r="P1513" s="22" t="n">
        <f aca="false">IF(DAY(B1513)=1,Assumptions!B39*G1513,0)</f>
        <v>0</v>
      </c>
      <c r="Q1513" s="22" t="n">
        <f aca="false">IF(DAY(B1513)=1,Assumptions!B40*G1513,0)</f>
        <v>0</v>
      </c>
      <c r="R1513" s="22" t="n">
        <f aca="false">IF(DAY(B1513)=1,Assumptions!B41*G1513,0)</f>
        <v>0</v>
      </c>
      <c r="S1513" s="22" t="n">
        <f aca="false">IF(AND(DAY(B1513)=1,D1513&gt;=13),Assumptions!B42*G1513,0)</f>
        <v>0</v>
      </c>
      <c r="T1513" s="22" t="n">
        <f aca="false">IF(DAY(B1513)=1,Assumptions!B43*G1513,0)</f>
        <v>0</v>
      </c>
      <c r="U1513" s="22" t="n">
        <f aca="false">SUM(O1513:T1513)</f>
        <v>0</v>
      </c>
      <c r="V1513" s="22" t="n">
        <f aca="false">N1513-U1513</f>
        <v>21600</v>
      </c>
      <c r="W1513" s="22" t="n">
        <f aca="false">W1512+V1513</f>
        <v>-257882.879168015</v>
      </c>
      <c r="X1513" s="23" t="str">
        <f aca="false">IF(W1513&gt;=0,"YES","No")</f>
        <v>No</v>
      </c>
    </row>
    <row r="1514" customFormat="false" ht="15" hidden="false" customHeight="false" outlineLevel="0" collapsed="false">
      <c r="A1514" s="16" t="n">
        <v>1513</v>
      </c>
      <c r="B1514" s="17" t="n">
        <f aca="false">B1513+1</f>
        <v>47535</v>
      </c>
      <c r="C1514" s="18" t="n">
        <f aca="false">MIN(ROUNDUP(A1514/365,0),5)</f>
        <v>5</v>
      </c>
      <c r="D1514" s="18" t="n">
        <f aca="false">DATEDIF(Assumptions!B5,B1514,"m")+1</f>
        <v>50</v>
      </c>
      <c r="E1514" s="18" t="str">
        <f aca="false">TEXT(B1514,"ddd")</f>
        <v>Thu</v>
      </c>
      <c r="F1514" s="19" t="n">
        <f aca="false">IF(WEEKDAY(B1514,2)&gt;=6,Assumptions!B34,Assumptions!B35)</f>
        <v>1</v>
      </c>
      <c r="G1514" s="20" t="n">
        <f aca="false">IF(D1514&gt;=13,(1+Assumptions!B46)^(D1514-12),1)</f>
        <v>1.12056087502736</v>
      </c>
      <c r="H1514" s="21" t="n">
        <f aca="false">H1513*(1+IF(C1514=1,Assumptions!B22,Assumptions!B23))</f>
        <v>25.1220818475274</v>
      </c>
      <c r="I1514" s="16" t="n">
        <f aca="false">ROUND(H1514*F1514,0)</f>
        <v>25</v>
      </c>
      <c r="J1514" s="22" t="n">
        <f aca="false">I1514*Assumptions!B24</f>
        <v>15000</v>
      </c>
      <c r="K1514" s="21" t="n">
        <f aca="false">K1513*(1+Assumptions!B30)</f>
        <v>21.5409273383485</v>
      </c>
      <c r="L1514" s="16" t="n">
        <f aca="false">ROUND(K1514*F1514,0)</f>
        <v>22</v>
      </c>
      <c r="M1514" s="22" t="n">
        <f aca="false">L1514*Assumptions!B31</f>
        <v>6600</v>
      </c>
      <c r="N1514" s="22" t="n">
        <f aca="false">J1514+M1514</f>
        <v>21600</v>
      </c>
      <c r="O1514" s="22" t="n">
        <f aca="false">IF(DAY(B1514)=1,Assumptions!B38*G1514,0)</f>
        <v>0</v>
      </c>
      <c r="P1514" s="22" t="n">
        <f aca="false">IF(DAY(B1514)=1,Assumptions!B39*G1514,0)</f>
        <v>0</v>
      </c>
      <c r="Q1514" s="22" t="n">
        <f aca="false">IF(DAY(B1514)=1,Assumptions!B40*G1514,0)</f>
        <v>0</v>
      </c>
      <c r="R1514" s="22" t="n">
        <f aca="false">IF(DAY(B1514)=1,Assumptions!B41*G1514,0)</f>
        <v>0</v>
      </c>
      <c r="S1514" s="22" t="n">
        <f aca="false">IF(AND(DAY(B1514)=1,D1514&gt;=13),Assumptions!B42*G1514,0)</f>
        <v>0</v>
      </c>
      <c r="T1514" s="22" t="n">
        <f aca="false">IF(DAY(B1514)=1,Assumptions!B43*G1514,0)</f>
        <v>0</v>
      </c>
      <c r="U1514" s="22" t="n">
        <f aca="false">SUM(O1514:T1514)</f>
        <v>0</v>
      </c>
      <c r="V1514" s="22" t="n">
        <f aca="false">N1514-U1514</f>
        <v>21600</v>
      </c>
      <c r="W1514" s="22" t="n">
        <f aca="false">W1513+V1514</f>
        <v>-236282.879168015</v>
      </c>
      <c r="X1514" s="23" t="str">
        <f aca="false">IF(W1514&gt;=0,"YES","No")</f>
        <v>No</v>
      </c>
    </row>
    <row r="1515" customFormat="false" ht="15" hidden="false" customHeight="false" outlineLevel="0" collapsed="false">
      <c r="A1515" s="16" t="n">
        <v>1514</v>
      </c>
      <c r="B1515" s="17" t="n">
        <f aca="false">B1514+1</f>
        <v>47536</v>
      </c>
      <c r="C1515" s="18" t="n">
        <f aca="false">MIN(ROUNDUP(A1515/365,0),5)</f>
        <v>5</v>
      </c>
      <c r="D1515" s="18" t="n">
        <f aca="false">DATEDIF(Assumptions!B5,B1515,"m")+1</f>
        <v>50</v>
      </c>
      <c r="E1515" s="18" t="str">
        <f aca="false">TEXT(B1515,"ddd")</f>
        <v>Fri</v>
      </c>
      <c r="F1515" s="19" t="n">
        <f aca="false">IF(WEEKDAY(B1515,2)&gt;=6,Assumptions!B34,Assumptions!B35)</f>
        <v>1</v>
      </c>
      <c r="G1515" s="20" t="n">
        <f aca="false">IF(D1515&gt;=13,(1+Assumptions!B46)^(D1515-12),1)</f>
        <v>1.12056087502736</v>
      </c>
      <c r="H1515" s="21" t="n">
        <f aca="false">H1514*(1+IF(C1515=1,Assumptions!B22,Assumptions!B23))</f>
        <v>25.1261983945544</v>
      </c>
      <c r="I1515" s="16" t="n">
        <f aca="false">ROUND(H1515*F1515,0)</f>
        <v>25</v>
      </c>
      <c r="J1515" s="22" t="n">
        <f aca="false">I1515*Assumptions!B24</f>
        <v>15000</v>
      </c>
      <c r="K1515" s="21" t="n">
        <f aca="false">K1514*(1+Assumptions!B30)</f>
        <v>21.5479698610064</v>
      </c>
      <c r="L1515" s="16" t="n">
        <f aca="false">ROUND(K1515*F1515,0)</f>
        <v>22</v>
      </c>
      <c r="M1515" s="22" t="n">
        <f aca="false">L1515*Assumptions!B31</f>
        <v>6600</v>
      </c>
      <c r="N1515" s="22" t="n">
        <f aca="false">J1515+M1515</f>
        <v>21600</v>
      </c>
      <c r="O1515" s="22" t="n">
        <f aca="false">IF(DAY(B1515)=1,Assumptions!B38*G1515,0)</f>
        <v>0</v>
      </c>
      <c r="P1515" s="22" t="n">
        <f aca="false">IF(DAY(B1515)=1,Assumptions!B39*G1515,0)</f>
        <v>0</v>
      </c>
      <c r="Q1515" s="22" t="n">
        <f aca="false">IF(DAY(B1515)=1,Assumptions!B40*G1515,0)</f>
        <v>0</v>
      </c>
      <c r="R1515" s="22" t="n">
        <f aca="false">IF(DAY(B1515)=1,Assumptions!B41*G1515,0)</f>
        <v>0</v>
      </c>
      <c r="S1515" s="22" t="n">
        <f aca="false">IF(AND(DAY(B1515)=1,D1515&gt;=13),Assumptions!B42*G1515,0)</f>
        <v>0</v>
      </c>
      <c r="T1515" s="22" t="n">
        <f aca="false">IF(DAY(B1515)=1,Assumptions!B43*G1515,0)</f>
        <v>0</v>
      </c>
      <c r="U1515" s="22" t="n">
        <f aca="false">SUM(O1515:T1515)</f>
        <v>0</v>
      </c>
      <c r="V1515" s="22" t="n">
        <f aca="false">N1515-U1515</f>
        <v>21600</v>
      </c>
      <c r="W1515" s="22" t="n">
        <f aca="false">W1514+V1515</f>
        <v>-214682.879168015</v>
      </c>
      <c r="X1515" s="23" t="str">
        <f aca="false">IF(W1515&gt;=0,"YES","No")</f>
        <v>No</v>
      </c>
    </row>
    <row r="1516" customFormat="false" ht="15" hidden="false" customHeight="false" outlineLevel="0" collapsed="false">
      <c r="A1516" s="16" t="n">
        <v>1515</v>
      </c>
      <c r="B1516" s="17" t="n">
        <f aca="false">B1515+1</f>
        <v>47537</v>
      </c>
      <c r="C1516" s="18" t="n">
        <f aca="false">MIN(ROUNDUP(A1516/365,0),5)</f>
        <v>5</v>
      </c>
      <c r="D1516" s="18" t="n">
        <f aca="false">DATEDIF(Assumptions!B5,B1516,"m")+1</f>
        <v>50</v>
      </c>
      <c r="E1516" s="18" t="str">
        <f aca="false">TEXT(B1516,"ddd")</f>
        <v>Sat</v>
      </c>
      <c r="F1516" s="19" t="n">
        <f aca="false">IF(WEEKDAY(B1516,2)&gt;=6,Assumptions!B34,Assumptions!B35)</f>
        <v>0.6</v>
      </c>
      <c r="G1516" s="20" t="n">
        <f aca="false">IF(D1516&gt;=13,(1+Assumptions!B46)^(D1516-12),1)</f>
        <v>1.12056087502736</v>
      </c>
      <c r="H1516" s="21" t="n">
        <f aca="false">H1515*(1+IF(C1516=1,Assumptions!B22,Assumptions!B23))</f>
        <v>25.1303156161259</v>
      </c>
      <c r="I1516" s="16" t="n">
        <f aca="false">ROUND(H1516*F1516,0)</f>
        <v>15</v>
      </c>
      <c r="J1516" s="22" t="n">
        <f aca="false">I1516*Assumptions!B24</f>
        <v>9000</v>
      </c>
      <c r="K1516" s="21" t="n">
        <f aca="false">K1515*(1+Assumptions!B30)</f>
        <v>21.5550146861244</v>
      </c>
      <c r="L1516" s="16" t="n">
        <f aca="false">ROUND(K1516*F1516,0)</f>
        <v>13</v>
      </c>
      <c r="M1516" s="22" t="n">
        <f aca="false">L1516*Assumptions!B31</f>
        <v>3900</v>
      </c>
      <c r="N1516" s="22" t="n">
        <f aca="false">J1516+M1516</f>
        <v>12900</v>
      </c>
      <c r="O1516" s="22" t="n">
        <f aca="false">IF(DAY(B1516)=1,Assumptions!B38*G1516,0)</f>
        <v>0</v>
      </c>
      <c r="P1516" s="22" t="n">
        <f aca="false">IF(DAY(B1516)=1,Assumptions!B39*G1516,0)</f>
        <v>0</v>
      </c>
      <c r="Q1516" s="22" t="n">
        <f aca="false">IF(DAY(B1516)=1,Assumptions!B40*G1516,0)</f>
        <v>0</v>
      </c>
      <c r="R1516" s="22" t="n">
        <f aca="false">IF(DAY(B1516)=1,Assumptions!B41*G1516,0)</f>
        <v>0</v>
      </c>
      <c r="S1516" s="22" t="n">
        <f aca="false">IF(AND(DAY(B1516)=1,D1516&gt;=13),Assumptions!B42*G1516,0)</f>
        <v>0</v>
      </c>
      <c r="T1516" s="22" t="n">
        <f aca="false">IF(DAY(B1516)=1,Assumptions!B43*G1516,0)</f>
        <v>0</v>
      </c>
      <c r="U1516" s="22" t="n">
        <f aca="false">SUM(O1516:T1516)</f>
        <v>0</v>
      </c>
      <c r="V1516" s="22" t="n">
        <f aca="false">N1516-U1516</f>
        <v>12900</v>
      </c>
      <c r="W1516" s="22" t="n">
        <f aca="false">W1515+V1516</f>
        <v>-201782.879168015</v>
      </c>
      <c r="X1516" s="23" t="str">
        <f aca="false">IF(W1516&gt;=0,"YES","No")</f>
        <v>No</v>
      </c>
    </row>
    <row r="1517" customFormat="false" ht="15" hidden="false" customHeight="false" outlineLevel="0" collapsed="false">
      <c r="A1517" s="16" t="n">
        <v>1516</v>
      </c>
      <c r="B1517" s="17" t="n">
        <f aca="false">B1516+1</f>
        <v>47538</v>
      </c>
      <c r="C1517" s="18" t="n">
        <f aca="false">MIN(ROUNDUP(A1517/365,0),5)</f>
        <v>5</v>
      </c>
      <c r="D1517" s="18" t="n">
        <f aca="false">DATEDIF(Assumptions!B5,B1517,"m")+1</f>
        <v>50</v>
      </c>
      <c r="E1517" s="18" t="str">
        <f aca="false">TEXT(B1517,"ddd")</f>
        <v>Sun</v>
      </c>
      <c r="F1517" s="19" t="n">
        <f aca="false">IF(WEEKDAY(B1517,2)&gt;=6,Assumptions!B34,Assumptions!B35)</f>
        <v>0.6</v>
      </c>
      <c r="G1517" s="20" t="n">
        <f aca="false">IF(D1517&gt;=13,(1+Assumptions!B46)^(D1517-12),1)</f>
        <v>1.12056087502736</v>
      </c>
      <c r="H1517" s="21" t="n">
        <f aca="false">H1516*(1+IF(C1517=1,Assumptions!B22,Assumptions!B23))</f>
        <v>25.1344335123522</v>
      </c>
      <c r="I1517" s="16" t="n">
        <f aca="false">ROUND(H1517*F1517,0)</f>
        <v>15</v>
      </c>
      <c r="J1517" s="22" t="n">
        <f aca="false">I1517*Assumptions!B24</f>
        <v>9000</v>
      </c>
      <c r="K1517" s="21" t="n">
        <f aca="false">K1516*(1+Assumptions!B30)</f>
        <v>21.5620618144552</v>
      </c>
      <c r="L1517" s="16" t="n">
        <f aca="false">ROUND(K1517*F1517,0)</f>
        <v>13</v>
      </c>
      <c r="M1517" s="22" t="n">
        <f aca="false">L1517*Assumptions!B31</f>
        <v>3900</v>
      </c>
      <c r="N1517" s="22" t="n">
        <f aca="false">J1517+M1517</f>
        <v>12900</v>
      </c>
      <c r="O1517" s="22" t="n">
        <f aca="false">IF(DAY(B1517)=1,Assumptions!B38*G1517,0)</f>
        <v>0</v>
      </c>
      <c r="P1517" s="22" t="n">
        <f aca="false">IF(DAY(B1517)=1,Assumptions!B39*G1517,0)</f>
        <v>0</v>
      </c>
      <c r="Q1517" s="22" t="n">
        <f aca="false">IF(DAY(B1517)=1,Assumptions!B40*G1517,0)</f>
        <v>0</v>
      </c>
      <c r="R1517" s="22" t="n">
        <f aca="false">IF(DAY(B1517)=1,Assumptions!B41*G1517,0)</f>
        <v>0</v>
      </c>
      <c r="S1517" s="22" t="n">
        <f aca="false">IF(AND(DAY(B1517)=1,D1517&gt;=13),Assumptions!B42*G1517,0)</f>
        <v>0</v>
      </c>
      <c r="T1517" s="22" t="n">
        <f aca="false">IF(DAY(B1517)=1,Assumptions!B43*G1517,0)</f>
        <v>0</v>
      </c>
      <c r="U1517" s="22" t="n">
        <f aca="false">SUM(O1517:T1517)</f>
        <v>0</v>
      </c>
      <c r="V1517" s="22" t="n">
        <f aca="false">N1517-U1517</f>
        <v>12900</v>
      </c>
      <c r="W1517" s="22" t="n">
        <f aca="false">W1516+V1517</f>
        <v>-188882.879168015</v>
      </c>
      <c r="X1517" s="23" t="str">
        <f aca="false">IF(W1517&gt;=0,"YES","No")</f>
        <v>No</v>
      </c>
    </row>
    <row r="1518" customFormat="false" ht="15" hidden="false" customHeight="false" outlineLevel="0" collapsed="false">
      <c r="A1518" s="16" t="n">
        <v>1517</v>
      </c>
      <c r="B1518" s="17" t="n">
        <f aca="false">B1517+1</f>
        <v>47539</v>
      </c>
      <c r="C1518" s="18" t="n">
        <f aca="false">MIN(ROUNDUP(A1518/365,0),5)</f>
        <v>5</v>
      </c>
      <c r="D1518" s="18" t="n">
        <f aca="false">DATEDIF(Assumptions!B5,B1518,"m")+1</f>
        <v>50</v>
      </c>
      <c r="E1518" s="18" t="str">
        <f aca="false">TEXT(B1518,"ddd")</f>
        <v>Mon</v>
      </c>
      <c r="F1518" s="19" t="n">
        <f aca="false">IF(WEEKDAY(B1518,2)&gt;=6,Assumptions!B34,Assumptions!B35)</f>
        <v>1</v>
      </c>
      <c r="G1518" s="20" t="n">
        <f aca="false">IF(D1518&gt;=13,(1+Assumptions!B46)^(D1518-12),1)</f>
        <v>1.12056087502736</v>
      </c>
      <c r="H1518" s="21" t="n">
        <f aca="false">H1517*(1+IF(C1518=1,Assumptions!B22,Assumptions!B23))</f>
        <v>25.138552083344</v>
      </c>
      <c r="I1518" s="16" t="n">
        <f aca="false">ROUND(H1518*F1518,0)</f>
        <v>25</v>
      </c>
      <c r="J1518" s="22" t="n">
        <f aca="false">I1518*Assumptions!B24</f>
        <v>15000</v>
      </c>
      <c r="K1518" s="21" t="n">
        <f aca="false">K1517*(1+Assumptions!B30)</f>
        <v>21.5691112467519</v>
      </c>
      <c r="L1518" s="16" t="n">
        <f aca="false">ROUND(K1518*F1518,0)</f>
        <v>22</v>
      </c>
      <c r="M1518" s="22" t="n">
        <f aca="false">L1518*Assumptions!B31</f>
        <v>6600</v>
      </c>
      <c r="N1518" s="22" t="n">
        <f aca="false">J1518+M1518</f>
        <v>21600</v>
      </c>
      <c r="O1518" s="22" t="n">
        <f aca="false">IF(DAY(B1518)=1,Assumptions!B38*G1518,0)</f>
        <v>0</v>
      </c>
      <c r="P1518" s="22" t="n">
        <f aca="false">IF(DAY(B1518)=1,Assumptions!B39*G1518,0)</f>
        <v>0</v>
      </c>
      <c r="Q1518" s="22" t="n">
        <f aca="false">IF(DAY(B1518)=1,Assumptions!B40*G1518,0)</f>
        <v>0</v>
      </c>
      <c r="R1518" s="22" t="n">
        <f aca="false">IF(DAY(B1518)=1,Assumptions!B41*G1518,0)</f>
        <v>0</v>
      </c>
      <c r="S1518" s="22" t="n">
        <f aca="false">IF(AND(DAY(B1518)=1,D1518&gt;=13),Assumptions!B42*G1518,0)</f>
        <v>0</v>
      </c>
      <c r="T1518" s="22" t="n">
        <f aca="false">IF(DAY(B1518)=1,Assumptions!B43*G1518,0)</f>
        <v>0</v>
      </c>
      <c r="U1518" s="22" t="n">
        <f aca="false">SUM(O1518:T1518)</f>
        <v>0</v>
      </c>
      <c r="V1518" s="22" t="n">
        <f aca="false">N1518-U1518</f>
        <v>21600</v>
      </c>
      <c r="W1518" s="22" t="n">
        <f aca="false">W1517+V1518</f>
        <v>-167282.879168015</v>
      </c>
      <c r="X1518" s="23" t="str">
        <f aca="false">IF(W1518&gt;=0,"YES","No")</f>
        <v>No</v>
      </c>
    </row>
    <row r="1519" customFormat="false" ht="15" hidden="false" customHeight="false" outlineLevel="0" collapsed="false">
      <c r="A1519" s="16" t="n">
        <v>1518</v>
      </c>
      <c r="B1519" s="17" t="n">
        <f aca="false">B1518+1</f>
        <v>47540</v>
      </c>
      <c r="C1519" s="18" t="n">
        <f aca="false">MIN(ROUNDUP(A1519/365,0),5)</f>
        <v>5</v>
      </c>
      <c r="D1519" s="18" t="n">
        <f aca="false">DATEDIF(Assumptions!B5,B1519,"m")+1</f>
        <v>50</v>
      </c>
      <c r="E1519" s="18" t="str">
        <f aca="false">TEXT(B1519,"ddd")</f>
        <v>Tue</v>
      </c>
      <c r="F1519" s="19" t="n">
        <f aca="false">IF(WEEKDAY(B1519,2)&gt;=6,Assumptions!B34,Assumptions!B35)</f>
        <v>1</v>
      </c>
      <c r="G1519" s="20" t="n">
        <f aca="false">IF(D1519&gt;=13,(1+Assumptions!B46)^(D1519-12),1)</f>
        <v>1.12056087502736</v>
      </c>
      <c r="H1519" s="21" t="n">
        <f aca="false">H1518*(1+IF(C1519=1,Assumptions!B22,Assumptions!B23))</f>
        <v>25.1426713292118</v>
      </c>
      <c r="I1519" s="16" t="n">
        <f aca="false">ROUND(H1519*F1519,0)</f>
        <v>25</v>
      </c>
      <c r="J1519" s="22" t="n">
        <f aca="false">I1519*Assumptions!B24</f>
        <v>15000</v>
      </c>
      <c r="K1519" s="21" t="n">
        <f aca="false">K1518*(1+Assumptions!B30)</f>
        <v>21.5761629837677</v>
      </c>
      <c r="L1519" s="16" t="n">
        <f aca="false">ROUND(K1519*F1519,0)</f>
        <v>22</v>
      </c>
      <c r="M1519" s="22" t="n">
        <f aca="false">L1519*Assumptions!B31</f>
        <v>6600</v>
      </c>
      <c r="N1519" s="22" t="n">
        <f aca="false">J1519+M1519</f>
        <v>21600</v>
      </c>
      <c r="O1519" s="22" t="n">
        <f aca="false">IF(DAY(B1519)=1,Assumptions!B38*G1519,0)</f>
        <v>0</v>
      </c>
      <c r="P1519" s="22" t="n">
        <f aca="false">IF(DAY(B1519)=1,Assumptions!B39*G1519,0)</f>
        <v>0</v>
      </c>
      <c r="Q1519" s="22" t="n">
        <f aca="false">IF(DAY(B1519)=1,Assumptions!B40*G1519,0)</f>
        <v>0</v>
      </c>
      <c r="R1519" s="22" t="n">
        <f aca="false">IF(DAY(B1519)=1,Assumptions!B41*G1519,0)</f>
        <v>0</v>
      </c>
      <c r="S1519" s="22" t="n">
        <f aca="false">IF(AND(DAY(B1519)=1,D1519&gt;=13),Assumptions!B42*G1519,0)</f>
        <v>0</v>
      </c>
      <c r="T1519" s="22" t="n">
        <f aca="false">IF(DAY(B1519)=1,Assumptions!B43*G1519,0)</f>
        <v>0</v>
      </c>
      <c r="U1519" s="22" t="n">
        <f aca="false">SUM(O1519:T1519)</f>
        <v>0</v>
      </c>
      <c r="V1519" s="22" t="n">
        <f aca="false">N1519-U1519</f>
        <v>21600</v>
      </c>
      <c r="W1519" s="22" t="n">
        <f aca="false">W1518+V1519</f>
        <v>-145682.879168015</v>
      </c>
      <c r="X1519" s="23" t="str">
        <f aca="false">IF(W1519&gt;=0,"YES","No")</f>
        <v>No</v>
      </c>
    </row>
    <row r="1520" customFormat="false" ht="15" hidden="false" customHeight="false" outlineLevel="0" collapsed="false">
      <c r="A1520" s="16" t="n">
        <v>1519</v>
      </c>
      <c r="B1520" s="17" t="n">
        <f aca="false">B1519+1</f>
        <v>47541</v>
      </c>
      <c r="C1520" s="18" t="n">
        <f aca="false">MIN(ROUNDUP(A1520/365,0),5)</f>
        <v>5</v>
      </c>
      <c r="D1520" s="18" t="n">
        <f aca="false">DATEDIF(Assumptions!B5,B1520,"m")+1</f>
        <v>50</v>
      </c>
      <c r="E1520" s="18" t="str">
        <f aca="false">TEXT(B1520,"ddd")</f>
        <v>Wed</v>
      </c>
      <c r="F1520" s="19" t="n">
        <f aca="false">IF(WEEKDAY(B1520,2)&gt;=6,Assumptions!B34,Assumptions!B35)</f>
        <v>1</v>
      </c>
      <c r="G1520" s="20" t="n">
        <f aca="false">IF(D1520&gt;=13,(1+Assumptions!B46)^(D1520-12),1)</f>
        <v>1.12056087502736</v>
      </c>
      <c r="H1520" s="21" t="n">
        <f aca="false">H1519*(1+IF(C1520=1,Assumptions!B22,Assumptions!B23))</f>
        <v>25.1467912500663</v>
      </c>
      <c r="I1520" s="16" t="n">
        <f aca="false">ROUND(H1520*F1520,0)</f>
        <v>25</v>
      </c>
      <c r="J1520" s="22" t="n">
        <f aca="false">I1520*Assumptions!B24</f>
        <v>15000</v>
      </c>
      <c r="K1520" s="21" t="n">
        <f aca="false">K1519*(1+Assumptions!B30)</f>
        <v>21.5832170262561</v>
      </c>
      <c r="L1520" s="16" t="n">
        <f aca="false">ROUND(K1520*F1520,0)</f>
        <v>22</v>
      </c>
      <c r="M1520" s="22" t="n">
        <f aca="false">L1520*Assumptions!B31</f>
        <v>6600</v>
      </c>
      <c r="N1520" s="22" t="n">
        <f aca="false">J1520+M1520</f>
        <v>21600</v>
      </c>
      <c r="O1520" s="22" t="n">
        <f aca="false">IF(DAY(B1520)=1,Assumptions!B38*G1520,0)</f>
        <v>0</v>
      </c>
      <c r="P1520" s="22" t="n">
        <f aca="false">IF(DAY(B1520)=1,Assumptions!B39*G1520,0)</f>
        <v>0</v>
      </c>
      <c r="Q1520" s="22" t="n">
        <f aca="false">IF(DAY(B1520)=1,Assumptions!B40*G1520,0)</f>
        <v>0</v>
      </c>
      <c r="R1520" s="22" t="n">
        <f aca="false">IF(DAY(B1520)=1,Assumptions!B41*G1520,0)</f>
        <v>0</v>
      </c>
      <c r="S1520" s="22" t="n">
        <f aca="false">IF(AND(DAY(B1520)=1,D1520&gt;=13),Assumptions!B42*G1520,0)</f>
        <v>0</v>
      </c>
      <c r="T1520" s="22" t="n">
        <f aca="false">IF(DAY(B1520)=1,Assumptions!B43*G1520,0)</f>
        <v>0</v>
      </c>
      <c r="U1520" s="22" t="n">
        <f aca="false">SUM(O1520:T1520)</f>
        <v>0</v>
      </c>
      <c r="V1520" s="22" t="n">
        <f aca="false">N1520-U1520</f>
        <v>21600</v>
      </c>
      <c r="W1520" s="22" t="n">
        <f aca="false">W1519+V1520</f>
        <v>-124082.879168015</v>
      </c>
      <c r="X1520" s="23" t="str">
        <f aca="false">IF(W1520&gt;=0,"YES","No")</f>
        <v>No</v>
      </c>
    </row>
    <row r="1521" customFormat="false" ht="15" hidden="false" customHeight="false" outlineLevel="0" collapsed="false">
      <c r="A1521" s="16" t="n">
        <v>1520</v>
      </c>
      <c r="B1521" s="17" t="n">
        <f aca="false">B1520+1</f>
        <v>47542</v>
      </c>
      <c r="C1521" s="18" t="n">
        <f aca="false">MIN(ROUNDUP(A1521/365,0),5)</f>
        <v>5</v>
      </c>
      <c r="D1521" s="18" t="n">
        <f aca="false">DATEDIF(Assumptions!B5,B1521,"m")+1</f>
        <v>50</v>
      </c>
      <c r="E1521" s="18" t="str">
        <f aca="false">TEXT(B1521,"ddd")</f>
        <v>Thu</v>
      </c>
      <c r="F1521" s="19" t="n">
        <f aca="false">IF(WEEKDAY(B1521,2)&gt;=6,Assumptions!B34,Assumptions!B35)</f>
        <v>1</v>
      </c>
      <c r="G1521" s="20" t="n">
        <f aca="false">IF(D1521&gt;=13,(1+Assumptions!B46)^(D1521-12),1)</f>
        <v>1.12056087502736</v>
      </c>
      <c r="H1521" s="21" t="n">
        <f aca="false">H1520*(1+IF(C1521=1,Assumptions!B22,Assumptions!B23))</f>
        <v>25.150911846018</v>
      </c>
      <c r="I1521" s="16" t="n">
        <f aca="false">ROUND(H1521*F1521,0)</f>
        <v>25</v>
      </c>
      <c r="J1521" s="22" t="n">
        <f aca="false">I1521*Assumptions!B24</f>
        <v>15000</v>
      </c>
      <c r="K1521" s="21" t="n">
        <f aca="false">K1520*(1+Assumptions!B30)</f>
        <v>21.5902733749709</v>
      </c>
      <c r="L1521" s="16" t="n">
        <f aca="false">ROUND(K1521*F1521,0)</f>
        <v>22</v>
      </c>
      <c r="M1521" s="22" t="n">
        <f aca="false">L1521*Assumptions!B31</f>
        <v>6600</v>
      </c>
      <c r="N1521" s="22" t="n">
        <f aca="false">J1521+M1521</f>
        <v>21600</v>
      </c>
      <c r="O1521" s="22" t="n">
        <f aca="false">IF(DAY(B1521)=1,Assumptions!B38*G1521,0)</f>
        <v>0</v>
      </c>
      <c r="P1521" s="22" t="n">
        <f aca="false">IF(DAY(B1521)=1,Assumptions!B39*G1521,0)</f>
        <v>0</v>
      </c>
      <c r="Q1521" s="22" t="n">
        <f aca="false">IF(DAY(B1521)=1,Assumptions!B40*G1521,0)</f>
        <v>0</v>
      </c>
      <c r="R1521" s="22" t="n">
        <f aca="false">IF(DAY(B1521)=1,Assumptions!B41*G1521,0)</f>
        <v>0</v>
      </c>
      <c r="S1521" s="22" t="n">
        <f aca="false">IF(AND(DAY(B1521)=1,D1521&gt;=13),Assumptions!B42*G1521,0)</f>
        <v>0</v>
      </c>
      <c r="T1521" s="22" t="n">
        <f aca="false">IF(DAY(B1521)=1,Assumptions!B43*G1521,0)</f>
        <v>0</v>
      </c>
      <c r="U1521" s="22" t="n">
        <f aca="false">SUM(O1521:T1521)</f>
        <v>0</v>
      </c>
      <c r="V1521" s="22" t="n">
        <f aca="false">N1521-U1521</f>
        <v>21600</v>
      </c>
      <c r="W1521" s="22" t="n">
        <f aca="false">W1520+V1521</f>
        <v>-102482.879168015</v>
      </c>
      <c r="X1521" s="23" t="str">
        <f aca="false">IF(W1521&gt;=0,"YES","No")</f>
        <v>No</v>
      </c>
    </row>
    <row r="1522" customFormat="false" ht="15" hidden="false" customHeight="false" outlineLevel="0" collapsed="false">
      <c r="A1522" s="16" t="n">
        <v>1521</v>
      </c>
      <c r="B1522" s="17" t="n">
        <f aca="false">B1521+1</f>
        <v>47543</v>
      </c>
      <c r="C1522" s="18" t="n">
        <f aca="false">MIN(ROUNDUP(A1522/365,0),5)</f>
        <v>5</v>
      </c>
      <c r="D1522" s="18" t="n">
        <f aca="false">DATEDIF(Assumptions!B5,B1522,"m")+1</f>
        <v>51</v>
      </c>
      <c r="E1522" s="18" t="str">
        <f aca="false">TEXT(B1522,"ddd")</f>
        <v>Fri</v>
      </c>
      <c r="F1522" s="19" t="n">
        <f aca="false">IF(WEEKDAY(B1522,2)&gt;=6,Assumptions!B34,Assumptions!B35)</f>
        <v>1</v>
      </c>
      <c r="G1522" s="20" t="n">
        <f aca="false">IF(D1522&gt;=13,(1+Assumptions!B46)^(D1522-12),1)</f>
        <v>1.12392255765244</v>
      </c>
      <c r="H1522" s="21" t="n">
        <f aca="false">H1521*(1+IF(C1522=1,Assumptions!B22,Assumptions!B23))</f>
        <v>25.1550331171776</v>
      </c>
      <c r="I1522" s="16" t="n">
        <f aca="false">ROUND(H1522*F1522,0)</f>
        <v>25</v>
      </c>
      <c r="J1522" s="22" t="n">
        <f aca="false">I1522*Assumptions!B24</f>
        <v>15000</v>
      </c>
      <c r="K1522" s="21" t="n">
        <f aca="false">K1521*(1+Assumptions!B30)</f>
        <v>21.5973320306659</v>
      </c>
      <c r="L1522" s="16" t="n">
        <f aca="false">ROUND(K1522*F1522,0)</f>
        <v>22</v>
      </c>
      <c r="M1522" s="22" t="n">
        <f aca="false">L1522*Assumptions!B31</f>
        <v>6600</v>
      </c>
      <c r="N1522" s="22" t="n">
        <f aca="false">J1522+M1522</f>
        <v>21600</v>
      </c>
      <c r="O1522" s="22" t="n">
        <f aca="false">IF(DAY(B1522)=1,Assumptions!B38*G1522,0)</f>
        <v>168588.383647867</v>
      </c>
      <c r="P1522" s="22" t="n">
        <f aca="false">IF(DAY(B1522)=1,Assumptions!B39*G1522,0)</f>
        <v>44956.9023060978</v>
      </c>
      <c r="Q1522" s="22" t="n">
        <f aca="false">IF(DAY(B1522)=1,Assumptions!B40*G1522,0)</f>
        <v>33717.6767295733</v>
      </c>
      <c r="R1522" s="22" t="n">
        <f aca="false">IF(DAY(B1522)=1,Assumptions!B41*G1522,0)</f>
        <v>22478.4511530489</v>
      </c>
      <c r="S1522" s="22" t="n">
        <f aca="false">IF(AND(DAY(B1522)=1,D1522&gt;=13),Assumptions!B42*G1522,0)</f>
        <v>168588.383647867</v>
      </c>
      <c r="T1522" s="22" t="n">
        <f aca="false">IF(DAY(B1522)=1,Assumptions!B43*G1522,0)</f>
        <v>22478.4511530489</v>
      </c>
      <c r="U1522" s="22" t="n">
        <f aca="false">SUM(O1522:T1522)</f>
        <v>460808.248637502</v>
      </c>
      <c r="V1522" s="22" t="n">
        <f aca="false">N1522-U1522</f>
        <v>-439208.248637502</v>
      </c>
      <c r="W1522" s="22" t="n">
        <f aca="false">W1521+V1522</f>
        <v>-541691.127805517</v>
      </c>
      <c r="X1522" s="23" t="str">
        <f aca="false">IF(W1522&gt;=0,"YES","No")</f>
        <v>No</v>
      </c>
    </row>
    <row r="1523" customFormat="false" ht="15" hidden="false" customHeight="false" outlineLevel="0" collapsed="false">
      <c r="A1523" s="16" t="n">
        <v>1522</v>
      </c>
      <c r="B1523" s="17" t="n">
        <f aca="false">B1522+1</f>
        <v>47544</v>
      </c>
      <c r="C1523" s="18" t="n">
        <f aca="false">MIN(ROUNDUP(A1523/365,0),5)</f>
        <v>5</v>
      </c>
      <c r="D1523" s="18" t="n">
        <f aca="false">DATEDIF(Assumptions!B5,B1523,"m")+1</f>
        <v>51</v>
      </c>
      <c r="E1523" s="18" t="str">
        <f aca="false">TEXT(B1523,"ddd")</f>
        <v>Sat</v>
      </c>
      <c r="F1523" s="19" t="n">
        <f aca="false">IF(WEEKDAY(B1523,2)&gt;=6,Assumptions!B34,Assumptions!B35)</f>
        <v>0.6</v>
      </c>
      <c r="G1523" s="20" t="n">
        <f aca="false">IF(D1523&gt;=13,(1+Assumptions!B46)^(D1523-12),1)</f>
        <v>1.12392255765244</v>
      </c>
      <c r="H1523" s="21" t="n">
        <f aca="false">H1522*(1+IF(C1523=1,Assumptions!B22,Assumptions!B23))</f>
        <v>25.1591550636557</v>
      </c>
      <c r="I1523" s="16" t="n">
        <f aca="false">ROUND(H1523*F1523,0)</f>
        <v>15</v>
      </c>
      <c r="J1523" s="22" t="n">
        <f aca="false">I1523*Assumptions!B24</f>
        <v>9000</v>
      </c>
      <c r="K1523" s="21" t="n">
        <f aca="false">K1522*(1+Assumptions!B30)</f>
        <v>21.6043929940956</v>
      </c>
      <c r="L1523" s="16" t="n">
        <f aca="false">ROUND(K1523*F1523,0)</f>
        <v>13</v>
      </c>
      <c r="M1523" s="22" t="n">
        <f aca="false">L1523*Assumptions!B31</f>
        <v>3900</v>
      </c>
      <c r="N1523" s="22" t="n">
        <f aca="false">J1523+M1523</f>
        <v>12900</v>
      </c>
      <c r="O1523" s="22" t="n">
        <f aca="false">IF(DAY(B1523)=1,Assumptions!B38*G1523,0)</f>
        <v>0</v>
      </c>
      <c r="P1523" s="22" t="n">
        <f aca="false">IF(DAY(B1523)=1,Assumptions!B39*G1523,0)</f>
        <v>0</v>
      </c>
      <c r="Q1523" s="22" t="n">
        <f aca="false">IF(DAY(B1523)=1,Assumptions!B40*G1523,0)</f>
        <v>0</v>
      </c>
      <c r="R1523" s="22" t="n">
        <f aca="false">IF(DAY(B1523)=1,Assumptions!B41*G1523,0)</f>
        <v>0</v>
      </c>
      <c r="S1523" s="22" t="n">
        <f aca="false">IF(AND(DAY(B1523)=1,D1523&gt;=13),Assumptions!B42*G1523,0)</f>
        <v>0</v>
      </c>
      <c r="T1523" s="22" t="n">
        <f aca="false">IF(DAY(B1523)=1,Assumptions!B43*G1523,0)</f>
        <v>0</v>
      </c>
      <c r="U1523" s="22" t="n">
        <f aca="false">SUM(O1523:T1523)</f>
        <v>0</v>
      </c>
      <c r="V1523" s="22" t="n">
        <f aca="false">N1523-U1523</f>
        <v>12900</v>
      </c>
      <c r="W1523" s="22" t="n">
        <f aca="false">W1522+V1523</f>
        <v>-528791.127805517</v>
      </c>
      <c r="X1523" s="23" t="str">
        <f aca="false">IF(W1523&gt;=0,"YES","No")</f>
        <v>No</v>
      </c>
    </row>
    <row r="1524" customFormat="false" ht="15" hidden="false" customHeight="false" outlineLevel="0" collapsed="false">
      <c r="A1524" s="16" t="n">
        <v>1523</v>
      </c>
      <c r="B1524" s="17" t="n">
        <f aca="false">B1523+1</f>
        <v>47545</v>
      </c>
      <c r="C1524" s="18" t="n">
        <f aca="false">MIN(ROUNDUP(A1524/365,0),5)</f>
        <v>5</v>
      </c>
      <c r="D1524" s="18" t="n">
        <f aca="false">DATEDIF(Assumptions!B5,B1524,"m")+1</f>
        <v>51</v>
      </c>
      <c r="E1524" s="18" t="str">
        <f aca="false">TEXT(B1524,"ddd")</f>
        <v>Sun</v>
      </c>
      <c r="F1524" s="19" t="n">
        <f aca="false">IF(WEEKDAY(B1524,2)&gt;=6,Assumptions!B34,Assumptions!B35)</f>
        <v>0.6</v>
      </c>
      <c r="G1524" s="20" t="n">
        <f aca="false">IF(D1524&gt;=13,(1+Assumptions!B46)^(D1524-12),1)</f>
        <v>1.12392255765244</v>
      </c>
      <c r="H1524" s="21" t="n">
        <f aca="false">H1523*(1+IF(C1524=1,Assumptions!B22,Assumptions!B23))</f>
        <v>25.1632776855629</v>
      </c>
      <c r="I1524" s="16" t="n">
        <f aca="false">ROUND(H1524*F1524,0)</f>
        <v>15</v>
      </c>
      <c r="J1524" s="22" t="n">
        <f aca="false">I1524*Assumptions!B24</f>
        <v>9000</v>
      </c>
      <c r="K1524" s="21" t="n">
        <f aca="false">K1523*(1+Assumptions!B30)</f>
        <v>21.6114562660142</v>
      </c>
      <c r="L1524" s="16" t="n">
        <f aca="false">ROUND(K1524*F1524,0)</f>
        <v>13</v>
      </c>
      <c r="M1524" s="22" t="n">
        <f aca="false">L1524*Assumptions!B31</f>
        <v>3900</v>
      </c>
      <c r="N1524" s="22" t="n">
        <f aca="false">J1524+M1524</f>
        <v>12900</v>
      </c>
      <c r="O1524" s="22" t="n">
        <f aca="false">IF(DAY(B1524)=1,Assumptions!B38*G1524,0)</f>
        <v>0</v>
      </c>
      <c r="P1524" s="22" t="n">
        <f aca="false">IF(DAY(B1524)=1,Assumptions!B39*G1524,0)</f>
        <v>0</v>
      </c>
      <c r="Q1524" s="22" t="n">
        <f aca="false">IF(DAY(B1524)=1,Assumptions!B40*G1524,0)</f>
        <v>0</v>
      </c>
      <c r="R1524" s="22" t="n">
        <f aca="false">IF(DAY(B1524)=1,Assumptions!B41*G1524,0)</f>
        <v>0</v>
      </c>
      <c r="S1524" s="22" t="n">
        <f aca="false">IF(AND(DAY(B1524)=1,D1524&gt;=13),Assumptions!B42*G1524,0)</f>
        <v>0</v>
      </c>
      <c r="T1524" s="22" t="n">
        <f aca="false">IF(DAY(B1524)=1,Assumptions!B43*G1524,0)</f>
        <v>0</v>
      </c>
      <c r="U1524" s="22" t="n">
        <f aca="false">SUM(O1524:T1524)</f>
        <v>0</v>
      </c>
      <c r="V1524" s="22" t="n">
        <f aca="false">N1524-U1524</f>
        <v>12900</v>
      </c>
      <c r="W1524" s="22" t="n">
        <f aca="false">W1523+V1524</f>
        <v>-515891.127805517</v>
      </c>
      <c r="X1524" s="23" t="str">
        <f aca="false">IF(W1524&gt;=0,"YES","No")</f>
        <v>No</v>
      </c>
    </row>
    <row r="1525" customFormat="false" ht="15" hidden="false" customHeight="false" outlineLevel="0" collapsed="false">
      <c r="A1525" s="16" t="n">
        <v>1524</v>
      </c>
      <c r="B1525" s="17" t="n">
        <f aca="false">B1524+1</f>
        <v>47546</v>
      </c>
      <c r="C1525" s="18" t="n">
        <f aca="false">MIN(ROUNDUP(A1525/365,0),5)</f>
        <v>5</v>
      </c>
      <c r="D1525" s="18" t="n">
        <f aca="false">DATEDIF(Assumptions!B5,B1525,"m")+1</f>
        <v>51</v>
      </c>
      <c r="E1525" s="18" t="str">
        <f aca="false">TEXT(B1525,"ddd")</f>
        <v>Mon</v>
      </c>
      <c r="F1525" s="19" t="n">
        <f aca="false">IF(WEEKDAY(B1525,2)&gt;=6,Assumptions!B34,Assumptions!B35)</f>
        <v>1</v>
      </c>
      <c r="G1525" s="20" t="n">
        <f aca="false">IF(D1525&gt;=13,(1+Assumptions!B46)^(D1525-12),1)</f>
        <v>1.12392255765244</v>
      </c>
      <c r="H1525" s="21" t="n">
        <f aca="false">H1524*(1+IF(C1525=1,Assumptions!B22,Assumptions!B23))</f>
        <v>25.1674009830099</v>
      </c>
      <c r="I1525" s="16" t="n">
        <f aca="false">ROUND(H1525*F1525,0)</f>
        <v>25</v>
      </c>
      <c r="J1525" s="22" t="n">
        <f aca="false">I1525*Assumptions!B24</f>
        <v>15000</v>
      </c>
      <c r="K1525" s="21" t="n">
        <f aca="false">K1524*(1+Assumptions!B30)</f>
        <v>21.6185218471767</v>
      </c>
      <c r="L1525" s="16" t="n">
        <f aca="false">ROUND(K1525*F1525,0)</f>
        <v>22</v>
      </c>
      <c r="M1525" s="22" t="n">
        <f aca="false">L1525*Assumptions!B31</f>
        <v>6600</v>
      </c>
      <c r="N1525" s="22" t="n">
        <f aca="false">J1525+M1525</f>
        <v>21600</v>
      </c>
      <c r="O1525" s="22" t="n">
        <f aca="false">IF(DAY(B1525)=1,Assumptions!B38*G1525,0)</f>
        <v>0</v>
      </c>
      <c r="P1525" s="22" t="n">
        <f aca="false">IF(DAY(B1525)=1,Assumptions!B39*G1525,0)</f>
        <v>0</v>
      </c>
      <c r="Q1525" s="22" t="n">
        <f aca="false">IF(DAY(B1525)=1,Assumptions!B40*G1525,0)</f>
        <v>0</v>
      </c>
      <c r="R1525" s="22" t="n">
        <f aca="false">IF(DAY(B1525)=1,Assumptions!B41*G1525,0)</f>
        <v>0</v>
      </c>
      <c r="S1525" s="22" t="n">
        <f aca="false">IF(AND(DAY(B1525)=1,D1525&gt;=13),Assumptions!B42*G1525,0)</f>
        <v>0</v>
      </c>
      <c r="T1525" s="22" t="n">
        <f aca="false">IF(DAY(B1525)=1,Assumptions!B43*G1525,0)</f>
        <v>0</v>
      </c>
      <c r="U1525" s="22" t="n">
        <f aca="false">SUM(O1525:T1525)</f>
        <v>0</v>
      </c>
      <c r="V1525" s="22" t="n">
        <f aca="false">N1525-U1525</f>
        <v>21600</v>
      </c>
      <c r="W1525" s="22" t="n">
        <f aca="false">W1524+V1525</f>
        <v>-494291.127805517</v>
      </c>
      <c r="X1525" s="23" t="str">
        <f aca="false">IF(W1525&gt;=0,"YES","No")</f>
        <v>No</v>
      </c>
    </row>
    <row r="1526" customFormat="false" ht="15" hidden="false" customHeight="false" outlineLevel="0" collapsed="false">
      <c r="A1526" s="16" t="n">
        <v>1525</v>
      </c>
      <c r="B1526" s="17" t="n">
        <f aca="false">B1525+1</f>
        <v>47547</v>
      </c>
      <c r="C1526" s="18" t="n">
        <f aca="false">MIN(ROUNDUP(A1526/365,0),5)</f>
        <v>5</v>
      </c>
      <c r="D1526" s="18" t="n">
        <f aca="false">DATEDIF(Assumptions!B5,B1526,"m")+1</f>
        <v>51</v>
      </c>
      <c r="E1526" s="18" t="str">
        <f aca="false">TEXT(B1526,"ddd")</f>
        <v>Tue</v>
      </c>
      <c r="F1526" s="19" t="n">
        <f aca="false">IF(WEEKDAY(B1526,2)&gt;=6,Assumptions!B34,Assumptions!B35)</f>
        <v>1</v>
      </c>
      <c r="G1526" s="20" t="n">
        <f aca="false">IF(D1526&gt;=13,(1+Assumptions!B46)^(D1526-12),1)</f>
        <v>1.12392255765244</v>
      </c>
      <c r="H1526" s="21" t="n">
        <f aca="false">H1525*(1+IF(C1526=1,Assumptions!B22,Assumptions!B23))</f>
        <v>25.1715249561075</v>
      </c>
      <c r="I1526" s="16" t="n">
        <f aca="false">ROUND(H1526*F1526,0)</f>
        <v>25</v>
      </c>
      <c r="J1526" s="22" t="n">
        <f aca="false">I1526*Assumptions!B24</f>
        <v>15000</v>
      </c>
      <c r="K1526" s="21" t="n">
        <f aca="false">K1525*(1+Assumptions!B30)</f>
        <v>21.6255897383379</v>
      </c>
      <c r="L1526" s="16" t="n">
        <f aca="false">ROUND(K1526*F1526,0)</f>
        <v>22</v>
      </c>
      <c r="M1526" s="22" t="n">
        <f aca="false">L1526*Assumptions!B31</f>
        <v>6600</v>
      </c>
      <c r="N1526" s="22" t="n">
        <f aca="false">J1526+M1526</f>
        <v>21600</v>
      </c>
      <c r="O1526" s="22" t="n">
        <f aca="false">IF(DAY(B1526)=1,Assumptions!B38*G1526,0)</f>
        <v>0</v>
      </c>
      <c r="P1526" s="22" t="n">
        <f aca="false">IF(DAY(B1526)=1,Assumptions!B39*G1526,0)</f>
        <v>0</v>
      </c>
      <c r="Q1526" s="22" t="n">
        <f aca="false">IF(DAY(B1526)=1,Assumptions!B40*G1526,0)</f>
        <v>0</v>
      </c>
      <c r="R1526" s="22" t="n">
        <f aca="false">IF(DAY(B1526)=1,Assumptions!B41*G1526,0)</f>
        <v>0</v>
      </c>
      <c r="S1526" s="22" t="n">
        <f aca="false">IF(AND(DAY(B1526)=1,D1526&gt;=13),Assumptions!B42*G1526,0)</f>
        <v>0</v>
      </c>
      <c r="T1526" s="22" t="n">
        <f aca="false">IF(DAY(B1526)=1,Assumptions!B43*G1526,0)</f>
        <v>0</v>
      </c>
      <c r="U1526" s="22" t="n">
        <f aca="false">SUM(O1526:T1526)</f>
        <v>0</v>
      </c>
      <c r="V1526" s="22" t="n">
        <f aca="false">N1526-U1526</f>
        <v>21600</v>
      </c>
      <c r="W1526" s="22" t="n">
        <f aca="false">W1525+V1526</f>
        <v>-472691.127805517</v>
      </c>
      <c r="X1526" s="23" t="str">
        <f aca="false">IF(W1526&gt;=0,"YES","No")</f>
        <v>No</v>
      </c>
    </row>
    <row r="1527" customFormat="false" ht="15" hidden="false" customHeight="false" outlineLevel="0" collapsed="false">
      <c r="A1527" s="16" t="n">
        <v>1526</v>
      </c>
      <c r="B1527" s="17" t="n">
        <f aca="false">B1526+1</f>
        <v>47548</v>
      </c>
      <c r="C1527" s="18" t="n">
        <f aca="false">MIN(ROUNDUP(A1527/365,0),5)</f>
        <v>5</v>
      </c>
      <c r="D1527" s="18" t="n">
        <f aca="false">DATEDIF(Assumptions!B5,B1527,"m")+1</f>
        <v>51</v>
      </c>
      <c r="E1527" s="18" t="str">
        <f aca="false">TEXT(B1527,"ddd")</f>
        <v>Wed</v>
      </c>
      <c r="F1527" s="19" t="n">
        <f aca="false">IF(WEEKDAY(B1527,2)&gt;=6,Assumptions!B34,Assumptions!B35)</f>
        <v>1</v>
      </c>
      <c r="G1527" s="20" t="n">
        <f aca="false">IF(D1527&gt;=13,(1+Assumptions!B46)^(D1527-12),1)</f>
        <v>1.12392255765244</v>
      </c>
      <c r="H1527" s="21" t="n">
        <f aca="false">H1526*(1+IF(C1527=1,Assumptions!B22,Assumptions!B23))</f>
        <v>25.1756496049663</v>
      </c>
      <c r="I1527" s="16" t="n">
        <f aca="false">ROUND(H1527*F1527,0)</f>
        <v>25</v>
      </c>
      <c r="J1527" s="22" t="n">
        <f aca="false">I1527*Assumptions!B24</f>
        <v>15000</v>
      </c>
      <c r="K1527" s="21" t="n">
        <f aca="false">K1526*(1+Assumptions!B30)</f>
        <v>21.6326599402532</v>
      </c>
      <c r="L1527" s="16" t="n">
        <f aca="false">ROUND(K1527*F1527,0)</f>
        <v>22</v>
      </c>
      <c r="M1527" s="22" t="n">
        <f aca="false">L1527*Assumptions!B31</f>
        <v>6600</v>
      </c>
      <c r="N1527" s="22" t="n">
        <f aca="false">J1527+M1527</f>
        <v>21600</v>
      </c>
      <c r="O1527" s="22" t="n">
        <f aca="false">IF(DAY(B1527)=1,Assumptions!B38*G1527,0)</f>
        <v>0</v>
      </c>
      <c r="P1527" s="22" t="n">
        <f aca="false">IF(DAY(B1527)=1,Assumptions!B39*G1527,0)</f>
        <v>0</v>
      </c>
      <c r="Q1527" s="22" t="n">
        <f aca="false">IF(DAY(B1527)=1,Assumptions!B40*G1527,0)</f>
        <v>0</v>
      </c>
      <c r="R1527" s="22" t="n">
        <f aca="false">IF(DAY(B1527)=1,Assumptions!B41*G1527,0)</f>
        <v>0</v>
      </c>
      <c r="S1527" s="22" t="n">
        <f aca="false">IF(AND(DAY(B1527)=1,D1527&gt;=13),Assumptions!B42*G1527,0)</f>
        <v>0</v>
      </c>
      <c r="T1527" s="22" t="n">
        <f aca="false">IF(DAY(B1527)=1,Assumptions!B43*G1527,0)</f>
        <v>0</v>
      </c>
      <c r="U1527" s="22" t="n">
        <f aca="false">SUM(O1527:T1527)</f>
        <v>0</v>
      </c>
      <c r="V1527" s="22" t="n">
        <f aca="false">N1527-U1527</f>
        <v>21600</v>
      </c>
      <c r="W1527" s="22" t="n">
        <f aca="false">W1526+V1527</f>
        <v>-451091.127805517</v>
      </c>
      <c r="X1527" s="23" t="str">
        <f aca="false">IF(W1527&gt;=0,"YES","No")</f>
        <v>No</v>
      </c>
    </row>
    <row r="1528" customFormat="false" ht="15" hidden="false" customHeight="false" outlineLevel="0" collapsed="false">
      <c r="A1528" s="16" t="n">
        <v>1527</v>
      </c>
      <c r="B1528" s="17" t="n">
        <f aca="false">B1527+1</f>
        <v>47549</v>
      </c>
      <c r="C1528" s="18" t="n">
        <f aca="false">MIN(ROUNDUP(A1528/365,0),5)</f>
        <v>5</v>
      </c>
      <c r="D1528" s="18" t="n">
        <f aca="false">DATEDIF(Assumptions!B5,B1528,"m")+1</f>
        <v>51</v>
      </c>
      <c r="E1528" s="18" t="str">
        <f aca="false">TEXT(B1528,"ddd")</f>
        <v>Thu</v>
      </c>
      <c r="F1528" s="19" t="n">
        <f aca="false">IF(WEEKDAY(B1528,2)&gt;=6,Assumptions!B34,Assumptions!B35)</f>
        <v>1</v>
      </c>
      <c r="G1528" s="20" t="n">
        <f aca="false">IF(D1528&gt;=13,(1+Assumptions!B46)^(D1528-12),1)</f>
        <v>1.12392255765244</v>
      </c>
      <c r="H1528" s="21" t="n">
        <f aca="false">H1527*(1+IF(C1528=1,Assumptions!B22,Assumptions!B23))</f>
        <v>25.1797749296971</v>
      </c>
      <c r="I1528" s="16" t="n">
        <f aca="false">ROUND(H1528*F1528,0)</f>
        <v>25</v>
      </c>
      <c r="J1528" s="22" t="n">
        <f aca="false">I1528*Assumptions!B24</f>
        <v>15000</v>
      </c>
      <c r="K1528" s="21" t="n">
        <f aca="false">K1527*(1+Assumptions!B30)</f>
        <v>21.6397324536778</v>
      </c>
      <c r="L1528" s="16" t="n">
        <f aca="false">ROUND(K1528*F1528,0)</f>
        <v>22</v>
      </c>
      <c r="M1528" s="22" t="n">
        <f aca="false">L1528*Assumptions!B31</f>
        <v>6600</v>
      </c>
      <c r="N1528" s="22" t="n">
        <f aca="false">J1528+M1528</f>
        <v>21600</v>
      </c>
      <c r="O1528" s="22" t="n">
        <f aca="false">IF(DAY(B1528)=1,Assumptions!B38*G1528,0)</f>
        <v>0</v>
      </c>
      <c r="P1528" s="22" t="n">
        <f aca="false">IF(DAY(B1528)=1,Assumptions!B39*G1528,0)</f>
        <v>0</v>
      </c>
      <c r="Q1528" s="22" t="n">
        <f aca="false">IF(DAY(B1528)=1,Assumptions!B40*G1528,0)</f>
        <v>0</v>
      </c>
      <c r="R1528" s="22" t="n">
        <f aca="false">IF(DAY(B1528)=1,Assumptions!B41*G1528,0)</f>
        <v>0</v>
      </c>
      <c r="S1528" s="22" t="n">
        <f aca="false">IF(AND(DAY(B1528)=1,D1528&gt;=13),Assumptions!B42*G1528,0)</f>
        <v>0</v>
      </c>
      <c r="T1528" s="22" t="n">
        <f aca="false">IF(DAY(B1528)=1,Assumptions!B43*G1528,0)</f>
        <v>0</v>
      </c>
      <c r="U1528" s="22" t="n">
        <f aca="false">SUM(O1528:T1528)</f>
        <v>0</v>
      </c>
      <c r="V1528" s="22" t="n">
        <f aca="false">N1528-U1528</f>
        <v>21600</v>
      </c>
      <c r="W1528" s="22" t="n">
        <f aca="false">W1527+V1528</f>
        <v>-429491.127805517</v>
      </c>
      <c r="X1528" s="23" t="str">
        <f aca="false">IF(W1528&gt;=0,"YES","No")</f>
        <v>No</v>
      </c>
    </row>
    <row r="1529" customFormat="false" ht="15" hidden="false" customHeight="false" outlineLevel="0" collapsed="false">
      <c r="A1529" s="16" t="n">
        <v>1528</v>
      </c>
      <c r="B1529" s="17" t="n">
        <f aca="false">B1528+1</f>
        <v>47550</v>
      </c>
      <c r="C1529" s="18" t="n">
        <f aca="false">MIN(ROUNDUP(A1529/365,0),5)</f>
        <v>5</v>
      </c>
      <c r="D1529" s="18" t="n">
        <f aca="false">DATEDIF(Assumptions!B5,B1529,"m")+1</f>
        <v>51</v>
      </c>
      <c r="E1529" s="18" t="str">
        <f aca="false">TEXT(B1529,"ddd")</f>
        <v>Fri</v>
      </c>
      <c r="F1529" s="19" t="n">
        <f aca="false">IF(WEEKDAY(B1529,2)&gt;=6,Assumptions!B34,Assumptions!B35)</f>
        <v>1</v>
      </c>
      <c r="G1529" s="20" t="n">
        <f aca="false">IF(D1529&gt;=13,(1+Assumptions!B46)^(D1529-12),1)</f>
        <v>1.12392255765244</v>
      </c>
      <c r="H1529" s="21" t="n">
        <f aca="false">H1528*(1+IF(C1529=1,Assumptions!B22,Assumptions!B23))</f>
        <v>25.1839009304107</v>
      </c>
      <c r="I1529" s="16" t="n">
        <f aca="false">ROUND(H1529*F1529,0)</f>
        <v>25</v>
      </c>
      <c r="J1529" s="22" t="n">
        <f aca="false">I1529*Assumptions!B24</f>
        <v>15000</v>
      </c>
      <c r="K1529" s="21" t="n">
        <f aca="false">K1528*(1+Assumptions!B30)</f>
        <v>21.6468072793677</v>
      </c>
      <c r="L1529" s="16" t="n">
        <f aca="false">ROUND(K1529*F1529,0)</f>
        <v>22</v>
      </c>
      <c r="M1529" s="22" t="n">
        <f aca="false">L1529*Assumptions!B31</f>
        <v>6600</v>
      </c>
      <c r="N1529" s="22" t="n">
        <f aca="false">J1529+M1529</f>
        <v>21600</v>
      </c>
      <c r="O1529" s="22" t="n">
        <f aca="false">IF(DAY(B1529)=1,Assumptions!B38*G1529,0)</f>
        <v>0</v>
      </c>
      <c r="P1529" s="22" t="n">
        <f aca="false">IF(DAY(B1529)=1,Assumptions!B39*G1529,0)</f>
        <v>0</v>
      </c>
      <c r="Q1529" s="22" t="n">
        <f aca="false">IF(DAY(B1529)=1,Assumptions!B40*G1529,0)</f>
        <v>0</v>
      </c>
      <c r="R1529" s="22" t="n">
        <f aca="false">IF(DAY(B1529)=1,Assumptions!B41*G1529,0)</f>
        <v>0</v>
      </c>
      <c r="S1529" s="22" t="n">
        <f aca="false">IF(AND(DAY(B1529)=1,D1529&gt;=13),Assumptions!B42*G1529,0)</f>
        <v>0</v>
      </c>
      <c r="T1529" s="22" t="n">
        <f aca="false">IF(DAY(B1529)=1,Assumptions!B43*G1529,0)</f>
        <v>0</v>
      </c>
      <c r="U1529" s="22" t="n">
        <f aca="false">SUM(O1529:T1529)</f>
        <v>0</v>
      </c>
      <c r="V1529" s="22" t="n">
        <f aca="false">N1529-U1529</f>
        <v>21600</v>
      </c>
      <c r="W1529" s="22" t="n">
        <f aca="false">W1528+V1529</f>
        <v>-407891.127805517</v>
      </c>
      <c r="X1529" s="23" t="str">
        <f aca="false">IF(W1529&gt;=0,"YES","No")</f>
        <v>No</v>
      </c>
    </row>
    <row r="1530" customFormat="false" ht="15" hidden="false" customHeight="false" outlineLevel="0" collapsed="false">
      <c r="A1530" s="16" t="n">
        <v>1529</v>
      </c>
      <c r="B1530" s="17" t="n">
        <f aca="false">B1529+1</f>
        <v>47551</v>
      </c>
      <c r="C1530" s="18" t="n">
        <f aca="false">MIN(ROUNDUP(A1530/365,0),5)</f>
        <v>5</v>
      </c>
      <c r="D1530" s="18" t="n">
        <f aca="false">DATEDIF(Assumptions!B5,B1530,"m")+1</f>
        <v>51</v>
      </c>
      <c r="E1530" s="18" t="str">
        <f aca="false">TEXT(B1530,"ddd")</f>
        <v>Sat</v>
      </c>
      <c r="F1530" s="19" t="n">
        <f aca="false">IF(WEEKDAY(B1530,2)&gt;=6,Assumptions!B34,Assumptions!B35)</f>
        <v>0.6</v>
      </c>
      <c r="G1530" s="20" t="n">
        <f aca="false">IF(D1530&gt;=13,(1+Assumptions!B46)^(D1530-12),1)</f>
        <v>1.12392255765244</v>
      </c>
      <c r="H1530" s="21" t="n">
        <f aca="false">H1529*(1+IF(C1530=1,Assumptions!B22,Assumptions!B23))</f>
        <v>25.1880276072177</v>
      </c>
      <c r="I1530" s="16" t="n">
        <f aca="false">ROUND(H1530*F1530,0)</f>
        <v>15</v>
      </c>
      <c r="J1530" s="22" t="n">
        <f aca="false">I1530*Assumptions!B24</f>
        <v>9000</v>
      </c>
      <c r="K1530" s="21" t="n">
        <f aca="false">K1529*(1+Assumptions!B30)</f>
        <v>21.6538844180786</v>
      </c>
      <c r="L1530" s="16" t="n">
        <f aca="false">ROUND(K1530*F1530,0)</f>
        <v>13</v>
      </c>
      <c r="M1530" s="22" t="n">
        <f aca="false">L1530*Assumptions!B31</f>
        <v>3900</v>
      </c>
      <c r="N1530" s="22" t="n">
        <f aca="false">J1530+M1530</f>
        <v>12900</v>
      </c>
      <c r="O1530" s="22" t="n">
        <f aca="false">IF(DAY(B1530)=1,Assumptions!B38*G1530,0)</f>
        <v>0</v>
      </c>
      <c r="P1530" s="22" t="n">
        <f aca="false">IF(DAY(B1530)=1,Assumptions!B39*G1530,0)</f>
        <v>0</v>
      </c>
      <c r="Q1530" s="22" t="n">
        <f aca="false">IF(DAY(B1530)=1,Assumptions!B40*G1530,0)</f>
        <v>0</v>
      </c>
      <c r="R1530" s="22" t="n">
        <f aca="false">IF(DAY(B1530)=1,Assumptions!B41*G1530,0)</f>
        <v>0</v>
      </c>
      <c r="S1530" s="22" t="n">
        <f aca="false">IF(AND(DAY(B1530)=1,D1530&gt;=13),Assumptions!B42*G1530,0)</f>
        <v>0</v>
      </c>
      <c r="T1530" s="22" t="n">
        <f aca="false">IF(DAY(B1530)=1,Assumptions!B43*G1530,0)</f>
        <v>0</v>
      </c>
      <c r="U1530" s="22" t="n">
        <f aca="false">SUM(O1530:T1530)</f>
        <v>0</v>
      </c>
      <c r="V1530" s="22" t="n">
        <f aca="false">N1530-U1530</f>
        <v>12900</v>
      </c>
      <c r="W1530" s="22" t="n">
        <f aca="false">W1529+V1530</f>
        <v>-394991.127805517</v>
      </c>
      <c r="X1530" s="23" t="str">
        <f aca="false">IF(W1530&gt;=0,"YES","No")</f>
        <v>No</v>
      </c>
    </row>
    <row r="1531" customFormat="false" ht="15" hidden="false" customHeight="false" outlineLevel="0" collapsed="false">
      <c r="A1531" s="16" t="n">
        <v>1530</v>
      </c>
      <c r="B1531" s="17" t="n">
        <f aca="false">B1530+1</f>
        <v>47552</v>
      </c>
      <c r="C1531" s="18" t="n">
        <f aca="false">MIN(ROUNDUP(A1531/365,0),5)</f>
        <v>5</v>
      </c>
      <c r="D1531" s="18" t="n">
        <f aca="false">DATEDIF(Assumptions!B5,B1531,"m")+1</f>
        <v>51</v>
      </c>
      <c r="E1531" s="18" t="str">
        <f aca="false">TEXT(B1531,"ddd")</f>
        <v>Sun</v>
      </c>
      <c r="F1531" s="19" t="n">
        <f aca="false">IF(WEEKDAY(B1531,2)&gt;=6,Assumptions!B34,Assumptions!B35)</f>
        <v>0.6</v>
      </c>
      <c r="G1531" s="20" t="n">
        <f aca="false">IF(D1531&gt;=13,(1+Assumptions!B46)^(D1531-12),1)</f>
        <v>1.12392255765244</v>
      </c>
      <c r="H1531" s="21" t="n">
        <f aca="false">H1530*(1+IF(C1531=1,Assumptions!B22,Assumptions!B23))</f>
        <v>25.1921549602289</v>
      </c>
      <c r="I1531" s="16" t="n">
        <f aca="false">ROUND(H1531*F1531,0)</f>
        <v>15</v>
      </c>
      <c r="J1531" s="22" t="n">
        <f aca="false">I1531*Assumptions!B24</f>
        <v>9000</v>
      </c>
      <c r="K1531" s="21" t="n">
        <f aca="false">K1530*(1+Assumptions!B30)</f>
        <v>21.6609638705669</v>
      </c>
      <c r="L1531" s="16" t="n">
        <f aca="false">ROUND(K1531*F1531,0)</f>
        <v>13</v>
      </c>
      <c r="M1531" s="22" t="n">
        <f aca="false">L1531*Assumptions!B31</f>
        <v>3900</v>
      </c>
      <c r="N1531" s="22" t="n">
        <f aca="false">J1531+M1531</f>
        <v>12900</v>
      </c>
      <c r="O1531" s="22" t="n">
        <f aca="false">IF(DAY(B1531)=1,Assumptions!B38*G1531,0)</f>
        <v>0</v>
      </c>
      <c r="P1531" s="22" t="n">
        <f aca="false">IF(DAY(B1531)=1,Assumptions!B39*G1531,0)</f>
        <v>0</v>
      </c>
      <c r="Q1531" s="22" t="n">
        <f aca="false">IF(DAY(B1531)=1,Assumptions!B40*G1531,0)</f>
        <v>0</v>
      </c>
      <c r="R1531" s="22" t="n">
        <f aca="false">IF(DAY(B1531)=1,Assumptions!B41*G1531,0)</f>
        <v>0</v>
      </c>
      <c r="S1531" s="22" t="n">
        <f aca="false">IF(AND(DAY(B1531)=1,D1531&gt;=13),Assumptions!B42*G1531,0)</f>
        <v>0</v>
      </c>
      <c r="T1531" s="22" t="n">
        <f aca="false">IF(DAY(B1531)=1,Assumptions!B43*G1531,0)</f>
        <v>0</v>
      </c>
      <c r="U1531" s="22" t="n">
        <f aca="false">SUM(O1531:T1531)</f>
        <v>0</v>
      </c>
      <c r="V1531" s="22" t="n">
        <f aca="false">N1531-U1531</f>
        <v>12900</v>
      </c>
      <c r="W1531" s="22" t="n">
        <f aca="false">W1530+V1531</f>
        <v>-382091.127805517</v>
      </c>
      <c r="X1531" s="23" t="str">
        <f aca="false">IF(W1531&gt;=0,"YES","No")</f>
        <v>No</v>
      </c>
    </row>
    <row r="1532" customFormat="false" ht="15" hidden="false" customHeight="false" outlineLevel="0" collapsed="false">
      <c r="A1532" s="16" t="n">
        <v>1531</v>
      </c>
      <c r="B1532" s="17" t="n">
        <f aca="false">B1531+1</f>
        <v>47553</v>
      </c>
      <c r="C1532" s="18" t="n">
        <f aca="false">MIN(ROUNDUP(A1532/365,0),5)</f>
        <v>5</v>
      </c>
      <c r="D1532" s="18" t="n">
        <f aca="false">DATEDIF(Assumptions!B5,B1532,"m")+1</f>
        <v>51</v>
      </c>
      <c r="E1532" s="18" t="str">
        <f aca="false">TEXT(B1532,"ddd")</f>
        <v>Mon</v>
      </c>
      <c r="F1532" s="19" t="n">
        <f aca="false">IF(WEEKDAY(B1532,2)&gt;=6,Assumptions!B34,Assumptions!B35)</f>
        <v>1</v>
      </c>
      <c r="G1532" s="20" t="n">
        <f aca="false">IF(D1532&gt;=13,(1+Assumptions!B46)^(D1532-12),1)</f>
        <v>1.12392255765244</v>
      </c>
      <c r="H1532" s="21" t="n">
        <f aca="false">H1531*(1+IF(C1532=1,Assumptions!B22,Assumptions!B23))</f>
        <v>25.1962829895553</v>
      </c>
      <c r="I1532" s="16" t="n">
        <f aca="false">ROUND(H1532*F1532,0)</f>
        <v>25</v>
      </c>
      <c r="J1532" s="22" t="n">
        <f aca="false">I1532*Assumptions!B24</f>
        <v>15000</v>
      </c>
      <c r="K1532" s="21" t="n">
        <f aca="false">K1531*(1+Assumptions!B30)</f>
        <v>21.6680456375891</v>
      </c>
      <c r="L1532" s="16" t="n">
        <f aca="false">ROUND(K1532*F1532,0)</f>
        <v>22</v>
      </c>
      <c r="M1532" s="22" t="n">
        <f aca="false">L1532*Assumptions!B31</f>
        <v>6600</v>
      </c>
      <c r="N1532" s="22" t="n">
        <f aca="false">J1532+M1532</f>
        <v>21600</v>
      </c>
      <c r="O1532" s="22" t="n">
        <f aca="false">IF(DAY(B1532)=1,Assumptions!B38*G1532,0)</f>
        <v>0</v>
      </c>
      <c r="P1532" s="22" t="n">
        <f aca="false">IF(DAY(B1532)=1,Assumptions!B39*G1532,0)</f>
        <v>0</v>
      </c>
      <c r="Q1532" s="22" t="n">
        <f aca="false">IF(DAY(B1532)=1,Assumptions!B40*G1532,0)</f>
        <v>0</v>
      </c>
      <c r="R1532" s="22" t="n">
        <f aca="false">IF(DAY(B1532)=1,Assumptions!B41*G1532,0)</f>
        <v>0</v>
      </c>
      <c r="S1532" s="22" t="n">
        <f aca="false">IF(AND(DAY(B1532)=1,D1532&gt;=13),Assumptions!B42*G1532,0)</f>
        <v>0</v>
      </c>
      <c r="T1532" s="22" t="n">
        <f aca="false">IF(DAY(B1532)=1,Assumptions!B43*G1532,0)</f>
        <v>0</v>
      </c>
      <c r="U1532" s="22" t="n">
        <f aca="false">SUM(O1532:T1532)</f>
        <v>0</v>
      </c>
      <c r="V1532" s="22" t="n">
        <f aca="false">N1532-U1532</f>
        <v>21600</v>
      </c>
      <c r="W1532" s="22" t="n">
        <f aca="false">W1531+V1532</f>
        <v>-360491.127805517</v>
      </c>
      <c r="X1532" s="23" t="str">
        <f aca="false">IF(W1532&gt;=0,"YES","No")</f>
        <v>No</v>
      </c>
    </row>
    <row r="1533" customFormat="false" ht="15" hidden="false" customHeight="false" outlineLevel="0" collapsed="false">
      <c r="A1533" s="16" t="n">
        <v>1532</v>
      </c>
      <c r="B1533" s="17" t="n">
        <f aca="false">B1532+1</f>
        <v>47554</v>
      </c>
      <c r="C1533" s="18" t="n">
        <f aca="false">MIN(ROUNDUP(A1533/365,0),5)</f>
        <v>5</v>
      </c>
      <c r="D1533" s="18" t="n">
        <f aca="false">DATEDIF(Assumptions!B5,B1533,"m")+1</f>
        <v>51</v>
      </c>
      <c r="E1533" s="18" t="str">
        <f aca="false">TEXT(B1533,"ddd")</f>
        <v>Tue</v>
      </c>
      <c r="F1533" s="19" t="n">
        <f aca="false">IF(WEEKDAY(B1533,2)&gt;=6,Assumptions!B34,Assumptions!B35)</f>
        <v>1</v>
      </c>
      <c r="G1533" s="20" t="n">
        <f aca="false">IF(D1533&gt;=13,(1+Assumptions!B46)^(D1533-12),1)</f>
        <v>1.12392255765244</v>
      </c>
      <c r="H1533" s="21" t="n">
        <f aca="false">H1532*(1+IF(C1533=1,Assumptions!B22,Assumptions!B23))</f>
        <v>25.2004116953075</v>
      </c>
      <c r="I1533" s="16" t="n">
        <f aca="false">ROUND(H1533*F1533,0)</f>
        <v>25</v>
      </c>
      <c r="J1533" s="22" t="n">
        <f aca="false">I1533*Assumptions!B24</f>
        <v>15000</v>
      </c>
      <c r="K1533" s="21" t="n">
        <f aca="false">K1532*(1+Assumptions!B30)</f>
        <v>21.6751297199017</v>
      </c>
      <c r="L1533" s="16" t="n">
        <f aca="false">ROUND(K1533*F1533,0)</f>
        <v>22</v>
      </c>
      <c r="M1533" s="22" t="n">
        <f aca="false">L1533*Assumptions!B31</f>
        <v>6600</v>
      </c>
      <c r="N1533" s="22" t="n">
        <f aca="false">J1533+M1533</f>
        <v>21600</v>
      </c>
      <c r="O1533" s="22" t="n">
        <f aca="false">IF(DAY(B1533)=1,Assumptions!B38*G1533,0)</f>
        <v>0</v>
      </c>
      <c r="P1533" s="22" t="n">
        <f aca="false">IF(DAY(B1533)=1,Assumptions!B39*G1533,0)</f>
        <v>0</v>
      </c>
      <c r="Q1533" s="22" t="n">
        <f aca="false">IF(DAY(B1533)=1,Assumptions!B40*G1533,0)</f>
        <v>0</v>
      </c>
      <c r="R1533" s="22" t="n">
        <f aca="false">IF(DAY(B1533)=1,Assumptions!B41*G1533,0)</f>
        <v>0</v>
      </c>
      <c r="S1533" s="22" t="n">
        <f aca="false">IF(AND(DAY(B1533)=1,D1533&gt;=13),Assumptions!B42*G1533,0)</f>
        <v>0</v>
      </c>
      <c r="T1533" s="22" t="n">
        <f aca="false">IF(DAY(B1533)=1,Assumptions!B43*G1533,0)</f>
        <v>0</v>
      </c>
      <c r="U1533" s="22" t="n">
        <f aca="false">SUM(O1533:T1533)</f>
        <v>0</v>
      </c>
      <c r="V1533" s="22" t="n">
        <f aca="false">N1533-U1533</f>
        <v>21600</v>
      </c>
      <c r="W1533" s="22" t="n">
        <f aca="false">W1532+V1533</f>
        <v>-338891.127805517</v>
      </c>
      <c r="X1533" s="23" t="str">
        <f aca="false">IF(W1533&gt;=0,"YES","No")</f>
        <v>No</v>
      </c>
    </row>
    <row r="1534" customFormat="false" ht="15" hidden="false" customHeight="false" outlineLevel="0" collapsed="false">
      <c r="A1534" s="16" t="n">
        <v>1533</v>
      </c>
      <c r="B1534" s="17" t="n">
        <f aca="false">B1533+1</f>
        <v>47555</v>
      </c>
      <c r="C1534" s="18" t="n">
        <f aca="false">MIN(ROUNDUP(A1534/365,0),5)</f>
        <v>5</v>
      </c>
      <c r="D1534" s="18" t="n">
        <f aca="false">DATEDIF(Assumptions!B5,B1534,"m")+1</f>
        <v>51</v>
      </c>
      <c r="E1534" s="18" t="str">
        <f aca="false">TEXT(B1534,"ddd")</f>
        <v>Wed</v>
      </c>
      <c r="F1534" s="19" t="n">
        <f aca="false">IF(WEEKDAY(B1534,2)&gt;=6,Assumptions!B34,Assumptions!B35)</f>
        <v>1</v>
      </c>
      <c r="G1534" s="20" t="n">
        <f aca="false">IF(D1534&gt;=13,(1+Assumptions!B46)^(D1534-12),1)</f>
        <v>1.12392255765244</v>
      </c>
      <c r="H1534" s="21" t="n">
        <f aca="false">H1533*(1+IF(C1534=1,Assumptions!B22,Assumptions!B23))</f>
        <v>25.2045410775965</v>
      </c>
      <c r="I1534" s="16" t="n">
        <f aca="false">ROUND(H1534*F1534,0)</f>
        <v>25</v>
      </c>
      <c r="J1534" s="22" t="n">
        <f aca="false">I1534*Assumptions!B24</f>
        <v>15000</v>
      </c>
      <c r="K1534" s="21" t="n">
        <f aca="false">K1533*(1+Assumptions!B30)</f>
        <v>21.6822161182618</v>
      </c>
      <c r="L1534" s="16" t="n">
        <f aca="false">ROUND(K1534*F1534,0)</f>
        <v>22</v>
      </c>
      <c r="M1534" s="22" t="n">
        <f aca="false">L1534*Assumptions!B31</f>
        <v>6600</v>
      </c>
      <c r="N1534" s="22" t="n">
        <f aca="false">J1534+M1534</f>
        <v>21600</v>
      </c>
      <c r="O1534" s="22" t="n">
        <f aca="false">IF(DAY(B1534)=1,Assumptions!B38*G1534,0)</f>
        <v>0</v>
      </c>
      <c r="P1534" s="22" t="n">
        <f aca="false">IF(DAY(B1534)=1,Assumptions!B39*G1534,0)</f>
        <v>0</v>
      </c>
      <c r="Q1534" s="22" t="n">
        <f aca="false">IF(DAY(B1534)=1,Assumptions!B40*G1534,0)</f>
        <v>0</v>
      </c>
      <c r="R1534" s="22" t="n">
        <f aca="false">IF(DAY(B1534)=1,Assumptions!B41*G1534,0)</f>
        <v>0</v>
      </c>
      <c r="S1534" s="22" t="n">
        <f aca="false">IF(AND(DAY(B1534)=1,D1534&gt;=13),Assumptions!B42*G1534,0)</f>
        <v>0</v>
      </c>
      <c r="T1534" s="22" t="n">
        <f aca="false">IF(DAY(B1534)=1,Assumptions!B43*G1534,0)</f>
        <v>0</v>
      </c>
      <c r="U1534" s="22" t="n">
        <f aca="false">SUM(O1534:T1534)</f>
        <v>0</v>
      </c>
      <c r="V1534" s="22" t="n">
        <f aca="false">N1534-U1534</f>
        <v>21600</v>
      </c>
      <c r="W1534" s="22" t="n">
        <f aca="false">W1533+V1534</f>
        <v>-317291.127805517</v>
      </c>
      <c r="X1534" s="23" t="str">
        <f aca="false">IF(W1534&gt;=0,"YES","No")</f>
        <v>No</v>
      </c>
    </row>
    <row r="1535" customFormat="false" ht="15" hidden="false" customHeight="false" outlineLevel="0" collapsed="false">
      <c r="A1535" s="16" t="n">
        <v>1534</v>
      </c>
      <c r="B1535" s="17" t="n">
        <f aca="false">B1534+1</f>
        <v>47556</v>
      </c>
      <c r="C1535" s="18" t="n">
        <f aca="false">MIN(ROUNDUP(A1535/365,0),5)</f>
        <v>5</v>
      </c>
      <c r="D1535" s="18" t="n">
        <f aca="false">DATEDIF(Assumptions!B5,B1535,"m")+1</f>
        <v>51</v>
      </c>
      <c r="E1535" s="18" t="str">
        <f aca="false">TEXT(B1535,"ddd")</f>
        <v>Thu</v>
      </c>
      <c r="F1535" s="19" t="n">
        <f aca="false">IF(WEEKDAY(B1535,2)&gt;=6,Assumptions!B34,Assumptions!B35)</f>
        <v>1</v>
      </c>
      <c r="G1535" s="20" t="n">
        <f aca="false">IF(D1535&gt;=13,(1+Assumptions!B46)^(D1535-12),1)</f>
        <v>1.12392255765244</v>
      </c>
      <c r="H1535" s="21" t="n">
        <f aca="false">H1534*(1+IF(C1535=1,Assumptions!B22,Assumptions!B23))</f>
        <v>25.2086711365331</v>
      </c>
      <c r="I1535" s="16" t="n">
        <f aca="false">ROUND(H1535*F1535,0)</f>
        <v>25</v>
      </c>
      <c r="J1535" s="22" t="n">
        <f aca="false">I1535*Assumptions!B24</f>
        <v>15000</v>
      </c>
      <c r="K1535" s="21" t="n">
        <f aca="false">K1534*(1+Assumptions!B30)</f>
        <v>21.6893048334266</v>
      </c>
      <c r="L1535" s="16" t="n">
        <f aca="false">ROUND(K1535*F1535,0)</f>
        <v>22</v>
      </c>
      <c r="M1535" s="22" t="n">
        <f aca="false">L1535*Assumptions!B31</f>
        <v>6600</v>
      </c>
      <c r="N1535" s="22" t="n">
        <f aca="false">J1535+M1535</f>
        <v>21600</v>
      </c>
      <c r="O1535" s="22" t="n">
        <f aca="false">IF(DAY(B1535)=1,Assumptions!B38*G1535,0)</f>
        <v>0</v>
      </c>
      <c r="P1535" s="22" t="n">
        <f aca="false">IF(DAY(B1535)=1,Assumptions!B39*G1535,0)</f>
        <v>0</v>
      </c>
      <c r="Q1535" s="22" t="n">
        <f aca="false">IF(DAY(B1535)=1,Assumptions!B40*G1535,0)</f>
        <v>0</v>
      </c>
      <c r="R1535" s="22" t="n">
        <f aca="false">IF(DAY(B1535)=1,Assumptions!B41*G1535,0)</f>
        <v>0</v>
      </c>
      <c r="S1535" s="22" t="n">
        <f aca="false">IF(AND(DAY(B1535)=1,D1535&gt;=13),Assumptions!B42*G1535,0)</f>
        <v>0</v>
      </c>
      <c r="T1535" s="22" t="n">
        <f aca="false">IF(DAY(B1535)=1,Assumptions!B43*G1535,0)</f>
        <v>0</v>
      </c>
      <c r="U1535" s="22" t="n">
        <f aca="false">SUM(O1535:T1535)</f>
        <v>0</v>
      </c>
      <c r="V1535" s="22" t="n">
        <f aca="false">N1535-U1535</f>
        <v>21600</v>
      </c>
      <c r="W1535" s="22" t="n">
        <f aca="false">W1534+V1535</f>
        <v>-295691.127805517</v>
      </c>
      <c r="X1535" s="23" t="str">
        <f aca="false">IF(W1535&gt;=0,"YES","No")</f>
        <v>No</v>
      </c>
    </row>
    <row r="1536" customFormat="false" ht="15" hidden="false" customHeight="false" outlineLevel="0" collapsed="false">
      <c r="A1536" s="16" t="n">
        <v>1535</v>
      </c>
      <c r="B1536" s="17" t="n">
        <f aca="false">B1535+1</f>
        <v>47557</v>
      </c>
      <c r="C1536" s="18" t="n">
        <f aca="false">MIN(ROUNDUP(A1536/365,0),5)</f>
        <v>5</v>
      </c>
      <c r="D1536" s="18" t="n">
        <f aca="false">DATEDIF(Assumptions!B5,B1536,"m")+1</f>
        <v>51</v>
      </c>
      <c r="E1536" s="18" t="str">
        <f aca="false">TEXT(B1536,"ddd")</f>
        <v>Fri</v>
      </c>
      <c r="F1536" s="19" t="n">
        <f aca="false">IF(WEEKDAY(B1536,2)&gt;=6,Assumptions!B34,Assumptions!B35)</f>
        <v>1</v>
      </c>
      <c r="G1536" s="20" t="n">
        <f aca="false">IF(D1536&gt;=13,(1+Assumptions!B46)^(D1536-12),1)</f>
        <v>1.12392255765244</v>
      </c>
      <c r="H1536" s="21" t="n">
        <f aca="false">H1535*(1+IF(C1536=1,Assumptions!B22,Assumptions!B23))</f>
        <v>25.2128018722282</v>
      </c>
      <c r="I1536" s="16" t="n">
        <f aca="false">ROUND(H1536*F1536,0)</f>
        <v>25</v>
      </c>
      <c r="J1536" s="22" t="n">
        <f aca="false">I1536*Assumptions!B24</f>
        <v>15000</v>
      </c>
      <c r="K1536" s="21" t="n">
        <f aca="false">K1535*(1+Assumptions!B30)</f>
        <v>21.6963958661535</v>
      </c>
      <c r="L1536" s="16" t="n">
        <f aca="false">ROUND(K1536*F1536,0)</f>
        <v>22</v>
      </c>
      <c r="M1536" s="22" t="n">
        <f aca="false">L1536*Assumptions!B31</f>
        <v>6600</v>
      </c>
      <c r="N1536" s="22" t="n">
        <f aca="false">J1536+M1536</f>
        <v>21600</v>
      </c>
      <c r="O1536" s="22" t="n">
        <f aca="false">IF(DAY(B1536)=1,Assumptions!B38*G1536,0)</f>
        <v>0</v>
      </c>
      <c r="P1536" s="22" t="n">
        <f aca="false">IF(DAY(B1536)=1,Assumptions!B39*G1536,0)</f>
        <v>0</v>
      </c>
      <c r="Q1536" s="22" t="n">
        <f aca="false">IF(DAY(B1536)=1,Assumptions!B40*G1536,0)</f>
        <v>0</v>
      </c>
      <c r="R1536" s="22" t="n">
        <f aca="false">IF(DAY(B1536)=1,Assumptions!B41*G1536,0)</f>
        <v>0</v>
      </c>
      <c r="S1536" s="22" t="n">
        <f aca="false">IF(AND(DAY(B1536)=1,D1536&gt;=13),Assumptions!B42*G1536,0)</f>
        <v>0</v>
      </c>
      <c r="T1536" s="22" t="n">
        <f aca="false">IF(DAY(B1536)=1,Assumptions!B43*G1536,0)</f>
        <v>0</v>
      </c>
      <c r="U1536" s="22" t="n">
        <f aca="false">SUM(O1536:T1536)</f>
        <v>0</v>
      </c>
      <c r="V1536" s="22" t="n">
        <f aca="false">N1536-U1536</f>
        <v>21600</v>
      </c>
      <c r="W1536" s="22" t="n">
        <f aca="false">W1535+V1536</f>
        <v>-274091.127805517</v>
      </c>
      <c r="X1536" s="23" t="str">
        <f aca="false">IF(W1536&gt;=0,"YES","No")</f>
        <v>No</v>
      </c>
    </row>
    <row r="1537" customFormat="false" ht="15" hidden="false" customHeight="false" outlineLevel="0" collapsed="false">
      <c r="A1537" s="16" t="n">
        <v>1536</v>
      </c>
      <c r="B1537" s="17" t="n">
        <f aca="false">B1536+1</f>
        <v>47558</v>
      </c>
      <c r="C1537" s="18" t="n">
        <f aca="false">MIN(ROUNDUP(A1537/365,0),5)</f>
        <v>5</v>
      </c>
      <c r="D1537" s="18" t="n">
        <f aca="false">DATEDIF(Assumptions!B5,B1537,"m")+1</f>
        <v>51</v>
      </c>
      <c r="E1537" s="18" t="str">
        <f aca="false">TEXT(B1537,"ddd")</f>
        <v>Sat</v>
      </c>
      <c r="F1537" s="19" t="n">
        <f aca="false">IF(WEEKDAY(B1537,2)&gt;=6,Assumptions!B34,Assumptions!B35)</f>
        <v>0.6</v>
      </c>
      <c r="G1537" s="20" t="n">
        <f aca="false">IF(D1537&gt;=13,(1+Assumptions!B46)^(D1537-12),1)</f>
        <v>1.12392255765244</v>
      </c>
      <c r="H1537" s="21" t="n">
        <f aca="false">H1536*(1+IF(C1537=1,Assumptions!B22,Assumptions!B23))</f>
        <v>25.2169332847927</v>
      </c>
      <c r="I1537" s="16" t="n">
        <f aca="false">ROUND(H1537*F1537,0)</f>
        <v>15</v>
      </c>
      <c r="J1537" s="22" t="n">
        <f aca="false">I1537*Assumptions!B24</f>
        <v>9000</v>
      </c>
      <c r="K1537" s="21" t="n">
        <f aca="false">K1536*(1+Assumptions!B30)</f>
        <v>21.7034892172002</v>
      </c>
      <c r="L1537" s="16" t="n">
        <f aca="false">ROUND(K1537*F1537,0)</f>
        <v>13</v>
      </c>
      <c r="M1537" s="22" t="n">
        <f aca="false">L1537*Assumptions!B31</f>
        <v>3900</v>
      </c>
      <c r="N1537" s="22" t="n">
        <f aca="false">J1537+M1537</f>
        <v>12900</v>
      </c>
      <c r="O1537" s="22" t="n">
        <f aca="false">IF(DAY(B1537)=1,Assumptions!B38*G1537,0)</f>
        <v>0</v>
      </c>
      <c r="P1537" s="22" t="n">
        <f aca="false">IF(DAY(B1537)=1,Assumptions!B39*G1537,0)</f>
        <v>0</v>
      </c>
      <c r="Q1537" s="22" t="n">
        <f aca="false">IF(DAY(B1537)=1,Assumptions!B40*G1537,0)</f>
        <v>0</v>
      </c>
      <c r="R1537" s="22" t="n">
        <f aca="false">IF(DAY(B1537)=1,Assumptions!B41*G1537,0)</f>
        <v>0</v>
      </c>
      <c r="S1537" s="22" t="n">
        <f aca="false">IF(AND(DAY(B1537)=1,D1537&gt;=13),Assumptions!B42*G1537,0)</f>
        <v>0</v>
      </c>
      <c r="T1537" s="22" t="n">
        <f aca="false">IF(DAY(B1537)=1,Assumptions!B43*G1537,0)</f>
        <v>0</v>
      </c>
      <c r="U1537" s="22" t="n">
        <f aca="false">SUM(O1537:T1537)</f>
        <v>0</v>
      </c>
      <c r="V1537" s="22" t="n">
        <f aca="false">N1537-U1537</f>
        <v>12900</v>
      </c>
      <c r="W1537" s="22" t="n">
        <f aca="false">W1536+V1537</f>
        <v>-261191.127805517</v>
      </c>
      <c r="X1537" s="23" t="str">
        <f aca="false">IF(W1537&gt;=0,"YES","No")</f>
        <v>No</v>
      </c>
    </row>
    <row r="1538" customFormat="false" ht="15" hidden="false" customHeight="false" outlineLevel="0" collapsed="false">
      <c r="A1538" s="16" t="n">
        <v>1537</v>
      </c>
      <c r="B1538" s="17" t="n">
        <f aca="false">B1537+1</f>
        <v>47559</v>
      </c>
      <c r="C1538" s="18" t="n">
        <f aca="false">MIN(ROUNDUP(A1538/365,0),5)</f>
        <v>5</v>
      </c>
      <c r="D1538" s="18" t="n">
        <f aca="false">DATEDIF(Assumptions!B5,B1538,"m")+1</f>
        <v>51</v>
      </c>
      <c r="E1538" s="18" t="str">
        <f aca="false">TEXT(B1538,"ddd")</f>
        <v>Sun</v>
      </c>
      <c r="F1538" s="19" t="n">
        <f aca="false">IF(WEEKDAY(B1538,2)&gt;=6,Assumptions!B34,Assumptions!B35)</f>
        <v>0.6</v>
      </c>
      <c r="G1538" s="20" t="n">
        <f aca="false">IF(D1538&gt;=13,(1+Assumptions!B46)^(D1538-12),1)</f>
        <v>1.12392255765244</v>
      </c>
      <c r="H1538" s="21" t="n">
        <f aca="false">H1537*(1+IF(C1538=1,Assumptions!B22,Assumptions!B23))</f>
        <v>25.2210653743374</v>
      </c>
      <c r="I1538" s="16" t="n">
        <f aca="false">ROUND(H1538*F1538,0)</f>
        <v>15</v>
      </c>
      <c r="J1538" s="22" t="n">
        <f aca="false">I1538*Assumptions!B24</f>
        <v>9000</v>
      </c>
      <c r="K1538" s="21" t="n">
        <f aca="false">K1537*(1+Assumptions!B30)</f>
        <v>21.7105848873247</v>
      </c>
      <c r="L1538" s="16" t="n">
        <f aca="false">ROUND(K1538*F1538,0)</f>
        <v>13</v>
      </c>
      <c r="M1538" s="22" t="n">
        <f aca="false">L1538*Assumptions!B31</f>
        <v>3900</v>
      </c>
      <c r="N1538" s="22" t="n">
        <f aca="false">J1538+M1538</f>
        <v>12900</v>
      </c>
      <c r="O1538" s="22" t="n">
        <f aca="false">IF(DAY(B1538)=1,Assumptions!B38*G1538,0)</f>
        <v>0</v>
      </c>
      <c r="P1538" s="22" t="n">
        <f aca="false">IF(DAY(B1538)=1,Assumptions!B39*G1538,0)</f>
        <v>0</v>
      </c>
      <c r="Q1538" s="22" t="n">
        <f aca="false">IF(DAY(B1538)=1,Assumptions!B40*G1538,0)</f>
        <v>0</v>
      </c>
      <c r="R1538" s="22" t="n">
        <f aca="false">IF(DAY(B1538)=1,Assumptions!B41*G1538,0)</f>
        <v>0</v>
      </c>
      <c r="S1538" s="22" t="n">
        <f aca="false">IF(AND(DAY(B1538)=1,D1538&gt;=13),Assumptions!B42*G1538,0)</f>
        <v>0</v>
      </c>
      <c r="T1538" s="22" t="n">
        <f aca="false">IF(DAY(B1538)=1,Assumptions!B43*G1538,0)</f>
        <v>0</v>
      </c>
      <c r="U1538" s="22" t="n">
        <f aca="false">SUM(O1538:T1538)</f>
        <v>0</v>
      </c>
      <c r="V1538" s="22" t="n">
        <f aca="false">N1538-U1538</f>
        <v>12900</v>
      </c>
      <c r="W1538" s="22" t="n">
        <f aca="false">W1537+V1538</f>
        <v>-248291.127805517</v>
      </c>
      <c r="X1538" s="23" t="str">
        <f aca="false">IF(W1538&gt;=0,"YES","No")</f>
        <v>No</v>
      </c>
    </row>
    <row r="1539" customFormat="false" ht="15" hidden="false" customHeight="false" outlineLevel="0" collapsed="false">
      <c r="A1539" s="16" t="n">
        <v>1538</v>
      </c>
      <c r="B1539" s="17" t="n">
        <f aca="false">B1538+1</f>
        <v>47560</v>
      </c>
      <c r="C1539" s="18" t="n">
        <f aca="false">MIN(ROUNDUP(A1539/365,0),5)</f>
        <v>5</v>
      </c>
      <c r="D1539" s="18" t="n">
        <f aca="false">DATEDIF(Assumptions!B5,B1539,"m")+1</f>
        <v>51</v>
      </c>
      <c r="E1539" s="18" t="str">
        <f aca="false">TEXT(B1539,"ddd")</f>
        <v>Mon</v>
      </c>
      <c r="F1539" s="19" t="n">
        <f aca="false">IF(WEEKDAY(B1539,2)&gt;=6,Assumptions!B34,Assumptions!B35)</f>
        <v>1</v>
      </c>
      <c r="G1539" s="20" t="n">
        <f aca="false">IF(D1539&gt;=13,(1+Assumptions!B46)^(D1539-12),1)</f>
        <v>1.12392255765244</v>
      </c>
      <c r="H1539" s="21" t="n">
        <f aca="false">H1538*(1+IF(C1539=1,Assumptions!B22,Assumptions!B23))</f>
        <v>25.2251981409733</v>
      </c>
      <c r="I1539" s="16" t="n">
        <f aca="false">ROUND(H1539*F1539,0)</f>
        <v>25</v>
      </c>
      <c r="J1539" s="22" t="n">
        <f aca="false">I1539*Assumptions!B24</f>
        <v>15000</v>
      </c>
      <c r="K1539" s="21" t="n">
        <f aca="false">K1538*(1+Assumptions!B30)</f>
        <v>21.7176828772851</v>
      </c>
      <c r="L1539" s="16" t="n">
        <f aca="false">ROUND(K1539*F1539,0)</f>
        <v>22</v>
      </c>
      <c r="M1539" s="22" t="n">
        <f aca="false">L1539*Assumptions!B31</f>
        <v>6600</v>
      </c>
      <c r="N1539" s="22" t="n">
        <f aca="false">J1539+M1539</f>
        <v>21600</v>
      </c>
      <c r="O1539" s="22" t="n">
        <f aca="false">IF(DAY(B1539)=1,Assumptions!B38*G1539,0)</f>
        <v>0</v>
      </c>
      <c r="P1539" s="22" t="n">
        <f aca="false">IF(DAY(B1539)=1,Assumptions!B39*G1539,0)</f>
        <v>0</v>
      </c>
      <c r="Q1539" s="22" t="n">
        <f aca="false">IF(DAY(B1539)=1,Assumptions!B40*G1539,0)</f>
        <v>0</v>
      </c>
      <c r="R1539" s="22" t="n">
        <f aca="false">IF(DAY(B1539)=1,Assumptions!B41*G1539,0)</f>
        <v>0</v>
      </c>
      <c r="S1539" s="22" t="n">
        <f aca="false">IF(AND(DAY(B1539)=1,D1539&gt;=13),Assumptions!B42*G1539,0)</f>
        <v>0</v>
      </c>
      <c r="T1539" s="22" t="n">
        <f aca="false">IF(DAY(B1539)=1,Assumptions!B43*G1539,0)</f>
        <v>0</v>
      </c>
      <c r="U1539" s="22" t="n">
        <f aca="false">SUM(O1539:T1539)</f>
        <v>0</v>
      </c>
      <c r="V1539" s="22" t="n">
        <f aca="false">N1539-U1539</f>
        <v>21600</v>
      </c>
      <c r="W1539" s="22" t="n">
        <f aca="false">W1538+V1539</f>
        <v>-226691.127805517</v>
      </c>
      <c r="X1539" s="23" t="str">
        <f aca="false">IF(W1539&gt;=0,"YES","No")</f>
        <v>No</v>
      </c>
    </row>
    <row r="1540" customFormat="false" ht="15" hidden="false" customHeight="false" outlineLevel="0" collapsed="false">
      <c r="A1540" s="16" t="n">
        <v>1539</v>
      </c>
      <c r="B1540" s="17" t="n">
        <f aca="false">B1539+1</f>
        <v>47561</v>
      </c>
      <c r="C1540" s="18" t="n">
        <f aca="false">MIN(ROUNDUP(A1540/365,0),5)</f>
        <v>5</v>
      </c>
      <c r="D1540" s="18" t="n">
        <f aca="false">DATEDIF(Assumptions!B5,B1540,"m")+1</f>
        <v>51</v>
      </c>
      <c r="E1540" s="18" t="str">
        <f aca="false">TEXT(B1540,"ddd")</f>
        <v>Tue</v>
      </c>
      <c r="F1540" s="19" t="n">
        <f aca="false">IF(WEEKDAY(B1540,2)&gt;=6,Assumptions!B34,Assumptions!B35)</f>
        <v>1</v>
      </c>
      <c r="G1540" s="20" t="n">
        <f aca="false">IF(D1540&gt;=13,(1+Assumptions!B46)^(D1540-12),1)</f>
        <v>1.12392255765244</v>
      </c>
      <c r="H1540" s="21" t="n">
        <f aca="false">H1539*(1+IF(C1540=1,Assumptions!B22,Assumptions!B23))</f>
        <v>25.2293315848115</v>
      </c>
      <c r="I1540" s="16" t="n">
        <f aca="false">ROUND(H1540*F1540,0)</f>
        <v>25</v>
      </c>
      <c r="J1540" s="22" t="n">
        <f aca="false">I1540*Assumptions!B24</f>
        <v>15000</v>
      </c>
      <c r="K1540" s="21" t="n">
        <f aca="false">K1539*(1+Assumptions!B30)</f>
        <v>21.7247831878399</v>
      </c>
      <c r="L1540" s="16" t="n">
        <f aca="false">ROUND(K1540*F1540,0)</f>
        <v>22</v>
      </c>
      <c r="M1540" s="22" t="n">
        <f aca="false">L1540*Assumptions!B31</f>
        <v>6600</v>
      </c>
      <c r="N1540" s="22" t="n">
        <f aca="false">J1540+M1540</f>
        <v>21600</v>
      </c>
      <c r="O1540" s="22" t="n">
        <f aca="false">IF(DAY(B1540)=1,Assumptions!B38*G1540,0)</f>
        <v>0</v>
      </c>
      <c r="P1540" s="22" t="n">
        <f aca="false">IF(DAY(B1540)=1,Assumptions!B39*G1540,0)</f>
        <v>0</v>
      </c>
      <c r="Q1540" s="22" t="n">
        <f aca="false">IF(DAY(B1540)=1,Assumptions!B40*G1540,0)</f>
        <v>0</v>
      </c>
      <c r="R1540" s="22" t="n">
        <f aca="false">IF(DAY(B1540)=1,Assumptions!B41*G1540,0)</f>
        <v>0</v>
      </c>
      <c r="S1540" s="22" t="n">
        <f aca="false">IF(AND(DAY(B1540)=1,D1540&gt;=13),Assumptions!B42*G1540,0)</f>
        <v>0</v>
      </c>
      <c r="T1540" s="22" t="n">
        <f aca="false">IF(DAY(B1540)=1,Assumptions!B43*G1540,0)</f>
        <v>0</v>
      </c>
      <c r="U1540" s="22" t="n">
        <f aca="false">SUM(O1540:T1540)</f>
        <v>0</v>
      </c>
      <c r="V1540" s="22" t="n">
        <f aca="false">N1540-U1540</f>
        <v>21600</v>
      </c>
      <c r="W1540" s="22" t="n">
        <f aca="false">W1539+V1540</f>
        <v>-205091.127805517</v>
      </c>
      <c r="X1540" s="23" t="str">
        <f aca="false">IF(W1540&gt;=0,"YES","No")</f>
        <v>No</v>
      </c>
    </row>
    <row r="1541" customFormat="false" ht="15" hidden="false" customHeight="false" outlineLevel="0" collapsed="false">
      <c r="A1541" s="16" t="n">
        <v>1540</v>
      </c>
      <c r="B1541" s="17" t="n">
        <f aca="false">B1540+1</f>
        <v>47562</v>
      </c>
      <c r="C1541" s="18" t="n">
        <f aca="false">MIN(ROUNDUP(A1541/365,0),5)</f>
        <v>5</v>
      </c>
      <c r="D1541" s="18" t="n">
        <f aca="false">DATEDIF(Assumptions!B5,B1541,"m")+1</f>
        <v>51</v>
      </c>
      <c r="E1541" s="18" t="str">
        <f aca="false">TEXT(B1541,"ddd")</f>
        <v>Wed</v>
      </c>
      <c r="F1541" s="19" t="n">
        <f aca="false">IF(WEEKDAY(B1541,2)&gt;=6,Assumptions!B34,Assumptions!B35)</f>
        <v>1</v>
      </c>
      <c r="G1541" s="20" t="n">
        <f aca="false">IF(D1541&gt;=13,(1+Assumptions!B46)^(D1541-12),1)</f>
        <v>1.12392255765244</v>
      </c>
      <c r="H1541" s="21" t="n">
        <f aca="false">H1540*(1+IF(C1541=1,Assumptions!B22,Assumptions!B23))</f>
        <v>25.2334657059627</v>
      </c>
      <c r="I1541" s="16" t="n">
        <f aca="false">ROUND(H1541*F1541,0)</f>
        <v>25</v>
      </c>
      <c r="J1541" s="22" t="n">
        <f aca="false">I1541*Assumptions!B24</f>
        <v>15000</v>
      </c>
      <c r="K1541" s="21" t="n">
        <f aca="false">K1540*(1+Assumptions!B30)</f>
        <v>21.7318858197478</v>
      </c>
      <c r="L1541" s="16" t="n">
        <f aca="false">ROUND(K1541*F1541,0)</f>
        <v>22</v>
      </c>
      <c r="M1541" s="22" t="n">
        <f aca="false">L1541*Assumptions!B31</f>
        <v>6600</v>
      </c>
      <c r="N1541" s="22" t="n">
        <f aca="false">J1541+M1541</f>
        <v>21600</v>
      </c>
      <c r="O1541" s="22" t="n">
        <f aca="false">IF(DAY(B1541)=1,Assumptions!B38*G1541,0)</f>
        <v>0</v>
      </c>
      <c r="P1541" s="22" t="n">
        <f aca="false">IF(DAY(B1541)=1,Assumptions!B39*G1541,0)</f>
        <v>0</v>
      </c>
      <c r="Q1541" s="22" t="n">
        <f aca="false">IF(DAY(B1541)=1,Assumptions!B40*G1541,0)</f>
        <v>0</v>
      </c>
      <c r="R1541" s="22" t="n">
        <f aca="false">IF(DAY(B1541)=1,Assumptions!B41*G1541,0)</f>
        <v>0</v>
      </c>
      <c r="S1541" s="22" t="n">
        <f aca="false">IF(AND(DAY(B1541)=1,D1541&gt;=13),Assumptions!B42*G1541,0)</f>
        <v>0</v>
      </c>
      <c r="T1541" s="22" t="n">
        <f aca="false">IF(DAY(B1541)=1,Assumptions!B43*G1541,0)</f>
        <v>0</v>
      </c>
      <c r="U1541" s="22" t="n">
        <f aca="false">SUM(O1541:T1541)</f>
        <v>0</v>
      </c>
      <c r="V1541" s="22" t="n">
        <f aca="false">N1541-U1541</f>
        <v>21600</v>
      </c>
      <c r="W1541" s="22" t="n">
        <f aca="false">W1540+V1541</f>
        <v>-183491.127805517</v>
      </c>
      <c r="X1541" s="23" t="str">
        <f aca="false">IF(W1541&gt;=0,"YES","No")</f>
        <v>No</v>
      </c>
    </row>
    <row r="1542" customFormat="false" ht="15" hidden="false" customHeight="false" outlineLevel="0" collapsed="false">
      <c r="A1542" s="16" t="n">
        <v>1541</v>
      </c>
      <c r="B1542" s="17" t="n">
        <f aca="false">B1541+1</f>
        <v>47563</v>
      </c>
      <c r="C1542" s="18" t="n">
        <f aca="false">MIN(ROUNDUP(A1542/365,0),5)</f>
        <v>5</v>
      </c>
      <c r="D1542" s="18" t="n">
        <f aca="false">DATEDIF(Assumptions!B5,B1542,"m")+1</f>
        <v>51</v>
      </c>
      <c r="E1542" s="18" t="str">
        <f aca="false">TEXT(B1542,"ddd")</f>
        <v>Thu</v>
      </c>
      <c r="F1542" s="19" t="n">
        <f aca="false">IF(WEEKDAY(B1542,2)&gt;=6,Assumptions!B34,Assumptions!B35)</f>
        <v>1</v>
      </c>
      <c r="G1542" s="20" t="n">
        <f aca="false">IF(D1542&gt;=13,(1+Assumptions!B46)^(D1542-12),1)</f>
        <v>1.12392255765244</v>
      </c>
      <c r="H1542" s="21" t="n">
        <f aca="false">H1541*(1+IF(C1542=1,Assumptions!B22,Assumptions!B23))</f>
        <v>25.2376005045381</v>
      </c>
      <c r="I1542" s="16" t="n">
        <f aca="false">ROUND(H1542*F1542,0)</f>
        <v>25</v>
      </c>
      <c r="J1542" s="22" t="n">
        <f aca="false">I1542*Assumptions!B24</f>
        <v>15000</v>
      </c>
      <c r="K1542" s="21" t="n">
        <f aca="false">K1541*(1+Assumptions!B30)</f>
        <v>21.7389907737676</v>
      </c>
      <c r="L1542" s="16" t="n">
        <f aca="false">ROUND(K1542*F1542,0)</f>
        <v>22</v>
      </c>
      <c r="M1542" s="22" t="n">
        <f aca="false">L1542*Assumptions!B31</f>
        <v>6600</v>
      </c>
      <c r="N1542" s="22" t="n">
        <f aca="false">J1542+M1542</f>
        <v>21600</v>
      </c>
      <c r="O1542" s="22" t="n">
        <f aca="false">IF(DAY(B1542)=1,Assumptions!B38*G1542,0)</f>
        <v>0</v>
      </c>
      <c r="P1542" s="22" t="n">
        <f aca="false">IF(DAY(B1542)=1,Assumptions!B39*G1542,0)</f>
        <v>0</v>
      </c>
      <c r="Q1542" s="22" t="n">
        <f aca="false">IF(DAY(B1542)=1,Assumptions!B40*G1542,0)</f>
        <v>0</v>
      </c>
      <c r="R1542" s="22" t="n">
        <f aca="false">IF(DAY(B1542)=1,Assumptions!B41*G1542,0)</f>
        <v>0</v>
      </c>
      <c r="S1542" s="22" t="n">
        <f aca="false">IF(AND(DAY(B1542)=1,D1542&gt;=13),Assumptions!B42*G1542,0)</f>
        <v>0</v>
      </c>
      <c r="T1542" s="22" t="n">
        <f aca="false">IF(DAY(B1542)=1,Assumptions!B43*G1542,0)</f>
        <v>0</v>
      </c>
      <c r="U1542" s="22" t="n">
        <f aca="false">SUM(O1542:T1542)</f>
        <v>0</v>
      </c>
      <c r="V1542" s="22" t="n">
        <f aca="false">N1542-U1542</f>
        <v>21600</v>
      </c>
      <c r="W1542" s="22" t="n">
        <f aca="false">W1541+V1542</f>
        <v>-161891.127805517</v>
      </c>
      <c r="X1542" s="23" t="str">
        <f aca="false">IF(W1542&gt;=0,"YES","No")</f>
        <v>No</v>
      </c>
    </row>
    <row r="1543" customFormat="false" ht="15" hidden="false" customHeight="false" outlineLevel="0" collapsed="false">
      <c r="A1543" s="16" t="n">
        <v>1542</v>
      </c>
      <c r="B1543" s="17" t="n">
        <f aca="false">B1542+1</f>
        <v>47564</v>
      </c>
      <c r="C1543" s="18" t="n">
        <f aca="false">MIN(ROUNDUP(A1543/365,0),5)</f>
        <v>5</v>
      </c>
      <c r="D1543" s="18" t="n">
        <f aca="false">DATEDIF(Assumptions!B5,B1543,"m")+1</f>
        <v>51</v>
      </c>
      <c r="E1543" s="18" t="str">
        <f aca="false">TEXT(B1543,"ddd")</f>
        <v>Fri</v>
      </c>
      <c r="F1543" s="19" t="n">
        <f aca="false">IF(WEEKDAY(B1543,2)&gt;=6,Assumptions!B34,Assumptions!B35)</f>
        <v>1</v>
      </c>
      <c r="G1543" s="20" t="n">
        <f aca="false">IF(D1543&gt;=13,(1+Assumptions!B46)^(D1543-12),1)</f>
        <v>1.12392255765244</v>
      </c>
      <c r="H1543" s="21" t="n">
        <f aca="false">H1542*(1+IF(C1543=1,Assumptions!B22,Assumptions!B23))</f>
        <v>25.2417359806485</v>
      </c>
      <c r="I1543" s="16" t="n">
        <f aca="false">ROUND(H1543*F1543,0)</f>
        <v>25</v>
      </c>
      <c r="J1543" s="22" t="n">
        <f aca="false">I1543*Assumptions!B24</f>
        <v>15000</v>
      </c>
      <c r="K1543" s="21" t="n">
        <f aca="false">K1542*(1+Assumptions!B30)</f>
        <v>21.7460980506587</v>
      </c>
      <c r="L1543" s="16" t="n">
        <f aca="false">ROUND(K1543*F1543,0)</f>
        <v>22</v>
      </c>
      <c r="M1543" s="22" t="n">
        <f aca="false">L1543*Assumptions!B31</f>
        <v>6600</v>
      </c>
      <c r="N1543" s="22" t="n">
        <f aca="false">J1543+M1543</f>
        <v>21600</v>
      </c>
      <c r="O1543" s="22" t="n">
        <f aca="false">IF(DAY(B1543)=1,Assumptions!B38*G1543,0)</f>
        <v>0</v>
      </c>
      <c r="P1543" s="22" t="n">
        <f aca="false">IF(DAY(B1543)=1,Assumptions!B39*G1543,0)</f>
        <v>0</v>
      </c>
      <c r="Q1543" s="22" t="n">
        <f aca="false">IF(DAY(B1543)=1,Assumptions!B40*G1543,0)</f>
        <v>0</v>
      </c>
      <c r="R1543" s="22" t="n">
        <f aca="false">IF(DAY(B1543)=1,Assumptions!B41*G1543,0)</f>
        <v>0</v>
      </c>
      <c r="S1543" s="22" t="n">
        <f aca="false">IF(AND(DAY(B1543)=1,D1543&gt;=13),Assumptions!B42*G1543,0)</f>
        <v>0</v>
      </c>
      <c r="T1543" s="22" t="n">
        <f aca="false">IF(DAY(B1543)=1,Assumptions!B43*G1543,0)</f>
        <v>0</v>
      </c>
      <c r="U1543" s="22" t="n">
        <f aca="false">SUM(O1543:T1543)</f>
        <v>0</v>
      </c>
      <c r="V1543" s="22" t="n">
        <f aca="false">N1543-U1543</f>
        <v>21600</v>
      </c>
      <c r="W1543" s="22" t="n">
        <f aca="false">W1542+V1543</f>
        <v>-140291.127805517</v>
      </c>
      <c r="X1543" s="23" t="str">
        <f aca="false">IF(W1543&gt;=0,"YES","No")</f>
        <v>No</v>
      </c>
    </row>
    <row r="1544" customFormat="false" ht="15" hidden="false" customHeight="false" outlineLevel="0" collapsed="false">
      <c r="A1544" s="16" t="n">
        <v>1543</v>
      </c>
      <c r="B1544" s="17" t="n">
        <f aca="false">B1543+1</f>
        <v>47565</v>
      </c>
      <c r="C1544" s="18" t="n">
        <f aca="false">MIN(ROUNDUP(A1544/365,0),5)</f>
        <v>5</v>
      </c>
      <c r="D1544" s="18" t="n">
        <f aca="false">DATEDIF(Assumptions!B5,B1544,"m")+1</f>
        <v>51</v>
      </c>
      <c r="E1544" s="18" t="str">
        <f aca="false">TEXT(B1544,"ddd")</f>
        <v>Sat</v>
      </c>
      <c r="F1544" s="19" t="n">
        <f aca="false">IF(WEEKDAY(B1544,2)&gt;=6,Assumptions!B34,Assumptions!B35)</f>
        <v>0.6</v>
      </c>
      <c r="G1544" s="20" t="n">
        <f aca="false">IF(D1544&gt;=13,(1+Assumptions!B46)^(D1544-12),1)</f>
        <v>1.12392255765244</v>
      </c>
      <c r="H1544" s="21" t="n">
        <f aca="false">H1543*(1+IF(C1544=1,Assumptions!B22,Assumptions!B23))</f>
        <v>25.2458721344052</v>
      </c>
      <c r="I1544" s="16" t="n">
        <f aca="false">ROUND(H1544*F1544,0)</f>
        <v>15</v>
      </c>
      <c r="J1544" s="22" t="n">
        <f aca="false">I1544*Assumptions!B24</f>
        <v>9000</v>
      </c>
      <c r="K1544" s="21" t="n">
        <f aca="false">K1543*(1+Assumptions!B30)</f>
        <v>21.7532076511804</v>
      </c>
      <c r="L1544" s="16" t="n">
        <f aca="false">ROUND(K1544*F1544,0)</f>
        <v>13</v>
      </c>
      <c r="M1544" s="22" t="n">
        <f aca="false">L1544*Assumptions!B31</f>
        <v>3900</v>
      </c>
      <c r="N1544" s="22" t="n">
        <f aca="false">J1544+M1544</f>
        <v>12900</v>
      </c>
      <c r="O1544" s="22" t="n">
        <f aca="false">IF(DAY(B1544)=1,Assumptions!B38*G1544,0)</f>
        <v>0</v>
      </c>
      <c r="P1544" s="22" t="n">
        <f aca="false">IF(DAY(B1544)=1,Assumptions!B39*G1544,0)</f>
        <v>0</v>
      </c>
      <c r="Q1544" s="22" t="n">
        <f aca="false">IF(DAY(B1544)=1,Assumptions!B40*G1544,0)</f>
        <v>0</v>
      </c>
      <c r="R1544" s="22" t="n">
        <f aca="false">IF(DAY(B1544)=1,Assumptions!B41*G1544,0)</f>
        <v>0</v>
      </c>
      <c r="S1544" s="22" t="n">
        <f aca="false">IF(AND(DAY(B1544)=1,D1544&gt;=13),Assumptions!B42*G1544,0)</f>
        <v>0</v>
      </c>
      <c r="T1544" s="22" t="n">
        <f aca="false">IF(DAY(B1544)=1,Assumptions!B43*G1544,0)</f>
        <v>0</v>
      </c>
      <c r="U1544" s="22" t="n">
        <f aca="false">SUM(O1544:T1544)</f>
        <v>0</v>
      </c>
      <c r="V1544" s="22" t="n">
        <f aca="false">N1544-U1544</f>
        <v>12900</v>
      </c>
      <c r="W1544" s="22" t="n">
        <f aca="false">W1543+V1544</f>
        <v>-127391.127805517</v>
      </c>
      <c r="X1544" s="23" t="str">
        <f aca="false">IF(W1544&gt;=0,"YES","No")</f>
        <v>No</v>
      </c>
    </row>
    <row r="1545" customFormat="false" ht="15" hidden="false" customHeight="false" outlineLevel="0" collapsed="false">
      <c r="A1545" s="16" t="n">
        <v>1544</v>
      </c>
      <c r="B1545" s="17" t="n">
        <f aca="false">B1544+1</f>
        <v>47566</v>
      </c>
      <c r="C1545" s="18" t="n">
        <f aca="false">MIN(ROUNDUP(A1545/365,0),5)</f>
        <v>5</v>
      </c>
      <c r="D1545" s="18" t="n">
        <f aca="false">DATEDIF(Assumptions!B5,B1545,"m")+1</f>
        <v>51</v>
      </c>
      <c r="E1545" s="18" t="str">
        <f aca="false">TEXT(B1545,"ddd")</f>
        <v>Sun</v>
      </c>
      <c r="F1545" s="19" t="n">
        <f aca="false">IF(WEEKDAY(B1545,2)&gt;=6,Assumptions!B34,Assumptions!B35)</f>
        <v>0.6</v>
      </c>
      <c r="G1545" s="20" t="n">
        <f aca="false">IF(D1545&gt;=13,(1+Assumptions!B46)^(D1545-12),1)</f>
        <v>1.12392255765244</v>
      </c>
      <c r="H1545" s="21" t="n">
        <f aca="false">H1544*(1+IF(C1545=1,Assumptions!B22,Assumptions!B23))</f>
        <v>25.250008965919</v>
      </c>
      <c r="I1545" s="16" t="n">
        <f aca="false">ROUND(H1545*F1545,0)</f>
        <v>15</v>
      </c>
      <c r="J1545" s="22" t="n">
        <f aca="false">I1545*Assumptions!B24</f>
        <v>9000</v>
      </c>
      <c r="K1545" s="21" t="n">
        <f aca="false">K1544*(1+Assumptions!B30)</f>
        <v>21.7603195760925</v>
      </c>
      <c r="L1545" s="16" t="n">
        <f aca="false">ROUND(K1545*F1545,0)</f>
        <v>13</v>
      </c>
      <c r="M1545" s="22" t="n">
        <f aca="false">L1545*Assumptions!B31</f>
        <v>3900</v>
      </c>
      <c r="N1545" s="22" t="n">
        <f aca="false">J1545+M1545</f>
        <v>12900</v>
      </c>
      <c r="O1545" s="22" t="n">
        <f aca="false">IF(DAY(B1545)=1,Assumptions!B38*G1545,0)</f>
        <v>0</v>
      </c>
      <c r="P1545" s="22" t="n">
        <f aca="false">IF(DAY(B1545)=1,Assumptions!B39*G1545,0)</f>
        <v>0</v>
      </c>
      <c r="Q1545" s="22" t="n">
        <f aca="false">IF(DAY(B1545)=1,Assumptions!B40*G1545,0)</f>
        <v>0</v>
      </c>
      <c r="R1545" s="22" t="n">
        <f aca="false">IF(DAY(B1545)=1,Assumptions!B41*G1545,0)</f>
        <v>0</v>
      </c>
      <c r="S1545" s="22" t="n">
        <f aca="false">IF(AND(DAY(B1545)=1,D1545&gt;=13),Assumptions!B42*G1545,0)</f>
        <v>0</v>
      </c>
      <c r="T1545" s="22" t="n">
        <f aca="false">IF(DAY(B1545)=1,Assumptions!B43*G1545,0)</f>
        <v>0</v>
      </c>
      <c r="U1545" s="22" t="n">
        <f aca="false">SUM(O1545:T1545)</f>
        <v>0</v>
      </c>
      <c r="V1545" s="22" t="n">
        <f aca="false">N1545-U1545</f>
        <v>12900</v>
      </c>
      <c r="W1545" s="22" t="n">
        <f aca="false">W1544+V1545</f>
        <v>-114491.127805517</v>
      </c>
      <c r="X1545" s="23" t="str">
        <f aca="false">IF(W1545&gt;=0,"YES","No")</f>
        <v>No</v>
      </c>
    </row>
    <row r="1546" customFormat="false" ht="15" hidden="false" customHeight="false" outlineLevel="0" collapsed="false">
      <c r="A1546" s="16" t="n">
        <v>1545</v>
      </c>
      <c r="B1546" s="17" t="n">
        <f aca="false">B1545+1</f>
        <v>47567</v>
      </c>
      <c r="C1546" s="18" t="n">
        <f aca="false">MIN(ROUNDUP(A1546/365,0),5)</f>
        <v>5</v>
      </c>
      <c r="D1546" s="18" t="n">
        <f aca="false">DATEDIF(Assumptions!B5,B1546,"m")+1</f>
        <v>51</v>
      </c>
      <c r="E1546" s="18" t="str">
        <f aca="false">TEXT(B1546,"ddd")</f>
        <v>Mon</v>
      </c>
      <c r="F1546" s="19" t="n">
        <f aca="false">IF(WEEKDAY(B1546,2)&gt;=6,Assumptions!B34,Assumptions!B35)</f>
        <v>1</v>
      </c>
      <c r="G1546" s="20" t="n">
        <f aca="false">IF(D1546&gt;=13,(1+Assumptions!B46)^(D1546-12),1)</f>
        <v>1.12392255765244</v>
      </c>
      <c r="H1546" s="21" t="n">
        <f aca="false">H1545*(1+IF(C1546=1,Assumptions!B22,Assumptions!B23))</f>
        <v>25.254146475301</v>
      </c>
      <c r="I1546" s="16" t="n">
        <f aca="false">ROUND(H1546*F1546,0)</f>
        <v>25</v>
      </c>
      <c r="J1546" s="22" t="n">
        <f aca="false">I1546*Assumptions!B24</f>
        <v>15000</v>
      </c>
      <c r="K1546" s="21" t="n">
        <f aca="false">K1545*(1+Assumptions!B30)</f>
        <v>21.7674338261547</v>
      </c>
      <c r="L1546" s="16" t="n">
        <f aca="false">ROUND(K1546*F1546,0)</f>
        <v>22</v>
      </c>
      <c r="M1546" s="22" t="n">
        <f aca="false">L1546*Assumptions!B31</f>
        <v>6600</v>
      </c>
      <c r="N1546" s="22" t="n">
        <f aca="false">J1546+M1546</f>
        <v>21600</v>
      </c>
      <c r="O1546" s="22" t="n">
        <f aca="false">IF(DAY(B1546)=1,Assumptions!B38*G1546,0)</f>
        <v>0</v>
      </c>
      <c r="P1546" s="22" t="n">
        <f aca="false">IF(DAY(B1546)=1,Assumptions!B39*G1546,0)</f>
        <v>0</v>
      </c>
      <c r="Q1546" s="22" t="n">
        <f aca="false">IF(DAY(B1546)=1,Assumptions!B40*G1546,0)</f>
        <v>0</v>
      </c>
      <c r="R1546" s="22" t="n">
        <f aca="false">IF(DAY(B1546)=1,Assumptions!B41*G1546,0)</f>
        <v>0</v>
      </c>
      <c r="S1546" s="22" t="n">
        <f aca="false">IF(AND(DAY(B1546)=1,D1546&gt;=13),Assumptions!B42*G1546,0)</f>
        <v>0</v>
      </c>
      <c r="T1546" s="22" t="n">
        <f aca="false">IF(DAY(B1546)=1,Assumptions!B43*G1546,0)</f>
        <v>0</v>
      </c>
      <c r="U1546" s="22" t="n">
        <f aca="false">SUM(O1546:T1546)</f>
        <v>0</v>
      </c>
      <c r="V1546" s="22" t="n">
        <f aca="false">N1546-U1546</f>
        <v>21600</v>
      </c>
      <c r="W1546" s="22" t="n">
        <f aca="false">W1545+V1546</f>
        <v>-92891.1278055168</v>
      </c>
      <c r="X1546" s="23" t="str">
        <f aca="false">IF(W1546&gt;=0,"YES","No")</f>
        <v>No</v>
      </c>
    </row>
    <row r="1547" customFormat="false" ht="15" hidden="false" customHeight="false" outlineLevel="0" collapsed="false">
      <c r="A1547" s="16" t="n">
        <v>1546</v>
      </c>
      <c r="B1547" s="17" t="n">
        <f aca="false">B1546+1</f>
        <v>47568</v>
      </c>
      <c r="C1547" s="18" t="n">
        <f aca="false">MIN(ROUNDUP(A1547/365,0),5)</f>
        <v>5</v>
      </c>
      <c r="D1547" s="18" t="n">
        <f aca="false">DATEDIF(Assumptions!B5,B1547,"m")+1</f>
        <v>51</v>
      </c>
      <c r="E1547" s="18" t="str">
        <f aca="false">TEXT(B1547,"ddd")</f>
        <v>Tue</v>
      </c>
      <c r="F1547" s="19" t="n">
        <f aca="false">IF(WEEKDAY(B1547,2)&gt;=6,Assumptions!B34,Assumptions!B35)</f>
        <v>1</v>
      </c>
      <c r="G1547" s="20" t="n">
        <f aca="false">IF(D1547&gt;=13,(1+Assumptions!B46)^(D1547-12),1)</f>
        <v>1.12392255765244</v>
      </c>
      <c r="H1547" s="21" t="n">
        <f aca="false">H1546*(1+IF(C1547=1,Assumptions!B22,Assumptions!B23))</f>
        <v>25.2582846626624</v>
      </c>
      <c r="I1547" s="16" t="n">
        <f aca="false">ROUND(H1547*F1547,0)</f>
        <v>25</v>
      </c>
      <c r="J1547" s="22" t="n">
        <f aca="false">I1547*Assumptions!B24</f>
        <v>15000</v>
      </c>
      <c r="K1547" s="21" t="n">
        <f aca="false">K1546*(1+Assumptions!B30)</f>
        <v>21.7745504021274</v>
      </c>
      <c r="L1547" s="16" t="n">
        <f aca="false">ROUND(K1547*F1547,0)</f>
        <v>22</v>
      </c>
      <c r="M1547" s="22" t="n">
        <f aca="false">L1547*Assumptions!B31</f>
        <v>6600</v>
      </c>
      <c r="N1547" s="22" t="n">
        <f aca="false">J1547+M1547</f>
        <v>21600</v>
      </c>
      <c r="O1547" s="22" t="n">
        <f aca="false">IF(DAY(B1547)=1,Assumptions!B38*G1547,0)</f>
        <v>0</v>
      </c>
      <c r="P1547" s="22" t="n">
        <f aca="false">IF(DAY(B1547)=1,Assumptions!B39*G1547,0)</f>
        <v>0</v>
      </c>
      <c r="Q1547" s="22" t="n">
        <f aca="false">IF(DAY(B1547)=1,Assumptions!B40*G1547,0)</f>
        <v>0</v>
      </c>
      <c r="R1547" s="22" t="n">
        <f aca="false">IF(DAY(B1547)=1,Assumptions!B41*G1547,0)</f>
        <v>0</v>
      </c>
      <c r="S1547" s="22" t="n">
        <f aca="false">IF(AND(DAY(B1547)=1,D1547&gt;=13),Assumptions!B42*G1547,0)</f>
        <v>0</v>
      </c>
      <c r="T1547" s="22" t="n">
        <f aca="false">IF(DAY(B1547)=1,Assumptions!B43*G1547,0)</f>
        <v>0</v>
      </c>
      <c r="U1547" s="22" t="n">
        <f aca="false">SUM(O1547:T1547)</f>
        <v>0</v>
      </c>
      <c r="V1547" s="22" t="n">
        <f aca="false">N1547-U1547</f>
        <v>21600</v>
      </c>
      <c r="W1547" s="22" t="n">
        <f aca="false">W1546+V1547</f>
        <v>-71291.1278055168</v>
      </c>
      <c r="X1547" s="23" t="str">
        <f aca="false">IF(W1547&gt;=0,"YES","No")</f>
        <v>No</v>
      </c>
    </row>
    <row r="1548" customFormat="false" ht="15" hidden="false" customHeight="false" outlineLevel="0" collapsed="false">
      <c r="A1548" s="16" t="n">
        <v>1547</v>
      </c>
      <c r="B1548" s="17" t="n">
        <f aca="false">B1547+1</f>
        <v>47569</v>
      </c>
      <c r="C1548" s="18" t="n">
        <f aca="false">MIN(ROUNDUP(A1548/365,0),5)</f>
        <v>5</v>
      </c>
      <c r="D1548" s="18" t="n">
        <f aca="false">DATEDIF(Assumptions!B5,B1548,"m")+1</f>
        <v>51</v>
      </c>
      <c r="E1548" s="18" t="str">
        <f aca="false">TEXT(B1548,"ddd")</f>
        <v>Wed</v>
      </c>
      <c r="F1548" s="19" t="n">
        <f aca="false">IF(WEEKDAY(B1548,2)&gt;=6,Assumptions!B34,Assumptions!B35)</f>
        <v>1</v>
      </c>
      <c r="G1548" s="20" t="n">
        <f aca="false">IF(D1548&gt;=13,(1+Assumptions!B46)^(D1548-12),1)</f>
        <v>1.12392255765244</v>
      </c>
      <c r="H1548" s="21" t="n">
        <f aca="false">H1547*(1+IF(C1548=1,Assumptions!B22,Assumptions!B23))</f>
        <v>25.2624235281142</v>
      </c>
      <c r="I1548" s="16" t="n">
        <f aca="false">ROUND(H1548*F1548,0)</f>
        <v>25</v>
      </c>
      <c r="J1548" s="22" t="n">
        <f aca="false">I1548*Assumptions!B24</f>
        <v>15000</v>
      </c>
      <c r="K1548" s="21" t="n">
        <f aca="false">K1547*(1+Assumptions!B30)</f>
        <v>21.7816693047709</v>
      </c>
      <c r="L1548" s="16" t="n">
        <f aca="false">ROUND(K1548*F1548,0)</f>
        <v>22</v>
      </c>
      <c r="M1548" s="22" t="n">
        <f aca="false">L1548*Assumptions!B31</f>
        <v>6600</v>
      </c>
      <c r="N1548" s="22" t="n">
        <f aca="false">J1548+M1548</f>
        <v>21600</v>
      </c>
      <c r="O1548" s="22" t="n">
        <f aca="false">IF(DAY(B1548)=1,Assumptions!B38*G1548,0)</f>
        <v>0</v>
      </c>
      <c r="P1548" s="22" t="n">
        <f aca="false">IF(DAY(B1548)=1,Assumptions!B39*G1548,0)</f>
        <v>0</v>
      </c>
      <c r="Q1548" s="22" t="n">
        <f aca="false">IF(DAY(B1548)=1,Assumptions!B40*G1548,0)</f>
        <v>0</v>
      </c>
      <c r="R1548" s="22" t="n">
        <f aca="false">IF(DAY(B1548)=1,Assumptions!B41*G1548,0)</f>
        <v>0</v>
      </c>
      <c r="S1548" s="22" t="n">
        <f aca="false">IF(AND(DAY(B1548)=1,D1548&gt;=13),Assumptions!B42*G1548,0)</f>
        <v>0</v>
      </c>
      <c r="T1548" s="22" t="n">
        <f aca="false">IF(DAY(B1548)=1,Assumptions!B43*G1548,0)</f>
        <v>0</v>
      </c>
      <c r="U1548" s="22" t="n">
        <f aca="false">SUM(O1548:T1548)</f>
        <v>0</v>
      </c>
      <c r="V1548" s="22" t="n">
        <f aca="false">N1548-U1548</f>
        <v>21600</v>
      </c>
      <c r="W1548" s="22" t="n">
        <f aca="false">W1547+V1548</f>
        <v>-49691.1278055168</v>
      </c>
      <c r="X1548" s="23" t="str">
        <f aca="false">IF(W1548&gt;=0,"YES","No")</f>
        <v>No</v>
      </c>
    </row>
    <row r="1549" customFormat="false" ht="15" hidden="false" customHeight="false" outlineLevel="0" collapsed="false">
      <c r="A1549" s="16" t="n">
        <v>1548</v>
      </c>
      <c r="B1549" s="17" t="n">
        <f aca="false">B1548+1</f>
        <v>47570</v>
      </c>
      <c r="C1549" s="18" t="n">
        <f aca="false">MIN(ROUNDUP(A1549/365,0),5)</f>
        <v>5</v>
      </c>
      <c r="D1549" s="18" t="n">
        <f aca="false">DATEDIF(Assumptions!B5,B1549,"m")+1</f>
        <v>51</v>
      </c>
      <c r="E1549" s="18" t="str">
        <f aca="false">TEXT(B1549,"ddd")</f>
        <v>Thu</v>
      </c>
      <c r="F1549" s="19" t="n">
        <f aca="false">IF(WEEKDAY(B1549,2)&gt;=6,Assumptions!B34,Assumptions!B35)</f>
        <v>1</v>
      </c>
      <c r="G1549" s="20" t="n">
        <f aca="false">IF(D1549&gt;=13,(1+Assumptions!B46)^(D1549-12),1)</f>
        <v>1.12392255765244</v>
      </c>
      <c r="H1549" s="21" t="n">
        <f aca="false">H1548*(1+IF(C1549=1,Assumptions!B22,Assumptions!B23))</f>
        <v>25.2665630717675</v>
      </c>
      <c r="I1549" s="16" t="n">
        <f aca="false">ROUND(H1549*F1549,0)</f>
        <v>25</v>
      </c>
      <c r="J1549" s="22" t="n">
        <f aca="false">I1549*Assumptions!B24</f>
        <v>15000</v>
      </c>
      <c r="K1549" s="21" t="n">
        <f aca="false">K1548*(1+Assumptions!B30)</f>
        <v>21.788790534846</v>
      </c>
      <c r="L1549" s="16" t="n">
        <f aca="false">ROUND(K1549*F1549,0)</f>
        <v>22</v>
      </c>
      <c r="M1549" s="22" t="n">
        <f aca="false">L1549*Assumptions!B31</f>
        <v>6600</v>
      </c>
      <c r="N1549" s="22" t="n">
        <f aca="false">J1549+M1549</f>
        <v>21600</v>
      </c>
      <c r="O1549" s="22" t="n">
        <f aca="false">IF(DAY(B1549)=1,Assumptions!B38*G1549,0)</f>
        <v>0</v>
      </c>
      <c r="P1549" s="22" t="n">
        <f aca="false">IF(DAY(B1549)=1,Assumptions!B39*G1549,0)</f>
        <v>0</v>
      </c>
      <c r="Q1549" s="22" t="n">
        <f aca="false">IF(DAY(B1549)=1,Assumptions!B40*G1549,0)</f>
        <v>0</v>
      </c>
      <c r="R1549" s="22" t="n">
        <f aca="false">IF(DAY(B1549)=1,Assumptions!B41*G1549,0)</f>
        <v>0</v>
      </c>
      <c r="S1549" s="22" t="n">
        <f aca="false">IF(AND(DAY(B1549)=1,D1549&gt;=13),Assumptions!B42*G1549,0)</f>
        <v>0</v>
      </c>
      <c r="T1549" s="22" t="n">
        <f aca="false">IF(DAY(B1549)=1,Assumptions!B43*G1549,0)</f>
        <v>0</v>
      </c>
      <c r="U1549" s="22" t="n">
        <f aca="false">SUM(O1549:T1549)</f>
        <v>0</v>
      </c>
      <c r="V1549" s="22" t="n">
        <f aca="false">N1549-U1549</f>
        <v>21600</v>
      </c>
      <c r="W1549" s="22" t="n">
        <f aca="false">W1548+V1549</f>
        <v>-28091.1278055168</v>
      </c>
      <c r="X1549" s="23" t="str">
        <f aca="false">IF(W1549&gt;=0,"YES","No")</f>
        <v>No</v>
      </c>
    </row>
    <row r="1550" customFormat="false" ht="15" hidden="false" customHeight="false" outlineLevel="0" collapsed="false">
      <c r="A1550" s="16" t="n">
        <v>1549</v>
      </c>
      <c r="B1550" s="17" t="n">
        <f aca="false">B1549+1</f>
        <v>47571</v>
      </c>
      <c r="C1550" s="18" t="n">
        <f aca="false">MIN(ROUNDUP(A1550/365,0),5)</f>
        <v>5</v>
      </c>
      <c r="D1550" s="18" t="n">
        <f aca="false">DATEDIF(Assumptions!B5,B1550,"m")+1</f>
        <v>51</v>
      </c>
      <c r="E1550" s="18" t="str">
        <f aca="false">TEXT(B1550,"ddd")</f>
        <v>Fri</v>
      </c>
      <c r="F1550" s="19" t="n">
        <f aca="false">IF(WEEKDAY(B1550,2)&gt;=6,Assumptions!B34,Assumptions!B35)</f>
        <v>1</v>
      </c>
      <c r="G1550" s="20" t="n">
        <f aca="false">IF(D1550&gt;=13,(1+Assumptions!B46)^(D1550-12),1)</f>
        <v>1.12392255765244</v>
      </c>
      <c r="H1550" s="21" t="n">
        <f aca="false">H1549*(1+IF(C1550=1,Assumptions!B22,Assumptions!B23))</f>
        <v>25.2707032937335</v>
      </c>
      <c r="I1550" s="16" t="n">
        <f aca="false">ROUND(H1550*F1550,0)</f>
        <v>25</v>
      </c>
      <c r="J1550" s="22" t="n">
        <f aca="false">I1550*Assumptions!B24</f>
        <v>15000</v>
      </c>
      <c r="K1550" s="21" t="n">
        <f aca="false">K1549*(1+Assumptions!B30)</f>
        <v>21.7959140931135</v>
      </c>
      <c r="L1550" s="16" t="n">
        <f aca="false">ROUND(K1550*F1550,0)</f>
        <v>22</v>
      </c>
      <c r="M1550" s="22" t="n">
        <f aca="false">L1550*Assumptions!B31</f>
        <v>6600</v>
      </c>
      <c r="N1550" s="22" t="n">
        <f aca="false">J1550+M1550</f>
        <v>21600</v>
      </c>
      <c r="O1550" s="22" t="n">
        <f aca="false">IF(DAY(B1550)=1,Assumptions!B38*G1550,0)</f>
        <v>0</v>
      </c>
      <c r="P1550" s="22" t="n">
        <f aca="false">IF(DAY(B1550)=1,Assumptions!B39*G1550,0)</f>
        <v>0</v>
      </c>
      <c r="Q1550" s="22" t="n">
        <f aca="false">IF(DAY(B1550)=1,Assumptions!B40*G1550,0)</f>
        <v>0</v>
      </c>
      <c r="R1550" s="22" t="n">
        <f aca="false">IF(DAY(B1550)=1,Assumptions!B41*G1550,0)</f>
        <v>0</v>
      </c>
      <c r="S1550" s="22" t="n">
        <f aca="false">IF(AND(DAY(B1550)=1,D1550&gt;=13),Assumptions!B42*G1550,0)</f>
        <v>0</v>
      </c>
      <c r="T1550" s="22" t="n">
        <f aca="false">IF(DAY(B1550)=1,Assumptions!B43*G1550,0)</f>
        <v>0</v>
      </c>
      <c r="U1550" s="22" t="n">
        <f aca="false">SUM(O1550:T1550)</f>
        <v>0</v>
      </c>
      <c r="V1550" s="22" t="n">
        <f aca="false">N1550-U1550</f>
        <v>21600</v>
      </c>
      <c r="W1550" s="22" t="n">
        <f aca="false">W1549+V1550</f>
        <v>-6491.12780551682</v>
      </c>
      <c r="X1550" s="23" t="str">
        <f aca="false">IF(W1550&gt;=0,"YES","No")</f>
        <v>No</v>
      </c>
    </row>
    <row r="1551" customFormat="false" ht="15" hidden="false" customHeight="false" outlineLevel="0" collapsed="false">
      <c r="A1551" s="16" t="n">
        <v>1550</v>
      </c>
      <c r="B1551" s="17" t="n">
        <f aca="false">B1550+1</f>
        <v>47572</v>
      </c>
      <c r="C1551" s="18" t="n">
        <f aca="false">MIN(ROUNDUP(A1551/365,0),5)</f>
        <v>5</v>
      </c>
      <c r="D1551" s="18" t="n">
        <f aca="false">DATEDIF(Assumptions!B5,B1551,"m")+1</f>
        <v>51</v>
      </c>
      <c r="E1551" s="18" t="str">
        <f aca="false">TEXT(B1551,"ddd")</f>
        <v>Sat</v>
      </c>
      <c r="F1551" s="19" t="n">
        <f aca="false">IF(WEEKDAY(B1551,2)&gt;=6,Assumptions!B34,Assumptions!B35)</f>
        <v>0.6</v>
      </c>
      <c r="G1551" s="20" t="n">
        <f aca="false">IF(D1551&gt;=13,(1+Assumptions!B46)^(D1551-12),1)</f>
        <v>1.12392255765244</v>
      </c>
      <c r="H1551" s="21" t="n">
        <f aca="false">H1550*(1+IF(C1551=1,Assumptions!B22,Assumptions!B23))</f>
        <v>25.2748441941233</v>
      </c>
      <c r="I1551" s="16" t="n">
        <f aca="false">ROUND(H1551*F1551,0)</f>
        <v>15</v>
      </c>
      <c r="J1551" s="22" t="n">
        <f aca="false">I1551*Assumptions!B24</f>
        <v>9000</v>
      </c>
      <c r="K1551" s="21" t="n">
        <f aca="false">K1550*(1+Assumptions!B30)</f>
        <v>21.8030399803346</v>
      </c>
      <c r="L1551" s="16" t="n">
        <f aca="false">ROUND(K1551*F1551,0)</f>
        <v>13</v>
      </c>
      <c r="M1551" s="22" t="n">
        <f aca="false">L1551*Assumptions!B31</f>
        <v>3900</v>
      </c>
      <c r="N1551" s="22" t="n">
        <f aca="false">J1551+M1551</f>
        <v>12900</v>
      </c>
      <c r="O1551" s="22" t="n">
        <f aca="false">IF(DAY(B1551)=1,Assumptions!B38*G1551,0)</f>
        <v>0</v>
      </c>
      <c r="P1551" s="22" t="n">
        <f aca="false">IF(DAY(B1551)=1,Assumptions!B39*G1551,0)</f>
        <v>0</v>
      </c>
      <c r="Q1551" s="22" t="n">
        <f aca="false">IF(DAY(B1551)=1,Assumptions!B40*G1551,0)</f>
        <v>0</v>
      </c>
      <c r="R1551" s="22" t="n">
        <f aca="false">IF(DAY(B1551)=1,Assumptions!B41*G1551,0)</f>
        <v>0</v>
      </c>
      <c r="S1551" s="22" t="n">
        <f aca="false">IF(AND(DAY(B1551)=1,D1551&gt;=13),Assumptions!B42*G1551,0)</f>
        <v>0</v>
      </c>
      <c r="T1551" s="22" t="n">
        <f aca="false">IF(DAY(B1551)=1,Assumptions!B43*G1551,0)</f>
        <v>0</v>
      </c>
      <c r="U1551" s="22" t="n">
        <f aca="false">SUM(O1551:T1551)</f>
        <v>0</v>
      </c>
      <c r="V1551" s="22" t="n">
        <f aca="false">N1551-U1551</f>
        <v>12900</v>
      </c>
      <c r="W1551" s="22" t="n">
        <f aca="false">W1550+V1551</f>
        <v>6408.87219448318</v>
      </c>
      <c r="X1551" s="23" t="str">
        <f aca="false">IF(W1551&gt;=0,"YES","No")</f>
        <v>YES</v>
      </c>
    </row>
    <row r="1552" customFormat="false" ht="15" hidden="false" customHeight="false" outlineLevel="0" collapsed="false">
      <c r="A1552" s="16" t="n">
        <v>1551</v>
      </c>
      <c r="B1552" s="17" t="n">
        <f aca="false">B1551+1</f>
        <v>47573</v>
      </c>
      <c r="C1552" s="18" t="n">
        <f aca="false">MIN(ROUNDUP(A1552/365,0),5)</f>
        <v>5</v>
      </c>
      <c r="D1552" s="18" t="n">
        <f aca="false">DATEDIF(Assumptions!B5,B1552,"m")+1</f>
        <v>51</v>
      </c>
      <c r="E1552" s="18" t="str">
        <f aca="false">TEXT(B1552,"ddd")</f>
        <v>Sun</v>
      </c>
      <c r="F1552" s="19" t="n">
        <f aca="false">IF(WEEKDAY(B1552,2)&gt;=6,Assumptions!B34,Assumptions!B35)</f>
        <v>0.6</v>
      </c>
      <c r="G1552" s="20" t="n">
        <f aca="false">IF(D1552&gt;=13,(1+Assumptions!B46)^(D1552-12),1)</f>
        <v>1.12392255765244</v>
      </c>
      <c r="H1552" s="21" t="n">
        <f aca="false">H1551*(1+IF(C1552=1,Assumptions!B22,Assumptions!B23))</f>
        <v>25.278985773048</v>
      </c>
      <c r="I1552" s="16" t="n">
        <f aca="false">ROUND(H1552*F1552,0)</f>
        <v>15</v>
      </c>
      <c r="J1552" s="22" t="n">
        <f aca="false">I1552*Assumptions!B24</f>
        <v>9000</v>
      </c>
      <c r="K1552" s="21" t="n">
        <f aca="false">K1551*(1+Assumptions!B30)</f>
        <v>21.8101681972707</v>
      </c>
      <c r="L1552" s="16" t="n">
        <f aca="false">ROUND(K1552*F1552,0)</f>
        <v>13</v>
      </c>
      <c r="M1552" s="22" t="n">
        <f aca="false">L1552*Assumptions!B31</f>
        <v>3900</v>
      </c>
      <c r="N1552" s="22" t="n">
        <f aca="false">J1552+M1552</f>
        <v>12900</v>
      </c>
      <c r="O1552" s="22" t="n">
        <f aca="false">IF(DAY(B1552)=1,Assumptions!B38*G1552,0)</f>
        <v>0</v>
      </c>
      <c r="P1552" s="22" t="n">
        <f aca="false">IF(DAY(B1552)=1,Assumptions!B39*G1552,0)</f>
        <v>0</v>
      </c>
      <c r="Q1552" s="22" t="n">
        <f aca="false">IF(DAY(B1552)=1,Assumptions!B40*G1552,0)</f>
        <v>0</v>
      </c>
      <c r="R1552" s="22" t="n">
        <f aca="false">IF(DAY(B1552)=1,Assumptions!B41*G1552,0)</f>
        <v>0</v>
      </c>
      <c r="S1552" s="22" t="n">
        <f aca="false">IF(AND(DAY(B1552)=1,D1552&gt;=13),Assumptions!B42*G1552,0)</f>
        <v>0</v>
      </c>
      <c r="T1552" s="22" t="n">
        <f aca="false">IF(DAY(B1552)=1,Assumptions!B43*G1552,0)</f>
        <v>0</v>
      </c>
      <c r="U1552" s="22" t="n">
        <f aca="false">SUM(O1552:T1552)</f>
        <v>0</v>
      </c>
      <c r="V1552" s="22" t="n">
        <f aca="false">N1552-U1552</f>
        <v>12900</v>
      </c>
      <c r="W1552" s="22" t="n">
        <f aca="false">W1551+V1552</f>
        <v>19308.8721944832</v>
      </c>
      <c r="X1552" s="23" t="str">
        <f aca="false">IF(W1552&gt;=0,"YES","No")</f>
        <v>YES</v>
      </c>
    </row>
    <row r="1553" customFormat="false" ht="15" hidden="false" customHeight="false" outlineLevel="0" collapsed="false">
      <c r="A1553" s="16" t="n">
        <v>1552</v>
      </c>
      <c r="B1553" s="17" t="n">
        <f aca="false">B1552+1</f>
        <v>47574</v>
      </c>
      <c r="C1553" s="18" t="n">
        <f aca="false">MIN(ROUNDUP(A1553/365,0),5)</f>
        <v>5</v>
      </c>
      <c r="D1553" s="18" t="n">
        <f aca="false">DATEDIF(Assumptions!B5,B1553,"m")+1</f>
        <v>52</v>
      </c>
      <c r="E1553" s="18" t="str">
        <f aca="false">TEXT(B1553,"ddd")</f>
        <v>Mon</v>
      </c>
      <c r="F1553" s="19" t="n">
        <f aca="false">IF(WEEKDAY(B1553,2)&gt;=6,Assumptions!B34,Assumptions!B35)</f>
        <v>1</v>
      </c>
      <c r="G1553" s="20" t="n">
        <f aca="false">IF(D1553&gt;=13,(1+Assumptions!B46)^(D1553-12),1)</f>
        <v>1.1272943253254</v>
      </c>
      <c r="H1553" s="21" t="n">
        <f aca="false">H1552*(1+IF(C1553=1,Assumptions!B22,Assumptions!B23))</f>
        <v>25.2831280306189</v>
      </c>
      <c r="I1553" s="16" t="n">
        <f aca="false">ROUND(H1553*F1553,0)</f>
        <v>25</v>
      </c>
      <c r="J1553" s="22" t="n">
        <f aca="false">I1553*Assumptions!B24</f>
        <v>15000</v>
      </c>
      <c r="K1553" s="21" t="n">
        <f aca="false">K1552*(1+Assumptions!B30)</f>
        <v>21.8172987446835</v>
      </c>
      <c r="L1553" s="16" t="n">
        <f aca="false">ROUND(K1553*F1553,0)</f>
        <v>22</v>
      </c>
      <c r="M1553" s="22" t="n">
        <f aca="false">L1553*Assumptions!B31</f>
        <v>6600</v>
      </c>
      <c r="N1553" s="22" t="n">
        <f aca="false">J1553+M1553</f>
        <v>21600</v>
      </c>
      <c r="O1553" s="22" t="n">
        <f aca="false">IF(DAY(B1553)=1,Assumptions!B38*G1553,0)</f>
        <v>169094.14879881</v>
      </c>
      <c r="P1553" s="22" t="n">
        <f aca="false">IF(DAY(B1553)=1,Assumptions!B39*G1553,0)</f>
        <v>45091.7730130161</v>
      </c>
      <c r="Q1553" s="22" t="n">
        <f aca="false">IF(DAY(B1553)=1,Assumptions!B40*G1553,0)</f>
        <v>33818.8297597621</v>
      </c>
      <c r="R1553" s="22" t="n">
        <f aca="false">IF(DAY(B1553)=1,Assumptions!B41*G1553,0)</f>
        <v>22545.886506508</v>
      </c>
      <c r="S1553" s="22" t="n">
        <f aca="false">IF(AND(DAY(B1553)=1,D1553&gt;=13),Assumptions!B42*G1553,0)</f>
        <v>169094.14879881</v>
      </c>
      <c r="T1553" s="22" t="n">
        <f aca="false">IF(DAY(B1553)=1,Assumptions!B43*G1553,0)</f>
        <v>22545.886506508</v>
      </c>
      <c r="U1553" s="22" t="n">
        <f aca="false">SUM(O1553:T1553)</f>
        <v>462190.673383415</v>
      </c>
      <c r="V1553" s="22" t="n">
        <f aca="false">N1553-U1553</f>
        <v>-440590.673383415</v>
      </c>
      <c r="W1553" s="22" t="n">
        <f aca="false">W1552+V1553</f>
        <v>-421281.801188931</v>
      </c>
      <c r="X1553" s="23" t="str">
        <f aca="false">IF(W1553&gt;=0,"YES","No")</f>
        <v>No</v>
      </c>
    </row>
    <row r="1554" customFormat="false" ht="15" hidden="false" customHeight="false" outlineLevel="0" collapsed="false">
      <c r="A1554" s="16" t="n">
        <v>1553</v>
      </c>
      <c r="B1554" s="17" t="n">
        <f aca="false">B1553+1</f>
        <v>47575</v>
      </c>
      <c r="C1554" s="18" t="n">
        <f aca="false">MIN(ROUNDUP(A1554/365,0),5)</f>
        <v>5</v>
      </c>
      <c r="D1554" s="18" t="n">
        <f aca="false">DATEDIF(Assumptions!B5,B1554,"m")+1</f>
        <v>52</v>
      </c>
      <c r="E1554" s="18" t="str">
        <f aca="false">TEXT(B1554,"ddd")</f>
        <v>Tue</v>
      </c>
      <c r="F1554" s="19" t="n">
        <f aca="false">IF(WEEKDAY(B1554,2)&gt;=6,Assumptions!B34,Assumptions!B35)</f>
        <v>1</v>
      </c>
      <c r="G1554" s="20" t="n">
        <f aca="false">IF(D1554&gt;=13,(1+Assumptions!B46)^(D1554-12),1)</f>
        <v>1.1272943253254</v>
      </c>
      <c r="H1554" s="21" t="n">
        <f aca="false">H1553*(1+IF(C1554=1,Assumptions!B22,Assumptions!B23))</f>
        <v>25.2872709669472</v>
      </c>
      <c r="I1554" s="16" t="n">
        <f aca="false">ROUND(H1554*F1554,0)</f>
        <v>25</v>
      </c>
      <c r="J1554" s="22" t="n">
        <f aca="false">I1554*Assumptions!B24</f>
        <v>15000</v>
      </c>
      <c r="K1554" s="21" t="n">
        <f aca="false">K1553*(1+Assumptions!B30)</f>
        <v>21.8244316233349</v>
      </c>
      <c r="L1554" s="16" t="n">
        <f aca="false">ROUND(K1554*F1554,0)</f>
        <v>22</v>
      </c>
      <c r="M1554" s="22" t="n">
        <f aca="false">L1554*Assumptions!B31</f>
        <v>6600</v>
      </c>
      <c r="N1554" s="22" t="n">
        <f aca="false">J1554+M1554</f>
        <v>21600</v>
      </c>
      <c r="O1554" s="22" t="n">
        <f aca="false">IF(DAY(B1554)=1,Assumptions!B38*G1554,0)</f>
        <v>0</v>
      </c>
      <c r="P1554" s="22" t="n">
        <f aca="false">IF(DAY(B1554)=1,Assumptions!B39*G1554,0)</f>
        <v>0</v>
      </c>
      <c r="Q1554" s="22" t="n">
        <f aca="false">IF(DAY(B1554)=1,Assumptions!B40*G1554,0)</f>
        <v>0</v>
      </c>
      <c r="R1554" s="22" t="n">
        <f aca="false">IF(DAY(B1554)=1,Assumptions!B41*G1554,0)</f>
        <v>0</v>
      </c>
      <c r="S1554" s="22" t="n">
        <f aca="false">IF(AND(DAY(B1554)=1,D1554&gt;=13),Assumptions!B42*G1554,0)</f>
        <v>0</v>
      </c>
      <c r="T1554" s="22" t="n">
        <f aca="false">IF(DAY(B1554)=1,Assumptions!B43*G1554,0)</f>
        <v>0</v>
      </c>
      <c r="U1554" s="22" t="n">
        <f aca="false">SUM(O1554:T1554)</f>
        <v>0</v>
      </c>
      <c r="V1554" s="22" t="n">
        <f aca="false">N1554-U1554</f>
        <v>21600</v>
      </c>
      <c r="W1554" s="22" t="n">
        <f aca="false">W1553+V1554</f>
        <v>-399681.801188931</v>
      </c>
      <c r="X1554" s="23" t="str">
        <f aca="false">IF(W1554&gt;=0,"YES","No")</f>
        <v>No</v>
      </c>
    </row>
    <row r="1555" customFormat="false" ht="15" hidden="false" customHeight="false" outlineLevel="0" collapsed="false">
      <c r="A1555" s="16" t="n">
        <v>1554</v>
      </c>
      <c r="B1555" s="17" t="n">
        <f aca="false">B1554+1</f>
        <v>47576</v>
      </c>
      <c r="C1555" s="18" t="n">
        <f aca="false">MIN(ROUNDUP(A1555/365,0),5)</f>
        <v>5</v>
      </c>
      <c r="D1555" s="18" t="n">
        <f aca="false">DATEDIF(Assumptions!B5,B1555,"m")+1</f>
        <v>52</v>
      </c>
      <c r="E1555" s="18" t="str">
        <f aca="false">TEXT(B1555,"ddd")</f>
        <v>Wed</v>
      </c>
      <c r="F1555" s="19" t="n">
        <f aca="false">IF(WEEKDAY(B1555,2)&gt;=6,Assumptions!B34,Assumptions!B35)</f>
        <v>1</v>
      </c>
      <c r="G1555" s="20" t="n">
        <f aca="false">IF(D1555&gt;=13,(1+Assumptions!B46)^(D1555-12),1)</f>
        <v>1.1272943253254</v>
      </c>
      <c r="H1555" s="21" t="n">
        <f aca="false">H1554*(1+IF(C1555=1,Assumptions!B22,Assumptions!B23))</f>
        <v>25.2914145821441</v>
      </c>
      <c r="I1555" s="16" t="n">
        <f aca="false">ROUND(H1555*F1555,0)</f>
        <v>25</v>
      </c>
      <c r="J1555" s="22" t="n">
        <f aca="false">I1555*Assumptions!B24</f>
        <v>15000</v>
      </c>
      <c r="K1555" s="21" t="n">
        <f aca="false">K1554*(1+Assumptions!B30)</f>
        <v>21.8315668339872</v>
      </c>
      <c r="L1555" s="16" t="n">
        <f aca="false">ROUND(K1555*F1555,0)</f>
        <v>22</v>
      </c>
      <c r="M1555" s="22" t="n">
        <f aca="false">L1555*Assumptions!B31</f>
        <v>6600</v>
      </c>
      <c r="N1555" s="22" t="n">
        <f aca="false">J1555+M1555</f>
        <v>21600</v>
      </c>
      <c r="O1555" s="22" t="n">
        <f aca="false">IF(DAY(B1555)=1,Assumptions!B38*G1555,0)</f>
        <v>0</v>
      </c>
      <c r="P1555" s="22" t="n">
        <f aca="false">IF(DAY(B1555)=1,Assumptions!B39*G1555,0)</f>
        <v>0</v>
      </c>
      <c r="Q1555" s="22" t="n">
        <f aca="false">IF(DAY(B1555)=1,Assumptions!B40*G1555,0)</f>
        <v>0</v>
      </c>
      <c r="R1555" s="22" t="n">
        <f aca="false">IF(DAY(B1555)=1,Assumptions!B41*G1555,0)</f>
        <v>0</v>
      </c>
      <c r="S1555" s="22" t="n">
        <f aca="false">IF(AND(DAY(B1555)=1,D1555&gt;=13),Assumptions!B42*G1555,0)</f>
        <v>0</v>
      </c>
      <c r="T1555" s="22" t="n">
        <f aca="false">IF(DAY(B1555)=1,Assumptions!B43*G1555,0)</f>
        <v>0</v>
      </c>
      <c r="U1555" s="22" t="n">
        <f aca="false">SUM(O1555:T1555)</f>
        <v>0</v>
      </c>
      <c r="V1555" s="22" t="n">
        <f aca="false">N1555-U1555</f>
        <v>21600</v>
      </c>
      <c r="W1555" s="22" t="n">
        <f aca="false">W1554+V1555</f>
        <v>-378081.801188931</v>
      </c>
      <c r="X1555" s="23" t="str">
        <f aca="false">IF(W1555&gt;=0,"YES","No")</f>
        <v>No</v>
      </c>
    </row>
    <row r="1556" customFormat="false" ht="15" hidden="false" customHeight="false" outlineLevel="0" collapsed="false">
      <c r="A1556" s="16" t="n">
        <v>1555</v>
      </c>
      <c r="B1556" s="17" t="n">
        <f aca="false">B1555+1</f>
        <v>47577</v>
      </c>
      <c r="C1556" s="18" t="n">
        <f aca="false">MIN(ROUNDUP(A1556/365,0),5)</f>
        <v>5</v>
      </c>
      <c r="D1556" s="18" t="n">
        <f aca="false">DATEDIF(Assumptions!B5,B1556,"m")+1</f>
        <v>52</v>
      </c>
      <c r="E1556" s="18" t="str">
        <f aca="false">TEXT(B1556,"ddd")</f>
        <v>Thu</v>
      </c>
      <c r="F1556" s="19" t="n">
        <f aca="false">IF(WEEKDAY(B1556,2)&gt;=6,Assumptions!B34,Assumptions!B35)</f>
        <v>1</v>
      </c>
      <c r="G1556" s="20" t="n">
        <f aca="false">IF(D1556&gt;=13,(1+Assumptions!B46)^(D1556-12),1)</f>
        <v>1.1272943253254</v>
      </c>
      <c r="H1556" s="21" t="n">
        <f aca="false">H1555*(1+IF(C1556=1,Assumptions!B22,Assumptions!B23))</f>
        <v>25.2955588763208</v>
      </c>
      <c r="I1556" s="16" t="n">
        <f aca="false">ROUND(H1556*F1556,0)</f>
        <v>25</v>
      </c>
      <c r="J1556" s="22" t="n">
        <f aca="false">I1556*Assumptions!B24</f>
        <v>15000</v>
      </c>
      <c r="K1556" s="21" t="n">
        <f aca="false">K1555*(1+Assumptions!B30)</f>
        <v>21.8387043774026</v>
      </c>
      <c r="L1556" s="16" t="n">
        <f aca="false">ROUND(K1556*F1556,0)</f>
        <v>22</v>
      </c>
      <c r="M1556" s="22" t="n">
        <f aca="false">L1556*Assumptions!B31</f>
        <v>6600</v>
      </c>
      <c r="N1556" s="22" t="n">
        <f aca="false">J1556+M1556</f>
        <v>21600</v>
      </c>
      <c r="O1556" s="22" t="n">
        <f aca="false">IF(DAY(B1556)=1,Assumptions!B38*G1556,0)</f>
        <v>0</v>
      </c>
      <c r="P1556" s="22" t="n">
        <f aca="false">IF(DAY(B1556)=1,Assumptions!B39*G1556,0)</f>
        <v>0</v>
      </c>
      <c r="Q1556" s="22" t="n">
        <f aca="false">IF(DAY(B1556)=1,Assumptions!B40*G1556,0)</f>
        <v>0</v>
      </c>
      <c r="R1556" s="22" t="n">
        <f aca="false">IF(DAY(B1556)=1,Assumptions!B41*G1556,0)</f>
        <v>0</v>
      </c>
      <c r="S1556" s="22" t="n">
        <f aca="false">IF(AND(DAY(B1556)=1,D1556&gt;=13),Assumptions!B42*G1556,0)</f>
        <v>0</v>
      </c>
      <c r="T1556" s="22" t="n">
        <f aca="false">IF(DAY(B1556)=1,Assumptions!B43*G1556,0)</f>
        <v>0</v>
      </c>
      <c r="U1556" s="22" t="n">
        <f aca="false">SUM(O1556:T1556)</f>
        <v>0</v>
      </c>
      <c r="V1556" s="22" t="n">
        <f aca="false">N1556-U1556</f>
        <v>21600</v>
      </c>
      <c r="W1556" s="22" t="n">
        <f aca="false">W1555+V1556</f>
        <v>-356481.801188931</v>
      </c>
      <c r="X1556" s="23" t="str">
        <f aca="false">IF(W1556&gt;=0,"YES","No")</f>
        <v>No</v>
      </c>
    </row>
    <row r="1557" customFormat="false" ht="15" hidden="false" customHeight="false" outlineLevel="0" collapsed="false">
      <c r="A1557" s="16" t="n">
        <v>1556</v>
      </c>
      <c r="B1557" s="17" t="n">
        <f aca="false">B1556+1</f>
        <v>47578</v>
      </c>
      <c r="C1557" s="18" t="n">
        <f aca="false">MIN(ROUNDUP(A1557/365,0),5)</f>
        <v>5</v>
      </c>
      <c r="D1557" s="18" t="n">
        <f aca="false">DATEDIF(Assumptions!B5,B1557,"m")+1</f>
        <v>52</v>
      </c>
      <c r="E1557" s="18" t="str">
        <f aca="false">TEXT(B1557,"ddd")</f>
        <v>Fri</v>
      </c>
      <c r="F1557" s="19" t="n">
        <f aca="false">IF(WEEKDAY(B1557,2)&gt;=6,Assumptions!B34,Assumptions!B35)</f>
        <v>1</v>
      </c>
      <c r="G1557" s="20" t="n">
        <f aca="false">IF(D1557&gt;=13,(1+Assumptions!B46)^(D1557-12),1)</f>
        <v>1.1272943253254</v>
      </c>
      <c r="H1557" s="21" t="n">
        <f aca="false">H1556*(1+IF(C1557=1,Assumptions!B22,Assumptions!B23))</f>
        <v>25.2997038495886</v>
      </c>
      <c r="I1557" s="16" t="n">
        <f aca="false">ROUND(H1557*F1557,0)</f>
        <v>25</v>
      </c>
      <c r="J1557" s="22" t="n">
        <f aca="false">I1557*Assumptions!B24</f>
        <v>15000</v>
      </c>
      <c r="K1557" s="21" t="n">
        <f aca="false">K1556*(1+Assumptions!B30)</f>
        <v>21.8458442543439</v>
      </c>
      <c r="L1557" s="16" t="n">
        <f aca="false">ROUND(K1557*F1557,0)</f>
        <v>22</v>
      </c>
      <c r="M1557" s="22" t="n">
        <f aca="false">L1557*Assumptions!B31</f>
        <v>6600</v>
      </c>
      <c r="N1557" s="22" t="n">
        <f aca="false">J1557+M1557</f>
        <v>21600</v>
      </c>
      <c r="O1557" s="22" t="n">
        <f aca="false">IF(DAY(B1557)=1,Assumptions!B38*G1557,0)</f>
        <v>0</v>
      </c>
      <c r="P1557" s="22" t="n">
        <f aca="false">IF(DAY(B1557)=1,Assumptions!B39*G1557,0)</f>
        <v>0</v>
      </c>
      <c r="Q1557" s="22" t="n">
        <f aca="false">IF(DAY(B1557)=1,Assumptions!B40*G1557,0)</f>
        <v>0</v>
      </c>
      <c r="R1557" s="22" t="n">
        <f aca="false">IF(DAY(B1557)=1,Assumptions!B41*G1557,0)</f>
        <v>0</v>
      </c>
      <c r="S1557" s="22" t="n">
        <f aca="false">IF(AND(DAY(B1557)=1,D1557&gt;=13),Assumptions!B42*G1557,0)</f>
        <v>0</v>
      </c>
      <c r="T1557" s="22" t="n">
        <f aca="false">IF(DAY(B1557)=1,Assumptions!B43*G1557,0)</f>
        <v>0</v>
      </c>
      <c r="U1557" s="22" t="n">
        <f aca="false">SUM(O1557:T1557)</f>
        <v>0</v>
      </c>
      <c r="V1557" s="22" t="n">
        <f aca="false">N1557-U1557</f>
        <v>21600</v>
      </c>
      <c r="W1557" s="22" t="n">
        <f aca="false">W1556+V1557</f>
        <v>-334881.801188931</v>
      </c>
      <c r="X1557" s="23" t="str">
        <f aca="false">IF(W1557&gt;=0,"YES","No")</f>
        <v>No</v>
      </c>
    </row>
    <row r="1558" customFormat="false" ht="15" hidden="false" customHeight="false" outlineLevel="0" collapsed="false">
      <c r="A1558" s="16" t="n">
        <v>1557</v>
      </c>
      <c r="B1558" s="17" t="n">
        <f aca="false">B1557+1</f>
        <v>47579</v>
      </c>
      <c r="C1558" s="18" t="n">
        <f aca="false">MIN(ROUNDUP(A1558/365,0),5)</f>
        <v>5</v>
      </c>
      <c r="D1558" s="18" t="n">
        <f aca="false">DATEDIF(Assumptions!B5,B1558,"m")+1</f>
        <v>52</v>
      </c>
      <c r="E1558" s="18" t="str">
        <f aca="false">TEXT(B1558,"ddd")</f>
        <v>Sat</v>
      </c>
      <c r="F1558" s="19" t="n">
        <f aca="false">IF(WEEKDAY(B1558,2)&gt;=6,Assumptions!B34,Assumptions!B35)</f>
        <v>0.6</v>
      </c>
      <c r="G1558" s="20" t="n">
        <f aca="false">IF(D1558&gt;=13,(1+Assumptions!B46)^(D1558-12),1)</f>
        <v>1.1272943253254</v>
      </c>
      <c r="H1558" s="21" t="n">
        <f aca="false">H1557*(1+IF(C1558=1,Assumptions!B22,Assumptions!B23))</f>
        <v>25.3038495020587</v>
      </c>
      <c r="I1558" s="16" t="n">
        <f aca="false">ROUND(H1558*F1558,0)</f>
        <v>15</v>
      </c>
      <c r="J1558" s="22" t="n">
        <f aca="false">I1558*Assumptions!B24</f>
        <v>9000</v>
      </c>
      <c r="K1558" s="21" t="n">
        <f aca="false">K1557*(1+Assumptions!B30)</f>
        <v>21.852986465574</v>
      </c>
      <c r="L1558" s="16" t="n">
        <f aca="false">ROUND(K1558*F1558,0)</f>
        <v>13</v>
      </c>
      <c r="M1558" s="22" t="n">
        <f aca="false">L1558*Assumptions!B31</f>
        <v>3900</v>
      </c>
      <c r="N1558" s="22" t="n">
        <f aca="false">J1558+M1558</f>
        <v>12900</v>
      </c>
      <c r="O1558" s="22" t="n">
        <f aca="false">IF(DAY(B1558)=1,Assumptions!B38*G1558,0)</f>
        <v>0</v>
      </c>
      <c r="P1558" s="22" t="n">
        <f aca="false">IF(DAY(B1558)=1,Assumptions!B39*G1558,0)</f>
        <v>0</v>
      </c>
      <c r="Q1558" s="22" t="n">
        <f aca="false">IF(DAY(B1558)=1,Assumptions!B40*G1558,0)</f>
        <v>0</v>
      </c>
      <c r="R1558" s="22" t="n">
        <f aca="false">IF(DAY(B1558)=1,Assumptions!B41*G1558,0)</f>
        <v>0</v>
      </c>
      <c r="S1558" s="22" t="n">
        <f aca="false">IF(AND(DAY(B1558)=1,D1558&gt;=13),Assumptions!B42*G1558,0)</f>
        <v>0</v>
      </c>
      <c r="T1558" s="22" t="n">
        <f aca="false">IF(DAY(B1558)=1,Assumptions!B43*G1558,0)</f>
        <v>0</v>
      </c>
      <c r="U1558" s="22" t="n">
        <f aca="false">SUM(O1558:T1558)</f>
        <v>0</v>
      </c>
      <c r="V1558" s="22" t="n">
        <f aca="false">N1558-U1558</f>
        <v>12900</v>
      </c>
      <c r="W1558" s="22" t="n">
        <f aca="false">W1557+V1558</f>
        <v>-321981.801188931</v>
      </c>
      <c r="X1558" s="23" t="str">
        <f aca="false">IF(W1558&gt;=0,"YES","No")</f>
        <v>No</v>
      </c>
    </row>
    <row r="1559" customFormat="false" ht="15" hidden="false" customHeight="false" outlineLevel="0" collapsed="false">
      <c r="A1559" s="16" t="n">
        <v>1558</v>
      </c>
      <c r="B1559" s="17" t="n">
        <f aca="false">B1558+1</f>
        <v>47580</v>
      </c>
      <c r="C1559" s="18" t="n">
        <f aca="false">MIN(ROUNDUP(A1559/365,0),5)</f>
        <v>5</v>
      </c>
      <c r="D1559" s="18" t="n">
        <f aca="false">DATEDIF(Assumptions!B5,B1559,"m")+1</f>
        <v>52</v>
      </c>
      <c r="E1559" s="18" t="str">
        <f aca="false">TEXT(B1559,"ddd")</f>
        <v>Sun</v>
      </c>
      <c r="F1559" s="19" t="n">
        <f aca="false">IF(WEEKDAY(B1559,2)&gt;=6,Assumptions!B34,Assumptions!B35)</f>
        <v>0.6</v>
      </c>
      <c r="G1559" s="20" t="n">
        <f aca="false">IF(D1559&gt;=13,(1+Assumptions!B46)^(D1559-12),1)</f>
        <v>1.1272943253254</v>
      </c>
      <c r="H1559" s="21" t="n">
        <f aca="false">H1558*(1+IF(C1559=1,Assumptions!B22,Assumptions!B23))</f>
        <v>25.3079958338425</v>
      </c>
      <c r="I1559" s="16" t="n">
        <f aca="false">ROUND(H1559*F1559,0)</f>
        <v>15</v>
      </c>
      <c r="J1559" s="22" t="n">
        <f aca="false">I1559*Assumptions!B24</f>
        <v>9000</v>
      </c>
      <c r="K1559" s="21" t="n">
        <f aca="false">K1558*(1+Assumptions!B30)</f>
        <v>21.860131011856</v>
      </c>
      <c r="L1559" s="16" t="n">
        <f aca="false">ROUND(K1559*F1559,0)</f>
        <v>13</v>
      </c>
      <c r="M1559" s="22" t="n">
        <f aca="false">L1559*Assumptions!B31</f>
        <v>3900</v>
      </c>
      <c r="N1559" s="22" t="n">
        <f aca="false">J1559+M1559</f>
        <v>12900</v>
      </c>
      <c r="O1559" s="22" t="n">
        <f aca="false">IF(DAY(B1559)=1,Assumptions!B38*G1559,0)</f>
        <v>0</v>
      </c>
      <c r="P1559" s="22" t="n">
        <f aca="false">IF(DAY(B1559)=1,Assumptions!B39*G1559,0)</f>
        <v>0</v>
      </c>
      <c r="Q1559" s="22" t="n">
        <f aca="false">IF(DAY(B1559)=1,Assumptions!B40*G1559,0)</f>
        <v>0</v>
      </c>
      <c r="R1559" s="22" t="n">
        <f aca="false">IF(DAY(B1559)=1,Assumptions!B41*G1559,0)</f>
        <v>0</v>
      </c>
      <c r="S1559" s="22" t="n">
        <f aca="false">IF(AND(DAY(B1559)=1,D1559&gt;=13),Assumptions!B42*G1559,0)</f>
        <v>0</v>
      </c>
      <c r="T1559" s="22" t="n">
        <f aca="false">IF(DAY(B1559)=1,Assumptions!B43*G1559,0)</f>
        <v>0</v>
      </c>
      <c r="U1559" s="22" t="n">
        <f aca="false">SUM(O1559:T1559)</f>
        <v>0</v>
      </c>
      <c r="V1559" s="22" t="n">
        <f aca="false">N1559-U1559</f>
        <v>12900</v>
      </c>
      <c r="W1559" s="22" t="n">
        <f aca="false">W1558+V1559</f>
        <v>-309081.801188931</v>
      </c>
      <c r="X1559" s="23" t="str">
        <f aca="false">IF(W1559&gt;=0,"YES","No")</f>
        <v>No</v>
      </c>
    </row>
    <row r="1560" customFormat="false" ht="15" hidden="false" customHeight="false" outlineLevel="0" collapsed="false">
      <c r="A1560" s="16" t="n">
        <v>1559</v>
      </c>
      <c r="B1560" s="17" t="n">
        <f aca="false">B1559+1</f>
        <v>47581</v>
      </c>
      <c r="C1560" s="18" t="n">
        <f aca="false">MIN(ROUNDUP(A1560/365,0),5)</f>
        <v>5</v>
      </c>
      <c r="D1560" s="18" t="n">
        <f aca="false">DATEDIF(Assumptions!B5,B1560,"m")+1</f>
        <v>52</v>
      </c>
      <c r="E1560" s="18" t="str">
        <f aca="false">TEXT(B1560,"ddd")</f>
        <v>Mon</v>
      </c>
      <c r="F1560" s="19" t="n">
        <f aca="false">IF(WEEKDAY(B1560,2)&gt;=6,Assumptions!B34,Assumptions!B35)</f>
        <v>1</v>
      </c>
      <c r="G1560" s="20" t="n">
        <f aca="false">IF(D1560&gt;=13,(1+Assumptions!B46)^(D1560-12),1)</f>
        <v>1.1272943253254</v>
      </c>
      <c r="H1560" s="21" t="n">
        <f aca="false">H1559*(1+IF(C1560=1,Assumptions!B22,Assumptions!B23))</f>
        <v>25.3121428450513</v>
      </c>
      <c r="I1560" s="16" t="n">
        <f aca="false">ROUND(H1560*F1560,0)</f>
        <v>25</v>
      </c>
      <c r="J1560" s="22" t="n">
        <f aca="false">I1560*Assumptions!B24</f>
        <v>15000</v>
      </c>
      <c r="K1560" s="21" t="n">
        <f aca="false">K1559*(1+Assumptions!B30)</f>
        <v>21.8672778939534</v>
      </c>
      <c r="L1560" s="16" t="n">
        <f aca="false">ROUND(K1560*F1560,0)</f>
        <v>22</v>
      </c>
      <c r="M1560" s="22" t="n">
        <f aca="false">L1560*Assumptions!B31</f>
        <v>6600</v>
      </c>
      <c r="N1560" s="22" t="n">
        <f aca="false">J1560+M1560</f>
        <v>21600</v>
      </c>
      <c r="O1560" s="22" t="n">
        <f aca="false">IF(DAY(B1560)=1,Assumptions!B38*G1560,0)</f>
        <v>0</v>
      </c>
      <c r="P1560" s="22" t="n">
        <f aca="false">IF(DAY(B1560)=1,Assumptions!B39*G1560,0)</f>
        <v>0</v>
      </c>
      <c r="Q1560" s="22" t="n">
        <f aca="false">IF(DAY(B1560)=1,Assumptions!B40*G1560,0)</f>
        <v>0</v>
      </c>
      <c r="R1560" s="22" t="n">
        <f aca="false">IF(DAY(B1560)=1,Assumptions!B41*G1560,0)</f>
        <v>0</v>
      </c>
      <c r="S1560" s="22" t="n">
        <f aca="false">IF(AND(DAY(B1560)=1,D1560&gt;=13),Assumptions!B42*G1560,0)</f>
        <v>0</v>
      </c>
      <c r="T1560" s="22" t="n">
        <f aca="false">IF(DAY(B1560)=1,Assumptions!B43*G1560,0)</f>
        <v>0</v>
      </c>
      <c r="U1560" s="22" t="n">
        <f aca="false">SUM(O1560:T1560)</f>
        <v>0</v>
      </c>
      <c r="V1560" s="22" t="n">
        <f aca="false">N1560-U1560</f>
        <v>21600</v>
      </c>
      <c r="W1560" s="22" t="n">
        <f aca="false">W1559+V1560</f>
        <v>-287481.801188931</v>
      </c>
      <c r="X1560" s="23" t="str">
        <f aca="false">IF(W1560&gt;=0,"YES","No")</f>
        <v>No</v>
      </c>
    </row>
    <row r="1561" customFormat="false" ht="15" hidden="false" customHeight="false" outlineLevel="0" collapsed="false">
      <c r="A1561" s="16" t="n">
        <v>1560</v>
      </c>
      <c r="B1561" s="17" t="n">
        <f aca="false">B1560+1</f>
        <v>47582</v>
      </c>
      <c r="C1561" s="18" t="n">
        <f aca="false">MIN(ROUNDUP(A1561/365,0),5)</f>
        <v>5</v>
      </c>
      <c r="D1561" s="18" t="n">
        <f aca="false">DATEDIF(Assumptions!B5,B1561,"m")+1</f>
        <v>52</v>
      </c>
      <c r="E1561" s="18" t="str">
        <f aca="false">TEXT(B1561,"ddd")</f>
        <v>Tue</v>
      </c>
      <c r="F1561" s="19" t="n">
        <f aca="false">IF(WEEKDAY(B1561,2)&gt;=6,Assumptions!B34,Assumptions!B35)</f>
        <v>1</v>
      </c>
      <c r="G1561" s="20" t="n">
        <f aca="false">IF(D1561&gt;=13,(1+Assumptions!B46)^(D1561-12),1)</f>
        <v>1.1272943253254</v>
      </c>
      <c r="H1561" s="21" t="n">
        <f aca="false">H1560*(1+IF(C1561=1,Assumptions!B22,Assumptions!B23))</f>
        <v>25.3162905357964</v>
      </c>
      <c r="I1561" s="16" t="n">
        <f aca="false">ROUND(H1561*F1561,0)</f>
        <v>25</v>
      </c>
      <c r="J1561" s="22" t="n">
        <f aca="false">I1561*Assumptions!B24</f>
        <v>15000</v>
      </c>
      <c r="K1561" s="21" t="n">
        <f aca="false">K1560*(1+Assumptions!B30)</f>
        <v>21.8744271126299</v>
      </c>
      <c r="L1561" s="16" t="n">
        <f aca="false">ROUND(K1561*F1561,0)</f>
        <v>22</v>
      </c>
      <c r="M1561" s="22" t="n">
        <f aca="false">L1561*Assumptions!B31</f>
        <v>6600</v>
      </c>
      <c r="N1561" s="22" t="n">
        <f aca="false">J1561+M1561</f>
        <v>21600</v>
      </c>
      <c r="O1561" s="22" t="n">
        <f aca="false">IF(DAY(B1561)=1,Assumptions!B38*G1561,0)</f>
        <v>0</v>
      </c>
      <c r="P1561" s="22" t="n">
        <f aca="false">IF(DAY(B1561)=1,Assumptions!B39*G1561,0)</f>
        <v>0</v>
      </c>
      <c r="Q1561" s="22" t="n">
        <f aca="false">IF(DAY(B1561)=1,Assumptions!B40*G1561,0)</f>
        <v>0</v>
      </c>
      <c r="R1561" s="22" t="n">
        <f aca="false">IF(DAY(B1561)=1,Assumptions!B41*G1561,0)</f>
        <v>0</v>
      </c>
      <c r="S1561" s="22" t="n">
        <f aca="false">IF(AND(DAY(B1561)=1,D1561&gt;=13),Assumptions!B42*G1561,0)</f>
        <v>0</v>
      </c>
      <c r="T1561" s="22" t="n">
        <f aca="false">IF(DAY(B1561)=1,Assumptions!B43*G1561,0)</f>
        <v>0</v>
      </c>
      <c r="U1561" s="22" t="n">
        <f aca="false">SUM(O1561:T1561)</f>
        <v>0</v>
      </c>
      <c r="V1561" s="22" t="n">
        <f aca="false">N1561-U1561</f>
        <v>21600</v>
      </c>
      <c r="W1561" s="22" t="n">
        <f aca="false">W1560+V1561</f>
        <v>-265881.801188931</v>
      </c>
      <c r="X1561" s="23" t="str">
        <f aca="false">IF(W1561&gt;=0,"YES","No")</f>
        <v>No</v>
      </c>
    </row>
    <row r="1562" customFormat="false" ht="15" hidden="false" customHeight="false" outlineLevel="0" collapsed="false">
      <c r="A1562" s="16" t="n">
        <v>1561</v>
      </c>
      <c r="B1562" s="17" t="n">
        <f aca="false">B1561+1</f>
        <v>47583</v>
      </c>
      <c r="C1562" s="18" t="n">
        <f aca="false">MIN(ROUNDUP(A1562/365,0),5)</f>
        <v>5</v>
      </c>
      <c r="D1562" s="18" t="n">
        <f aca="false">DATEDIF(Assumptions!B5,B1562,"m")+1</f>
        <v>52</v>
      </c>
      <c r="E1562" s="18" t="str">
        <f aca="false">TEXT(B1562,"ddd")</f>
        <v>Wed</v>
      </c>
      <c r="F1562" s="19" t="n">
        <f aca="false">IF(WEEKDAY(B1562,2)&gt;=6,Assumptions!B34,Assumptions!B35)</f>
        <v>1</v>
      </c>
      <c r="G1562" s="20" t="n">
        <f aca="false">IF(D1562&gt;=13,(1+Assumptions!B46)^(D1562-12),1)</f>
        <v>1.1272943253254</v>
      </c>
      <c r="H1562" s="21" t="n">
        <f aca="false">H1561*(1+IF(C1562=1,Assumptions!B22,Assumptions!B23))</f>
        <v>25.3204389061891</v>
      </c>
      <c r="I1562" s="16" t="n">
        <f aca="false">ROUND(H1562*F1562,0)</f>
        <v>25</v>
      </c>
      <c r="J1562" s="22" t="n">
        <f aca="false">I1562*Assumptions!B24</f>
        <v>15000</v>
      </c>
      <c r="K1562" s="21" t="n">
        <f aca="false">K1561*(1+Assumptions!B30)</f>
        <v>21.8815786686492</v>
      </c>
      <c r="L1562" s="16" t="n">
        <f aca="false">ROUND(K1562*F1562,0)</f>
        <v>22</v>
      </c>
      <c r="M1562" s="22" t="n">
        <f aca="false">L1562*Assumptions!B31</f>
        <v>6600</v>
      </c>
      <c r="N1562" s="22" t="n">
        <f aca="false">J1562+M1562</f>
        <v>21600</v>
      </c>
      <c r="O1562" s="22" t="n">
        <f aca="false">IF(DAY(B1562)=1,Assumptions!B38*G1562,0)</f>
        <v>0</v>
      </c>
      <c r="P1562" s="22" t="n">
        <f aca="false">IF(DAY(B1562)=1,Assumptions!B39*G1562,0)</f>
        <v>0</v>
      </c>
      <c r="Q1562" s="22" t="n">
        <f aca="false">IF(DAY(B1562)=1,Assumptions!B40*G1562,0)</f>
        <v>0</v>
      </c>
      <c r="R1562" s="22" t="n">
        <f aca="false">IF(DAY(B1562)=1,Assumptions!B41*G1562,0)</f>
        <v>0</v>
      </c>
      <c r="S1562" s="22" t="n">
        <f aca="false">IF(AND(DAY(B1562)=1,D1562&gt;=13),Assumptions!B42*G1562,0)</f>
        <v>0</v>
      </c>
      <c r="T1562" s="22" t="n">
        <f aca="false">IF(DAY(B1562)=1,Assumptions!B43*G1562,0)</f>
        <v>0</v>
      </c>
      <c r="U1562" s="22" t="n">
        <f aca="false">SUM(O1562:T1562)</f>
        <v>0</v>
      </c>
      <c r="V1562" s="22" t="n">
        <f aca="false">N1562-U1562</f>
        <v>21600</v>
      </c>
      <c r="W1562" s="22" t="n">
        <f aca="false">W1561+V1562</f>
        <v>-244281.801188931</v>
      </c>
      <c r="X1562" s="23" t="str">
        <f aca="false">IF(W1562&gt;=0,"YES","No")</f>
        <v>No</v>
      </c>
    </row>
    <row r="1563" customFormat="false" ht="15" hidden="false" customHeight="false" outlineLevel="0" collapsed="false">
      <c r="A1563" s="16" t="n">
        <v>1562</v>
      </c>
      <c r="B1563" s="17" t="n">
        <f aca="false">B1562+1</f>
        <v>47584</v>
      </c>
      <c r="C1563" s="18" t="n">
        <f aca="false">MIN(ROUNDUP(A1563/365,0),5)</f>
        <v>5</v>
      </c>
      <c r="D1563" s="18" t="n">
        <f aca="false">DATEDIF(Assumptions!B5,B1563,"m")+1</f>
        <v>52</v>
      </c>
      <c r="E1563" s="18" t="str">
        <f aca="false">TEXT(B1563,"ddd")</f>
        <v>Thu</v>
      </c>
      <c r="F1563" s="19" t="n">
        <f aca="false">IF(WEEKDAY(B1563,2)&gt;=6,Assumptions!B34,Assumptions!B35)</f>
        <v>1</v>
      </c>
      <c r="G1563" s="20" t="n">
        <f aca="false">IF(D1563&gt;=13,(1+Assumptions!B46)^(D1563-12),1)</f>
        <v>1.1272943253254</v>
      </c>
      <c r="H1563" s="21" t="n">
        <f aca="false">H1562*(1+IF(C1563=1,Assumptions!B22,Assumptions!B23))</f>
        <v>25.3245879563409</v>
      </c>
      <c r="I1563" s="16" t="n">
        <f aca="false">ROUND(H1563*F1563,0)</f>
        <v>25</v>
      </c>
      <c r="J1563" s="22" t="n">
        <f aca="false">I1563*Assumptions!B24</f>
        <v>15000</v>
      </c>
      <c r="K1563" s="21" t="n">
        <f aca="false">K1562*(1+Assumptions!B30)</f>
        <v>21.8887325627757</v>
      </c>
      <c r="L1563" s="16" t="n">
        <f aca="false">ROUND(K1563*F1563,0)</f>
        <v>22</v>
      </c>
      <c r="M1563" s="22" t="n">
        <f aca="false">L1563*Assumptions!B31</f>
        <v>6600</v>
      </c>
      <c r="N1563" s="22" t="n">
        <f aca="false">J1563+M1563</f>
        <v>21600</v>
      </c>
      <c r="O1563" s="22" t="n">
        <f aca="false">IF(DAY(B1563)=1,Assumptions!B38*G1563,0)</f>
        <v>0</v>
      </c>
      <c r="P1563" s="22" t="n">
        <f aca="false">IF(DAY(B1563)=1,Assumptions!B39*G1563,0)</f>
        <v>0</v>
      </c>
      <c r="Q1563" s="22" t="n">
        <f aca="false">IF(DAY(B1563)=1,Assumptions!B40*G1563,0)</f>
        <v>0</v>
      </c>
      <c r="R1563" s="22" t="n">
        <f aca="false">IF(DAY(B1563)=1,Assumptions!B41*G1563,0)</f>
        <v>0</v>
      </c>
      <c r="S1563" s="22" t="n">
        <f aca="false">IF(AND(DAY(B1563)=1,D1563&gt;=13),Assumptions!B42*G1563,0)</f>
        <v>0</v>
      </c>
      <c r="T1563" s="22" t="n">
        <f aca="false">IF(DAY(B1563)=1,Assumptions!B43*G1563,0)</f>
        <v>0</v>
      </c>
      <c r="U1563" s="22" t="n">
        <f aca="false">SUM(O1563:T1563)</f>
        <v>0</v>
      </c>
      <c r="V1563" s="22" t="n">
        <f aca="false">N1563-U1563</f>
        <v>21600</v>
      </c>
      <c r="W1563" s="22" t="n">
        <f aca="false">W1562+V1563</f>
        <v>-222681.801188931</v>
      </c>
      <c r="X1563" s="23" t="str">
        <f aca="false">IF(W1563&gt;=0,"YES","No")</f>
        <v>No</v>
      </c>
    </row>
    <row r="1564" customFormat="false" ht="15" hidden="false" customHeight="false" outlineLevel="0" collapsed="false">
      <c r="A1564" s="16" t="n">
        <v>1563</v>
      </c>
      <c r="B1564" s="17" t="n">
        <f aca="false">B1563+1</f>
        <v>47585</v>
      </c>
      <c r="C1564" s="18" t="n">
        <f aca="false">MIN(ROUNDUP(A1564/365,0),5)</f>
        <v>5</v>
      </c>
      <c r="D1564" s="18" t="n">
        <f aca="false">DATEDIF(Assumptions!B5,B1564,"m")+1</f>
        <v>52</v>
      </c>
      <c r="E1564" s="18" t="str">
        <f aca="false">TEXT(B1564,"ddd")</f>
        <v>Fri</v>
      </c>
      <c r="F1564" s="19" t="n">
        <f aca="false">IF(WEEKDAY(B1564,2)&gt;=6,Assumptions!B34,Assumptions!B35)</f>
        <v>1</v>
      </c>
      <c r="G1564" s="20" t="n">
        <f aca="false">IF(D1564&gt;=13,(1+Assumptions!B46)^(D1564-12),1)</f>
        <v>1.1272943253254</v>
      </c>
      <c r="H1564" s="21" t="n">
        <f aca="false">H1563*(1+IF(C1564=1,Assumptions!B22,Assumptions!B23))</f>
        <v>25.3287376863631</v>
      </c>
      <c r="I1564" s="16" t="n">
        <f aca="false">ROUND(H1564*F1564,0)</f>
        <v>25</v>
      </c>
      <c r="J1564" s="22" t="n">
        <f aca="false">I1564*Assumptions!B24</f>
        <v>15000</v>
      </c>
      <c r="K1564" s="21" t="n">
        <f aca="false">K1563*(1+Assumptions!B30)</f>
        <v>21.8958887957737</v>
      </c>
      <c r="L1564" s="16" t="n">
        <f aca="false">ROUND(K1564*F1564,0)</f>
        <v>22</v>
      </c>
      <c r="M1564" s="22" t="n">
        <f aca="false">L1564*Assumptions!B31</f>
        <v>6600</v>
      </c>
      <c r="N1564" s="22" t="n">
        <f aca="false">J1564+M1564</f>
        <v>21600</v>
      </c>
      <c r="O1564" s="22" t="n">
        <f aca="false">IF(DAY(B1564)=1,Assumptions!B38*G1564,0)</f>
        <v>0</v>
      </c>
      <c r="P1564" s="22" t="n">
        <f aca="false">IF(DAY(B1564)=1,Assumptions!B39*G1564,0)</f>
        <v>0</v>
      </c>
      <c r="Q1564" s="22" t="n">
        <f aca="false">IF(DAY(B1564)=1,Assumptions!B40*G1564,0)</f>
        <v>0</v>
      </c>
      <c r="R1564" s="22" t="n">
        <f aca="false">IF(DAY(B1564)=1,Assumptions!B41*G1564,0)</f>
        <v>0</v>
      </c>
      <c r="S1564" s="22" t="n">
        <f aca="false">IF(AND(DAY(B1564)=1,D1564&gt;=13),Assumptions!B42*G1564,0)</f>
        <v>0</v>
      </c>
      <c r="T1564" s="22" t="n">
        <f aca="false">IF(DAY(B1564)=1,Assumptions!B43*G1564,0)</f>
        <v>0</v>
      </c>
      <c r="U1564" s="22" t="n">
        <f aca="false">SUM(O1564:T1564)</f>
        <v>0</v>
      </c>
      <c r="V1564" s="22" t="n">
        <f aca="false">N1564-U1564</f>
        <v>21600</v>
      </c>
      <c r="W1564" s="22" t="n">
        <f aca="false">W1563+V1564</f>
        <v>-201081.801188931</v>
      </c>
      <c r="X1564" s="23" t="str">
        <f aca="false">IF(W1564&gt;=0,"YES","No")</f>
        <v>No</v>
      </c>
    </row>
    <row r="1565" customFormat="false" ht="15" hidden="false" customHeight="false" outlineLevel="0" collapsed="false">
      <c r="A1565" s="16" t="n">
        <v>1564</v>
      </c>
      <c r="B1565" s="17" t="n">
        <f aca="false">B1564+1</f>
        <v>47586</v>
      </c>
      <c r="C1565" s="18" t="n">
        <f aca="false">MIN(ROUNDUP(A1565/365,0),5)</f>
        <v>5</v>
      </c>
      <c r="D1565" s="18" t="n">
        <f aca="false">DATEDIF(Assumptions!B5,B1565,"m")+1</f>
        <v>52</v>
      </c>
      <c r="E1565" s="18" t="str">
        <f aca="false">TEXT(B1565,"ddd")</f>
        <v>Sat</v>
      </c>
      <c r="F1565" s="19" t="n">
        <f aca="false">IF(WEEKDAY(B1565,2)&gt;=6,Assumptions!B34,Assumptions!B35)</f>
        <v>0.6</v>
      </c>
      <c r="G1565" s="20" t="n">
        <f aca="false">IF(D1565&gt;=13,(1+Assumptions!B46)^(D1565-12),1)</f>
        <v>1.1272943253254</v>
      </c>
      <c r="H1565" s="21" t="n">
        <f aca="false">H1564*(1+IF(C1565=1,Assumptions!B22,Assumptions!B23))</f>
        <v>25.3328880963671</v>
      </c>
      <c r="I1565" s="16" t="n">
        <f aca="false">ROUND(H1565*F1565,0)</f>
        <v>15</v>
      </c>
      <c r="J1565" s="22" t="n">
        <f aca="false">I1565*Assumptions!B24</f>
        <v>9000</v>
      </c>
      <c r="K1565" s="21" t="n">
        <f aca="false">K1564*(1+Assumptions!B30)</f>
        <v>21.9030473684079</v>
      </c>
      <c r="L1565" s="16" t="n">
        <f aca="false">ROUND(K1565*F1565,0)</f>
        <v>13</v>
      </c>
      <c r="M1565" s="22" t="n">
        <f aca="false">L1565*Assumptions!B31</f>
        <v>3900</v>
      </c>
      <c r="N1565" s="22" t="n">
        <f aca="false">J1565+M1565</f>
        <v>12900</v>
      </c>
      <c r="O1565" s="22" t="n">
        <f aca="false">IF(DAY(B1565)=1,Assumptions!B38*G1565,0)</f>
        <v>0</v>
      </c>
      <c r="P1565" s="22" t="n">
        <f aca="false">IF(DAY(B1565)=1,Assumptions!B39*G1565,0)</f>
        <v>0</v>
      </c>
      <c r="Q1565" s="22" t="n">
        <f aca="false">IF(DAY(B1565)=1,Assumptions!B40*G1565,0)</f>
        <v>0</v>
      </c>
      <c r="R1565" s="22" t="n">
        <f aca="false">IF(DAY(B1565)=1,Assumptions!B41*G1565,0)</f>
        <v>0</v>
      </c>
      <c r="S1565" s="22" t="n">
        <f aca="false">IF(AND(DAY(B1565)=1,D1565&gt;=13),Assumptions!B42*G1565,0)</f>
        <v>0</v>
      </c>
      <c r="T1565" s="22" t="n">
        <f aca="false">IF(DAY(B1565)=1,Assumptions!B43*G1565,0)</f>
        <v>0</v>
      </c>
      <c r="U1565" s="22" t="n">
        <f aca="false">SUM(O1565:T1565)</f>
        <v>0</v>
      </c>
      <c r="V1565" s="22" t="n">
        <f aca="false">N1565-U1565</f>
        <v>12900</v>
      </c>
      <c r="W1565" s="22" t="n">
        <f aca="false">W1564+V1565</f>
        <v>-188181.801188931</v>
      </c>
      <c r="X1565" s="23" t="str">
        <f aca="false">IF(W1565&gt;=0,"YES","No")</f>
        <v>No</v>
      </c>
    </row>
    <row r="1566" customFormat="false" ht="15" hidden="false" customHeight="false" outlineLevel="0" collapsed="false">
      <c r="A1566" s="16" t="n">
        <v>1565</v>
      </c>
      <c r="B1566" s="17" t="n">
        <f aca="false">B1565+1</f>
        <v>47587</v>
      </c>
      <c r="C1566" s="18" t="n">
        <f aca="false">MIN(ROUNDUP(A1566/365,0),5)</f>
        <v>5</v>
      </c>
      <c r="D1566" s="18" t="n">
        <f aca="false">DATEDIF(Assumptions!B5,B1566,"m")+1</f>
        <v>52</v>
      </c>
      <c r="E1566" s="18" t="str">
        <f aca="false">TEXT(B1566,"ddd")</f>
        <v>Sun</v>
      </c>
      <c r="F1566" s="19" t="n">
        <f aca="false">IF(WEEKDAY(B1566,2)&gt;=6,Assumptions!B34,Assumptions!B35)</f>
        <v>0.6</v>
      </c>
      <c r="G1566" s="20" t="n">
        <f aca="false">IF(D1566&gt;=13,(1+Assumptions!B46)^(D1566-12),1)</f>
        <v>1.1272943253254</v>
      </c>
      <c r="H1566" s="21" t="n">
        <f aca="false">H1565*(1+IF(C1566=1,Assumptions!B22,Assumptions!B23))</f>
        <v>25.3370391864643</v>
      </c>
      <c r="I1566" s="16" t="n">
        <f aca="false">ROUND(H1566*F1566,0)</f>
        <v>15</v>
      </c>
      <c r="J1566" s="22" t="n">
        <f aca="false">I1566*Assumptions!B24</f>
        <v>9000</v>
      </c>
      <c r="K1566" s="21" t="n">
        <f aca="false">K1565*(1+Assumptions!B30)</f>
        <v>21.9102082814432</v>
      </c>
      <c r="L1566" s="16" t="n">
        <f aca="false">ROUND(K1566*F1566,0)</f>
        <v>13</v>
      </c>
      <c r="M1566" s="22" t="n">
        <f aca="false">L1566*Assumptions!B31</f>
        <v>3900</v>
      </c>
      <c r="N1566" s="22" t="n">
        <f aca="false">J1566+M1566</f>
        <v>12900</v>
      </c>
      <c r="O1566" s="22" t="n">
        <f aca="false">IF(DAY(B1566)=1,Assumptions!B38*G1566,0)</f>
        <v>0</v>
      </c>
      <c r="P1566" s="22" t="n">
        <f aca="false">IF(DAY(B1566)=1,Assumptions!B39*G1566,0)</f>
        <v>0</v>
      </c>
      <c r="Q1566" s="22" t="n">
        <f aca="false">IF(DAY(B1566)=1,Assumptions!B40*G1566,0)</f>
        <v>0</v>
      </c>
      <c r="R1566" s="22" t="n">
        <f aca="false">IF(DAY(B1566)=1,Assumptions!B41*G1566,0)</f>
        <v>0</v>
      </c>
      <c r="S1566" s="22" t="n">
        <f aca="false">IF(AND(DAY(B1566)=1,D1566&gt;=13),Assumptions!B42*G1566,0)</f>
        <v>0</v>
      </c>
      <c r="T1566" s="22" t="n">
        <f aca="false">IF(DAY(B1566)=1,Assumptions!B43*G1566,0)</f>
        <v>0</v>
      </c>
      <c r="U1566" s="22" t="n">
        <f aca="false">SUM(O1566:T1566)</f>
        <v>0</v>
      </c>
      <c r="V1566" s="22" t="n">
        <f aca="false">N1566-U1566</f>
        <v>12900</v>
      </c>
      <c r="W1566" s="22" t="n">
        <f aca="false">W1565+V1566</f>
        <v>-175281.801188931</v>
      </c>
      <c r="X1566" s="23" t="str">
        <f aca="false">IF(W1566&gt;=0,"YES","No")</f>
        <v>No</v>
      </c>
    </row>
    <row r="1567" customFormat="false" ht="15" hidden="false" customHeight="false" outlineLevel="0" collapsed="false">
      <c r="A1567" s="16" t="n">
        <v>1566</v>
      </c>
      <c r="B1567" s="17" t="n">
        <f aca="false">B1566+1</f>
        <v>47588</v>
      </c>
      <c r="C1567" s="18" t="n">
        <f aca="false">MIN(ROUNDUP(A1567/365,0),5)</f>
        <v>5</v>
      </c>
      <c r="D1567" s="18" t="n">
        <f aca="false">DATEDIF(Assumptions!B5,B1567,"m")+1</f>
        <v>52</v>
      </c>
      <c r="E1567" s="18" t="str">
        <f aca="false">TEXT(B1567,"ddd")</f>
        <v>Mon</v>
      </c>
      <c r="F1567" s="19" t="n">
        <f aca="false">IF(WEEKDAY(B1567,2)&gt;=6,Assumptions!B34,Assumptions!B35)</f>
        <v>1</v>
      </c>
      <c r="G1567" s="20" t="n">
        <f aca="false">IF(D1567&gt;=13,(1+Assumptions!B46)^(D1567-12),1)</f>
        <v>1.1272943253254</v>
      </c>
      <c r="H1567" s="21" t="n">
        <f aca="false">H1566*(1+IF(C1567=1,Assumptions!B22,Assumptions!B23))</f>
        <v>25.3411909567662</v>
      </c>
      <c r="I1567" s="16" t="n">
        <f aca="false">ROUND(H1567*F1567,0)</f>
        <v>25</v>
      </c>
      <c r="J1567" s="22" t="n">
        <f aca="false">I1567*Assumptions!B24</f>
        <v>15000</v>
      </c>
      <c r="K1567" s="21" t="n">
        <f aca="false">K1566*(1+Assumptions!B30)</f>
        <v>21.9173715356448</v>
      </c>
      <c r="L1567" s="16" t="n">
        <f aca="false">ROUND(K1567*F1567,0)</f>
        <v>22</v>
      </c>
      <c r="M1567" s="22" t="n">
        <f aca="false">L1567*Assumptions!B31</f>
        <v>6600</v>
      </c>
      <c r="N1567" s="22" t="n">
        <f aca="false">J1567+M1567</f>
        <v>21600</v>
      </c>
      <c r="O1567" s="22" t="n">
        <f aca="false">IF(DAY(B1567)=1,Assumptions!B38*G1567,0)</f>
        <v>0</v>
      </c>
      <c r="P1567" s="22" t="n">
        <f aca="false">IF(DAY(B1567)=1,Assumptions!B39*G1567,0)</f>
        <v>0</v>
      </c>
      <c r="Q1567" s="22" t="n">
        <f aca="false">IF(DAY(B1567)=1,Assumptions!B40*G1567,0)</f>
        <v>0</v>
      </c>
      <c r="R1567" s="22" t="n">
        <f aca="false">IF(DAY(B1567)=1,Assumptions!B41*G1567,0)</f>
        <v>0</v>
      </c>
      <c r="S1567" s="22" t="n">
        <f aca="false">IF(AND(DAY(B1567)=1,D1567&gt;=13),Assumptions!B42*G1567,0)</f>
        <v>0</v>
      </c>
      <c r="T1567" s="22" t="n">
        <f aca="false">IF(DAY(B1567)=1,Assumptions!B43*G1567,0)</f>
        <v>0</v>
      </c>
      <c r="U1567" s="22" t="n">
        <f aca="false">SUM(O1567:T1567)</f>
        <v>0</v>
      </c>
      <c r="V1567" s="22" t="n">
        <f aca="false">N1567-U1567</f>
        <v>21600</v>
      </c>
      <c r="W1567" s="22" t="n">
        <f aca="false">W1566+V1567</f>
        <v>-153681.801188931</v>
      </c>
      <c r="X1567" s="23" t="str">
        <f aca="false">IF(W1567&gt;=0,"YES","No")</f>
        <v>No</v>
      </c>
    </row>
    <row r="1568" customFormat="false" ht="15" hidden="false" customHeight="false" outlineLevel="0" collapsed="false">
      <c r="A1568" s="16" t="n">
        <v>1567</v>
      </c>
      <c r="B1568" s="17" t="n">
        <f aca="false">B1567+1</f>
        <v>47589</v>
      </c>
      <c r="C1568" s="18" t="n">
        <f aca="false">MIN(ROUNDUP(A1568/365,0),5)</f>
        <v>5</v>
      </c>
      <c r="D1568" s="18" t="n">
        <f aca="false">DATEDIF(Assumptions!B5,B1568,"m")+1</f>
        <v>52</v>
      </c>
      <c r="E1568" s="18" t="str">
        <f aca="false">TEXT(B1568,"ddd")</f>
        <v>Tue</v>
      </c>
      <c r="F1568" s="19" t="n">
        <f aca="false">IF(WEEKDAY(B1568,2)&gt;=6,Assumptions!B34,Assumptions!B35)</f>
        <v>1</v>
      </c>
      <c r="G1568" s="20" t="n">
        <f aca="false">IF(D1568&gt;=13,(1+Assumptions!B46)^(D1568-12),1)</f>
        <v>1.1272943253254</v>
      </c>
      <c r="H1568" s="21" t="n">
        <f aca="false">H1567*(1+IF(C1568=1,Assumptions!B22,Assumptions!B23))</f>
        <v>25.3453434073842</v>
      </c>
      <c r="I1568" s="16" t="n">
        <f aca="false">ROUND(H1568*F1568,0)</f>
        <v>25</v>
      </c>
      <c r="J1568" s="22" t="n">
        <f aca="false">I1568*Assumptions!B24</f>
        <v>15000</v>
      </c>
      <c r="K1568" s="21" t="n">
        <f aca="false">K1567*(1+Assumptions!B30)</f>
        <v>21.924537131778</v>
      </c>
      <c r="L1568" s="16" t="n">
        <f aca="false">ROUND(K1568*F1568,0)</f>
        <v>22</v>
      </c>
      <c r="M1568" s="22" t="n">
        <f aca="false">L1568*Assumptions!B31</f>
        <v>6600</v>
      </c>
      <c r="N1568" s="22" t="n">
        <f aca="false">J1568+M1568</f>
        <v>21600</v>
      </c>
      <c r="O1568" s="22" t="n">
        <f aca="false">IF(DAY(B1568)=1,Assumptions!B38*G1568,0)</f>
        <v>0</v>
      </c>
      <c r="P1568" s="22" t="n">
        <f aca="false">IF(DAY(B1568)=1,Assumptions!B39*G1568,0)</f>
        <v>0</v>
      </c>
      <c r="Q1568" s="22" t="n">
        <f aca="false">IF(DAY(B1568)=1,Assumptions!B40*G1568,0)</f>
        <v>0</v>
      </c>
      <c r="R1568" s="22" t="n">
        <f aca="false">IF(DAY(B1568)=1,Assumptions!B41*G1568,0)</f>
        <v>0</v>
      </c>
      <c r="S1568" s="22" t="n">
        <f aca="false">IF(AND(DAY(B1568)=1,D1568&gt;=13),Assumptions!B42*G1568,0)</f>
        <v>0</v>
      </c>
      <c r="T1568" s="22" t="n">
        <f aca="false">IF(DAY(B1568)=1,Assumptions!B43*G1568,0)</f>
        <v>0</v>
      </c>
      <c r="U1568" s="22" t="n">
        <f aca="false">SUM(O1568:T1568)</f>
        <v>0</v>
      </c>
      <c r="V1568" s="22" t="n">
        <f aca="false">N1568-U1568</f>
        <v>21600</v>
      </c>
      <c r="W1568" s="22" t="n">
        <f aca="false">W1567+V1568</f>
        <v>-132081.801188931</v>
      </c>
      <c r="X1568" s="23" t="str">
        <f aca="false">IF(W1568&gt;=0,"YES","No")</f>
        <v>No</v>
      </c>
    </row>
    <row r="1569" customFormat="false" ht="15" hidden="false" customHeight="false" outlineLevel="0" collapsed="false">
      <c r="A1569" s="16" t="n">
        <v>1568</v>
      </c>
      <c r="B1569" s="17" t="n">
        <f aca="false">B1568+1</f>
        <v>47590</v>
      </c>
      <c r="C1569" s="18" t="n">
        <f aca="false">MIN(ROUNDUP(A1569/365,0),5)</f>
        <v>5</v>
      </c>
      <c r="D1569" s="18" t="n">
        <f aca="false">DATEDIF(Assumptions!B5,B1569,"m")+1</f>
        <v>52</v>
      </c>
      <c r="E1569" s="18" t="str">
        <f aca="false">TEXT(B1569,"ddd")</f>
        <v>Wed</v>
      </c>
      <c r="F1569" s="19" t="n">
        <f aca="false">IF(WEEKDAY(B1569,2)&gt;=6,Assumptions!B34,Assumptions!B35)</f>
        <v>1</v>
      </c>
      <c r="G1569" s="20" t="n">
        <f aca="false">IF(D1569&gt;=13,(1+Assumptions!B46)^(D1569-12),1)</f>
        <v>1.1272943253254</v>
      </c>
      <c r="H1569" s="21" t="n">
        <f aca="false">H1568*(1+IF(C1569=1,Assumptions!B22,Assumptions!B23))</f>
        <v>25.3494965384299</v>
      </c>
      <c r="I1569" s="16" t="n">
        <f aca="false">ROUND(H1569*F1569,0)</f>
        <v>25</v>
      </c>
      <c r="J1569" s="22" t="n">
        <f aca="false">I1569*Assumptions!B24</f>
        <v>15000</v>
      </c>
      <c r="K1569" s="21" t="n">
        <f aca="false">K1568*(1+Assumptions!B30)</f>
        <v>21.9317050706086</v>
      </c>
      <c r="L1569" s="16" t="n">
        <f aca="false">ROUND(K1569*F1569,0)</f>
        <v>22</v>
      </c>
      <c r="M1569" s="22" t="n">
        <f aca="false">L1569*Assumptions!B31</f>
        <v>6600</v>
      </c>
      <c r="N1569" s="22" t="n">
        <f aca="false">J1569+M1569</f>
        <v>21600</v>
      </c>
      <c r="O1569" s="22" t="n">
        <f aca="false">IF(DAY(B1569)=1,Assumptions!B38*G1569,0)</f>
        <v>0</v>
      </c>
      <c r="P1569" s="22" t="n">
        <f aca="false">IF(DAY(B1569)=1,Assumptions!B39*G1569,0)</f>
        <v>0</v>
      </c>
      <c r="Q1569" s="22" t="n">
        <f aca="false">IF(DAY(B1569)=1,Assumptions!B40*G1569,0)</f>
        <v>0</v>
      </c>
      <c r="R1569" s="22" t="n">
        <f aca="false">IF(DAY(B1569)=1,Assumptions!B41*G1569,0)</f>
        <v>0</v>
      </c>
      <c r="S1569" s="22" t="n">
        <f aca="false">IF(AND(DAY(B1569)=1,D1569&gt;=13),Assumptions!B42*G1569,0)</f>
        <v>0</v>
      </c>
      <c r="T1569" s="22" t="n">
        <f aca="false">IF(DAY(B1569)=1,Assumptions!B43*G1569,0)</f>
        <v>0</v>
      </c>
      <c r="U1569" s="22" t="n">
        <f aca="false">SUM(O1569:T1569)</f>
        <v>0</v>
      </c>
      <c r="V1569" s="22" t="n">
        <f aca="false">N1569-U1569</f>
        <v>21600</v>
      </c>
      <c r="W1569" s="22" t="n">
        <f aca="false">W1568+V1569</f>
        <v>-110481.801188931</v>
      </c>
      <c r="X1569" s="23" t="str">
        <f aca="false">IF(W1569&gt;=0,"YES","No")</f>
        <v>No</v>
      </c>
    </row>
    <row r="1570" customFormat="false" ht="15" hidden="false" customHeight="false" outlineLevel="0" collapsed="false">
      <c r="A1570" s="16" t="n">
        <v>1569</v>
      </c>
      <c r="B1570" s="17" t="n">
        <f aca="false">B1569+1</f>
        <v>47591</v>
      </c>
      <c r="C1570" s="18" t="n">
        <f aca="false">MIN(ROUNDUP(A1570/365,0),5)</f>
        <v>5</v>
      </c>
      <c r="D1570" s="18" t="n">
        <f aca="false">DATEDIF(Assumptions!B5,B1570,"m")+1</f>
        <v>52</v>
      </c>
      <c r="E1570" s="18" t="str">
        <f aca="false">TEXT(B1570,"ddd")</f>
        <v>Thu</v>
      </c>
      <c r="F1570" s="19" t="n">
        <f aca="false">IF(WEEKDAY(B1570,2)&gt;=6,Assumptions!B34,Assumptions!B35)</f>
        <v>1</v>
      </c>
      <c r="G1570" s="20" t="n">
        <f aca="false">IF(D1570&gt;=13,(1+Assumptions!B46)^(D1570-12),1)</f>
        <v>1.1272943253254</v>
      </c>
      <c r="H1570" s="21" t="n">
        <f aca="false">H1569*(1+IF(C1570=1,Assumptions!B22,Assumptions!B23))</f>
        <v>25.3536503500146</v>
      </c>
      <c r="I1570" s="16" t="n">
        <f aca="false">ROUND(H1570*F1570,0)</f>
        <v>25</v>
      </c>
      <c r="J1570" s="22" t="n">
        <f aca="false">I1570*Assumptions!B24</f>
        <v>15000</v>
      </c>
      <c r="K1570" s="21" t="n">
        <f aca="false">K1569*(1+Assumptions!B30)</f>
        <v>21.9388753529024</v>
      </c>
      <c r="L1570" s="16" t="n">
        <f aca="false">ROUND(K1570*F1570,0)</f>
        <v>22</v>
      </c>
      <c r="M1570" s="22" t="n">
        <f aca="false">L1570*Assumptions!B31</f>
        <v>6600</v>
      </c>
      <c r="N1570" s="22" t="n">
        <f aca="false">J1570+M1570</f>
        <v>21600</v>
      </c>
      <c r="O1570" s="22" t="n">
        <f aca="false">IF(DAY(B1570)=1,Assumptions!B38*G1570,0)</f>
        <v>0</v>
      </c>
      <c r="P1570" s="22" t="n">
        <f aca="false">IF(DAY(B1570)=1,Assumptions!B39*G1570,0)</f>
        <v>0</v>
      </c>
      <c r="Q1570" s="22" t="n">
        <f aca="false">IF(DAY(B1570)=1,Assumptions!B40*G1570,0)</f>
        <v>0</v>
      </c>
      <c r="R1570" s="22" t="n">
        <f aca="false">IF(DAY(B1570)=1,Assumptions!B41*G1570,0)</f>
        <v>0</v>
      </c>
      <c r="S1570" s="22" t="n">
        <f aca="false">IF(AND(DAY(B1570)=1,D1570&gt;=13),Assumptions!B42*G1570,0)</f>
        <v>0</v>
      </c>
      <c r="T1570" s="22" t="n">
        <f aca="false">IF(DAY(B1570)=1,Assumptions!B43*G1570,0)</f>
        <v>0</v>
      </c>
      <c r="U1570" s="22" t="n">
        <f aca="false">SUM(O1570:T1570)</f>
        <v>0</v>
      </c>
      <c r="V1570" s="22" t="n">
        <f aca="false">N1570-U1570</f>
        <v>21600</v>
      </c>
      <c r="W1570" s="22" t="n">
        <f aca="false">W1569+V1570</f>
        <v>-88881.8011889315</v>
      </c>
      <c r="X1570" s="23" t="str">
        <f aca="false">IF(W1570&gt;=0,"YES","No")</f>
        <v>No</v>
      </c>
    </row>
    <row r="1571" customFormat="false" ht="15" hidden="false" customHeight="false" outlineLevel="0" collapsed="false">
      <c r="A1571" s="16" t="n">
        <v>1570</v>
      </c>
      <c r="B1571" s="17" t="n">
        <f aca="false">B1570+1</f>
        <v>47592</v>
      </c>
      <c r="C1571" s="18" t="n">
        <f aca="false">MIN(ROUNDUP(A1571/365,0),5)</f>
        <v>5</v>
      </c>
      <c r="D1571" s="18" t="n">
        <f aca="false">DATEDIF(Assumptions!B5,B1571,"m")+1</f>
        <v>52</v>
      </c>
      <c r="E1571" s="18" t="str">
        <f aca="false">TEXT(B1571,"ddd")</f>
        <v>Fri</v>
      </c>
      <c r="F1571" s="19" t="n">
        <f aca="false">IF(WEEKDAY(B1571,2)&gt;=6,Assumptions!B34,Assumptions!B35)</f>
        <v>1</v>
      </c>
      <c r="G1571" s="20" t="n">
        <f aca="false">IF(D1571&gt;=13,(1+Assumptions!B46)^(D1571-12),1)</f>
        <v>1.1272943253254</v>
      </c>
      <c r="H1571" s="21" t="n">
        <f aca="false">H1570*(1+IF(C1571=1,Assumptions!B22,Assumptions!B23))</f>
        <v>25.35780484225</v>
      </c>
      <c r="I1571" s="16" t="n">
        <f aca="false">ROUND(H1571*F1571,0)</f>
        <v>25</v>
      </c>
      <c r="J1571" s="22" t="n">
        <f aca="false">I1571*Assumptions!B24</f>
        <v>15000</v>
      </c>
      <c r="K1571" s="21" t="n">
        <f aca="false">K1570*(1+Assumptions!B30)</f>
        <v>21.9460479794256</v>
      </c>
      <c r="L1571" s="16" t="n">
        <f aca="false">ROUND(K1571*F1571,0)</f>
        <v>22</v>
      </c>
      <c r="M1571" s="22" t="n">
        <f aca="false">L1571*Assumptions!B31</f>
        <v>6600</v>
      </c>
      <c r="N1571" s="22" t="n">
        <f aca="false">J1571+M1571</f>
        <v>21600</v>
      </c>
      <c r="O1571" s="22" t="n">
        <f aca="false">IF(DAY(B1571)=1,Assumptions!B38*G1571,0)</f>
        <v>0</v>
      </c>
      <c r="P1571" s="22" t="n">
        <f aca="false">IF(DAY(B1571)=1,Assumptions!B39*G1571,0)</f>
        <v>0</v>
      </c>
      <c r="Q1571" s="22" t="n">
        <f aca="false">IF(DAY(B1571)=1,Assumptions!B40*G1571,0)</f>
        <v>0</v>
      </c>
      <c r="R1571" s="22" t="n">
        <f aca="false">IF(DAY(B1571)=1,Assumptions!B41*G1571,0)</f>
        <v>0</v>
      </c>
      <c r="S1571" s="22" t="n">
        <f aca="false">IF(AND(DAY(B1571)=1,D1571&gt;=13),Assumptions!B42*G1571,0)</f>
        <v>0</v>
      </c>
      <c r="T1571" s="22" t="n">
        <f aca="false">IF(DAY(B1571)=1,Assumptions!B43*G1571,0)</f>
        <v>0</v>
      </c>
      <c r="U1571" s="22" t="n">
        <f aca="false">SUM(O1571:T1571)</f>
        <v>0</v>
      </c>
      <c r="V1571" s="22" t="n">
        <f aca="false">N1571-U1571</f>
        <v>21600</v>
      </c>
      <c r="W1571" s="22" t="n">
        <f aca="false">W1570+V1571</f>
        <v>-67281.8011889315</v>
      </c>
      <c r="X1571" s="23" t="str">
        <f aca="false">IF(W1571&gt;=0,"YES","No")</f>
        <v>No</v>
      </c>
    </row>
    <row r="1572" customFormat="false" ht="15" hidden="false" customHeight="false" outlineLevel="0" collapsed="false">
      <c r="A1572" s="16" t="n">
        <v>1571</v>
      </c>
      <c r="B1572" s="17" t="n">
        <f aca="false">B1571+1</f>
        <v>47593</v>
      </c>
      <c r="C1572" s="18" t="n">
        <f aca="false">MIN(ROUNDUP(A1572/365,0),5)</f>
        <v>5</v>
      </c>
      <c r="D1572" s="18" t="n">
        <f aca="false">DATEDIF(Assumptions!B5,B1572,"m")+1</f>
        <v>52</v>
      </c>
      <c r="E1572" s="18" t="str">
        <f aca="false">TEXT(B1572,"ddd")</f>
        <v>Sat</v>
      </c>
      <c r="F1572" s="19" t="n">
        <f aca="false">IF(WEEKDAY(B1572,2)&gt;=6,Assumptions!B34,Assumptions!B35)</f>
        <v>0.6</v>
      </c>
      <c r="G1572" s="20" t="n">
        <f aca="false">IF(D1572&gt;=13,(1+Assumptions!B46)^(D1572-12),1)</f>
        <v>1.1272943253254</v>
      </c>
      <c r="H1572" s="21" t="n">
        <f aca="false">H1571*(1+IF(C1572=1,Assumptions!B22,Assumptions!B23))</f>
        <v>25.3619600152476</v>
      </c>
      <c r="I1572" s="16" t="n">
        <f aca="false">ROUND(H1572*F1572,0)</f>
        <v>15</v>
      </c>
      <c r="J1572" s="22" t="n">
        <f aca="false">I1572*Assumptions!B24</f>
        <v>9000</v>
      </c>
      <c r="K1572" s="21" t="n">
        <f aca="false">K1571*(1+Assumptions!B30)</f>
        <v>21.9532229509447</v>
      </c>
      <c r="L1572" s="16" t="n">
        <f aca="false">ROUND(K1572*F1572,0)</f>
        <v>13</v>
      </c>
      <c r="M1572" s="22" t="n">
        <f aca="false">L1572*Assumptions!B31</f>
        <v>3900</v>
      </c>
      <c r="N1572" s="22" t="n">
        <f aca="false">J1572+M1572</f>
        <v>12900</v>
      </c>
      <c r="O1572" s="22" t="n">
        <f aca="false">IF(DAY(B1572)=1,Assumptions!B38*G1572,0)</f>
        <v>0</v>
      </c>
      <c r="P1572" s="22" t="n">
        <f aca="false">IF(DAY(B1572)=1,Assumptions!B39*G1572,0)</f>
        <v>0</v>
      </c>
      <c r="Q1572" s="22" t="n">
        <f aca="false">IF(DAY(B1572)=1,Assumptions!B40*G1572,0)</f>
        <v>0</v>
      </c>
      <c r="R1572" s="22" t="n">
        <f aca="false">IF(DAY(B1572)=1,Assumptions!B41*G1572,0)</f>
        <v>0</v>
      </c>
      <c r="S1572" s="22" t="n">
        <f aca="false">IF(AND(DAY(B1572)=1,D1572&gt;=13),Assumptions!B42*G1572,0)</f>
        <v>0</v>
      </c>
      <c r="T1572" s="22" t="n">
        <f aca="false">IF(DAY(B1572)=1,Assumptions!B43*G1572,0)</f>
        <v>0</v>
      </c>
      <c r="U1572" s="22" t="n">
        <f aca="false">SUM(O1572:T1572)</f>
        <v>0</v>
      </c>
      <c r="V1572" s="22" t="n">
        <f aca="false">N1572-U1572</f>
        <v>12900</v>
      </c>
      <c r="W1572" s="22" t="n">
        <f aca="false">W1571+V1572</f>
        <v>-54381.8011889315</v>
      </c>
      <c r="X1572" s="23" t="str">
        <f aca="false">IF(W1572&gt;=0,"YES","No")</f>
        <v>No</v>
      </c>
    </row>
    <row r="1573" customFormat="false" ht="15" hidden="false" customHeight="false" outlineLevel="0" collapsed="false">
      <c r="A1573" s="16" t="n">
        <v>1572</v>
      </c>
      <c r="B1573" s="17" t="n">
        <f aca="false">B1572+1</f>
        <v>47594</v>
      </c>
      <c r="C1573" s="18" t="n">
        <f aca="false">MIN(ROUNDUP(A1573/365,0),5)</f>
        <v>5</v>
      </c>
      <c r="D1573" s="18" t="n">
        <f aca="false">DATEDIF(Assumptions!B5,B1573,"m")+1</f>
        <v>52</v>
      </c>
      <c r="E1573" s="18" t="str">
        <f aca="false">TEXT(B1573,"ddd")</f>
        <v>Sun</v>
      </c>
      <c r="F1573" s="19" t="n">
        <f aca="false">IF(WEEKDAY(B1573,2)&gt;=6,Assumptions!B34,Assumptions!B35)</f>
        <v>0.6</v>
      </c>
      <c r="G1573" s="20" t="n">
        <f aca="false">IF(D1573&gt;=13,(1+Assumptions!B46)^(D1573-12),1)</f>
        <v>1.1272943253254</v>
      </c>
      <c r="H1573" s="21" t="n">
        <f aca="false">H1572*(1+IF(C1573=1,Assumptions!B22,Assumptions!B23))</f>
        <v>25.3661158691188</v>
      </c>
      <c r="I1573" s="16" t="n">
        <f aca="false">ROUND(H1573*F1573,0)</f>
        <v>15</v>
      </c>
      <c r="J1573" s="22" t="n">
        <f aca="false">I1573*Assumptions!B24</f>
        <v>9000</v>
      </c>
      <c r="K1573" s="21" t="n">
        <f aca="false">K1572*(1+Assumptions!B30)</f>
        <v>21.9604002682262</v>
      </c>
      <c r="L1573" s="16" t="n">
        <f aca="false">ROUND(K1573*F1573,0)</f>
        <v>13</v>
      </c>
      <c r="M1573" s="22" t="n">
        <f aca="false">L1573*Assumptions!B31</f>
        <v>3900</v>
      </c>
      <c r="N1573" s="22" t="n">
        <f aca="false">J1573+M1573</f>
        <v>12900</v>
      </c>
      <c r="O1573" s="22" t="n">
        <f aca="false">IF(DAY(B1573)=1,Assumptions!B38*G1573,0)</f>
        <v>0</v>
      </c>
      <c r="P1573" s="22" t="n">
        <f aca="false">IF(DAY(B1573)=1,Assumptions!B39*G1573,0)</f>
        <v>0</v>
      </c>
      <c r="Q1573" s="22" t="n">
        <f aca="false">IF(DAY(B1573)=1,Assumptions!B40*G1573,0)</f>
        <v>0</v>
      </c>
      <c r="R1573" s="22" t="n">
        <f aca="false">IF(DAY(B1573)=1,Assumptions!B41*G1573,0)</f>
        <v>0</v>
      </c>
      <c r="S1573" s="22" t="n">
        <f aca="false">IF(AND(DAY(B1573)=1,D1573&gt;=13),Assumptions!B42*G1573,0)</f>
        <v>0</v>
      </c>
      <c r="T1573" s="22" t="n">
        <f aca="false">IF(DAY(B1573)=1,Assumptions!B43*G1573,0)</f>
        <v>0</v>
      </c>
      <c r="U1573" s="22" t="n">
        <f aca="false">SUM(O1573:T1573)</f>
        <v>0</v>
      </c>
      <c r="V1573" s="22" t="n">
        <f aca="false">N1573-U1573</f>
        <v>12900</v>
      </c>
      <c r="W1573" s="22" t="n">
        <f aca="false">W1572+V1573</f>
        <v>-41481.8011889315</v>
      </c>
      <c r="X1573" s="23" t="str">
        <f aca="false">IF(W1573&gt;=0,"YES","No")</f>
        <v>No</v>
      </c>
    </row>
    <row r="1574" customFormat="false" ht="15" hidden="false" customHeight="false" outlineLevel="0" collapsed="false">
      <c r="A1574" s="16" t="n">
        <v>1573</v>
      </c>
      <c r="B1574" s="17" t="n">
        <f aca="false">B1573+1</f>
        <v>47595</v>
      </c>
      <c r="C1574" s="18" t="n">
        <f aca="false">MIN(ROUNDUP(A1574/365,0),5)</f>
        <v>5</v>
      </c>
      <c r="D1574" s="18" t="n">
        <f aca="false">DATEDIF(Assumptions!B5,B1574,"m")+1</f>
        <v>52</v>
      </c>
      <c r="E1574" s="18" t="str">
        <f aca="false">TEXT(B1574,"ddd")</f>
        <v>Mon</v>
      </c>
      <c r="F1574" s="19" t="n">
        <f aca="false">IF(WEEKDAY(B1574,2)&gt;=6,Assumptions!B34,Assumptions!B35)</f>
        <v>1</v>
      </c>
      <c r="G1574" s="20" t="n">
        <f aca="false">IF(D1574&gt;=13,(1+Assumptions!B46)^(D1574-12),1)</f>
        <v>1.1272943253254</v>
      </c>
      <c r="H1574" s="21" t="n">
        <f aca="false">H1573*(1+IF(C1574=1,Assumptions!B22,Assumptions!B23))</f>
        <v>25.3702724039754</v>
      </c>
      <c r="I1574" s="16" t="n">
        <f aca="false">ROUND(H1574*F1574,0)</f>
        <v>25</v>
      </c>
      <c r="J1574" s="22" t="n">
        <f aca="false">I1574*Assumptions!B24</f>
        <v>15000</v>
      </c>
      <c r="K1574" s="21" t="n">
        <f aca="false">K1573*(1+Assumptions!B30)</f>
        <v>21.9675799320372</v>
      </c>
      <c r="L1574" s="16" t="n">
        <f aca="false">ROUND(K1574*F1574,0)</f>
        <v>22</v>
      </c>
      <c r="M1574" s="22" t="n">
        <f aca="false">L1574*Assumptions!B31</f>
        <v>6600</v>
      </c>
      <c r="N1574" s="22" t="n">
        <f aca="false">J1574+M1574</f>
        <v>21600</v>
      </c>
      <c r="O1574" s="22" t="n">
        <f aca="false">IF(DAY(B1574)=1,Assumptions!B38*G1574,0)</f>
        <v>0</v>
      </c>
      <c r="P1574" s="22" t="n">
        <f aca="false">IF(DAY(B1574)=1,Assumptions!B39*G1574,0)</f>
        <v>0</v>
      </c>
      <c r="Q1574" s="22" t="n">
        <f aca="false">IF(DAY(B1574)=1,Assumptions!B40*G1574,0)</f>
        <v>0</v>
      </c>
      <c r="R1574" s="22" t="n">
        <f aca="false">IF(DAY(B1574)=1,Assumptions!B41*G1574,0)</f>
        <v>0</v>
      </c>
      <c r="S1574" s="22" t="n">
        <f aca="false">IF(AND(DAY(B1574)=1,D1574&gt;=13),Assumptions!B42*G1574,0)</f>
        <v>0</v>
      </c>
      <c r="T1574" s="22" t="n">
        <f aca="false">IF(DAY(B1574)=1,Assumptions!B43*G1574,0)</f>
        <v>0</v>
      </c>
      <c r="U1574" s="22" t="n">
        <f aca="false">SUM(O1574:T1574)</f>
        <v>0</v>
      </c>
      <c r="V1574" s="22" t="n">
        <f aca="false">N1574-U1574</f>
        <v>21600</v>
      </c>
      <c r="W1574" s="22" t="n">
        <f aca="false">W1573+V1574</f>
        <v>-19881.8011889315</v>
      </c>
      <c r="X1574" s="23" t="str">
        <f aca="false">IF(W1574&gt;=0,"YES","No")</f>
        <v>No</v>
      </c>
    </row>
    <row r="1575" customFormat="false" ht="15" hidden="false" customHeight="false" outlineLevel="0" collapsed="false">
      <c r="A1575" s="16" t="n">
        <v>1574</v>
      </c>
      <c r="B1575" s="17" t="n">
        <f aca="false">B1574+1</f>
        <v>47596</v>
      </c>
      <c r="C1575" s="18" t="n">
        <f aca="false">MIN(ROUNDUP(A1575/365,0),5)</f>
        <v>5</v>
      </c>
      <c r="D1575" s="18" t="n">
        <f aca="false">DATEDIF(Assumptions!B5,B1575,"m")+1</f>
        <v>52</v>
      </c>
      <c r="E1575" s="18" t="str">
        <f aca="false">TEXT(B1575,"ddd")</f>
        <v>Tue</v>
      </c>
      <c r="F1575" s="19" t="n">
        <f aca="false">IF(WEEKDAY(B1575,2)&gt;=6,Assumptions!B34,Assumptions!B35)</f>
        <v>1</v>
      </c>
      <c r="G1575" s="20" t="n">
        <f aca="false">IF(D1575&gt;=13,(1+Assumptions!B46)^(D1575-12),1)</f>
        <v>1.1272943253254</v>
      </c>
      <c r="H1575" s="21" t="n">
        <f aca="false">H1574*(1+IF(C1575=1,Assumptions!B22,Assumptions!B23))</f>
        <v>25.3744296199288</v>
      </c>
      <c r="I1575" s="16" t="n">
        <f aca="false">ROUND(H1575*F1575,0)</f>
        <v>25</v>
      </c>
      <c r="J1575" s="22" t="n">
        <f aca="false">I1575*Assumptions!B24</f>
        <v>15000</v>
      </c>
      <c r="K1575" s="21" t="n">
        <f aca="false">K1574*(1+Assumptions!B30)</f>
        <v>21.9747619431447</v>
      </c>
      <c r="L1575" s="16" t="n">
        <f aca="false">ROUND(K1575*F1575,0)</f>
        <v>22</v>
      </c>
      <c r="M1575" s="22" t="n">
        <f aca="false">L1575*Assumptions!B31</f>
        <v>6600</v>
      </c>
      <c r="N1575" s="22" t="n">
        <f aca="false">J1575+M1575</f>
        <v>21600</v>
      </c>
      <c r="O1575" s="22" t="n">
        <f aca="false">IF(DAY(B1575)=1,Assumptions!B38*G1575,0)</f>
        <v>0</v>
      </c>
      <c r="P1575" s="22" t="n">
        <f aca="false">IF(DAY(B1575)=1,Assumptions!B39*G1575,0)</f>
        <v>0</v>
      </c>
      <c r="Q1575" s="22" t="n">
        <f aca="false">IF(DAY(B1575)=1,Assumptions!B40*G1575,0)</f>
        <v>0</v>
      </c>
      <c r="R1575" s="22" t="n">
        <f aca="false">IF(DAY(B1575)=1,Assumptions!B41*G1575,0)</f>
        <v>0</v>
      </c>
      <c r="S1575" s="22" t="n">
        <f aca="false">IF(AND(DAY(B1575)=1,D1575&gt;=13),Assumptions!B42*G1575,0)</f>
        <v>0</v>
      </c>
      <c r="T1575" s="22" t="n">
        <f aca="false">IF(DAY(B1575)=1,Assumptions!B43*G1575,0)</f>
        <v>0</v>
      </c>
      <c r="U1575" s="22" t="n">
        <f aca="false">SUM(O1575:T1575)</f>
        <v>0</v>
      </c>
      <c r="V1575" s="22" t="n">
        <f aca="false">N1575-U1575</f>
        <v>21600</v>
      </c>
      <c r="W1575" s="22" t="n">
        <f aca="false">W1574+V1575</f>
        <v>1718.19881106855</v>
      </c>
      <c r="X1575" s="23" t="str">
        <f aca="false">IF(W1575&gt;=0,"YES","No")</f>
        <v>YES</v>
      </c>
    </row>
    <row r="1576" customFormat="false" ht="15" hidden="false" customHeight="false" outlineLevel="0" collapsed="false">
      <c r="A1576" s="16" t="n">
        <v>1575</v>
      </c>
      <c r="B1576" s="17" t="n">
        <f aca="false">B1575+1</f>
        <v>47597</v>
      </c>
      <c r="C1576" s="18" t="n">
        <f aca="false">MIN(ROUNDUP(A1576/365,0),5)</f>
        <v>5</v>
      </c>
      <c r="D1576" s="18" t="n">
        <f aca="false">DATEDIF(Assumptions!B5,B1576,"m")+1</f>
        <v>52</v>
      </c>
      <c r="E1576" s="18" t="str">
        <f aca="false">TEXT(B1576,"ddd")</f>
        <v>Wed</v>
      </c>
      <c r="F1576" s="19" t="n">
        <f aca="false">IF(WEEKDAY(B1576,2)&gt;=6,Assumptions!B34,Assumptions!B35)</f>
        <v>1</v>
      </c>
      <c r="G1576" s="20" t="n">
        <f aca="false">IF(D1576&gt;=13,(1+Assumptions!B46)^(D1576-12),1)</f>
        <v>1.1272943253254</v>
      </c>
      <c r="H1576" s="21" t="n">
        <f aca="false">H1575*(1+IF(C1576=1,Assumptions!B22,Assumptions!B23))</f>
        <v>25.3785875170907</v>
      </c>
      <c r="I1576" s="16" t="n">
        <f aca="false">ROUND(H1576*F1576,0)</f>
        <v>25</v>
      </c>
      <c r="J1576" s="22" t="n">
        <f aca="false">I1576*Assumptions!B24</f>
        <v>15000</v>
      </c>
      <c r="K1576" s="21" t="n">
        <f aca="false">K1575*(1+Assumptions!B30)</f>
        <v>21.9819463023163</v>
      </c>
      <c r="L1576" s="16" t="n">
        <f aca="false">ROUND(K1576*F1576,0)</f>
        <v>22</v>
      </c>
      <c r="M1576" s="22" t="n">
        <f aca="false">L1576*Assumptions!B31</f>
        <v>6600</v>
      </c>
      <c r="N1576" s="22" t="n">
        <f aca="false">J1576+M1576</f>
        <v>21600</v>
      </c>
      <c r="O1576" s="22" t="n">
        <f aca="false">IF(DAY(B1576)=1,Assumptions!B38*G1576,0)</f>
        <v>0</v>
      </c>
      <c r="P1576" s="22" t="n">
        <f aca="false">IF(DAY(B1576)=1,Assumptions!B39*G1576,0)</f>
        <v>0</v>
      </c>
      <c r="Q1576" s="22" t="n">
        <f aca="false">IF(DAY(B1576)=1,Assumptions!B40*G1576,0)</f>
        <v>0</v>
      </c>
      <c r="R1576" s="22" t="n">
        <f aca="false">IF(DAY(B1576)=1,Assumptions!B41*G1576,0)</f>
        <v>0</v>
      </c>
      <c r="S1576" s="22" t="n">
        <f aca="false">IF(AND(DAY(B1576)=1,D1576&gt;=13),Assumptions!B42*G1576,0)</f>
        <v>0</v>
      </c>
      <c r="T1576" s="22" t="n">
        <f aca="false">IF(DAY(B1576)=1,Assumptions!B43*G1576,0)</f>
        <v>0</v>
      </c>
      <c r="U1576" s="22" t="n">
        <f aca="false">SUM(O1576:T1576)</f>
        <v>0</v>
      </c>
      <c r="V1576" s="22" t="n">
        <f aca="false">N1576-U1576</f>
        <v>21600</v>
      </c>
      <c r="W1576" s="22" t="n">
        <f aca="false">W1575+V1576</f>
        <v>23318.1988110686</v>
      </c>
      <c r="X1576" s="23" t="str">
        <f aca="false">IF(W1576&gt;=0,"YES","No")</f>
        <v>YES</v>
      </c>
    </row>
    <row r="1577" customFormat="false" ht="15" hidden="false" customHeight="false" outlineLevel="0" collapsed="false">
      <c r="A1577" s="16" t="n">
        <v>1576</v>
      </c>
      <c r="B1577" s="17" t="n">
        <f aca="false">B1576+1</f>
        <v>47598</v>
      </c>
      <c r="C1577" s="18" t="n">
        <f aca="false">MIN(ROUNDUP(A1577/365,0),5)</f>
        <v>5</v>
      </c>
      <c r="D1577" s="18" t="n">
        <f aca="false">DATEDIF(Assumptions!B5,B1577,"m")+1</f>
        <v>52</v>
      </c>
      <c r="E1577" s="18" t="str">
        <f aca="false">TEXT(B1577,"ddd")</f>
        <v>Thu</v>
      </c>
      <c r="F1577" s="19" t="n">
        <f aca="false">IF(WEEKDAY(B1577,2)&gt;=6,Assumptions!B34,Assumptions!B35)</f>
        <v>1</v>
      </c>
      <c r="G1577" s="20" t="n">
        <f aca="false">IF(D1577&gt;=13,(1+Assumptions!B46)^(D1577-12),1)</f>
        <v>1.1272943253254</v>
      </c>
      <c r="H1577" s="21" t="n">
        <f aca="false">H1576*(1+IF(C1577=1,Assumptions!B22,Assumptions!B23))</f>
        <v>25.3827460955726</v>
      </c>
      <c r="I1577" s="16" t="n">
        <f aca="false">ROUND(H1577*F1577,0)</f>
        <v>25</v>
      </c>
      <c r="J1577" s="22" t="n">
        <f aca="false">I1577*Assumptions!B24</f>
        <v>15000</v>
      </c>
      <c r="K1577" s="21" t="n">
        <f aca="false">K1576*(1+Assumptions!B30)</f>
        <v>21.9891330103195</v>
      </c>
      <c r="L1577" s="16" t="n">
        <f aca="false">ROUND(K1577*F1577,0)</f>
        <v>22</v>
      </c>
      <c r="M1577" s="22" t="n">
        <f aca="false">L1577*Assumptions!B31</f>
        <v>6600</v>
      </c>
      <c r="N1577" s="22" t="n">
        <f aca="false">J1577+M1577</f>
        <v>21600</v>
      </c>
      <c r="O1577" s="22" t="n">
        <f aca="false">IF(DAY(B1577)=1,Assumptions!B38*G1577,0)</f>
        <v>0</v>
      </c>
      <c r="P1577" s="22" t="n">
        <f aca="false">IF(DAY(B1577)=1,Assumptions!B39*G1577,0)</f>
        <v>0</v>
      </c>
      <c r="Q1577" s="22" t="n">
        <f aca="false">IF(DAY(B1577)=1,Assumptions!B40*G1577,0)</f>
        <v>0</v>
      </c>
      <c r="R1577" s="22" t="n">
        <f aca="false">IF(DAY(B1577)=1,Assumptions!B41*G1577,0)</f>
        <v>0</v>
      </c>
      <c r="S1577" s="22" t="n">
        <f aca="false">IF(AND(DAY(B1577)=1,D1577&gt;=13),Assumptions!B42*G1577,0)</f>
        <v>0</v>
      </c>
      <c r="T1577" s="22" t="n">
        <f aca="false">IF(DAY(B1577)=1,Assumptions!B43*G1577,0)</f>
        <v>0</v>
      </c>
      <c r="U1577" s="22" t="n">
        <f aca="false">SUM(O1577:T1577)</f>
        <v>0</v>
      </c>
      <c r="V1577" s="22" t="n">
        <f aca="false">N1577-U1577</f>
        <v>21600</v>
      </c>
      <c r="W1577" s="22" t="n">
        <f aca="false">W1576+V1577</f>
        <v>44918.1988110686</v>
      </c>
      <c r="X1577" s="23" t="str">
        <f aca="false">IF(W1577&gt;=0,"YES","No")</f>
        <v>YES</v>
      </c>
    </row>
    <row r="1578" customFormat="false" ht="15" hidden="false" customHeight="false" outlineLevel="0" collapsed="false">
      <c r="A1578" s="16" t="n">
        <v>1577</v>
      </c>
      <c r="B1578" s="17" t="n">
        <f aca="false">B1577+1</f>
        <v>47599</v>
      </c>
      <c r="C1578" s="18" t="n">
        <f aca="false">MIN(ROUNDUP(A1578/365,0),5)</f>
        <v>5</v>
      </c>
      <c r="D1578" s="18" t="n">
        <f aca="false">DATEDIF(Assumptions!B5,B1578,"m")+1</f>
        <v>52</v>
      </c>
      <c r="E1578" s="18" t="str">
        <f aca="false">TEXT(B1578,"ddd")</f>
        <v>Fri</v>
      </c>
      <c r="F1578" s="19" t="n">
        <f aca="false">IF(WEEKDAY(B1578,2)&gt;=6,Assumptions!B34,Assumptions!B35)</f>
        <v>1</v>
      </c>
      <c r="G1578" s="20" t="n">
        <f aca="false">IF(D1578&gt;=13,(1+Assumptions!B46)^(D1578-12),1)</f>
        <v>1.1272943253254</v>
      </c>
      <c r="H1578" s="21" t="n">
        <f aca="false">H1577*(1+IF(C1578=1,Assumptions!B22,Assumptions!B23))</f>
        <v>25.3869053554863</v>
      </c>
      <c r="I1578" s="16" t="n">
        <f aca="false">ROUND(H1578*F1578,0)</f>
        <v>25</v>
      </c>
      <c r="J1578" s="22" t="n">
        <f aca="false">I1578*Assumptions!B24</f>
        <v>15000</v>
      </c>
      <c r="K1578" s="21" t="n">
        <f aca="false">K1577*(1+Assumptions!B30)</f>
        <v>21.9963220679223</v>
      </c>
      <c r="L1578" s="16" t="n">
        <f aca="false">ROUND(K1578*F1578,0)</f>
        <v>22</v>
      </c>
      <c r="M1578" s="22" t="n">
        <f aca="false">L1578*Assumptions!B31</f>
        <v>6600</v>
      </c>
      <c r="N1578" s="22" t="n">
        <f aca="false">J1578+M1578</f>
        <v>21600</v>
      </c>
      <c r="O1578" s="22" t="n">
        <f aca="false">IF(DAY(B1578)=1,Assumptions!B38*G1578,0)</f>
        <v>0</v>
      </c>
      <c r="P1578" s="22" t="n">
        <f aca="false">IF(DAY(B1578)=1,Assumptions!B39*G1578,0)</f>
        <v>0</v>
      </c>
      <c r="Q1578" s="22" t="n">
        <f aca="false">IF(DAY(B1578)=1,Assumptions!B40*G1578,0)</f>
        <v>0</v>
      </c>
      <c r="R1578" s="22" t="n">
        <f aca="false">IF(DAY(B1578)=1,Assumptions!B41*G1578,0)</f>
        <v>0</v>
      </c>
      <c r="S1578" s="22" t="n">
        <f aca="false">IF(AND(DAY(B1578)=1,D1578&gt;=13),Assumptions!B42*G1578,0)</f>
        <v>0</v>
      </c>
      <c r="T1578" s="22" t="n">
        <f aca="false">IF(DAY(B1578)=1,Assumptions!B43*G1578,0)</f>
        <v>0</v>
      </c>
      <c r="U1578" s="22" t="n">
        <f aca="false">SUM(O1578:T1578)</f>
        <v>0</v>
      </c>
      <c r="V1578" s="22" t="n">
        <f aca="false">N1578-U1578</f>
        <v>21600</v>
      </c>
      <c r="W1578" s="22" t="n">
        <f aca="false">W1577+V1578</f>
        <v>66518.1988110686</v>
      </c>
      <c r="X1578" s="23" t="str">
        <f aca="false">IF(W1578&gt;=0,"YES","No")</f>
        <v>YES</v>
      </c>
    </row>
    <row r="1579" customFormat="false" ht="15" hidden="false" customHeight="false" outlineLevel="0" collapsed="false">
      <c r="A1579" s="16" t="n">
        <v>1578</v>
      </c>
      <c r="B1579" s="17" t="n">
        <f aca="false">B1578+1</f>
        <v>47600</v>
      </c>
      <c r="C1579" s="18" t="n">
        <f aca="false">MIN(ROUNDUP(A1579/365,0),5)</f>
        <v>5</v>
      </c>
      <c r="D1579" s="18" t="n">
        <f aca="false">DATEDIF(Assumptions!B5,B1579,"m")+1</f>
        <v>52</v>
      </c>
      <c r="E1579" s="18" t="str">
        <f aca="false">TEXT(B1579,"ddd")</f>
        <v>Sat</v>
      </c>
      <c r="F1579" s="19" t="n">
        <f aca="false">IF(WEEKDAY(B1579,2)&gt;=6,Assumptions!B34,Assumptions!B35)</f>
        <v>0.6</v>
      </c>
      <c r="G1579" s="20" t="n">
        <f aca="false">IF(D1579&gt;=13,(1+Assumptions!B46)^(D1579-12),1)</f>
        <v>1.1272943253254</v>
      </c>
      <c r="H1579" s="21" t="n">
        <f aca="false">H1578*(1+IF(C1579=1,Assumptions!B22,Assumptions!B23))</f>
        <v>25.3910652969434</v>
      </c>
      <c r="I1579" s="16" t="n">
        <f aca="false">ROUND(H1579*F1579,0)</f>
        <v>15</v>
      </c>
      <c r="J1579" s="22" t="n">
        <f aca="false">I1579*Assumptions!B24</f>
        <v>9000</v>
      </c>
      <c r="K1579" s="21" t="n">
        <f aca="false">K1578*(1+Assumptions!B30)</f>
        <v>22.0035134758929</v>
      </c>
      <c r="L1579" s="16" t="n">
        <f aca="false">ROUND(K1579*F1579,0)</f>
        <v>13</v>
      </c>
      <c r="M1579" s="22" t="n">
        <f aca="false">L1579*Assumptions!B31</f>
        <v>3900</v>
      </c>
      <c r="N1579" s="22" t="n">
        <f aca="false">J1579+M1579</f>
        <v>12900</v>
      </c>
      <c r="O1579" s="22" t="n">
        <f aca="false">IF(DAY(B1579)=1,Assumptions!B38*G1579,0)</f>
        <v>0</v>
      </c>
      <c r="P1579" s="22" t="n">
        <f aca="false">IF(DAY(B1579)=1,Assumptions!B39*G1579,0)</f>
        <v>0</v>
      </c>
      <c r="Q1579" s="22" t="n">
        <f aca="false">IF(DAY(B1579)=1,Assumptions!B40*G1579,0)</f>
        <v>0</v>
      </c>
      <c r="R1579" s="22" t="n">
        <f aca="false">IF(DAY(B1579)=1,Assumptions!B41*G1579,0)</f>
        <v>0</v>
      </c>
      <c r="S1579" s="22" t="n">
        <f aca="false">IF(AND(DAY(B1579)=1,D1579&gt;=13),Assumptions!B42*G1579,0)</f>
        <v>0</v>
      </c>
      <c r="T1579" s="22" t="n">
        <f aca="false">IF(DAY(B1579)=1,Assumptions!B43*G1579,0)</f>
        <v>0</v>
      </c>
      <c r="U1579" s="22" t="n">
        <f aca="false">SUM(O1579:T1579)</f>
        <v>0</v>
      </c>
      <c r="V1579" s="22" t="n">
        <f aca="false">N1579-U1579</f>
        <v>12900</v>
      </c>
      <c r="W1579" s="22" t="n">
        <f aca="false">W1578+V1579</f>
        <v>79418.1988110686</v>
      </c>
      <c r="X1579" s="23" t="str">
        <f aca="false">IF(W1579&gt;=0,"YES","No")</f>
        <v>YES</v>
      </c>
    </row>
    <row r="1580" customFormat="false" ht="15" hidden="false" customHeight="false" outlineLevel="0" collapsed="false">
      <c r="A1580" s="16" t="n">
        <v>1579</v>
      </c>
      <c r="B1580" s="17" t="n">
        <f aca="false">B1579+1</f>
        <v>47601</v>
      </c>
      <c r="C1580" s="18" t="n">
        <f aca="false">MIN(ROUNDUP(A1580/365,0),5)</f>
        <v>5</v>
      </c>
      <c r="D1580" s="18" t="n">
        <f aca="false">DATEDIF(Assumptions!B5,B1580,"m")+1</f>
        <v>52</v>
      </c>
      <c r="E1580" s="18" t="str">
        <f aca="false">TEXT(B1580,"ddd")</f>
        <v>Sun</v>
      </c>
      <c r="F1580" s="19" t="n">
        <f aca="false">IF(WEEKDAY(B1580,2)&gt;=6,Assumptions!B34,Assumptions!B35)</f>
        <v>0.6</v>
      </c>
      <c r="G1580" s="20" t="n">
        <f aca="false">IF(D1580&gt;=13,(1+Assumptions!B46)^(D1580-12),1)</f>
        <v>1.1272943253254</v>
      </c>
      <c r="H1580" s="21" t="n">
        <f aca="false">H1579*(1+IF(C1580=1,Assumptions!B22,Assumptions!B23))</f>
        <v>25.3952259200556</v>
      </c>
      <c r="I1580" s="16" t="n">
        <f aca="false">ROUND(H1580*F1580,0)</f>
        <v>15</v>
      </c>
      <c r="J1580" s="22" t="n">
        <f aca="false">I1580*Assumptions!B24</f>
        <v>9000</v>
      </c>
      <c r="K1580" s="21" t="n">
        <f aca="false">K1579*(1+Assumptions!B30)</f>
        <v>22.0107072349996</v>
      </c>
      <c r="L1580" s="16" t="n">
        <f aca="false">ROUND(K1580*F1580,0)</f>
        <v>13</v>
      </c>
      <c r="M1580" s="22" t="n">
        <f aca="false">L1580*Assumptions!B31</f>
        <v>3900</v>
      </c>
      <c r="N1580" s="22" t="n">
        <f aca="false">J1580+M1580</f>
        <v>12900</v>
      </c>
      <c r="O1580" s="22" t="n">
        <f aca="false">IF(DAY(B1580)=1,Assumptions!B38*G1580,0)</f>
        <v>0</v>
      </c>
      <c r="P1580" s="22" t="n">
        <f aca="false">IF(DAY(B1580)=1,Assumptions!B39*G1580,0)</f>
        <v>0</v>
      </c>
      <c r="Q1580" s="22" t="n">
        <f aca="false">IF(DAY(B1580)=1,Assumptions!B40*G1580,0)</f>
        <v>0</v>
      </c>
      <c r="R1580" s="22" t="n">
        <f aca="false">IF(DAY(B1580)=1,Assumptions!B41*G1580,0)</f>
        <v>0</v>
      </c>
      <c r="S1580" s="22" t="n">
        <f aca="false">IF(AND(DAY(B1580)=1,D1580&gt;=13),Assumptions!B42*G1580,0)</f>
        <v>0</v>
      </c>
      <c r="T1580" s="22" t="n">
        <f aca="false">IF(DAY(B1580)=1,Assumptions!B43*G1580,0)</f>
        <v>0</v>
      </c>
      <c r="U1580" s="22" t="n">
        <f aca="false">SUM(O1580:T1580)</f>
        <v>0</v>
      </c>
      <c r="V1580" s="22" t="n">
        <f aca="false">N1580-U1580</f>
        <v>12900</v>
      </c>
      <c r="W1580" s="22" t="n">
        <f aca="false">W1579+V1580</f>
        <v>92318.1988110686</v>
      </c>
      <c r="X1580" s="23" t="str">
        <f aca="false">IF(W1580&gt;=0,"YES","No")</f>
        <v>YES</v>
      </c>
    </row>
    <row r="1581" customFormat="false" ht="15" hidden="false" customHeight="false" outlineLevel="0" collapsed="false">
      <c r="A1581" s="16" t="n">
        <v>1580</v>
      </c>
      <c r="B1581" s="17" t="n">
        <f aca="false">B1580+1</f>
        <v>47602</v>
      </c>
      <c r="C1581" s="18" t="n">
        <f aca="false">MIN(ROUNDUP(A1581/365,0),5)</f>
        <v>5</v>
      </c>
      <c r="D1581" s="18" t="n">
        <f aca="false">DATEDIF(Assumptions!B5,B1581,"m")+1</f>
        <v>52</v>
      </c>
      <c r="E1581" s="18" t="str">
        <f aca="false">TEXT(B1581,"ddd")</f>
        <v>Mon</v>
      </c>
      <c r="F1581" s="19" t="n">
        <f aca="false">IF(WEEKDAY(B1581,2)&gt;=6,Assumptions!B34,Assumptions!B35)</f>
        <v>1</v>
      </c>
      <c r="G1581" s="20" t="n">
        <f aca="false">IF(D1581&gt;=13,(1+Assumptions!B46)^(D1581-12),1)</f>
        <v>1.1272943253254</v>
      </c>
      <c r="H1581" s="21" t="n">
        <f aca="false">H1580*(1+IF(C1581=1,Assumptions!B22,Assumptions!B23))</f>
        <v>25.3993872249346</v>
      </c>
      <c r="I1581" s="16" t="n">
        <f aca="false">ROUND(H1581*F1581,0)</f>
        <v>25</v>
      </c>
      <c r="J1581" s="22" t="n">
        <f aca="false">I1581*Assumptions!B24</f>
        <v>15000</v>
      </c>
      <c r="K1581" s="21" t="n">
        <f aca="false">K1580*(1+Assumptions!B30)</f>
        <v>22.0179033460112</v>
      </c>
      <c r="L1581" s="16" t="n">
        <f aca="false">ROUND(K1581*F1581,0)</f>
        <v>22</v>
      </c>
      <c r="M1581" s="22" t="n">
        <f aca="false">L1581*Assumptions!B31</f>
        <v>6600</v>
      </c>
      <c r="N1581" s="22" t="n">
        <f aca="false">J1581+M1581</f>
        <v>21600</v>
      </c>
      <c r="O1581" s="22" t="n">
        <f aca="false">IF(DAY(B1581)=1,Assumptions!B38*G1581,0)</f>
        <v>0</v>
      </c>
      <c r="P1581" s="22" t="n">
        <f aca="false">IF(DAY(B1581)=1,Assumptions!B39*G1581,0)</f>
        <v>0</v>
      </c>
      <c r="Q1581" s="22" t="n">
        <f aca="false">IF(DAY(B1581)=1,Assumptions!B40*G1581,0)</f>
        <v>0</v>
      </c>
      <c r="R1581" s="22" t="n">
        <f aca="false">IF(DAY(B1581)=1,Assumptions!B41*G1581,0)</f>
        <v>0</v>
      </c>
      <c r="S1581" s="22" t="n">
        <f aca="false">IF(AND(DAY(B1581)=1,D1581&gt;=13),Assumptions!B42*G1581,0)</f>
        <v>0</v>
      </c>
      <c r="T1581" s="22" t="n">
        <f aca="false">IF(DAY(B1581)=1,Assumptions!B43*G1581,0)</f>
        <v>0</v>
      </c>
      <c r="U1581" s="22" t="n">
        <f aca="false">SUM(O1581:T1581)</f>
        <v>0</v>
      </c>
      <c r="V1581" s="22" t="n">
        <f aca="false">N1581-U1581</f>
        <v>21600</v>
      </c>
      <c r="W1581" s="22" t="n">
        <f aca="false">W1580+V1581</f>
        <v>113918.198811069</v>
      </c>
      <c r="X1581" s="23" t="str">
        <f aca="false">IF(W1581&gt;=0,"YES","No")</f>
        <v>YES</v>
      </c>
    </row>
    <row r="1582" customFormat="false" ht="15" hidden="false" customHeight="false" outlineLevel="0" collapsed="false">
      <c r="A1582" s="16" t="n">
        <v>1581</v>
      </c>
      <c r="B1582" s="17" t="n">
        <f aca="false">B1581+1</f>
        <v>47603</v>
      </c>
      <c r="C1582" s="18" t="n">
        <f aca="false">MIN(ROUNDUP(A1582/365,0),5)</f>
        <v>5</v>
      </c>
      <c r="D1582" s="18" t="n">
        <f aca="false">DATEDIF(Assumptions!B5,B1582,"m")+1</f>
        <v>52</v>
      </c>
      <c r="E1582" s="18" t="str">
        <f aca="false">TEXT(B1582,"ddd")</f>
        <v>Tue</v>
      </c>
      <c r="F1582" s="19" t="n">
        <f aca="false">IF(WEEKDAY(B1582,2)&gt;=6,Assumptions!B34,Assumptions!B35)</f>
        <v>1</v>
      </c>
      <c r="G1582" s="20" t="n">
        <f aca="false">IF(D1582&gt;=13,(1+Assumptions!B46)^(D1582-12),1)</f>
        <v>1.1272943253254</v>
      </c>
      <c r="H1582" s="21" t="n">
        <f aca="false">H1581*(1+IF(C1582=1,Assumptions!B22,Assumptions!B23))</f>
        <v>25.403549211692</v>
      </c>
      <c r="I1582" s="16" t="n">
        <f aca="false">ROUND(H1582*F1582,0)</f>
        <v>25</v>
      </c>
      <c r="J1582" s="22" t="n">
        <f aca="false">I1582*Assumptions!B24</f>
        <v>15000</v>
      </c>
      <c r="K1582" s="21" t="n">
        <f aca="false">K1581*(1+Assumptions!B30)</f>
        <v>22.0251018096965</v>
      </c>
      <c r="L1582" s="16" t="n">
        <f aca="false">ROUND(K1582*F1582,0)</f>
        <v>22</v>
      </c>
      <c r="M1582" s="22" t="n">
        <f aca="false">L1582*Assumptions!B31</f>
        <v>6600</v>
      </c>
      <c r="N1582" s="22" t="n">
        <f aca="false">J1582+M1582</f>
        <v>21600</v>
      </c>
      <c r="O1582" s="22" t="n">
        <f aca="false">IF(DAY(B1582)=1,Assumptions!B38*G1582,0)</f>
        <v>0</v>
      </c>
      <c r="P1582" s="22" t="n">
        <f aca="false">IF(DAY(B1582)=1,Assumptions!B39*G1582,0)</f>
        <v>0</v>
      </c>
      <c r="Q1582" s="22" t="n">
        <f aca="false">IF(DAY(B1582)=1,Assumptions!B40*G1582,0)</f>
        <v>0</v>
      </c>
      <c r="R1582" s="22" t="n">
        <f aca="false">IF(DAY(B1582)=1,Assumptions!B41*G1582,0)</f>
        <v>0</v>
      </c>
      <c r="S1582" s="22" t="n">
        <f aca="false">IF(AND(DAY(B1582)=1,D1582&gt;=13),Assumptions!B42*G1582,0)</f>
        <v>0</v>
      </c>
      <c r="T1582" s="22" t="n">
        <f aca="false">IF(DAY(B1582)=1,Assumptions!B43*G1582,0)</f>
        <v>0</v>
      </c>
      <c r="U1582" s="22" t="n">
        <f aca="false">SUM(O1582:T1582)</f>
        <v>0</v>
      </c>
      <c r="V1582" s="22" t="n">
        <f aca="false">N1582-U1582</f>
        <v>21600</v>
      </c>
      <c r="W1582" s="22" t="n">
        <f aca="false">W1581+V1582</f>
        <v>135518.198811069</v>
      </c>
      <c r="X1582" s="23" t="str">
        <f aca="false">IF(W1582&gt;=0,"YES","No")</f>
        <v>YES</v>
      </c>
    </row>
    <row r="1583" customFormat="false" ht="15" hidden="false" customHeight="false" outlineLevel="0" collapsed="false">
      <c r="A1583" s="16" t="n">
        <v>1582</v>
      </c>
      <c r="B1583" s="17" t="n">
        <f aca="false">B1582+1</f>
        <v>47604</v>
      </c>
      <c r="C1583" s="18" t="n">
        <f aca="false">MIN(ROUNDUP(A1583/365,0),5)</f>
        <v>5</v>
      </c>
      <c r="D1583" s="18" t="n">
        <f aca="false">DATEDIF(Assumptions!B5,B1583,"m")+1</f>
        <v>53</v>
      </c>
      <c r="E1583" s="18" t="str">
        <f aca="false">TEXT(B1583,"ddd")</f>
        <v>Wed</v>
      </c>
      <c r="F1583" s="19" t="n">
        <f aca="false">IF(WEEKDAY(B1583,2)&gt;=6,Assumptions!B34,Assumptions!B35)</f>
        <v>1</v>
      </c>
      <c r="G1583" s="20" t="n">
        <f aca="false">IF(D1583&gt;=13,(1+Assumptions!B46)^(D1583-12),1)</f>
        <v>1.13067620830138</v>
      </c>
      <c r="H1583" s="21" t="n">
        <f aca="false">H1582*(1+IF(C1583=1,Assumptions!B22,Assumptions!B23))</f>
        <v>25.4077118804397</v>
      </c>
      <c r="I1583" s="16" t="n">
        <f aca="false">ROUND(H1583*F1583,0)</f>
        <v>25</v>
      </c>
      <c r="J1583" s="22" t="n">
        <f aca="false">I1583*Assumptions!B24</f>
        <v>15000</v>
      </c>
      <c r="K1583" s="21" t="n">
        <f aca="false">K1582*(1+Assumptions!B30)</f>
        <v>22.0323026268248</v>
      </c>
      <c r="L1583" s="16" t="n">
        <f aca="false">ROUND(K1583*F1583,0)</f>
        <v>22</v>
      </c>
      <c r="M1583" s="22" t="n">
        <f aca="false">L1583*Assumptions!B31</f>
        <v>6600</v>
      </c>
      <c r="N1583" s="22" t="n">
        <f aca="false">J1583+M1583</f>
        <v>21600</v>
      </c>
      <c r="O1583" s="22" t="n">
        <f aca="false">IF(DAY(B1583)=1,Assumptions!B38*G1583,0)</f>
        <v>169601.431245207</v>
      </c>
      <c r="P1583" s="22" t="n">
        <f aca="false">IF(DAY(B1583)=1,Assumptions!B39*G1583,0)</f>
        <v>45227.0483320551</v>
      </c>
      <c r="Q1583" s="22" t="n">
        <f aca="false">IF(DAY(B1583)=1,Assumptions!B40*G1583,0)</f>
        <v>33920.2862490413</v>
      </c>
      <c r="R1583" s="22" t="n">
        <f aca="false">IF(DAY(B1583)=1,Assumptions!B41*G1583,0)</f>
        <v>22613.5241660276</v>
      </c>
      <c r="S1583" s="22" t="n">
        <f aca="false">IF(AND(DAY(B1583)=1,D1583&gt;=13),Assumptions!B42*G1583,0)</f>
        <v>169601.431245207</v>
      </c>
      <c r="T1583" s="22" t="n">
        <f aca="false">IF(DAY(B1583)=1,Assumptions!B43*G1583,0)</f>
        <v>22613.5241660276</v>
      </c>
      <c r="U1583" s="22" t="n">
        <f aca="false">SUM(O1583:T1583)</f>
        <v>463577.245403565</v>
      </c>
      <c r="V1583" s="22" t="n">
        <f aca="false">N1583-U1583</f>
        <v>-441977.245403565</v>
      </c>
      <c r="W1583" s="22" t="n">
        <f aca="false">W1582+V1583</f>
        <v>-306459.046592496</v>
      </c>
      <c r="X1583" s="23" t="str">
        <f aca="false">IF(W1583&gt;=0,"YES","No")</f>
        <v>No</v>
      </c>
    </row>
    <row r="1584" customFormat="false" ht="15" hidden="false" customHeight="false" outlineLevel="0" collapsed="false">
      <c r="A1584" s="16" t="n">
        <v>1583</v>
      </c>
      <c r="B1584" s="17" t="n">
        <f aca="false">B1583+1</f>
        <v>47605</v>
      </c>
      <c r="C1584" s="18" t="n">
        <f aca="false">MIN(ROUNDUP(A1584/365,0),5)</f>
        <v>5</v>
      </c>
      <c r="D1584" s="18" t="n">
        <f aca="false">DATEDIF(Assumptions!B5,B1584,"m")+1</f>
        <v>53</v>
      </c>
      <c r="E1584" s="18" t="str">
        <f aca="false">TEXT(B1584,"ddd")</f>
        <v>Thu</v>
      </c>
      <c r="F1584" s="19" t="n">
        <f aca="false">IF(WEEKDAY(B1584,2)&gt;=6,Assumptions!B34,Assumptions!B35)</f>
        <v>1</v>
      </c>
      <c r="G1584" s="20" t="n">
        <f aca="false">IF(D1584&gt;=13,(1+Assumptions!B46)^(D1584-12),1)</f>
        <v>1.13067620830138</v>
      </c>
      <c r="H1584" s="21" t="n">
        <f aca="false">H1583*(1+IF(C1584=1,Assumptions!B22,Assumptions!B23))</f>
        <v>25.4118752312893</v>
      </c>
      <c r="I1584" s="16" t="n">
        <f aca="false">ROUND(H1584*F1584,0)</f>
        <v>25</v>
      </c>
      <c r="J1584" s="22" t="n">
        <f aca="false">I1584*Assumptions!B24</f>
        <v>15000</v>
      </c>
      <c r="K1584" s="21" t="n">
        <f aca="false">K1583*(1+Assumptions!B30)</f>
        <v>22.0395057981655</v>
      </c>
      <c r="L1584" s="16" t="n">
        <f aca="false">ROUND(K1584*F1584,0)</f>
        <v>22</v>
      </c>
      <c r="M1584" s="22" t="n">
        <f aca="false">L1584*Assumptions!B31</f>
        <v>6600</v>
      </c>
      <c r="N1584" s="22" t="n">
        <f aca="false">J1584+M1584</f>
        <v>21600</v>
      </c>
      <c r="O1584" s="22" t="n">
        <f aca="false">IF(DAY(B1584)=1,Assumptions!B38*G1584,0)</f>
        <v>0</v>
      </c>
      <c r="P1584" s="22" t="n">
        <f aca="false">IF(DAY(B1584)=1,Assumptions!B39*G1584,0)</f>
        <v>0</v>
      </c>
      <c r="Q1584" s="22" t="n">
        <f aca="false">IF(DAY(B1584)=1,Assumptions!B40*G1584,0)</f>
        <v>0</v>
      </c>
      <c r="R1584" s="22" t="n">
        <f aca="false">IF(DAY(B1584)=1,Assumptions!B41*G1584,0)</f>
        <v>0</v>
      </c>
      <c r="S1584" s="22" t="n">
        <f aca="false">IF(AND(DAY(B1584)=1,D1584&gt;=13),Assumptions!B42*G1584,0)</f>
        <v>0</v>
      </c>
      <c r="T1584" s="22" t="n">
        <f aca="false">IF(DAY(B1584)=1,Assumptions!B43*G1584,0)</f>
        <v>0</v>
      </c>
      <c r="U1584" s="22" t="n">
        <f aca="false">SUM(O1584:T1584)</f>
        <v>0</v>
      </c>
      <c r="V1584" s="22" t="n">
        <f aca="false">N1584-U1584</f>
        <v>21600</v>
      </c>
      <c r="W1584" s="22" t="n">
        <f aca="false">W1583+V1584</f>
        <v>-284859.046592496</v>
      </c>
      <c r="X1584" s="23" t="str">
        <f aca="false">IF(W1584&gt;=0,"YES","No")</f>
        <v>No</v>
      </c>
    </row>
    <row r="1585" customFormat="false" ht="15" hidden="false" customHeight="false" outlineLevel="0" collapsed="false">
      <c r="A1585" s="16" t="n">
        <v>1584</v>
      </c>
      <c r="B1585" s="17" t="n">
        <f aca="false">B1584+1</f>
        <v>47606</v>
      </c>
      <c r="C1585" s="18" t="n">
        <f aca="false">MIN(ROUNDUP(A1585/365,0),5)</f>
        <v>5</v>
      </c>
      <c r="D1585" s="18" t="n">
        <f aca="false">DATEDIF(Assumptions!B5,B1585,"m")+1</f>
        <v>53</v>
      </c>
      <c r="E1585" s="18" t="str">
        <f aca="false">TEXT(B1585,"ddd")</f>
        <v>Fri</v>
      </c>
      <c r="F1585" s="19" t="n">
        <f aca="false">IF(WEEKDAY(B1585,2)&gt;=6,Assumptions!B34,Assumptions!B35)</f>
        <v>1</v>
      </c>
      <c r="G1585" s="20" t="n">
        <f aca="false">IF(D1585&gt;=13,(1+Assumptions!B46)^(D1585-12),1)</f>
        <v>1.13067620830138</v>
      </c>
      <c r="H1585" s="21" t="n">
        <f aca="false">H1584*(1+IF(C1585=1,Assumptions!B22,Assumptions!B23))</f>
        <v>25.4160392643527</v>
      </c>
      <c r="I1585" s="16" t="n">
        <f aca="false">ROUND(H1585*F1585,0)</f>
        <v>25</v>
      </c>
      <c r="J1585" s="22" t="n">
        <f aca="false">I1585*Assumptions!B24</f>
        <v>15000</v>
      </c>
      <c r="K1585" s="21" t="n">
        <f aca="false">K1584*(1+Assumptions!B30)</f>
        <v>22.0467113244883</v>
      </c>
      <c r="L1585" s="16" t="n">
        <f aca="false">ROUND(K1585*F1585,0)</f>
        <v>22</v>
      </c>
      <c r="M1585" s="22" t="n">
        <f aca="false">L1585*Assumptions!B31</f>
        <v>6600</v>
      </c>
      <c r="N1585" s="22" t="n">
        <f aca="false">J1585+M1585</f>
        <v>21600</v>
      </c>
      <c r="O1585" s="22" t="n">
        <f aca="false">IF(DAY(B1585)=1,Assumptions!B38*G1585,0)</f>
        <v>0</v>
      </c>
      <c r="P1585" s="22" t="n">
        <f aca="false">IF(DAY(B1585)=1,Assumptions!B39*G1585,0)</f>
        <v>0</v>
      </c>
      <c r="Q1585" s="22" t="n">
        <f aca="false">IF(DAY(B1585)=1,Assumptions!B40*G1585,0)</f>
        <v>0</v>
      </c>
      <c r="R1585" s="22" t="n">
        <f aca="false">IF(DAY(B1585)=1,Assumptions!B41*G1585,0)</f>
        <v>0</v>
      </c>
      <c r="S1585" s="22" t="n">
        <f aca="false">IF(AND(DAY(B1585)=1,D1585&gt;=13),Assumptions!B42*G1585,0)</f>
        <v>0</v>
      </c>
      <c r="T1585" s="22" t="n">
        <f aca="false">IF(DAY(B1585)=1,Assumptions!B43*G1585,0)</f>
        <v>0</v>
      </c>
      <c r="U1585" s="22" t="n">
        <f aca="false">SUM(O1585:T1585)</f>
        <v>0</v>
      </c>
      <c r="V1585" s="22" t="n">
        <f aca="false">N1585-U1585</f>
        <v>21600</v>
      </c>
      <c r="W1585" s="22" t="n">
        <f aca="false">W1584+V1585</f>
        <v>-263259.046592496</v>
      </c>
      <c r="X1585" s="23" t="str">
        <f aca="false">IF(W1585&gt;=0,"YES","No")</f>
        <v>No</v>
      </c>
    </row>
    <row r="1586" customFormat="false" ht="15" hidden="false" customHeight="false" outlineLevel="0" collapsed="false">
      <c r="A1586" s="16" t="n">
        <v>1585</v>
      </c>
      <c r="B1586" s="17" t="n">
        <f aca="false">B1585+1</f>
        <v>47607</v>
      </c>
      <c r="C1586" s="18" t="n">
        <f aca="false">MIN(ROUNDUP(A1586/365,0),5)</f>
        <v>5</v>
      </c>
      <c r="D1586" s="18" t="n">
        <f aca="false">DATEDIF(Assumptions!B5,B1586,"m")+1</f>
        <v>53</v>
      </c>
      <c r="E1586" s="18" t="str">
        <f aca="false">TEXT(B1586,"ddd")</f>
        <v>Sat</v>
      </c>
      <c r="F1586" s="19" t="n">
        <f aca="false">IF(WEEKDAY(B1586,2)&gt;=6,Assumptions!B34,Assumptions!B35)</f>
        <v>0.6</v>
      </c>
      <c r="G1586" s="20" t="n">
        <f aca="false">IF(D1586&gt;=13,(1+Assumptions!B46)^(D1586-12),1)</f>
        <v>1.13067620830138</v>
      </c>
      <c r="H1586" s="21" t="n">
        <f aca="false">H1585*(1+IF(C1586=1,Assumptions!B22,Assumptions!B23))</f>
        <v>25.4202039797417</v>
      </c>
      <c r="I1586" s="16" t="n">
        <f aca="false">ROUND(H1586*F1586,0)</f>
        <v>15</v>
      </c>
      <c r="J1586" s="22" t="n">
        <f aca="false">I1586*Assumptions!B24</f>
        <v>9000</v>
      </c>
      <c r="K1586" s="21" t="n">
        <f aca="false">K1585*(1+Assumptions!B30)</f>
        <v>22.053919206563</v>
      </c>
      <c r="L1586" s="16" t="n">
        <f aca="false">ROUND(K1586*F1586,0)</f>
        <v>13</v>
      </c>
      <c r="M1586" s="22" t="n">
        <f aca="false">L1586*Assumptions!B31</f>
        <v>3900</v>
      </c>
      <c r="N1586" s="22" t="n">
        <f aca="false">J1586+M1586</f>
        <v>12900</v>
      </c>
      <c r="O1586" s="22" t="n">
        <f aca="false">IF(DAY(B1586)=1,Assumptions!B38*G1586,0)</f>
        <v>0</v>
      </c>
      <c r="P1586" s="22" t="n">
        <f aca="false">IF(DAY(B1586)=1,Assumptions!B39*G1586,0)</f>
        <v>0</v>
      </c>
      <c r="Q1586" s="22" t="n">
        <f aca="false">IF(DAY(B1586)=1,Assumptions!B40*G1586,0)</f>
        <v>0</v>
      </c>
      <c r="R1586" s="22" t="n">
        <f aca="false">IF(DAY(B1586)=1,Assumptions!B41*G1586,0)</f>
        <v>0</v>
      </c>
      <c r="S1586" s="22" t="n">
        <f aca="false">IF(AND(DAY(B1586)=1,D1586&gt;=13),Assumptions!B42*G1586,0)</f>
        <v>0</v>
      </c>
      <c r="T1586" s="22" t="n">
        <f aca="false">IF(DAY(B1586)=1,Assumptions!B43*G1586,0)</f>
        <v>0</v>
      </c>
      <c r="U1586" s="22" t="n">
        <f aca="false">SUM(O1586:T1586)</f>
        <v>0</v>
      </c>
      <c r="V1586" s="22" t="n">
        <f aca="false">N1586-U1586</f>
        <v>12900</v>
      </c>
      <c r="W1586" s="22" t="n">
        <f aca="false">W1585+V1586</f>
        <v>-250359.046592496</v>
      </c>
      <c r="X1586" s="23" t="str">
        <f aca="false">IF(W1586&gt;=0,"YES","No")</f>
        <v>No</v>
      </c>
    </row>
    <row r="1587" customFormat="false" ht="15" hidden="false" customHeight="false" outlineLevel="0" collapsed="false">
      <c r="A1587" s="16" t="n">
        <v>1586</v>
      </c>
      <c r="B1587" s="17" t="n">
        <f aca="false">B1586+1</f>
        <v>47608</v>
      </c>
      <c r="C1587" s="18" t="n">
        <f aca="false">MIN(ROUNDUP(A1587/365,0),5)</f>
        <v>5</v>
      </c>
      <c r="D1587" s="18" t="n">
        <f aca="false">DATEDIF(Assumptions!B5,B1587,"m")+1</f>
        <v>53</v>
      </c>
      <c r="E1587" s="18" t="str">
        <f aca="false">TEXT(B1587,"ddd")</f>
        <v>Sun</v>
      </c>
      <c r="F1587" s="19" t="n">
        <f aca="false">IF(WEEKDAY(B1587,2)&gt;=6,Assumptions!B34,Assumptions!B35)</f>
        <v>0.6</v>
      </c>
      <c r="G1587" s="20" t="n">
        <f aca="false">IF(D1587&gt;=13,(1+Assumptions!B46)^(D1587-12),1)</f>
        <v>1.13067620830138</v>
      </c>
      <c r="H1587" s="21" t="n">
        <f aca="false">H1586*(1+IF(C1587=1,Assumptions!B22,Assumptions!B23))</f>
        <v>25.4243693775679</v>
      </c>
      <c r="I1587" s="16" t="n">
        <f aca="false">ROUND(H1587*F1587,0)</f>
        <v>15</v>
      </c>
      <c r="J1587" s="22" t="n">
        <f aca="false">I1587*Assumptions!B24</f>
        <v>9000</v>
      </c>
      <c r="K1587" s="21" t="n">
        <f aca="false">K1586*(1+Assumptions!B30)</f>
        <v>22.0611294451599</v>
      </c>
      <c r="L1587" s="16" t="n">
        <f aca="false">ROUND(K1587*F1587,0)</f>
        <v>13</v>
      </c>
      <c r="M1587" s="22" t="n">
        <f aca="false">L1587*Assumptions!B31</f>
        <v>3900</v>
      </c>
      <c r="N1587" s="22" t="n">
        <f aca="false">J1587+M1587</f>
        <v>12900</v>
      </c>
      <c r="O1587" s="22" t="n">
        <f aca="false">IF(DAY(B1587)=1,Assumptions!B38*G1587,0)</f>
        <v>0</v>
      </c>
      <c r="P1587" s="22" t="n">
        <f aca="false">IF(DAY(B1587)=1,Assumptions!B39*G1587,0)</f>
        <v>0</v>
      </c>
      <c r="Q1587" s="22" t="n">
        <f aca="false">IF(DAY(B1587)=1,Assumptions!B40*G1587,0)</f>
        <v>0</v>
      </c>
      <c r="R1587" s="22" t="n">
        <f aca="false">IF(DAY(B1587)=1,Assumptions!B41*G1587,0)</f>
        <v>0</v>
      </c>
      <c r="S1587" s="22" t="n">
        <f aca="false">IF(AND(DAY(B1587)=1,D1587&gt;=13),Assumptions!B42*G1587,0)</f>
        <v>0</v>
      </c>
      <c r="T1587" s="22" t="n">
        <f aca="false">IF(DAY(B1587)=1,Assumptions!B43*G1587,0)</f>
        <v>0</v>
      </c>
      <c r="U1587" s="22" t="n">
        <f aca="false">SUM(O1587:T1587)</f>
        <v>0</v>
      </c>
      <c r="V1587" s="22" t="n">
        <f aca="false">N1587-U1587</f>
        <v>12900</v>
      </c>
      <c r="W1587" s="22" t="n">
        <f aca="false">W1586+V1587</f>
        <v>-237459.046592496</v>
      </c>
      <c r="X1587" s="23" t="str">
        <f aca="false">IF(W1587&gt;=0,"YES","No")</f>
        <v>No</v>
      </c>
    </row>
    <row r="1588" customFormat="false" ht="15" hidden="false" customHeight="false" outlineLevel="0" collapsed="false">
      <c r="A1588" s="16" t="n">
        <v>1587</v>
      </c>
      <c r="B1588" s="17" t="n">
        <f aca="false">B1587+1</f>
        <v>47609</v>
      </c>
      <c r="C1588" s="18" t="n">
        <f aca="false">MIN(ROUNDUP(A1588/365,0),5)</f>
        <v>5</v>
      </c>
      <c r="D1588" s="18" t="n">
        <f aca="false">DATEDIF(Assumptions!B5,B1588,"m")+1</f>
        <v>53</v>
      </c>
      <c r="E1588" s="18" t="str">
        <f aca="false">TEXT(B1588,"ddd")</f>
        <v>Mon</v>
      </c>
      <c r="F1588" s="19" t="n">
        <f aca="false">IF(WEEKDAY(B1588,2)&gt;=6,Assumptions!B34,Assumptions!B35)</f>
        <v>1</v>
      </c>
      <c r="G1588" s="20" t="n">
        <f aca="false">IF(D1588&gt;=13,(1+Assumptions!B46)^(D1588-12),1)</f>
        <v>1.13067620830138</v>
      </c>
      <c r="H1588" s="21" t="n">
        <f aca="false">H1587*(1+IF(C1588=1,Assumptions!B22,Assumptions!B23))</f>
        <v>25.4285354579434</v>
      </c>
      <c r="I1588" s="16" t="n">
        <f aca="false">ROUND(H1588*F1588,0)</f>
        <v>25</v>
      </c>
      <c r="J1588" s="22" t="n">
        <f aca="false">I1588*Assumptions!B24</f>
        <v>15000</v>
      </c>
      <c r="K1588" s="21" t="n">
        <f aca="false">K1587*(1+Assumptions!B30)</f>
        <v>22.0683420410494</v>
      </c>
      <c r="L1588" s="16" t="n">
        <f aca="false">ROUND(K1588*F1588,0)</f>
        <v>22</v>
      </c>
      <c r="M1588" s="22" t="n">
        <f aca="false">L1588*Assumptions!B31</f>
        <v>6600</v>
      </c>
      <c r="N1588" s="22" t="n">
        <f aca="false">J1588+M1588</f>
        <v>21600</v>
      </c>
      <c r="O1588" s="22" t="n">
        <f aca="false">IF(DAY(B1588)=1,Assumptions!B38*G1588,0)</f>
        <v>0</v>
      </c>
      <c r="P1588" s="22" t="n">
        <f aca="false">IF(DAY(B1588)=1,Assumptions!B39*G1588,0)</f>
        <v>0</v>
      </c>
      <c r="Q1588" s="22" t="n">
        <f aca="false">IF(DAY(B1588)=1,Assumptions!B40*G1588,0)</f>
        <v>0</v>
      </c>
      <c r="R1588" s="22" t="n">
        <f aca="false">IF(DAY(B1588)=1,Assumptions!B41*G1588,0)</f>
        <v>0</v>
      </c>
      <c r="S1588" s="22" t="n">
        <f aca="false">IF(AND(DAY(B1588)=1,D1588&gt;=13),Assumptions!B42*G1588,0)</f>
        <v>0</v>
      </c>
      <c r="T1588" s="22" t="n">
        <f aca="false">IF(DAY(B1588)=1,Assumptions!B43*G1588,0)</f>
        <v>0</v>
      </c>
      <c r="U1588" s="22" t="n">
        <f aca="false">SUM(O1588:T1588)</f>
        <v>0</v>
      </c>
      <c r="V1588" s="22" t="n">
        <f aca="false">N1588-U1588</f>
        <v>21600</v>
      </c>
      <c r="W1588" s="22" t="n">
        <f aca="false">W1587+V1588</f>
        <v>-215859.046592496</v>
      </c>
      <c r="X1588" s="23" t="str">
        <f aca="false">IF(W1588&gt;=0,"YES","No")</f>
        <v>No</v>
      </c>
    </row>
    <row r="1589" customFormat="false" ht="15" hidden="false" customHeight="false" outlineLevel="0" collapsed="false">
      <c r="A1589" s="16" t="n">
        <v>1588</v>
      </c>
      <c r="B1589" s="17" t="n">
        <f aca="false">B1588+1</f>
        <v>47610</v>
      </c>
      <c r="C1589" s="18" t="n">
        <f aca="false">MIN(ROUNDUP(A1589/365,0),5)</f>
        <v>5</v>
      </c>
      <c r="D1589" s="18" t="n">
        <f aca="false">DATEDIF(Assumptions!B5,B1589,"m")+1</f>
        <v>53</v>
      </c>
      <c r="E1589" s="18" t="str">
        <f aca="false">TEXT(B1589,"ddd")</f>
        <v>Tue</v>
      </c>
      <c r="F1589" s="19" t="n">
        <f aca="false">IF(WEEKDAY(B1589,2)&gt;=6,Assumptions!B34,Assumptions!B35)</f>
        <v>1</v>
      </c>
      <c r="G1589" s="20" t="n">
        <f aca="false">IF(D1589&gt;=13,(1+Assumptions!B46)^(D1589-12),1)</f>
        <v>1.13067620830138</v>
      </c>
      <c r="H1589" s="21" t="n">
        <f aca="false">H1588*(1+IF(C1589=1,Assumptions!B22,Assumptions!B23))</f>
        <v>25.4327022209798</v>
      </c>
      <c r="I1589" s="16" t="n">
        <f aca="false">ROUND(H1589*F1589,0)</f>
        <v>25</v>
      </c>
      <c r="J1589" s="22" t="n">
        <f aca="false">I1589*Assumptions!B24</f>
        <v>15000</v>
      </c>
      <c r="K1589" s="21" t="n">
        <f aca="false">K1588*(1+Assumptions!B30)</f>
        <v>22.0755569950022</v>
      </c>
      <c r="L1589" s="16" t="n">
        <f aca="false">ROUND(K1589*F1589,0)</f>
        <v>22</v>
      </c>
      <c r="M1589" s="22" t="n">
        <f aca="false">L1589*Assumptions!B31</f>
        <v>6600</v>
      </c>
      <c r="N1589" s="22" t="n">
        <f aca="false">J1589+M1589</f>
        <v>21600</v>
      </c>
      <c r="O1589" s="22" t="n">
        <f aca="false">IF(DAY(B1589)=1,Assumptions!B38*G1589,0)</f>
        <v>0</v>
      </c>
      <c r="P1589" s="22" t="n">
        <f aca="false">IF(DAY(B1589)=1,Assumptions!B39*G1589,0)</f>
        <v>0</v>
      </c>
      <c r="Q1589" s="22" t="n">
        <f aca="false">IF(DAY(B1589)=1,Assumptions!B40*G1589,0)</f>
        <v>0</v>
      </c>
      <c r="R1589" s="22" t="n">
        <f aca="false">IF(DAY(B1589)=1,Assumptions!B41*G1589,0)</f>
        <v>0</v>
      </c>
      <c r="S1589" s="22" t="n">
        <f aca="false">IF(AND(DAY(B1589)=1,D1589&gt;=13),Assumptions!B42*G1589,0)</f>
        <v>0</v>
      </c>
      <c r="T1589" s="22" t="n">
        <f aca="false">IF(DAY(B1589)=1,Assumptions!B43*G1589,0)</f>
        <v>0</v>
      </c>
      <c r="U1589" s="22" t="n">
        <f aca="false">SUM(O1589:T1589)</f>
        <v>0</v>
      </c>
      <c r="V1589" s="22" t="n">
        <f aca="false">N1589-U1589</f>
        <v>21600</v>
      </c>
      <c r="W1589" s="22" t="n">
        <f aca="false">W1588+V1589</f>
        <v>-194259.046592496</v>
      </c>
      <c r="X1589" s="23" t="str">
        <f aca="false">IF(W1589&gt;=0,"YES","No")</f>
        <v>No</v>
      </c>
    </row>
    <row r="1590" customFormat="false" ht="15" hidden="false" customHeight="false" outlineLevel="0" collapsed="false">
      <c r="A1590" s="16" t="n">
        <v>1589</v>
      </c>
      <c r="B1590" s="17" t="n">
        <f aca="false">B1589+1</f>
        <v>47611</v>
      </c>
      <c r="C1590" s="18" t="n">
        <f aca="false">MIN(ROUNDUP(A1590/365,0),5)</f>
        <v>5</v>
      </c>
      <c r="D1590" s="18" t="n">
        <f aca="false">DATEDIF(Assumptions!B5,B1590,"m")+1</f>
        <v>53</v>
      </c>
      <c r="E1590" s="18" t="str">
        <f aca="false">TEXT(B1590,"ddd")</f>
        <v>Wed</v>
      </c>
      <c r="F1590" s="19" t="n">
        <f aca="false">IF(WEEKDAY(B1590,2)&gt;=6,Assumptions!B34,Assumptions!B35)</f>
        <v>1</v>
      </c>
      <c r="G1590" s="20" t="n">
        <f aca="false">IF(D1590&gt;=13,(1+Assumptions!B46)^(D1590-12),1)</f>
        <v>1.13067620830138</v>
      </c>
      <c r="H1590" s="21" t="n">
        <f aca="false">H1589*(1+IF(C1590=1,Assumptions!B22,Assumptions!B23))</f>
        <v>25.4368696667891</v>
      </c>
      <c r="I1590" s="16" t="n">
        <f aca="false">ROUND(H1590*F1590,0)</f>
        <v>25</v>
      </c>
      <c r="J1590" s="22" t="n">
        <f aca="false">I1590*Assumptions!B24</f>
        <v>15000</v>
      </c>
      <c r="K1590" s="21" t="n">
        <f aca="false">K1589*(1+Assumptions!B30)</f>
        <v>22.0827743077892</v>
      </c>
      <c r="L1590" s="16" t="n">
        <f aca="false">ROUND(K1590*F1590,0)</f>
        <v>22</v>
      </c>
      <c r="M1590" s="22" t="n">
        <f aca="false">L1590*Assumptions!B31</f>
        <v>6600</v>
      </c>
      <c r="N1590" s="22" t="n">
        <f aca="false">J1590+M1590</f>
        <v>21600</v>
      </c>
      <c r="O1590" s="22" t="n">
        <f aca="false">IF(DAY(B1590)=1,Assumptions!B38*G1590,0)</f>
        <v>0</v>
      </c>
      <c r="P1590" s="22" t="n">
        <f aca="false">IF(DAY(B1590)=1,Assumptions!B39*G1590,0)</f>
        <v>0</v>
      </c>
      <c r="Q1590" s="22" t="n">
        <f aca="false">IF(DAY(B1590)=1,Assumptions!B40*G1590,0)</f>
        <v>0</v>
      </c>
      <c r="R1590" s="22" t="n">
        <f aca="false">IF(DAY(B1590)=1,Assumptions!B41*G1590,0)</f>
        <v>0</v>
      </c>
      <c r="S1590" s="22" t="n">
        <f aca="false">IF(AND(DAY(B1590)=1,D1590&gt;=13),Assumptions!B42*G1590,0)</f>
        <v>0</v>
      </c>
      <c r="T1590" s="22" t="n">
        <f aca="false">IF(DAY(B1590)=1,Assumptions!B43*G1590,0)</f>
        <v>0</v>
      </c>
      <c r="U1590" s="22" t="n">
        <f aca="false">SUM(O1590:T1590)</f>
        <v>0</v>
      </c>
      <c r="V1590" s="22" t="n">
        <f aca="false">N1590-U1590</f>
        <v>21600</v>
      </c>
      <c r="W1590" s="22" t="n">
        <f aca="false">W1589+V1590</f>
        <v>-172659.046592496</v>
      </c>
      <c r="X1590" s="23" t="str">
        <f aca="false">IF(W1590&gt;=0,"YES","No")</f>
        <v>No</v>
      </c>
    </row>
    <row r="1591" customFormat="false" ht="15" hidden="false" customHeight="false" outlineLevel="0" collapsed="false">
      <c r="A1591" s="16" t="n">
        <v>1590</v>
      </c>
      <c r="B1591" s="17" t="n">
        <f aca="false">B1590+1</f>
        <v>47612</v>
      </c>
      <c r="C1591" s="18" t="n">
        <f aca="false">MIN(ROUNDUP(A1591/365,0),5)</f>
        <v>5</v>
      </c>
      <c r="D1591" s="18" t="n">
        <f aca="false">DATEDIF(Assumptions!B5,B1591,"m")+1</f>
        <v>53</v>
      </c>
      <c r="E1591" s="18" t="str">
        <f aca="false">TEXT(B1591,"ddd")</f>
        <v>Thu</v>
      </c>
      <c r="F1591" s="19" t="n">
        <f aca="false">IF(WEEKDAY(B1591,2)&gt;=6,Assumptions!B34,Assumptions!B35)</f>
        <v>1</v>
      </c>
      <c r="G1591" s="20" t="n">
        <f aca="false">IF(D1591&gt;=13,(1+Assumptions!B46)^(D1591-12),1)</f>
        <v>1.13067620830138</v>
      </c>
      <c r="H1591" s="21" t="n">
        <f aca="false">H1590*(1+IF(C1591=1,Assumptions!B22,Assumptions!B23))</f>
        <v>25.4410377954832</v>
      </c>
      <c r="I1591" s="16" t="n">
        <f aca="false">ROUND(H1591*F1591,0)</f>
        <v>25</v>
      </c>
      <c r="J1591" s="22" t="n">
        <f aca="false">I1591*Assumptions!B24</f>
        <v>15000</v>
      </c>
      <c r="K1591" s="21" t="n">
        <f aca="false">K1590*(1+Assumptions!B30)</f>
        <v>22.0899939801817</v>
      </c>
      <c r="L1591" s="16" t="n">
        <f aca="false">ROUND(K1591*F1591,0)</f>
        <v>22</v>
      </c>
      <c r="M1591" s="22" t="n">
        <f aca="false">L1591*Assumptions!B31</f>
        <v>6600</v>
      </c>
      <c r="N1591" s="22" t="n">
        <f aca="false">J1591+M1591</f>
        <v>21600</v>
      </c>
      <c r="O1591" s="22" t="n">
        <f aca="false">IF(DAY(B1591)=1,Assumptions!B38*G1591,0)</f>
        <v>0</v>
      </c>
      <c r="P1591" s="22" t="n">
        <f aca="false">IF(DAY(B1591)=1,Assumptions!B39*G1591,0)</f>
        <v>0</v>
      </c>
      <c r="Q1591" s="22" t="n">
        <f aca="false">IF(DAY(B1591)=1,Assumptions!B40*G1591,0)</f>
        <v>0</v>
      </c>
      <c r="R1591" s="22" t="n">
        <f aca="false">IF(DAY(B1591)=1,Assumptions!B41*G1591,0)</f>
        <v>0</v>
      </c>
      <c r="S1591" s="22" t="n">
        <f aca="false">IF(AND(DAY(B1591)=1,D1591&gt;=13),Assumptions!B42*G1591,0)</f>
        <v>0</v>
      </c>
      <c r="T1591" s="22" t="n">
        <f aca="false">IF(DAY(B1591)=1,Assumptions!B43*G1591,0)</f>
        <v>0</v>
      </c>
      <c r="U1591" s="22" t="n">
        <f aca="false">SUM(O1591:T1591)</f>
        <v>0</v>
      </c>
      <c r="V1591" s="22" t="n">
        <f aca="false">N1591-U1591</f>
        <v>21600</v>
      </c>
      <c r="W1591" s="22" t="n">
        <f aca="false">W1590+V1591</f>
        <v>-151059.046592496</v>
      </c>
      <c r="X1591" s="23" t="str">
        <f aca="false">IF(W1591&gt;=0,"YES","No")</f>
        <v>No</v>
      </c>
    </row>
    <row r="1592" customFormat="false" ht="15" hidden="false" customHeight="false" outlineLevel="0" collapsed="false">
      <c r="A1592" s="16" t="n">
        <v>1591</v>
      </c>
      <c r="B1592" s="17" t="n">
        <f aca="false">B1591+1</f>
        <v>47613</v>
      </c>
      <c r="C1592" s="18" t="n">
        <f aca="false">MIN(ROUNDUP(A1592/365,0),5)</f>
        <v>5</v>
      </c>
      <c r="D1592" s="18" t="n">
        <f aca="false">DATEDIF(Assumptions!B5,B1592,"m")+1</f>
        <v>53</v>
      </c>
      <c r="E1592" s="18" t="str">
        <f aca="false">TEXT(B1592,"ddd")</f>
        <v>Fri</v>
      </c>
      <c r="F1592" s="19" t="n">
        <f aca="false">IF(WEEKDAY(B1592,2)&gt;=6,Assumptions!B34,Assumptions!B35)</f>
        <v>1</v>
      </c>
      <c r="G1592" s="20" t="n">
        <f aca="false">IF(D1592&gt;=13,(1+Assumptions!B46)^(D1592-12),1)</f>
        <v>1.13067620830138</v>
      </c>
      <c r="H1592" s="21" t="n">
        <f aca="false">H1591*(1+IF(C1592=1,Assumptions!B22,Assumptions!B23))</f>
        <v>25.4452066071739</v>
      </c>
      <c r="I1592" s="16" t="n">
        <f aca="false">ROUND(H1592*F1592,0)</f>
        <v>25</v>
      </c>
      <c r="J1592" s="22" t="n">
        <f aca="false">I1592*Assumptions!B24</f>
        <v>15000</v>
      </c>
      <c r="K1592" s="21" t="n">
        <f aca="false">K1591*(1+Assumptions!B30)</f>
        <v>22.097216012951</v>
      </c>
      <c r="L1592" s="16" t="n">
        <f aca="false">ROUND(K1592*F1592,0)</f>
        <v>22</v>
      </c>
      <c r="M1592" s="22" t="n">
        <f aca="false">L1592*Assumptions!B31</f>
        <v>6600</v>
      </c>
      <c r="N1592" s="22" t="n">
        <f aca="false">J1592+M1592</f>
        <v>21600</v>
      </c>
      <c r="O1592" s="22" t="n">
        <f aca="false">IF(DAY(B1592)=1,Assumptions!B38*G1592,0)</f>
        <v>0</v>
      </c>
      <c r="P1592" s="22" t="n">
        <f aca="false">IF(DAY(B1592)=1,Assumptions!B39*G1592,0)</f>
        <v>0</v>
      </c>
      <c r="Q1592" s="22" t="n">
        <f aca="false">IF(DAY(B1592)=1,Assumptions!B40*G1592,0)</f>
        <v>0</v>
      </c>
      <c r="R1592" s="22" t="n">
        <f aca="false">IF(DAY(B1592)=1,Assumptions!B41*G1592,0)</f>
        <v>0</v>
      </c>
      <c r="S1592" s="22" t="n">
        <f aca="false">IF(AND(DAY(B1592)=1,D1592&gt;=13),Assumptions!B42*G1592,0)</f>
        <v>0</v>
      </c>
      <c r="T1592" s="22" t="n">
        <f aca="false">IF(DAY(B1592)=1,Assumptions!B43*G1592,0)</f>
        <v>0</v>
      </c>
      <c r="U1592" s="22" t="n">
        <f aca="false">SUM(O1592:T1592)</f>
        <v>0</v>
      </c>
      <c r="V1592" s="22" t="n">
        <f aca="false">N1592-U1592</f>
        <v>21600</v>
      </c>
      <c r="W1592" s="22" t="n">
        <f aca="false">W1591+V1592</f>
        <v>-129459.046592496</v>
      </c>
      <c r="X1592" s="23" t="str">
        <f aca="false">IF(W1592&gt;=0,"YES","No")</f>
        <v>No</v>
      </c>
    </row>
    <row r="1593" customFormat="false" ht="15" hidden="false" customHeight="false" outlineLevel="0" collapsed="false">
      <c r="A1593" s="16" t="n">
        <v>1592</v>
      </c>
      <c r="B1593" s="17" t="n">
        <f aca="false">B1592+1</f>
        <v>47614</v>
      </c>
      <c r="C1593" s="18" t="n">
        <f aca="false">MIN(ROUNDUP(A1593/365,0),5)</f>
        <v>5</v>
      </c>
      <c r="D1593" s="18" t="n">
        <f aca="false">DATEDIF(Assumptions!B5,B1593,"m")+1</f>
        <v>53</v>
      </c>
      <c r="E1593" s="18" t="str">
        <f aca="false">TEXT(B1593,"ddd")</f>
        <v>Sat</v>
      </c>
      <c r="F1593" s="19" t="n">
        <f aca="false">IF(WEEKDAY(B1593,2)&gt;=6,Assumptions!B34,Assumptions!B35)</f>
        <v>0.6</v>
      </c>
      <c r="G1593" s="20" t="n">
        <f aca="false">IF(D1593&gt;=13,(1+Assumptions!B46)^(D1593-12),1)</f>
        <v>1.13067620830138</v>
      </c>
      <c r="H1593" s="21" t="n">
        <f aca="false">H1592*(1+IF(C1593=1,Assumptions!B22,Assumptions!B23))</f>
        <v>25.4493761019732</v>
      </c>
      <c r="I1593" s="16" t="n">
        <f aca="false">ROUND(H1593*F1593,0)</f>
        <v>15</v>
      </c>
      <c r="J1593" s="22" t="n">
        <f aca="false">I1593*Assumptions!B24</f>
        <v>9000</v>
      </c>
      <c r="K1593" s="21" t="n">
        <f aca="false">K1592*(1+Assumptions!B30)</f>
        <v>22.1044404068688</v>
      </c>
      <c r="L1593" s="16" t="n">
        <f aca="false">ROUND(K1593*F1593,0)</f>
        <v>13</v>
      </c>
      <c r="M1593" s="22" t="n">
        <f aca="false">L1593*Assumptions!B31</f>
        <v>3900</v>
      </c>
      <c r="N1593" s="22" t="n">
        <f aca="false">J1593+M1593</f>
        <v>12900</v>
      </c>
      <c r="O1593" s="22" t="n">
        <f aca="false">IF(DAY(B1593)=1,Assumptions!B38*G1593,0)</f>
        <v>0</v>
      </c>
      <c r="P1593" s="22" t="n">
        <f aca="false">IF(DAY(B1593)=1,Assumptions!B39*G1593,0)</f>
        <v>0</v>
      </c>
      <c r="Q1593" s="22" t="n">
        <f aca="false">IF(DAY(B1593)=1,Assumptions!B40*G1593,0)</f>
        <v>0</v>
      </c>
      <c r="R1593" s="22" t="n">
        <f aca="false">IF(DAY(B1593)=1,Assumptions!B41*G1593,0)</f>
        <v>0</v>
      </c>
      <c r="S1593" s="22" t="n">
        <f aca="false">IF(AND(DAY(B1593)=1,D1593&gt;=13),Assumptions!B42*G1593,0)</f>
        <v>0</v>
      </c>
      <c r="T1593" s="22" t="n">
        <f aca="false">IF(DAY(B1593)=1,Assumptions!B43*G1593,0)</f>
        <v>0</v>
      </c>
      <c r="U1593" s="22" t="n">
        <f aca="false">SUM(O1593:T1593)</f>
        <v>0</v>
      </c>
      <c r="V1593" s="22" t="n">
        <f aca="false">N1593-U1593</f>
        <v>12900</v>
      </c>
      <c r="W1593" s="22" t="n">
        <f aca="false">W1592+V1593</f>
        <v>-116559.046592496</v>
      </c>
      <c r="X1593" s="23" t="str">
        <f aca="false">IF(W1593&gt;=0,"YES","No")</f>
        <v>No</v>
      </c>
    </row>
    <row r="1594" customFormat="false" ht="15" hidden="false" customHeight="false" outlineLevel="0" collapsed="false">
      <c r="A1594" s="16" t="n">
        <v>1593</v>
      </c>
      <c r="B1594" s="17" t="n">
        <f aca="false">B1593+1</f>
        <v>47615</v>
      </c>
      <c r="C1594" s="18" t="n">
        <f aca="false">MIN(ROUNDUP(A1594/365,0),5)</f>
        <v>5</v>
      </c>
      <c r="D1594" s="18" t="n">
        <f aca="false">DATEDIF(Assumptions!B5,B1594,"m")+1</f>
        <v>53</v>
      </c>
      <c r="E1594" s="18" t="str">
        <f aca="false">TEXT(B1594,"ddd")</f>
        <v>Sun</v>
      </c>
      <c r="F1594" s="19" t="n">
        <f aca="false">IF(WEEKDAY(B1594,2)&gt;=6,Assumptions!B34,Assumptions!B35)</f>
        <v>0.6</v>
      </c>
      <c r="G1594" s="20" t="n">
        <f aca="false">IF(D1594&gt;=13,(1+Assumptions!B46)^(D1594-12),1)</f>
        <v>1.13067620830138</v>
      </c>
      <c r="H1594" s="21" t="n">
        <f aca="false">H1593*(1+IF(C1594=1,Assumptions!B22,Assumptions!B23))</f>
        <v>25.453546279993</v>
      </c>
      <c r="I1594" s="16" t="n">
        <f aca="false">ROUND(H1594*F1594,0)</f>
        <v>15</v>
      </c>
      <c r="J1594" s="22" t="n">
        <f aca="false">I1594*Assumptions!B24</f>
        <v>9000</v>
      </c>
      <c r="K1594" s="21" t="n">
        <f aca="false">K1593*(1+Assumptions!B30)</f>
        <v>22.1116671627072</v>
      </c>
      <c r="L1594" s="16" t="n">
        <f aca="false">ROUND(K1594*F1594,0)</f>
        <v>13</v>
      </c>
      <c r="M1594" s="22" t="n">
        <f aca="false">L1594*Assumptions!B31</f>
        <v>3900</v>
      </c>
      <c r="N1594" s="22" t="n">
        <f aca="false">J1594+M1594</f>
        <v>12900</v>
      </c>
      <c r="O1594" s="22" t="n">
        <f aca="false">IF(DAY(B1594)=1,Assumptions!B38*G1594,0)</f>
        <v>0</v>
      </c>
      <c r="P1594" s="22" t="n">
        <f aca="false">IF(DAY(B1594)=1,Assumptions!B39*G1594,0)</f>
        <v>0</v>
      </c>
      <c r="Q1594" s="22" t="n">
        <f aca="false">IF(DAY(B1594)=1,Assumptions!B40*G1594,0)</f>
        <v>0</v>
      </c>
      <c r="R1594" s="22" t="n">
        <f aca="false">IF(DAY(B1594)=1,Assumptions!B41*G1594,0)</f>
        <v>0</v>
      </c>
      <c r="S1594" s="22" t="n">
        <f aca="false">IF(AND(DAY(B1594)=1,D1594&gt;=13),Assumptions!B42*G1594,0)</f>
        <v>0</v>
      </c>
      <c r="T1594" s="22" t="n">
        <f aca="false">IF(DAY(B1594)=1,Assumptions!B43*G1594,0)</f>
        <v>0</v>
      </c>
      <c r="U1594" s="22" t="n">
        <f aca="false">SUM(O1594:T1594)</f>
        <v>0</v>
      </c>
      <c r="V1594" s="22" t="n">
        <f aca="false">N1594-U1594</f>
        <v>12900</v>
      </c>
      <c r="W1594" s="22" t="n">
        <f aca="false">W1593+V1594</f>
        <v>-103659.046592496</v>
      </c>
      <c r="X1594" s="23" t="str">
        <f aca="false">IF(W1594&gt;=0,"YES","No")</f>
        <v>No</v>
      </c>
    </row>
    <row r="1595" customFormat="false" ht="15" hidden="false" customHeight="false" outlineLevel="0" collapsed="false">
      <c r="A1595" s="16" t="n">
        <v>1594</v>
      </c>
      <c r="B1595" s="17" t="n">
        <f aca="false">B1594+1</f>
        <v>47616</v>
      </c>
      <c r="C1595" s="18" t="n">
        <f aca="false">MIN(ROUNDUP(A1595/365,0),5)</f>
        <v>5</v>
      </c>
      <c r="D1595" s="18" t="n">
        <f aca="false">DATEDIF(Assumptions!B5,B1595,"m")+1</f>
        <v>53</v>
      </c>
      <c r="E1595" s="18" t="str">
        <f aca="false">TEXT(B1595,"ddd")</f>
        <v>Mon</v>
      </c>
      <c r="F1595" s="19" t="n">
        <f aca="false">IF(WEEKDAY(B1595,2)&gt;=6,Assumptions!B34,Assumptions!B35)</f>
        <v>1</v>
      </c>
      <c r="G1595" s="20" t="n">
        <f aca="false">IF(D1595&gt;=13,(1+Assumptions!B46)^(D1595-12),1)</f>
        <v>1.13067620830138</v>
      </c>
      <c r="H1595" s="21" t="n">
        <f aca="false">H1594*(1+IF(C1595=1,Assumptions!B22,Assumptions!B23))</f>
        <v>25.4577171413453</v>
      </c>
      <c r="I1595" s="16" t="n">
        <f aca="false">ROUND(H1595*F1595,0)</f>
        <v>25</v>
      </c>
      <c r="J1595" s="22" t="n">
        <f aca="false">I1595*Assumptions!B24</f>
        <v>15000</v>
      </c>
      <c r="K1595" s="21" t="n">
        <f aca="false">K1594*(1+Assumptions!B30)</f>
        <v>22.1188962812382</v>
      </c>
      <c r="L1595" s="16" t="n">
        <f aca="false">ROUND(K1595*F1595,0)</f>
        <v>22</v>
      </c>
      <c r="M1595" s="22" t="n">
        <f aca="false">L1595*Assumptions!B31</f>
        <v>6600</v>
      </c>
      <c r="N1595" s="22" t="n">
        <f aca="false">J1595+M1595</f>
        <v>21600</v>
      </c>
      <c r="O1595" s="22" t="n">
        <f aca="false">IF(DAY(B1595)=1,Assumptions!B38*G1595,0)</f>
        <v>0</v>
      </c>
      <c r="P1595" s="22" t="n">
        <f aca="false">IF(DAY(B1595)=1,Assumptions!B39*G1595,0)</f>
        <v>0</v>
      </c>
      <c r="Q1595" s="22" t="n">
        <f aca="false">IF(DAY(B1595)=1,Assumptions!B40*G1595,0)</f>
        <v>0</v>
      </c>
      <c r="R1595" s="22" t="n">
        <f aca="false">IF(DAY(B1595)=1,Assumptions!B41*G1595,0)</f>
        <v>0</v>
      </c>
      <c r="S1595" s="22" t="n">
        <f aca="false">IF(AND(DAY(B1595)=1,D1595&gt;=13),Assumptions!B42*G1595,0)</f>
        <v>0</v>
      </c>
      <c r="T1595" s="22" t="n">
        <f aca="false">IF(DAY(B1595)=1,Assumptions!B43*G1595,0)</f>
        <v>0</v>
      </c>
      <c r="U1595" s="22" t="n">
        <f aca="false">SUM(O1595:T1595)</f>
        <v>0</v>
      </c>
      <c r="V1595" s="22" t="n">
        <f aca="false">N1595-U1595</f>
        <v>21600</v>
      </c>
      <c r="W1595" s="22" t="n">
        <f aca="false">W1594+V1595</f>
        <v>-82059.0465924963</v>
      </c>
      <c r="X1595" s="23" t="str">
        <f aca="false">IF(W1595&gt;=0,"YES","No")</f>
        <v>No</v>
      </c>
    </row>
    <row r="1596" customFormat="false" ht="15" hidden="false" customHeight="false" outlineLevel="0" collapsed="false">
      <c r="A1596" s="16" t="n">
        <v>1595</v>
      </c>
      <c r="B1596" s="17" t="n">
        <f aca="false">B1595+1</f>
        <v>47617</v>
      </c>
      <c r="C1596" s="18" t="n">
        <f aca="false">MIN(ROUNDUP(A1596/365,0),5)</f>
        <v>5</v>
      </c>
      <c r="D1596" s="18" t="n">
        <f aca="false">DATEDIF(Assumptions!B5,B1596,"m")+1</f>
        <v>53</v>
      </c>
      <c r="E1596" s="18" t="str">
        <f aca="false">TEXT(B1596,"ddd")</f>
        <v>Tue</v>
      </c>
      <c r="F1596" s="19" t="n">
        <f aca="false">IF(WEEKDAY(B1596,2)&gt;=6,Assumptions!B34,Assumptions!B35)</f>
        <v>1</v>
      </c>
      <c r="G1596" s="20" t="n">
        <f aca="false">IF(D1596&gt;=13,(1+Assumptions!B46)^(D1596-12),1)</f>
        <v>1.13067620830138</v>
      </c>
      <c r="H1596" s="21" t="n">
        <f aca="false">H1595*(1+IF(C1596=1,Assumptions!B22,Assumptions!B23))</f>
        <v>25.4618886861419</v>
      </c>
      <c r="I1596" s="16" t="n">
        <f aca="false">ROUND(H1596*F1596,0)</f>
        <v>25</v>
      </c>
      <c r="J1596" s="22" t="n">
        <f aca="false">I1596*Assumptions!B24</f>
        <v>15000</v>
      </c>
      <c r="K1596" s="21" t="n">
        <f aca="false">K1595*(1+Assumptions!B30)</f>
        <v>22.1261277632344</v>
      </c>
      <c r="L1596" s="16" t="n">
        <f aca="false">ROUND(K1596*F1596,0)</f>
        <v>22</v>
      </c>
      <c r="M1596" s="22" t="n">
        <f aca="false">L1596*Assumptions!B31</f>
        <v>6600</v>
      </c>
      <c r="N1596" s="22" t="n">
        <f aca="false">J1596+M1596</f>
        <v>21600</v>
      </c>
      <c r="O1596" s="22" t="n">
        <f aca="false">IF(DAY(B1596)=1,Assumptions!B38*G1596,0)</f>
        <v>0</v>
      </c>
      <c r="P1596" s="22" t="n">
        <f aca="false">IF(DAY(B1596)=1,Assumptions!B39*G1596,0)</f>
        <v>0</v>
      </c>
      <c r="Q1596" s="22" t="n">
        <f aca="false">IF(DAY(B1596)=1,Assumptions!B40*G1596,0)</f>
        <v>0</v>
      </c>
      <c r="R1596" s="22" t="n">
        <f aca="false">IF(DAY(B1596)=1,Assumptions!B41*G1596,0)</f>
        <v>0</v>
      </c>
      <c r="S1596" s="22" t="n">
        <f aca="false">IF(AND(DAY(B1596)=1,D1596&gt;=13),Assumptions!B42*G1596,0)</f>
        <v>0</v>
      </c>
      <c r="T1596" s="22" t="n">
        <f aca="false">IF(DAY(B1596)=1,Assumptions!B43*G1596,0)</f>
        <v>0</v>
      </c>
      <c r="U1596" s="22" t="n">
        <f aca="false">SUM(O1596:T1596)</f>
        <v>0</v>
      </c>
      <c r="V1596" s="22" t="n">
        <f aca="false">N1596-U1596</f>
        <v>21600</v>
      </c>
      <c r="W1596" s="22" t="n">
        <f aca="false">W1595+V1596</f>
        <v>-60459.0465924963</v>
      </c>
      <c r="X1596" s="23" t="str">
        <f aca="false">IF(W1596&gt;=0,"YES","No")</f>
        <v>No</v>
      </c>
    </row>
    <row r="1597" customFormat="false" ht="15" hidden="false" customHeight="false" outlineLevel="0" collapsed="false">
      <c r="A1597" s="16" t="n">
        <v>1596</v>
      </c>
      <c r="B1597" s="17" t="n">
        <f aca="false">B1596+1</f>
        <v>47618</v>
      </c>
      <c r="C1597" s="18" t="n">
        <f aca="false">MIN(ROUNDUP(A1597/365,0),5)</f>
        <v>5</v>
      </c>
      <c r="D1597" s="18" t="n">
        <f aca="false">DATEDIF(Assumptions!B5,B1597,"m")+1</f>
        <v>53</v>
      </c>
      <c r="E1597" s="18" t="str">
        <f aca="false">TEXT(B1597,"ddd")</f>
        <v>Wed</v>
      </c>
      <c r="F1597" s="19" t="n">
        <f aca="false">IF(WEEKDAY(B1597,2)&gt;=6,Assumptions!B34,Assumptions!B35)</f>
        <v>1</v>
      </c>
      <c r="G1597" s="20" t="n">
        <f aca="false">IF(D1597&gt;=13,(1+Assumptions!B46)^(D1597-12),1)</f>
        <v>1.13067620830138</v>
      </c>
      <c r="H1597" s="21" t="n">
        <f aca="false">H1596*(1+IF(C1597=1,Assumptions!B22,Assumptions!B23))</f>
        <v>25.466060914495</v>
      </c>
      <c r="I1597" s="16" t="n">
        <f aca="false">ROUND(H1597*F1597,0)</f>
        <v>25</v>
      </c>
      <c r="J1597" s="22" t="n">
        <f aca="false">I1597*Assumptions!B24</f>
        <v>15000</v>
      </c>
      <c r="K1597" s="21" t="n">
        <f aca="false">K1596*(1+Assumptions!B30)</f>
        <v>22.1333616094685</v>
      </c>
      <c r="L1597" s="16" t="n">
        <f aca="false">ROUND(K1597*F1597,0)</f>
        <v>22</v>
      </c>
      <c r="M1597" s="22" t="n">
        <f aca="false">L1597*Assumptions!B31</f>
        <v>6600</v>
      </c>
      <c r="N1597" s="22" t="n">
        <f aca="false">J1597+M1597</f>
        <v>21600</v>
      </c>
      <c r="O1597" s="22" t="n">
        <f aca="false">IF(DAY(B1597)=1,Assumptions!B38*G1597,0)</f>
        <v>0</v>
      </c>
      <c r="P1597" s="22" t="n">
        <f aca="false">IF(DAY(B1597)=1,Assumptions!B39*G1597,0)</f>
        <v>0</v>
      </c>
      <c r="Q1597" s="22" t="n">
        <f aca="false">IF(DAY(B1597)=1,Assumptions!B40*G1597,0)</f>
        <v>0</v>
      </c>
      <c r="R1597" s="22" t="n">
        <f aca="false">IF(DAY(B1597)=1,Assumptions!B41*G1597,0)</f>
        <v>0</v>
      </c>
      <c r="S1597" s="22" t="n">
        <f aca="false">IF(AND(DAY(B1597)=1,D1597&gt;=13),Assumptions!B42*G1597,0)</f>
        <v>0</v>
      </c>
      <c r="T1597" s="22" t="n">
        <f aca="false">IF(DAY(B1597)=1,Assumptions!B43*G1597,0)</f>
        <v>0</v>
      </c>
      <c r="U1597" s="22" t="n">
        <f aca="false">SUM(O1597:T1597)</f>
        <v>0</v>
      </c>
      <c r="V1597" s="22" t="n">
        <f aca="false">N1597-U1597</f>
        <v>21600</v>
      </c>
      <c r="W1597" s="22" t="n">
        <f aca="false">W1596+V1597</f>
        <v>-38859.0465924963</v>
      </c>
      <c r="X1597" s="23" t="str">
        <f aca="false">IF(W1597&gt;=0,"YES","No")</f>
        <v>No</v>
      </c>
    </row>
    <row r="1598" customFormat="false" ht="15" hidden="false" customHeight="false" outlineLevel="0" collapsed="false">
      <c r="A1598" s="16" t="n">
        <v>1597</v>
      </c>
      <c r="B1598" s="17" t="n">
        <f aca="false">B1597+1</f>
        <v>47619</v>
      </c>
      <c r="C1598" s="18" t="n">
        <f aca="false">MIN(ROUNDUP(A1598/365,0),5)</f>
        <v>5</v>
      </c>
      <c r="D1598" s="18" t="n">
        <f aca="false">DATEDIF(Assumptions!B5,B1598,"m")+1</f>
        <v>53</v>
      </c>
      <c r="E1598" s="18" t="str">
        <f aca="false">TEXT(B1598,"ddd")</f>
        <v>Thu</v>
      </c>
      <c r="F1598" s="19" t="n">
        <f aca="false">IF(WEEKDAY(B1598,2)&gt;=6,Assumptions!B34,Assumptions!B35)</f>
        <v>1</v>
      </c>
      <c r="G1598" s="20" t="n">
        <f aca="false">IF(D1598&gt;=13,(1+Assumptions!B46)^(D1598-12),1)</f>
        <v>1.13067620830138</v>
      </c>
      <c r="H1598" s="21" t="n">
        <f aca="false">H1597*(1+IF(C1598=1,Assumptions!B22,Assumptions!B23))</f>
        <v>25.4702338265166</v>
      </c>
      <c r="I1598" s="16" t="n">
        <f aca="false">ROUND(H1598*F1598,0)</f>
        <v>25</v>
      </c>
      <c r="J1598" s="22" t="n">
        <f aca="false">I1598*Assumptions!B24</f>
        <v>15000</v>
      </c>
      <c r="K1598" s="21" t="n">
        <f aca="false">K1597*(1+Assumptions!B30)</f>
        <v>22.1405978207133</v>
      </c>
      <c r="L1598" s="16" t="n">
        <f aca="false">ROUND(K1598*F1598,0)</f>
        <v>22</v>
      </c>
      <c r="M1598" s="22" t="n">
        <f aca="false">L1598*Assumptions!B31</f>
        <v>6600</v>
      </c>
      <c r="N1598" s="22" t="n">
        <f aca="false">J1598+M1598</f>
        <v>21600</v>
      </c>
      <c r="O1598" s="22" t="n">
        <f aca="false">IF(DAY(B1598)=1,Assumptions!B38*G1598,0)</f>
        <v>0</v>
      </c>
      <c r="P1598" s="22" t="n">
        <f aca="false">IF(DAY(B1598)=1,Assumptions!B39*G1598,0)</f>
        <v>0</v>
      </c>
      <c r="Q1598" s="22" t="n">
        <f aca="false">IF(DAY(B1598)=1,Assumptions!B40*G1598,0)</f>
        <v>0</v>
      </c>
      <c r="R1598" s="22" t="n">
        <f aca="false">IF(DAY(B1598)=1,Assumptions!B41*G1598,0)</f>
        <v>0</v>
      </c>
      <c r="S1598" s="22" t="n">
        <f aca="false">IF(AND(DAY(B1598)=1,D1598&gt;=13),Assumptions!B42*G1598,0)</f>
        <v>0</v>
      </c>
      <c r="T1598" s="22" t="n">
        <f aca="false">IF(DAY(B1598)=1,Assumptions!B43*G1598,0)</f>
        <v>0</v>
      </c>
      <c r="U1598" s="22" t="n">
        <f aca="false">SUM(O1598:T1598)</f>
        <v>0</v>
      </c>
      <c r="V1598" s="22" t="n">
        <f aca="false">N1598-U1598</f>
        <v>21600</v>
      </c>
      <c r="W1598" s="22" t="n">
        <f aca="false">W1597+V1598</f>
        <v>-17259.0465924963</v>
      </c>
      <c r="X1598" s="23" t="str">
        <f aca="false">IF(W1598&gt;=0,"YES","No")</f>
        <v>No</v>
      </c>
    </row>
    <row r="1599" customFormat="false" ht="15" hidden="false" customHeight="false" outlineLevel="0" collapsed="false">
      <c r="A1599" s="16" t="n">
        <v>1598</v>
      </c>
      <c r="B1599" s="17" t="n">
        <f aca="false">B1598+1</f>
        <v>47620</v>
      </c>
      <c r="C1599" s="18" t="n">
        <f aca="false">MIN(ROUNDUP(A1599/365,0),5)</f>
        <v>5</v>
      </c>
      <c r="D1599" s="18" t="n">
        <f aca="false">DATEDIF(Assumptions!B5,B1599,"m")+1</f>
        <v>53</v>
      </c>
      <c r="E1599" s="18" t="str">
        <f aca="false">TEXT(B1599,"ddd")</f>
        <v>Fri</v>
      </c>
      <c r="F1599" s="19" t="n">
        <f aca="false">IF(WEEKDAY(B1599,2)&gt;=6,Assumptions!B34,Assumptions!B35)</f>
        <v>1</v>
      </c>
      <c r="G1599" s="20" t="n">
        <f aca="false">IF(D1599&gt;=13,(1+Assumptions!B46)^(D1599-12),1)</f>
        <v>1.13067620830138</v>
      </c>
      <c r="H1599" s="21" t="n">
        <f aca="false">H1598*(1+IF(C1599=1,Assumptions!B22,Assumptions!B23))</f>
        <v>25.4744074223186</v>
      </c>
      <c r="I1599" s="16" t="n">
        <f aca="false">ROUND(H1599*F1599,0)</f>
        <v>25</v>
      </c>
      <c r="J1599" s="22" t="n">
        <f aca="false">I1599*Assumptions!B24</f>
        <v>15000</v>
      </c>
      <c r="K1599" s="21" t="n">
        <f aca="false">K1598*(1+Assumptions!B30)</f>
        <v>22.1478363977422</v>
      </c>
      <c r="L1599" s="16" t="n">
        <f aca="false">ROUND(K1599*F1599,0)</f>
        <v>22</v>
      </c>
      <c r="M1599" s="22" t="n">
        <f aca="false">L1599*Assumptions!B31</f>
        <v>6600</v>
      </c>
      <c r="N1599" s="22" t="n">
        <f aca="false">J1599+M1599</f>
        <v>21600</v>
      </c>
      <c r="O1599" s="22" t="n">
        <f aca="false">IF(DAY(B1599)=1,Assumptions!B38*G1599,0)</f>
        <v>0</v>
      </c>
      <c r="P1599" s="22" t="n">
        <f aca="false">IF(DAY(B1599)=1,Assumptions!B39*G1599,0)</f>
        <v>0</v>
      </c>
      <c r="Q1599" s="22" t="n">
        <f aca="false">IF(DAY(B1599)=1,Assumptions!B40*G1599,0)</f>
        <v>0</v>
      </c>
      <c r="R1599" s="22" t="n">
        <f aca="false">IF(DAY(B1599)=1,Assumptions!B41*G1599,0)</f>
        <v>0</v>
      </c>
      <c r="S1599" s="22" t="n">
        <f aca="false">IF(AND(DAY(B1599)=1,D1599&gt;=13),Assumptions!B42*G1599,0)</f>
        <v>0</v>
      </c>
      <c r="T1599" s="22" t="n">
        <f aca="false">IF(DAY(B1599)=1,Assumptions!B43*G1599,0)</f>
        <v>0</v>
      </c>
      <c r="U1599" s="22" t="n">
        <f aca="false">SUM(O1599:T1599)</f>
        <v>0</v>
      </c>
      <c r="V1599" s="22" t="n">
        <f aca="false">N1599-U1599</f>
        <v>21600</v>
      </c>
      <c r="W1599" s="22" t="n">
        <f aca="false">W1598+V1599</f>
        <v>4340.95340750372</v>
      </c>
      <c r="X1599" s="23" t="str">
        <f aca="false">IF(W1599&gt;=0,"YES","No")</f>
        <v>YES</v>
      </c>
    </row>
    <row r="1600" customFormat="false" ht="15" hidden="false" customHeight="false" outlineLevel="0" collapsed="false">
      <c r="A1600" s="16" t="n">
        <v>1599</v>
      </c>
      <c r="B1600" s="17" t="n">
        <f aca="false">B1599+1</f>
        <v>47621</v>
      </c>
      <c r="C1600" s="18" t="n">
        <f aca="false">MIN(ROUNDUP(A1600/365,0),5)</f>
        <v>5</v>
      </c>
      <c r="D1600" s="18" t="n">
        <f aca="false">DATEDIF(Assumptions!B5,B1600,"m")+1</f>
        <v>53</v>
      </c>
      <c r="E1600" s="18" t="str">
        <f aca="false">TEXT(B1600,"ddd")</f>
        <v>Sat</v>
      </c>
      <c r="F1600" s="19" t="n">
        <f aca="false">IF(WEEKDAY(B1600,2)&gt;=6,Assumptions!B34,Assumptions!B35)</f>
        <v>0.6</v>
      </c>
      <c r="G1600" s="20" t="n">
        <f aca="false">IF(D1600&gt;=13,(1+Assumptions!B46)^(D1600-12),1)</f>
        <v>1.13067620830138</v>
      </c>
      <c r="H1600" s="21" t="n">
        <f aca="false">H1599*(1+IF(C1600=1,Assumptions!B22,Assumptions!B23))</f>
        <v>25.4785817020131</v>
      </c>
      <c r="I1600" s="16" t="n">
        <f aca="false">ROUND(H1600*F1600,0)</f>
        <v>15</v>
      </c>
      <c r="J1600" s="22" t="n">
        <f aca="false">I1600*Assumptions!B24</f>
        <v>9000</v>
      </c>
      <c r="K1600" s="21" t="n">
        <f aca="false">K1599*(1+Assumptions!B30)</f>
        <v>22.1550773413286</v>
      </c>
      <c r="L1600" s="16" t="n">
        <f aca="false">ROUND(K1600*F1600,0)</f>
        <v>13</v>
      </c>
      <c r="M1600" s="22" t="n">
        <f aca="false">L1600*Assumptions!B31</f>
        <v>3900</v>
      </c>
      <c r="N1600" s="22" t="n">
        <f aca="false">J1600+M1600</f>
        <v>12900</v>
      </c>
      <c r="O1600" s="22" t="n">
        <f aca="false">IF(DAY(B1600)=1,Assumptions!B38*G1600,0)</f>
        <v>0</v>
      </c>
      <c r="P1600" s="22" t="n">
        <f aca="false">IF(DAY(B1600)=1,Assumptions!B39*G1600,0)</f>
        <v>0</v>
      </c>
      <c r="Q1600" s="22" t="n">
        <f aca="false">IF(DAY(B1600)=1,Assumptions!B40*G1600,0)</f>
        <v>0</v>
      </c>
      <c r="R1600" s="22" t="n">
        <f aca="false">IF(DAY(B1600)=1,Assumptions!B41*G1600,0)</f>
        <v>0</v>
      </c>
      <c r="S1600" s="22" t="n">
        <f aca="false">IF(AND(DAY(B1600)=1,D1600&gt;=13),Assumptions!B42*G1600,0)</f>
        <v>0</v>
      </c>
      <c r="T1600" s="22" t="n">
        <f aca="false">IF(DAY(B1600)=1,Assumptions!B43*G1600,0)</f>
        <v>0</v>
      </c>
      <c r="U1600" s="22" t="n">
        <f aca="false">SUM(O1600:T1600)</f>
        <v>0</v>
      </c>
      <c r="V1600" s="22" t="n">
        <f aca="false">N1600-U1600</f>
        <v>12900</v>
      </c>
      <c r="W1600" s="22" t="n">
        <f aca="false">W1599+V1600</f>
        <v>17240.9534075037</v>
      </c>
      <c r="X1600" s="23" t="str">
        <f aca="false">IF(W1600&gt;=0,"YES","No")</f>
        <v>YES</v>
      </c>
    </row>
    <row r="1601" customFormat="false" ht="15" hidden="false" customHeight="false" outlineLevel="0" collapsed="false">
      <c r="A1601" s="16" t="n">
        <v>1600</v>
      </c>
      <c r="B1601" s="17" t="n">
        <f aca="false">B1600+1</f>
        <v>47622</v>
      </c>
      <c r="C1601" s="18" t="n">
        <f aca="false">MIN(ROUNDUP(A1601/365,0),5)</f>
        <v>5</v>
      </c>
      <c r="D1601" s="18" t="n">
        <f aca="false">DATEDIF(Assumptions!B5,B1601,"m")+1</f>
        <v>53</v>
      </c>
      <c r="E1601" s="18" t="str">
        <f aca="false">TEXT(B1601,"ddd")</f>
        <v>Sun</v>
      </c>
      <c r="F1601" s="19" t="n">
        <f aca="false">IF(WEEKDAY(B1601,2)&gt;=6,Assumptions!B34,Assumptions!B35)</f>
        <v>0.6</v>
      </c>
      <c r="G1601" s="20" t="n">
        <f aca="false">IF(D1601&gt;=13,(1+Assumptions!B46)^(D1601-12),1)</f>
        <v>1.13067620830138</v>
      </c>
      <c r="H1601" s="21" t="n">
        <f aca="false">H1600*(1+IF(C1601=1,Assumptions!B22,Assumptions!B23))</f>
        <v>25.4827566657121</v>
      </c>
      <c r="I1601" s="16" t="n">
        <f aca="false">ROUND(H1601*F1601,0)</f>
        <v>15</v>
      </c>
      <c r="J1601" s="22" t="n">
        <f aca="false">I1601*Assumptions!B24</f>
        <v>9000</v>
      </c>
      <c r="K1601" s="21" t="n">
        <f aca="false">K1600*(1+Assumptions!B30)</f>
        <v>22.1623206522461</v>
      </c>
      <c r="L1601" s="16" t="n">
        <f aca="false">ROUND(K1601*F1601,0)</f>
        <v>13</v>
      </c>
      <c r="M1601" s="22" t="n">
        <f aca="false">L1601*Assumptions!B31</f>
        <v>3900</v>
      </c>
      <c r="N1601" s="22" t="n">
        <f aca="false">J1601+M1601</f>
        <v>12900</v>
      </c>
      <c r="O1601" s="22" t="n">
        <f aca="false">IF(DAY(B1601)=1,Assumptions!B38*G1601,0)</f>
        <v>0</v>
      </c>
      <c r="P1601" s="22" t="n">
        <f aca="false">IF(DAY(B1601)=1,Assumptions!B39*G1601,0)</f>
        <v>0</v>
      </c>
      <c r="Q1601" s="22" t="n">
        <f aca="false">IF(DAY(B1601)=1,Assumptions!B40*G1601,0)</f>
        <v>0</v>
      </c>
      <c r="R1601" s="22" t="n">
        <f aca="false">IF(DAY(B1601)=1,Assumptions!B41*G1601,0)</f>
        <v>0</v>
      </c>
      <c r="S1601" s="22" t="n">
        <f aca="false">IF(AND(DAY(B1601)=1,D1601&gt;=13),Assumptions!B42*G1601,0)</f>
        <v>0</v>
      </c>
      <c r="T1601" s="22" t="n">
        <f aca="false">IF(DAY(B1601)=1,Assumptions!B43*G1601,0)</f>
        <v>0</v>
      </c>
      <c r="U1601" s="22" t="n">
        <f aca="false">SUM(O1601:T1601)</f>
        <v>0</v>
      </c>
      <c r="V1601" s="22" t="n">
        <f aca="false">N1601-U1601</f>
        <v>12900</v>
      </c>
      <c r="W1601" s="22" t="n">
        <f aca="false">W1600+V1601</f>
        <v>30140.9534075037</v>
      </c>
      <c r="X1601" s="23" t="str">
        <f aca="false">IF(W1601&gt;=0,"YES","No")</f>
        <v>YES</v>
      </c>
    </row>
    <row r="1602" customFormat="false" ht="15" hidden="false" customHeight="false" outlineLevel="0" collapsed="false">
      <c r="A1602" s="16" t="n">
        <v>1601</v>
      </c>
      <c r="B1602" s="17" t="n">
        <f aca="false">B1601+1</f>
        <v>47623</v>
      </c>
      <c r="C1602" s="18" t="n">
        <f aca="false">MIN(ROUNDUP(A1602/365,0),5)</f>
        <v>5</v>
      </c>
      <c r="D1602" s="18" t="n">
        <f aca="false">DATEDIF(Assumptions!B5,B1602,"m")+1</f>
        <v>53</v>
      </c>
      <c r="E1602" s="18" t="str">
        <f aca="false">TEXT(B1602,"ddd")</f>
        <v>Mon</v>
      </c>
      <c r="F1602" s="19" t="n">
        <f aca="false">IF(WEEKDAY(B1602,2)&gt;=6,Assumptions!B34,Assumptions!B35)</f>
        <v>1</v>
      </c>
      <c r="G1602" s="20" t="n">
        <f aca="false">IF(D1602&gt;=13,(1+Assumptions!B46)^(D1602-12),1)</f>
        <v>1.13067620830138</v>
      </c>
      <c r="H1602" s="21" t="n">
        <f aca="false">H1601*(1+IF(C1602=1,Assumptions!B22,Assumptions!B23))</f>
        <v>25.4869323135278</v>
      </c>
      <c r="I1602" s="16" t="n">
        <f aca="false">ROUND(H1602*F1602,0)</f>
        <v>25</v>
      </c>
      <c r="J1602" s="22" t="n">
        <f aca="false">I1602*Assumptions!B24</f>
        <v>15000</v>
      </c>
      <c r="K1602" s="21" t="n">
        <f aca="false">K1601*(1+Assumptions!B30)</f>
        <v>22.1695663312689</v>
      </c>
      <c r="L1602" s="16" t="n">
        <f aca="false">ROUND(K1602*F1602,0)</f>
        <v>22</v>
      </c>
      <c r="M1602" s="22" t="n">
        <f aca="false">L1602*Assumptions!B31</f>
        <v>6600</v>
      </c>
      <c r="N1602" s="22" t="n">
        <f aca="false">J1602+M1602</f>
        <v>21600</v>
      </c>
      <c r="O1602" s="22" t="n">
        <f aca="false">IF(DAY(B1602)=1,Assumptions!B38*G1602,0)</f>
        <v>0</v>
      </c>
      <c r="P1602" s="22" t="n">
        <f aca="false">IF(DAY(B1602)=1,Assumptions!B39*G1602,0)</f>
        <v>0</v>
      </c>
      <c r="Q1602" s="22" t="n">
        <f aca="false">IF(DAY(B1602)=1,Assumptions!B40*G1602,0)</f>
        <v>0</v>
      </c>
      <c r="R1602" s="22" t="n">
        <f aca="false">IF(DAY(B1602)=1,Assumptions!B41*G1602,0)</f>
        <v>0</v>
      </c>
      <c r="S1602" s="22" t="n">
        <f aca="false">IF(AND(DAY(B1602)=1,D1602&gt;=13),Assumptions!B42*G1602,0)</f>
        <v>0</v>
      </c>
      <c r="T1602" s="22" t="n">
        <f aca="false">IF(DAY(B1602)=1,Assumptions!B43*G1602,0)</f>
        <v>0</v>
      </c>
      <c r="U1602" s="22" t="n">
        <f aca="false">SUM(O1602:T1602)</f>
        <v>0</v>
      </c>
      <c r="V1602" s="22" t="n">
        <f aca="false">N1602-U1602</f>
        <v>21600</v>
      </c>
      <c r="W1602" s="22" t="n">
        <f aca="false">W1601+V1602</f>
        <v>51740.9534075037</v>
      </c>
      <c r="X1602" s="23" t="str">
        <f aca="false">IF(W1602&gt;=0,"YES","No")</f>
        <v>YES</v>
      </c>
    </row>
    <row r="1603" customFormat="false" ht="15" hidden="false" customHeight="false" outlineLevel="0" collapsed="false">
      <c r="A1603" s="16" t="n">
        <v>1602</v>
      </c>
      <c r="B1603" s="17" t="n">
        <f aca="false">B1602+1</f>
        <v>47624</v>
      </c>
      <c r="C1603" s="18" t="n">
        <f aca="false">MIN(ROUNDUP(A1603/365,0),5)</f>
        <v>5</v>
      </c>
      <c r="D1603" s="18" t="n">
        <f aca="false">DATEDIF(Assumptions!B5,B1603,"m")+1</f>
        <v>53</v>
      </c>
      <c r="E1603" s="18" t="str">
        <f aca="false">TEXT(B1603,"ddd")</f>
        <v>Tue</v>
      </c>
      <c r="F1603" s="19" t="n">
        <f aca="false">IF(WEEKDAY(B1603,2)&gt;=6,Assumptions!B34,Assumptions!B35)</f>
        <v>1</v>
      </c>
      <c r="G1603" s="20" t="n">
        <f aca="false">IF(D1603&gt;=13,(1+Assumptions!B46)^(D1603-12),1)</f>
        <v>1.13067620830138</v>
      </c>
      <c r="H1603" s="21" t="n">
        <f aca="false">H1602*(1+IF(C1603=1,Assumptions!B22,Assumptions!B23))</f>
        <v>25.4911086455723</v>
      </c>
      <c r="I1603" s="16" t="n">
        <f aca="false">ROUND(H1603*F1603,0)</f>
        <v>25</v>
      </c>
      <c r="J1603" s="22" t="n">
        <f aca="false">I1603*Assumptions!B24</f>
        <v>15000</v>
      </c>
      <c r="K1603" s="21" t="n">
        <f aca="false">K1602*(1+Assumptions!B30)</f>
        <v>22.176814379171</v>
      </c>
      <c r="L1603" s="16" t="n">
        <f aca="false">ROUND(K1603*F1603,0)</f>
        <v>22</v>
      </c>
      <c r="M1603" s="22" t="n">
        <f aca="false">L1603*Assumptions!B31</f>
        <v>6600</v>
      </c>
      <c r="N1603" s="22" t="n">
        <f aca="false">J1603+M1603</f>
        <v>21600</v>
      </c>
      <c r="O1603" s="22" t="n">
        <f aca="false">IF(DAY(B1603)=1,Assumptions!B38*G1603,0)</f>
        <v>0</v>
      </c>
      <c r="P1603" s="22" t="n">
        <f aca="false">IF(DAY(B1603)=1,Assumptions!B39*G1603,0)</f>
        <v>0</v>
      </c>
      <c r="Q1603" s="22" t="n">
        <f aca="false">IF(DAY(B1603)=1,Assumptions!B40*G1603,0)</f>
        <v>0</v>
      </c>
      <c r="R1603" s="22" t="n">
        <f aca="false">IF(DAY(B1603)=1,Assumptions!B41*G1603,0)</f>
        <v>0</v>
      </c>
      <c r="S1603" s="22" t="n">
        <f aca="false">IF(AND(DAY(B1603)=1,D1603&gt;=13),Assumptions!B42*G1603,0)</f>
        <v>0</v>
      </c>
      <c r="T1603" s="22" t="n">
        <f aca="false">IF(DAY(B1603)=1,Assumptions!B43*G1603,0)</f>
        <v>0</v>
      </c>
      <c r="U1603" s="22" t="n">
        <f aca="false">SUM(O1603:T1603)</f>
        <v>0</v>
      </c>
      <c r="V1603" s="22" t="n">
        <f aca="false">N1603-U1603</f>
        <v>21600</v>
      </c>
      <c r="W1603" s="22" t="n">
        <f aca="false">W1602+V1603</f>
        <v>73340.9534075037</v>
      </c>
      <c r="X1603" s="23" t="str">
        <f aca="false">IF(W1603&gt;=0,"YES","No")</f>
        <v>YES</v>
      </c>
    </row>
    <row r="1604" customFormat="false" ht="15" hidden="false" customHeight="false" outlineLevel="0" collapsed="false">
      <c r="A1604" s="16" t="n">
        <v>1603</v>
      </c>
      <c r="B1604" s="17" t="n">
        <f aca="false">B1603+1</f>
        <v>47625</v>
      </c>
      <c r="C1604" s="18" t="n">
        <f aca="false">MIN(ROUNDUP(A1604/365,0),5)</f>
        <v>5</v>
      </c>
      <c r="D1604" s="18" t="n">
        <f aca="false">DATEDIF(Assumptions!B5,B1604,"m")+1</f>
        <v>53</v>
      </c>
      <c r="E1604" s="18" t="str">
        <f aca="false">TEXT(B1604,"ddd")</f>
        <v>Wed</v>
      </c>
      <c r="F1604" s="19" t="n">
        <f aca="false">IF(WEEKDAY(B1604,2)&gt;=6,Assumptions!B34,Assumptions!B35)</f>
        <v>1</v>
      </c>
      <c r="G1604" s="20" t="n">
        <f aca="false">IF(D1604&gt;=13,(1+Assumptions!B46)^(D1604-12),1)</f>
        <v>1.13067620830138</v>
      </c>
      <c r="H1604" s="21" t="n">
        <f aca="false">H1603*(1+IF(C1604=1,Assumptions!B22,Assumptions!B23))</f>
        <v>25.4952856619576</v>
      </c>
      <c r="I1604" s="16" t="n">
        <f aca="false">ROUND(H1604*F1604,0)</f>
        <v>25</v>
      </c>
      <c r="J1604" s="22" t="n">
        <f aca="false">I1604*Assumptions!B24</f>
        <v>15000</v>
      </c>
      <c r="K1604" s="21" t="n">
        <f aca="false">K1603*(1+Assumptions!B30)</f>
        <v>22.1840647967269</v>
      </c>
      <c r="L1604" s="16" t="n">
        <f aca="false">ROUND(K1604*F1604,0)</f>
        <v>22</v>
      </c>
      <c r="M1604" s="22" t="n">
        <f aca="false">L1604*Assumptions!B31</f>
        <v>6600</v>
      </c>
      <c r="N1604" s="22" t="n">
        <f aca="false">J1604+M1604</f>
        <v>21600</v>
      </c>
      <c r="O1604" s="22" t="n">
        <f aca="false">IF(DAY(B1604)=1,Assumptions!B38*G1604,0)</f>
        <v>0</v>
      </c>
      <c r="P1604" s="22" t="n">
        <f aca="false">IF(DAY(B1604)=1,Assumptions!B39*G1604,0)</f>
        <v>0</v>
      </c>
      <c r="Q1604" s="22" t="n">
        <f aca="false">IF(DAY(B1604)=1,Assumptions!B40*G1604,0)</f>
        <v>0</v>
      </c>
      <c r="R1604" s="22" t="n">
        <f aca="false">IF(DAY(B1604)=1,Assumptions!B41*G1604,0)</f>
        <v>0</v>
      </c>
      <c r="S1604" s="22" t="n">
        <f aca="false">IF(AND(DAY(B1604)=1,D1604&gt;=13),Assumptions!B42*G1604,0)</f>
        <v>0</v>
      </c>
      <c r="T1604" s="22" t="n">
        <f aca="false">IF(DAY(B1604)=1,Assumptions!B43*G1604,0)</f>
        <v>0</v>
      </c>
      <c r="U1604" s="22" t="n">
        <f aca="false">SUM(O1604:T1604)</f>
        <v>0</v>
      </c>
      <c r="V1604" s="22" t="n">
        <f aca="false">N1604-U1604</f>
        <v>21600</v>
      </c>
      <c r="W1604" s="22" t="n">
        <f aca="false">W1603+V1604</f>
        <v>94940.9534075037</v>
      </c>
      <c r="X1604" s="23" t="str">
        <f aca="false">IF(W1604&gt;=0,"YES","No")</f>
        <v>YES</v>
      </c>
    </row>
    <row r="1605" customFormat="false" ht="15" hidden="false" customHeight="false" outlineLevel="0" collapsed="false">
      <c r="A1605" s="16" t="n">
        <v>1604</v>
      </c>
      <c r="B1605" s="17" t="n">
        <f aca="false">B1604+1</f>
        <v>47626</v>
      </c>
      <c r="C1605" s="18" t="n">
        <f aca="false">MIN(ROUNDUP(A1605/365,0),5)</f>
        <v>5</v>
      </c>
      <c r="D1605" s="18" t="n">
        <f aca="false">DATEDIF(Assumptions!B5,B1605,"m")+1</f>
        <v>53</v>
      </c>
      <c r="E1605" s="18" t="str">
        <f aca="false">TEXT(B1605,"ddd")</f>
        <v>Thu</v>
      </c>
      <c r="F1605" s="19" t="n">
        <f aca="false">IF(WEEKDAY(B1605,2)&gt;=6,Assumptions!B34,Assumptions!B35)</f>
        <v>1</v>
      </c>
      <c r="G1605" s="20" t="n">
        <f aca="false">IF(D1605&gt;=13,(1+Assumptions!B46)^(D1605-12),1)</f>
        <v>1.13067620830138</v>
      </c>
      <c r="H1605" s="21" t="n">
        <f aca="false">H1604*(1+IF(C1605=1,Assumptions!B22,Assumptions!B23))</f>
        <v>25.4994633627959</v>
      </c>
      <c r="I1605" s="16" t="n">
        <f aca="false">ROUND(H1605*F1605,0)</f>
        <v>25</v>
      </c>
      <c r="J1605" s="22" t="n">
        <f aca="false">I1605*Assumptions!B24</f>
        <v>15000</v>
      </c>
      <c r="K1605" s="21" t="n">
        <f aca="false">K1604*(1+Assumptions!B30)</f>
        <v>22.1913175847115</v>
      </c>
      <c r="L1605" s="16" t="n">
        <f aca="false">ROUND(K1605*F1605,0)</f>
        <v>22</v>
      </c>
      <c r="M1605" s="22" t="n">
        <f aca="false">L1605*Assumptions!B31</f>
        <v>6600</v>
      </c>
      <c r="N1605" s="22" t="n">
        <f aca="false">J1605+M1605</f>
        <v>21600</v>
      </c>
      <c r="O1605" s="22" t="n">
        <f aca="false">IF(DAY(B1605)=1,Assumptions!B38*G1605,0)</f>
        <v>0</v>
      </c>
      <c r="P1605" s="22" t="n">
        <f aca="false">IF(DAY(B1605)=1,Assumptions!B39*G1605,0)</f>
        <v>0</v>
      </c>
      <c r="Q1605" s="22" t="n">
        <f aca="false">IF(DAY(B1605)=1,Assumptions!B40*G1605,0)</f>
        <v>0</v>
      </c>
      <c r="R1605" s="22" t="n">
        <f aca="false">IF(DAY(B1605)=1,Assumptions!B41*G1605,0)</f>
        <v>0</v>
      </c>
      <c r="S1605" s="22" t="n">
        <f aca="false">IF(AND(DAY(B1605)=1,D1605&gt;=13),Assumptions!B42*G1605,0)</f>
        <v>0</v>
      </c>
      <c r="T1605" s="22" t="n">
        <f aca="false">IF(DAY(B1605)=1,Assumptions!B43*G1605,0)</f>
        <v>0</v>
      </c>
      <c r="U1605" s="22" t="n">
        <f aca="false">SUM(O1605:T1605)</f>
        <v>0</v>
      </c>
      <c r="V1605" s="22" t="n">
        <f aca="false">N1605-U1605</f>
        <v>21600</v>
      </c>
      <c r="W1605" s="22" t="n">
        <f aca="false">W1604+V1605</f>
        <v>116540.953407504</v>
      </c>
      <c r="X1605" s="23" t="str">
        <f aca="false">IF(W1605&gt;=0,"YES","No")</f>
        <v>YES</v>
      </c>
    </row>
    <row r="1606" customFormat="false" ht="15" hidden="false" customHeight="false" outlineLevel="0" collapsed="false">
      <c r="A1606" s="16" t="n">
        <v>1605</v>
      </c>
      <c r="B1606" s="17" t="n">
        <f aca="false">B1605+1</f>
        <v>47627</v>
      </c>
      <c r="C1606" s="18" t="n">
        <f aca="false">MIN(ROUNDUP(A1606/365,0),5)</f>
        <v>5</v>
      </c>
      <c r="D1606" s="18" t="n">
        <f aca="false">DATEDIF(Assumptions!B5,B1606,"m")+1</f>
        <v>53</v>
      </c>
      <c r="E1606" s="18" t="str">
        <f aca="false">TEXT(B1606,"ddd")</f>
        <v>Fri</v>
      </c>
      <c r="F1606" s="19" t="n">
        <f aca="false">IF(WEEKDAY(B1606,2)&gt;=6,Assumptions!B34,Assumptions!B35)</f>
        <v>1</v>
      </c>
      <c r="G1606" s="20" t="n">
        <f aca="false">IF(D1606&gt;=13,(1+Assumptions!B46)^(D1606-12),1)</f>
        <v>1.13067620830138</v>
      </c>
      <c r="H1606" s="21" t="n">
        <f aca="false">H1605*(1+IF(C1606=1,Assumptions!B22,Assumptions!B23))</f>
        <v>25.5036417481994</v>
      </c>
      <c r="I1606" s="16" t="n">
        <f aca="false">ROUND(H1606*F1606,0)</f>
        <v>26</v>
      </c>
      <c r="J1606" s="22" t="n">
        <f aca="false">I1606*Assumptions!B24</f>
        <v>15600</v>
      </c>
      <c r="K1606" s="21" t="n">
        <f aca="false">K1605*(1+Assumptions!B30)</f>
        <v>22.1985727438996</v>
      </c>
      <c r="L1606" s="16" t="n">
        <f aca="false">ROUND(K1606*F1606,0)</f>
        <v>22</v>
      </c>
      <c r="M1606" s="22" t="n">
        <f aca="false">L1606*Assumptions!B31</f>
        <v>6600</v>
      </c>
      <c r="N1606" s="22" t="n">
        <f aca="false">J1606+M1606</f>
        <v>22200</v>
      </c>
      <c r="O1606" s="22" t="n">
        <f aca="false">IF(DAY(B1606)=1,Assumptions!B38*G1606,0)</f>
        <v>0</v>
      </c>
      <c r="P1606" s="22" t="n">
        <f aca="false">IF(DAY(B1606)=1,Assumptions!B39*G1606,0)</f>
        <v>0</v>
      </c>
      <c r="Q1606" s="22" t="n">
        <f aca="false">IF(DAY(B1606)=1,Assumptions!B40*G1606,0)</f>
        <v>0</v>
      </c>
      <c r="R1606" s="22" t="n">
        <f aca="false">IF(DAY(B1606)=1,Assumptions!B41*G1606,0)</f>
        <v>0</v>
      </c>
      <c r="S1606" s="22" t="n">
        <f aca="false">IF(AND(DAY(B1606)=1,D1606&gt;=13),Assumptions!B42*G1606,0)</f>
        <v>0</v>
      </c>
      <c r="T1606" s="22" t="n">
        <f aca="false">IF(DAY(B1606)=1,Assumptions!B43*G1606,0)</f>
        <v>0</v>
      </c>
      <c r="U1606" s="22" t="n">
        <f aca="false">SUM(O1606:T1606)</f>
        <v>0</v>
      </c>
      <c r="V1606" s="22" t="n">
        <f aca="false">N1606-U1606</f>
        <v>22200</v>
      </c>
      <c r="W1606" s="22" t="n">
        <f aca="false">W1605+V1606</f>
        <v>138740.953407504</v>
      </c>
      <c r="X1606" s="23" t="str">
        <f aca="false">IF(W1606&gt;=0,"YES","No")</f>
        <v>YES</v>
      </c>
    </row>
    <row r="1607" customFormat="false" ht="15" hidden="false" customHeight="false" outlineLevel="0" collapsed="false">
      <c r="A1607" s="16" t="n">
        <v>1606</v>
      </c>
      <c r="B1607" s="17" t="n">
        <f aca="false">B1606+1</f>
        <v>47628</v>
      </c>
      <c r="C1607" s="18" t="n">
        <f aca="false">MIN(ROUNDUP(A1607/365,0),5)</f>
        <v>5</v>
      </c>
      <c r="D1607" s="18" t="n">
        <f aca="false">DATEDIF(Assumptions!B5,B1607,"m")+1</f>
        <v>53</v>
      </c>
      <c r="E1607" s="18" t="str">
        <f aca="false">TEXT(B1607,"ddd")</f>
        <v>Sat</v>
      </c>
      <c r="F1607" s="19" t="n">
        <f aca="false">IF(WEEKDAY(B1607,2)&gt;=6,Assumptions!B34,Assumptions!B35)</f>
        <v>0.6</v>
      </c>
      <c r="G1607" s="20" t="n">
        <f aca="false">IF(D1607&gt;=13,(1+Assumptions!B46)^(D1607-12),1)</f>
        <v>1.13067620830138</v>
      </c>
      <c r="H1607" s="21" t="n">
        <f aca="false">H1606*(1+IF(C1607=1,Assumptions!B22,Assumptions!B23))</f>
        <v>25.5078208182802</v>
      </c>
      <c r="I1607" s="16" t="n">
        <f aca="false">ROUND(H1607*F1607,0)</f>
        <v>15</v>
      </c>
      <c r="J1607" s="22" t="n">
        <f aca="false">I1607*Assumptions!B24</f>
        <v>9000</v>
      </c>
      <c r="K1607" s="21" t="n">
        <f aca="false">K1606*(1+Assumptions!B30)</f>
        <v>22.2058302750665</v>
      </c>
      <c r="L1607" s="16" t="n">
        <f aca="false">ROUND(K1607*F1607,0)</f>
        <v>13</v>
      </c>
      <c r="M1607" s="22" t="n">
        <f aca="false">L1607*Assumptions!B31</f>
        <v>3900</v>
      </c>
      <c r="N1607" s="22" t="n">
        <f aca="false">J1607+M1607</f>
        <v>12900</v>
      </c>
      <c r="O1607" s="22" t="n">
        <f aca="false">IF(DAY(B1607)=1,Assumptions!B38*G1607,0)</f>
        <v>0</v>
      </c>
      <c r="P1607" s="22" t="n">
        <f aca="false">IF(DAY(B1607)=1,Assumptions!B39*G1607,0)</f>
        <v>0</v>
      </c>
      <c r="Q1607" s="22" t="n">
        <f aca="false">IF(DAY(B1607)=1,Assumptions!B40*G1607,0)</f>
        <v>0</v>
      </c>
      <c r="R1607" s="22" t="n">
        <f aca="false">IF(DAY(B1607)=1,Assumptions!B41*G1607,0)</f>
        <v>0</v>
      </c>
      <c r="S1607" s="22" t="n">
        <f aca="false">IF(AND(DAY(B1607)=1,D1607&gt;=13),Assumptions!B42*G1607,0)</f>
        <v>0</v>
      </c>
      <c r="T1607" s="22" t="n">
        <f aca="false">IF(DAY(B1607)=1,Assumptions!B43*G1607,0)</f>
        <v>0</v>
      </c>
      <c r="U1607" s="22" t="n">
        <f aca="false">SUM(O1607:T1607)</f>
        <v>0</v>
      </c>
      <c r="V1607" s="22" t="n">
        <f aca="false">N1607-U1607</f>
        <v>12900</v>
      </c>
      <c r="W1607" s="22" t="n">
        <f aca="false">W1606+V1607</f>
        <v>151640.953407504</v>
      </c>
      <c r="X1607" s="23" t="str">
        <f aca="false">IF(W1607&gt;=0,"YES","No")</f>
        <v>YES</v>
      </c>
    </row>
    <row r="1608" customFormat="false" ht="15" hidden="false" customHeight="false" outlineLevel="0" collapsed="false">
      <c r="A1608" s="16" t="n">
        <v>1607</v>
      </c>
      <c r="B1608" s="17" t="n">
        <f aca="false">B1607+1</f>
        <v>47629</v>
      </c>
      <c r="C1608" s="18" t="n">
        <f aca="false">MIN(ROUNDUP(A1608/365,0),5)</f>
        <v>5</v>
      </c>
      <c r="D1608" s="18" t="n">
        <f aca="false">DATEDIF(Assumptions!B5,B1608,"m")+1</f>
        <v>53</v>
      </c>
      <c r="E1608" s="18" t="str">
        <f aca="false">TEXT(B1608,"ddd")</f>
        <v>Sun</v>
      </c>
      <c r="F1608" s="19" t="n">
        <f aca="false">IF(WEEKDAY(B1608,2)&gt;=6,Assumptions!B34,Assumptions!B35)</f>
        <v>0.6</v>
      </c>
      <c r="G1608" s="20" t="n">
        <f aca="false">IF(D1608&gt;=13,(1+Assumptions!B46)^(D1608-12),1)</f>
        <v>1.13067620830138</v>
      </c>
      <c r="H1608" s="21" t="n">
        <f aca="false">H1607*(1+IF(C1608=1,Assumptions!B22,Assumptions!B23))</f>
        <v>25.5120005731505</v>
      </c>
      <c r="I1608" s="16" t="n">
        <f aca="false">ROUND(H1608*F1608,0)</f>
        <v>15</v>
      </c>
      <c r="J1608" s="22" t="n">
        <f aca="false">I1608*Assumptions!B24</f>
        <v>9000</v>
      </c>
      <c r="K1608" s="21" t="n">
        <f aca="false">K1607*(1+Assumptions!B30)</f>
        <v>22.2130901789877</v>
      </c>
      <c r="L1608" s="16" t="n">
        <f aca="false">ROUND(K1608*F1608,0)</f>
        <v>13</v>
      </c>
      <c r="M1608" s="22" t="n">
        <f aca="false">L1608*Assumptions!B31</f>
        <v>3900</v>
      </c>
      <c r="N1608" s="22" t="n">
        <f aca="false">J1608+M1608</f>
        <v>12900</v>
      </c>
      <c r="O1608" s="22" t="n">
        <f aca="false">IF(DAY(B1608)=1,Assumptions!B38*G1608,0)</f>
        <v>0</v>
      </c>
      <c r="P1608" s="22" t="n">
        <f aca="false">IF(DAY(B1608)=1,Assumptions!B39*G1608,0)</f>
        <v>0</v>
      </c>
      <c r="Q1608" s="22" t="n">
        <f aca="false">IF(DAY(B1608)=1,Assumptions!B40*G1608,0)</f>
        <v>0</v>
      </c>
      <c r="R1608" s="22" t="n">
        <f aca="false">IF(DAY(B1608)=1,Assumptions!B41*G1608,0)</f>
        <v>0</v>
      </c>
      <c r="S1608" s="22" t="n">
        <f aca="false">IF(AND(DAY(B1608)=1,D1608&gt;=13),Assumptions!B42*G1608,0)</f>
        <v>0</v>
      </c>
      <c r="T1608" s="22" t="n">
        <f aca="false">IF(DAY(B1608)=1,Assumptions!B43*G1608,0)</f>
        <v>0</v>
      </c>
      <c r="U1608" s="22" t="n">
        <f aca="false">SUM(O1608:T1608)</f>
        <v>0</v>
      </c>
      <c r="V1608" s="22" t="n">
        <f aca="false">N1608-U1608</f>
        <v>12900</v>
      </c>
      <c r="W1608" s="22" t="n">
        <f aca="false">W1607+V1608</f>
        <v>164540.953407504</v>
      </c>
      <c r="X1608" s="23" t="str">
        <f aca="false">IF(W1608&gt;=0,"YES","No")</f>
        <v>YES</v>
      </c>
    </row>
    <row r="1609" customFormat="false" ht="15" hidden="false" customHeight="false" outlineLevel="0" collapsed="false">
      <c r="A1609" s="16" t="n">
        <v>1608</v>
      </c>
      <c r="B1609" s="17" t="n">
        <f aca="false">B1608+1</f>
        <v>47630</v>
      </c>
      <c r="C1609" s="18" t="n">
        <f aca="false">MIN(ROUNDUP(A1609/365,0),5)</f>
        <v>5</v>
      </c>
      <c r="D1609" s="18" t="n">
        <f aca="false">DATEDIF(Assumptions!B5,B1609,"m")+1</f>
        <v>53</v>
      </c>
      <c r="E1609" s="18" t="str">
        <f aca="false">TEXT(B1609,"ddd")</f>
        <v>Mon</v>
      </c>
      <c r="F1609" s="19" t="n">
        <f aca="false">IF(WEEKDAY(B1609,2)&gt;=6,Assumptions!B34,Assumptions!B35)</f>
        <v>1</v>
      </c>
      <c r="G1609" s="20" t="n">
        <f aca="false">IF(D1609&gt;=13,(1+Assumptions!B46)^(D1609-12),1)</f>
        <v>1.13067620830138</v>
      </c>
      <c r="H1609" s="21" t="n">
        <f aca="false">H1608*(1+IF(C1609=1,Assumptions!B22,Assumptions!B23))</f>
        <v>25.5161810129226</v>
      </c>
      <c r="I1609" s="16" t="n">
        <f aca="false">ROUND(H1609*F1609,0)</f>
        <v>26</v>
      </c>
      <c r="J1609" s="22" t="n">
        <f aca="false">I1609*Assumptions!B24</f>
        <v>15600</v>
      </c>
      <c r="K1609" s="21" t="n">
        <f aca="false">K1608*(1+Assumptions!B30)</f>
        <v>22.2203524564389</v>
      </c>
      <c r="L1609" s="16" t="n">
        <f aca="false">ROUND(K1609*F1609,0)</f>
        <v>22</v>
      </c>
      <c r="M1609" s="22" t="n">
        <f aca="false">L1609*Assumptions!B31</f>
        <v>6600</v>
      </c>
      <c r="N1609" s="22" t="n">
        <f aca="false">J1609+M1609</f>
        <v>22200</v>
      </c>
      <c r="O1609" s="22" t="n">
        <f aca="false">IF(DAY(B1609)=1,Assumptions!B38*G1609,0)</f>
        <v>0</v>
      </c>
      <c r="P1609" s="22" t="n">
        <f aca="false">IF(DAY(B1609)=1,Assumptions!B39*G1609,0)</f>
        <v>0</v>
      </c>
      <c r="Q1609" s="22" t="n">
        <f aca="false">IF(DAY(B1609)=1,Assumptions!B40*G1609,0)</f>
        <v>0</v>
      </c>
      <c r="R1609" s="22" t="n">
        <f aca="false">IF(DAY(B1609)=1,Assumptions!B41*G1609,0)</f>
        <v>0</v>
      </c>
      <c r="S1609" s="22" t="n">
        <f aca="false">IF(AND(DAY(B1609)=1,D1609&gt;=13),Assumptions!B42*G1609,0)</f>
        <v>0</v>
      </c>
      <c r="T1609" s="22" t="n">
        <f aca="false">IF(DAY(B1609)=1,Assumptions!B43*G1609,0)</f>
        <v>0</v>
      </c>
      <c r="U1609" s="22" t="n">
        <f aca="false">SUM(O1609:T1609)</f>
        <v>0</v>
      </c>
      <c r="V1609" s="22" t="n">
        <f aca="false">N1609-U1609</f>
        <v>22200</v>
      </c>
      <c r="W1609" s="22" t="n">
        <f aca="false">W1608+V1609</f>
        <v>186740.953407504</v>
      </c>
      <c r="X1609" s="23" t="str">
        <f aca="false">IF(W1609&gt;=0,"YES","No")</f>
        <v>YES</v>
      </c>
    </row>
    <row r="1610" customFormat="false" ht="15" hidden="false" customHeight="false" outlineLevel="0" collapsed="false">
      <c r="A1610" s="16" t="n">
        <v>1609</v>
      </c>
      <c r="B1610" s="17" t="n">
        <f aca="false">B1609+1</f>
        <v>47631</v>
      </c>
      <c r="C1610" s="18" t="n">
        <f aca="false">MIN(ROUNDUP(A1610/365,0),5)</f>
        <v>5</v>
      </c>
      <c r="D1610" s="18" t="n">
        <f aca="false">DATEDIF(Assumptions!B5,B1610,"m")+1</f>
        <v>53</v>
      </c>
      <c r="E1610" s="18" t="str">
        <f aca="false">TEXT(B1610,"ddd")</f>
        <v>Tue</v>
      </c>
      <c r="F1610" s="19" t="n">
        <f aca="false">IF(WEEKDAY(B1610,2)&gt;=6,Assumptions!B34,Assumptions!B35)</f>
        <v>1</v>
      </c>
      <c r="G1610" s="20" t="n">
        <f aca="false">IF(D1610&gt;=13,(1+Assumptions!B46)^(D1610-12),1)</f>
        <v>1.13067620830138</v>
      </c>
      <c r="H1610" s="21" t="n">
        <f aca="false">H1609*(1+IF(C1610=1,Assumptions!B22,Assumptions!B23))</f>
        <v>25.5203621377086</v>
      </c>
      <c r="I1610" s="16" t="n">
        <f aca="false">ROUND(H1610*F1610,0)</f>
        <v>26</v>
      </c>
      <c r="J1610" s="22" t="n">
        <f aca="false">I1610*Assumptions!B24</f>
        <v>15600</v>
      </c>
      <c r="K1610" s="21" t="n">
        <f aca="false">K1609*(1+Assumptions!B30)</f>
        <v>22.2276171081962</v>
      </c>
      <c r="L1610" s="16" t="n">
        <f aca="false">ROUND(K1610*F1610,0)</f>
        <v>22</v>
      </c>
      <c r="M1610" s="22" t="n">
        <f aca="false">L1610*Assumptions!B31</f>
        <v>6600</v>
      </c>
      <c r="N1610" s="22" t="n">
        <f aca="false">J1610+M1610</f>
        <v>22200</v>
      </c>
      <c r="O1610" s="22" t="n">
        <f aca="false">IF(DAY(B1610)=1,Assumptions!B38*G1610,0)</f>
        <v>0</v>
      </c>
      <c r="P1610" s="22" t="n">
        <f aca="false">IF(DAY(B1610)=1,Assumptions!B39*G1610,0)</f>
        <v>0</v>
      </c>
      <c r="Q1610" s="22" t="n">
        <f aca="false">IF(DAY(B1610)=1,Assumptions!B40*G1610,0)</f>
        <v>0</v>
      </c>
      <c r="R1610" s="22" t="n">
        <f aca="false">IF(DAY(B1610)=1,Assumptions!B41*G1610,0)</f>
        <v>0</v>
      </c>
      <c r="S1610" s="22" t="n">
        <f aca="false">IF(AND(DAY(B1610)=1,D1610&gt;=13),Assumptions!B42*G1610,0)</f>
        <v>0</v>
      </c>
      <c r="T1610" s="22" t="n">
        <f aca="false">IF(DAY(B1610)=1,Assumptions!B43*G1610,0)</f>
        <v>0</v>
      </c>
      <c r="U1610" s="22" t="n">
        <f aca="false">SUM(O1610:T1610)</f>
        <v>0</v>
      </c>
      <c r="V1610" s="22" t="n">
        <f aca="false">N1610-U1610</f>
        <v>22200</v>
      </c>
      <c r="W1610" s="22" t="n">
        <f aca="false">W1609+V1610</f>
        <v>208940.953407504</v>
      </c>
      <c r="X1610" s="23" t="str">
        <f aca="false">IF(W1610&gt;=0,"YES","No")</f>
        <v>YES</v>
      </c>
    </row>
    <row r="1611" customFormat="false" ht="15" hidden="false" customHeight="false" outlineLevel="0" collapsed="false">
      <c r="A1611" s="16" t="n">
        <v>1610</v>
      </c>
      <c r="B1611" s="17" t="n">
        <f aca="false">B1610+1</f>
        <v>47632</v>
      </c>
      <c r="C1611" s="18" t="n">
        <f aca="false">MIN(ROUNDUP(A1611/365,0),5)</f>
        <v>5</v>
      </c>
      <c r="D1611" s="18" t="n">
        <f aca="false">DATEDIF(Assumptions!B5,B1611,"m")+1</f>
        <v>53</v>
      </c>
      <c r="E1611" s="18" t="str">
        <f aca="false">TEXT(B1611,"ddd")</f>
        <v>Wed</v>
      </c>
      <c r="F1611" s="19" t="n">
        <f aca="false">IF(WEEKDAY(B1611,2)&gt;=6,Assumptions!B34,Assumptions!B35)</f>
        <v>1</v>
      </c>
      <c r="G1611" s="20" t="n">
        <f aca="false">IF(D1611&gt;=13,(1+Assumptions!B46)^(D1611-12),1)</f>
        <v>1.13067620830138</v>
      </c>
      <c r="H1611" s="21" t="n">
        <f aca="false">H1610*(1+IF(C1611=1,Assumptions!B22,Assumptions!B23))</f>
        <v>25.5245439476209</v>
      </c>
      <c r="I1611" s="16" t="n">
        <f aca="false">ROUND(H1611*F1611,0)</f>
        <v>26</v>
      </c>
      <c r="J1611" s="22" t="n">
        <f aca="false">I1611*Assumptions!B24</f>
        <v>15600</v>
      </c>
      <c r="K1611" s="21" t="n">
        <f aca="false">K1610*(1+Assumptions!B30)</f>
        <v>22.2348841350357</v>
      </c>
      <c r="L1611" s="16" t="n">
        <f aca="false">ROUND(K1611*F1611,0)</f>
        <v>22</v>
      </c>
      <c r="M1611" s="22" t="n">
        <f aca="false">L1611*Assumptions!B31</f>
        <v>6600</v>
      </c>
      <c r="N1611" s="22" t="n">
        <f aca="false">J1611+M1611</f>
        <v>22200</v>
      </c>
      <c r="O1611" s="22" t="n">
        <f aca="false">IF(DAY(B1611)=1,Assumptions!B38*G1611,0)</f>
        <v>0</v>
      </c>
      <c r="P1611" s="22" t="n">
        <f aca="false">IF(DAY(B1611)=1,Assumptions!B39*G1611,0)</f>
        <v>0</v>
      </c>
      <c r="Q1611" s="22" t="n">
        <f aca="false">IF(DAY(B1611)=1,Assumptions!B40*G1611,0)</f>
        <v>0</v>
      </c>
      <c r="R1611" s="22" t="n">
        <f aca="false">IF(DAY(B1611)=1,Assumptions!B41*G1611,0)</f>
        <v>0</v>
      </c>
      <c r="S1611" s="22" t="n">
        <f aca="false">IF(AND(DAY(B1611)=1,D1611&gt;=13),Assumptions!B42*G1611,0)</f>
        <v>0</v>
      </c>
      <c r="T1611" s="22" t="n">
        <f aca="false">IF(DAY(B1611)=1,Assumptions!B43*G1611,0)</f>
        <v>0</v>
      </c>
      <c r="U1611" s="22" t="n">
        <f aca="false">SUM(O1611:T1611)</f>
        <v>0</v>
      </c>
      <c r="V1611" s="22" t="n">
        <f aca="false">N1611-U1611</f>
        <v>22200</v>
      </c>
      <c r="W1611" s="22" t="n">
        <f aca="false">W1610+V1611</f>
        <v>231140.953407504</v>
      </c>
      <c r="X1611" s="23" t="str">
        <f aca="false">IF(W1611&gt;=0,"YES","No")</f>
        <v>YES</v>
      </c>
    </row>
    <row r="1612" customFormat="false" ht="15" hidden="false" customHeight="false" outlineLevel="0" collapsed="false">
      <c r="A1612" s="16" t="n">
        <v>1611</v>
      </c>
      <c r="B1612" s="17" t="n">
        <f aca="false">B1611+1</f>
        <v>47633</v>
      </c>
      <c r="C1612" s="18" t="n">
        <f aca="false">MIN(ROUNDUP(A1612/365,0),5)</f>
        <v>5</v>
      </c>
      <c r="D1612" s="18" t="n">
        <f aca="false">DATEDIF(Assumptions!B5,B1612,"m")+1</f>
        <v>53</v>
      </c>
      <c r="E1612" s="18" t="str">
        <f aca="false">TEXT(B1612,"ddd")</f>
        <v>Thu</v>
      </c>
      <c r="F1612" s="19" t="n">
        <f aca="false">IF(WEEKDAY(B1612,2)&gt;=6,Assumptions!B34,Assumptions!B35)</f>
        <v>1</v>
      </c>
      <c r="G1612" s="20" t="n">
        <f aca="false">IF(D1612&gt;=13,(1+Assumptions!B46)^(D1612-12),1)</f>
        <v>1.13067620830138</v>
      </c>
      <c r="H1612" s="21" t="n">
        <f aca="false">H1611*(1+IF(C1612=1,Assumptions!B22,Assumptions!B23))</f>
        <v>25.5287264427716</v>
      </c>
      <c r="I1612" s="16" t="n">
        <f aca="false">ROUND(H1612*F1612,0)</f>
        <v>26</v>
      </c>
      <c r="J1612" s="22" t="n">
        <f aca="false">I1612*Assumptions!B24</f>
        <v>15600</v>
      </c>
      <c r="K1612" s="21" t="n">
        <f aca="false">K1611*(1+Assumptions!B30)</f>
        <v>22.242153537734</v>
      </c>
      <c r="L1612" s="16" t="n">
        <f aca="false">ROUND(K1612*F1612,0)</f>
        <v>22</v>
      </c>
      <c r="M1612" s="22" t="n">
        <f aca="false">L1612*Assumptions!B31</f>
        <v>6600</v>
      </c>
      <c r="N1612" s="22" t="n">
        <f aca="false">J1612+M1612</f>
        <v>22200</v>
      </c>
      <c r="O1612" s="22" t="n">
        <f aca="false">IF(DAY(B1612)=1,Assumptions!B38*G1612,0)</f>
        <v>0</v>
      </c>
      <c r="P1612" s="22" t="n">
        <f aca="false">IF(DAY(B1612)=1,Assumptions!B39*G1612,0)</f>
        <v>0</v>
      </c>
      <c r="Q1612" s="22" t="n">
        <f aca="false">IF(DAY(B1612)=1,Assumptions!B40*G1612,0)</f>
        <v>0</v>
      </c>
      <c r="R1612" s="22" t="n">
        <f aca="false">IF(DAY(B1612)=1,Assumptions!B41*G1612,0)</f>
        <v>0</v>
      </c>
      <c r="S1612" s="22" t="n">
        <f aca="false">IF(AND(DAY(B1612)=1,D1612&gt;=13),Assumptions!B42*G1612,0)</f>
        <v>0</v>
      </c>
      <c r="T1612" s="22" t="n">
        <f aca="false">IF(DAY(B1612)=1,Assumptions!B43*G1612,0)</f>
        <v>0</v>
      </c>
      <c r="U1612" s="22" t="n">
        <f aca="false">SUM(O1612:T1612)</f>
        <v>0</v>
      </c>
      <c r="V1612" s="22" t="n">
        <f aca="false">N1612-U1612</f>
        <v>22200</v>
      </c>
      <c r="W1612" s="22" t="n">
        <f aca="false">W1611+V1612</f>
        <v>253340.953407504</v>
      </c>
      <c r="X1612" s="23" t="str">
        <f aca="false">IF(W1612&gt;=0,"YES","No")</f>
        <v>YES</v>
      </c>
    </row>
    <row r="1613" customFormat="false" ht="15" hidden="false" customHeight="false" outlineLevel="0" collapsed="false">
      <c r="A1613" s="16" t="n">
        <v>1612</v>
      </c>
      <c r="B1613" s="17" t="n">
        <f aca="false">B1612+1</f>
        <v>47634</v>
      </c>
      <c r="C1613" s="18" t="n">
        <f aca="false">MIN(ROUNDUP(A1613/365,0),5)</f>
        <v>5</v>
      </c>
      <c r="D1613" s="18" t="n">
        <f aca="false">DATEDIF(Assumptions!B5,B1613,"m")+1</f>
        <v>53</v>
      </c>
      <c r="E1613" s="18" t="str">
        <f aca="false">TEXT(B1613,"ddd")</f>
        <v>Fri</v>
      </c>
      <c r="F1613" s="19" t="n">
        <f aca="false">IF(WEEKDAY(B1613,2)&gt;=6,Assumptions!B34,Assumptions!B35)</f>
        <v>1</v>
      </c>
      <c r="G1613" s="20" t="n">
        <f aca="false">IF(D1613&gt;=13,(1+Assumptions!B46)^(D1613-12),1)</f>
        <v>1.13067620830138</v>
      </c>
      <c r="H1613" s="21" t="n">
        <f aca="false">H1612*(1+IF(C1613=1,Assumptions!B22,Assumptions!B23))</f>
        <v>25.5329096232731</v>
      </c>
      <c r="I1613" s="16" t="n">
        <f aca="false">ROUND(H1613*F1613,0)</f>
        <v>26</v>
      </c>
      <c r="J1613" s="22" t="n">
        <f aca="false">I1613*Assumptions!B24</f>
        <v>15600</v>
      </c>
      <c r="K1613" s="21" t="n">
        <f aca="false">K1612*(1+Assumptions!B30)</f>
        <v>22.2494253170678</v>
      </c>
      <c r="L1613" s="16" t="n">
        <f aca="false">ROUND(K1613*F1613,0)</f>
        <v>22</v>
      </c>
      <c r="M1613" s="22" t="n">
        <f aca="false">L1613*Assumptions!B31</f>
        <v>6600</v>
      </c>
      <c r="N1613" s="22" t="n">
        <f aca="false">J1613+M1613</f>
        <v>22200</v>
      </c>
      <c r="O1613" s="22" t="n">
        <f aca="false">IF(DAY(B1613)=1,Assumptions!B38*G1613,0)</f>
        <v>0</v>
      </c>
      <c r="P1613" s="22" t="n">
        <f aca="false">IF(DAY(B1613)=1,Assumptions!B39*G1613,0)</f>
        <v>0</v>
      </c>
      <c r="Q1613" s="22" t="n">
        <f aca="false">IF(DAY(B1613)=1,Assumptions!B40*G1613,0)</f>
        <v>0</v>
      </c>
      <c r="R1613" s="22" t="n">
        <f aca="false">IF(DAY(B1613)=1,Assumptions!B41*G1613,0)</f>
        <v>0</v>
      </c>
      <c r="S1613" s="22" t="n">
        <f aca="false">IF(AND(DAY(B1613)=1,D1613&gt;=13),Assumptions!B42*G1613,0)</f>
        <v>0</v>
      </c>
      <c r="T1613" s="22" t="n">
        <f aca="false">IF(DAY(B1613)=1,Assumptions!B43*G1613,0)</f>
        <v>0</v>
      </c>
      <c r="U1613" s="22" t="n">
        <f aca="false">SUM(O1613:T1613)</f>
        <v>0</v>
      </c>
      <c r="V1613" s="22" t="n">
        <f aca="false">N1613-U1613</f>
        <v>22200</v>
      </c>
      <c r="W1613" s="22" t="n">
        <f aca="false">W1612+V1613</f>
        <v>275540.953407504</v>
      </c>
      <c r="X1613" s="23" t="str">
        <f aca="false">IF(W1613&gt;=0,"YES","No")</f>
        <v>YES</v>
      </c>
    </row>
    <row r="1614" customFormat="false" ht="15" hidden="false" customHeight="false" outlineLevel="0" collapsed="false">
      <c r="A1614" s="16" t="n">
        <v>1613</v>
      </c>
      <c r="B1614" s="17" t="n">
        <f aca="false">B1613+1</f>
        <v>47635</v>
      </c>
      <c r="C1614" s="18" t="n">
        <f aca="false">MIN(ROUNDUP(A1614/365,0),5)</f>
        <v>5</v>
      </c>
      <c r="D1614" s="18" t="n">
        <f aca="false">DATEDIF(Assumptions!B5,B1614,"m")+1</f>
        <v>54</v>
      </c>
      <c r="E1614" s="18" t="str">
        <f aca="false">TEXT(B1614,"ddd")</f>
        <v>Sat</v>
      </c>
      <c r="F1614" s="19" t="n">
        <f aca="false">IF(WEEKDAY(B1614,2)&gt;=6,Assumptions!B34,Assumptions!B35)</f>
        <v>0.6</v>
      </c>
      <c r="G1614" s="20" t="n">
        <f aca="false">IF(D1614&gt;=13,(1+Assumptions!B46)^(D1614-12),1)</f>
        <v>1.13406823692628</v>
      </c>
      <c r="H1614" s="21" t="n">
        <f aca="false">H1613*(1+IF(C1614=1,Assumptions!B22,Assumptions!B23))</f>
        <v>25.5370934892377</v>
      </c>
      <c r="I1614" s="16" t="n">
        <f aca="false">ROUND(H1614*F1614,0)</f>
        <v>15</v>
      </c>
      <c r="J1614" s="22" t="n">
        <f aca="false">I1614*Assumptions!B24</f>
        <v>9000</v>
      </c>
      <c r="K1614" s="21" t="n">
        <f aca="false">K1613*(1+Assumptions!B30)</f>
        <v>22.2566994738142</v>
      </c>
      <c r="L1614" s="16" t="n">
        <f aca="false">ROUND(K1614*F1614,0)</f>
        <v>13</v>
      </c>
      <c r="M1614" s="22" t="n">
        <f aca="false">L1614*Assumptions!B31</f>
        <v>3900</v>
      </c>
      <c r="N1614" s="22" t="n">
        <f aca="false">J1614+M1614</f>
        <v>12900</v>
      </c>
      <c r="O1614" s="22" t="n">
        <f aca="false">IF(DAY(B1614)=1,Assumptions!B38*G1614,0)</f>
        <v>170110.235538942</v>
      </c>
      <c r="P1614" s="22" t="n">
        <f aca="false">IF(DAY(B1614)=1,Assumptions!B39*G1614,0)</f>
        <v>45362.7294770513</v>
      </c>
      <c r="Q1614" s="22" t="n">
        <f aca="false">IF(DAY(B1614)=1,Assumptions!B40*G1614,0)</f>
        <v>34022.0471077885</v>
      </c>
      <c r="R1614" s="22" t="n">
        <f aca="false">IF(DAY(B1614)=1,Assumptions!B41*G1614,0)</f>
        <v>22681.3647385256</v>
      </c>
      <c r="S1614" s="22" t="n">
        <f aca="false">IF(AND(DAY(B1614)=1,D1614&gt;=13),Assumptions!B42*G1614,0)</f>
        <v>170110.235538942</v>
      </c>
      <c r="T1614" s="22" t="n">
        <f aca="false">IF(DAY(B1614)=1,Assumptions!B43*G1614,0)</f>
        <v>22681.3647385256</v>
      </c>
      <c r="U1614" s="22" t="n">
        <f aca="false">SUM(O1614:T1614)</f>
        <v>464967.977139776</v>
      </c>
      <c r="V1614" s="22" t="n">
        <f aca="false">N1614-U1614</f>
        <v>-452067.977139776</v>
      </c>
      <c r="W1614" s="22" t="n">
        <f aca="false">W1613+V1614</f>
        <v>-176527.023732272</v>
      </c>
      <c r="X1614" s="23" t="str">
        <f aca="false">IF(W1614&gt;=0,"YES","No")</f>
        <v>No</v>
      </c>
    </row>
    <row r="1615" customFormat="false" ht="15" hidden="false" customHeight="false" outlineLevel="0" collapsed="false">
      <c r="A1615" s="16" t="n">
        <v>1614</v>
      </c>
      <c r="B1615" s="17" t="n">
        <f aca="false">B1614+1</f>
        <v>47636</v>
      </c>
      <c r="C1615" s="18" t="n">
        <f aca="false">MIN(ROUNDUP(A1615/365,0),5)</f>
        <v>5</v>
      </c>
      <c r="D1615" s="18" t="n">
        <f aca="false">DATEDIF(Assumptions!B5,B1615,"m")+1</f>
        <v>54</v>
      </c>
      <c r="E1615" s="18" t="str">
        <f aca="false">TEXT(B1615,"ddd")</f>
        <v>Sun</v>
      </c>
      <c r="F1615" s="19" t="n">
        <f aca="false">IF(WEEKDAY(B1615,2)&gt;=6,Assumptions!B34,Assumptions!B35)</f>
        <v>0.6</v>
      </c>
      <c r="G1615" s="20" t="n">
        <f aca="false">IF(D1615&gt;=13,(1+Assumptions!B46)^(D1615-12),1)</f>
        <v>1.13406823692628</v>
      </c>
      <c r="H1615" s="21" t="n">
        <f aca="false">H1614*(1+IF(C1615=1,Assumptions!B22,Assumptions!B23))</f>
        <v>25.5412780407776</v>
      </c>
      <c r="I1615" s="16" t="n">
        <f aca="false">ROUND(H1615*F1615,0)</f>
        <v>15</v>
      </c>
      <c r="J1615" s="22" t="n">
        <f aca="false">I1615*Assumptions!B24</f>
        <v>9000</v>
      </c>
      <c r="K1615" s="21" t="n">
        <f aca="false">K1614*(1+Assumptions!B30)</f>
        <v>22.2639760087503</v>
      </c>
      <c r="L1615" s="16" t="n">
        <f aca="false">ROUND(K1615*F1615,0)</f>
        <v>13</v>
      </c>
      <c r="M1615" s="22" t="n">
        <f aca="false">L1615*Assumptions!B31</f>
        <v>3900</v>
      </c>
      <c r="N1615" s="22" t="n">
        <f aca="false">J1615+M1615</f>
        <v>12900</v>
      </c>
      <c r="O1615" s="22" t="n">
        <f aca="false">IF(DAY(B1615)=1,Assumptions!B38*G1615,0)</f>
        <v>0</v>
      </c>
      <c r="P1615" s="22" t="n">
        <f aca="false">IF(DAY(B1615)=1,Assumptions!B39*G1615,0)</f>
        <v>0</v>
      </c>
      <c r="Q1615" s="22" t="n">
        <f aca="false">IF(DAY(B1615)=1,Assumptions!B40*G1615,0)</f>
        <v>0</v>
      </c>
      <c r="R1615" s="22" t="n">
        <f aca="false">IF(DAY(B1615)=1,Assumptions!B41*G1615,0)</f>
        <v>0</v>
      </c>
      <c r="S1615" s="22" t="n">
        <f aca="false">IF(AND(DAY(B1615)=1,D1615&gt;=13),Assumptions!B42*G1615,0)</f>
        <v>0</v>
      </c>
      <c r="T1615" s="22" t="n">
        <f aca="false">IF(DAY(B1615)=1,Assumptions!B43*G1615,0)</f>
        <v>0</v>
      </c>
      <c r="U1615" s="22" t="n">
        <f aca="false">SUM(O1615:T1615)</f>
        <v>0</v>
      </c>
      <c r="V1615" s="22" t="n">
        <f aca="false">N1615-U1615</f>
        <v>12900</v>
      </c>
      <c r="W1615" s="22" t="n">
        <f aca="false">W1614+V1615</f>
        <v>-163627.023732272</v>
      </c>
      <c r="X1615" s="23" t="str">
        <f aca="false">IF(W1615&gt;=0,"YES","No")</f>
        <v>No</v>
      </c>
    </row>
    <row r="1616" customFormat="false" ht="15" hidden="false" customHeight="false" outlineLevel="0" collapsed="false">
      <c r="A1616" s="16" t="n">
        <v>1615</v>
      </c>
      <c r="B1616" s="17" t="n">
        <f aca="false">B1615+1</f>
        <v>47637</v>
      </c>
      <c r="C1616" s="18" t="n">
        <f aca="false">MIN(ROUNDUP(A1616/365,0),5)</f>
        <v>5</v>
      </c>
      <c r="D1616" s="18" t="n">
        <f aca="false">DATEDIF(Assumptions!B5,B1616,"m")+1</f>
        <v>54</v>
      </c>
      <c r="E1616" s="18" t="str">
        <f aca="false">TEXT(B1616,"ddd")</f>
        <v>Mon</v>
      </c>
      <c r="F1616" s="19" t="n">
        <f aca="false">IF(WEEKDAY(B1616,2)&gt;=6,Assumptions!B34,Assumptions!B35)</f>
        <v>1</v>
      </c>
      <c r="G1616" s="20" t="n">
        <f aca="false">IF(D1616&gt;=13,(1+Assumptions!B46)^(D1616-12),1)</f>
        <v>1.13406823692628</v>
      </c>
      <c r="H1616" s="21" t="n">
        <f aca="false">H1615*(1+IF(C1616=1,Assumptions!B22,Assumptions!B23))</f>
        <v>25.5454632780053</v>
      </c>
      <c r="I1616" s="16" t="n">
        <f aca="false">ROUND(H1616*F1616,0)</f>
        <v>26</v>
      </c>
      <c r="J1616" s="22" t="n">
        <f aca="false">I1616*Assumptions!B24</f>
        <v>15600</v>
      </c>
      <c r="K1616" s="21" t="n">
        <f aca="false">K1615*(1+Assumptions!B30)</f>
        <v>22.2712549226538</v>
      </c>
      <c r="L1616" s="16" t="n">
        <f aca="false">ROUND(K1616*F1616,0)</f>
        <v>22</v>
      </c>
      <c r="M1616" s="22" t="n">
        <f aca="false">L1616*Assumptions!B31</f>
        <v>6600</v>
      </c>
      <c r="N1616" s="22" t="n">
        <f aca="false">J1616+M1616</f>
        <v>22200</v>
      </c>
      <c r="O1616" s="22" t="n">
        <f aca="false">IF(DAY(B1616)=1,Assumptions!B38*G1616,0)</f>
        <v>0</v>
      </c>
      <c r="P1616" s="22" t="n">
        <f aca="false">IF(DAY(B1616)=1,Assumptions!B39*G1616,0)</f>
        <v>0</v>
      </c>
      <c r="Q1616" s="22" t="n">
        <f aca="false">IF(DAY(B1616)=1,Assumptions!B40*G1616,0)</f>
        <v>0</v>
      </c>
      <c r="R1616" s="22" t="n">
        <f aca="false">IF(DAY(B1616)=1,Assumptions!B41*G1616,0)</f>
        <v>0</v>
      </c>
      <c r="S1616" s="22" t="n">
        <f aca="false">IF(AND(DAY(B1616)=1,D1616&gt;=13),Assumptions!B42*G1616,0)</f>
        <v>0</v>
      </c>
      <c r="T1616" s="22" t="n">
        <f aca="false">IF(DAY(B1616)=1,Assumptions!B43*G1616,0)</f>
        <v>0</v>
      </c>
      <c r="U1616" s="22" t="n">
        <f aca="false">SUM(O1616:T1616)</f>
        <v>0</v>
      </c>
      <c r="V1616" s="22" t="n">
        <f aca="false">N1616-U1616</f>
        <v>22200</v>
      </c>
      <c r="W1616" s="22" t="n">
        <f aca="false">W1615+V1616</f>
        <v>-141427.023732272</v>
      </c>
      <c r="X1616" s="23" t="str">
        <f aca="false">IF(W1616&gt;=0,"YES","No")</f>
        <v>No</v>
      </c>
    </row>
    <row r="1617" customFormat="false" ht="15" hidden="false" customHeight="false" outlineLevel="0" collapsed="false">
      <c r="A1617" s="16" t="n">
        <v>1616</v>
      </c>
      <c r="B1617" s="17" t="n">
        <f aca="false">B1616+1</f>
        <v>47638</v>
      </c>
      <c r="C1617" s="18" t="n">
        <f aca="false">MIN(ROUNDUP(A1617/365,0),5)</f>
        <v>5</v>
      </c>
      <c r="D1617" s="18" t="n">
        <f aca="false">DATEDIF(Assumptions!B5,B1617,"m")+1</f>
        <v>54</v>
      </c>
      <c r="E1617" s="18" t="str">
        <f aca="false">TEXT(B1617,"ddd")</f>
        <v>Tue</v>
      </c>
      <c r="F1617" s="19" t="n">
        <f aca="false">IF(WEEKDAY(B1617,2)&gt;=6,Assumptions!B34,Assumptions!B35)</f>
        <v>1</v>
      </c>
      <c r="G1617" s="20" t="n">
        <f aca="false">IF(D1617&gt;=13,(1+Assumptions!B46)^(D1617-12),1)</f>
        <v>1.13406823692628</v>
      </c>
      <c r="H1617" s="21" t="n">
        <f aca="false">H1616*(1+IF(C1617=1,Assumptions!B22,Assumptions!B23))</f>
        <v>25.5496492010331</v>
      </c>
      <c r="I1617" s="16" t="n">
        <f aca="false">ROUND(H1617*F1617,0)</f>
        <v>26</v>
      </c>
      <c r="J1617" s="22" t="n">
        <f aca="false">I1617*Assumptions!B24</f>
        <v>15600</v>
      </c>
      <c r="K1617" s="21" t="n">
        <f aca="false">K1616*(1+Assumptions!B30)</f>
        <v>22.2785362163024</v>
      </c>
      <c r="L1617" s="16" t="n">
        <f aca="false">ROUND(K1617*F1617,0)</f>
        <v>22</v>
      </c>
      <c r="M1617" s="22" t="n">
        <f aca="false">L1617*Assumptions!B31</f>
        <v>6600</v>
      </c>
      <c r="N1617" s="22" t="n">
        <f aca="false">J1617+M1617</f>
        <v>22200</v>
      </c>
      <c r="O1617" s="22" t="n">
        <f aca="false">IF(DAY(B1617)=1,Assumptions!B38*G1617,0)</f>
        <v>0</v>
      </c>
      <c r="P1617" s="22" t="n">
        <f aca="false">IF(DAY(B1617)=1,Assumptions!B39*G1617,0)</f>
        <v>0</v>
      </c>
      <c r="Q1617" s="22" t="n">
        <f aca="false">IF(DAY(B1617)=1,Assumptions!B40*G1617,0)</f>
        <v>0</v>
      </c>
      <c r="R1617" s="22" t="n">
        <f aca="false">IF(DAY(B1617)=1,Assumptions!B41*G1617,0)</f>
        <v>0</v>
      </c>
      <c r="S1617" s="22" t="n">
        <f aca="false">IF(AND(DAY(B1617)=1,D1617&gt;=13),Assumptions!B42*G1617,0)</f>
        <v>0</v>
      </c>
      <c r="T1617" s="22" t="n">
        <f aca="false">IF(DAY(B1617)=1,Assumptions!B43*G1617,0)</f>
        <v>0</v>
      </c>
      <c r="U1617" s="22" t="n">
        <f aca="false">SUM(O1617:T1617)</f>
        <v>0</v>
      </c>
      <c r="V1617" s="22" t="n">
        <f aca="false">N1617-U1617</f>
        <v>22200</v>
      </c>
      <c r="W1617" s="22" t="n">
        <f aca="false">W1616+V1617</f>
        <v>-119227.023732272</v>
      </c>
      <c r="X1617" s="23" t="str">
        <f aca="false">IF(W1617&gt;=0,"YES","No")</f>
        <v>No</v>
      </c>
    </row>
    <row r="1618" customFormat="false" ht="15" hidden="false" customHeight="false" outlineLevel="0" collapsed="false">
      <c r="A1618" s="16" t="n">
        <v>1617</v>
      </c>
      <c r="B1618" s="17" t="n">
        <f aca="false">B1617+1</f>
        <v>47639</v>
      </c>
      <c r="C1618" s="18" t="n">
        <f aca="false">MIN(ROUNDUP(A1618/365,0),5)</f>
        <v>5</v>
      </c>
      <c r="D1618" s="18" t="n">
        <f aca="false">DATEDIF(Assumptions!B5,B1618,"m")+1</f>
        <v>54</v>
      </c>
      <c r="E1618" s="18" t="str">
        <f aca="false">TEXT(B1618,"ddd")</f>
        <v>Wed</v>
      </c>
      <c r="F1618" s="19" t="n">
        <f aca="false">IF(WEEKDAY(B1618,2)&gt;=6,Assumptions!B34,Assumptions!B35)</f>
        <v>1</v>
      </c>
      <c r="G1618" s="20" t="n">
        <f aca="false">IF(D1618&gt;=13,(1+Assumptions!B46)^(D1618-12),1)</f>
        <v>1.13406823692628</v>
      </c>
      <c r="H1618" s="21" t="n">
        <f aca="false">H1617*(1+IF(C1618=1,Assumptions!B22,Assumptions!B23))</f>
        <v>25.5538358099733</v>
      </c>
      <c r="I1618" s="16" t="n">
        <f aca="false">ROUND(H1618*F1618,0)</f>
        <v>26</v>
      </c>
      <c r="J1618" s="22" t="n">
        <f aca="false">I1618*Assumptions!B24</f>
        <v>15600</v>
      </c>
      <c r="K1618" s="21" t="n">
        <f aca="false">K1617*(1+Assumptions!B30)</f>
        <v>22.2858198904741</v>
      </c>
      <c r="L1618" s="16" t="n">
        <f aca="false">ROUND(K1618*F1618,0)</f>
        <v>22</v>
      </c>
      <c r="M1618" s="22" t="n">
        <f aca="false">L1618*Assumptions!B31</f>
        <v>6600</v>
      </c>
      <c r="N1618" s="22" t="n">
        <f aca="false">J1618+M1618</f>
        <v>22200</v>
      </c>
      <c r="O1618" s="22" t="n">
        <f aca="false">IF(DAY(B1618)=1,Assumptions!B38*G1618,0)</f>
        <v>0</v>
      </c>
      <c r="P1618" s="22" t="n">
        <f aca="false">IF(DAY(B1618)=1,Assumptions!B39*G1618,0)</f>
        <v>0</v>
      </c>
      <c r="Q1618" s="22" t="n">
        <f aca="false">IF(DAY(B1618)=1,Assumptions!B40*G1618,0)</f>
        <v>0</v>
      </c>
      <c r="R1618" s="22" t="n">
        <f aca="false">IF(DAY(B1618)=1,Assumptions!B41*G1618,0)</f>
        <v>0</v>
      </c>
      <c r="S1618" s="22" t="n">
        <f aca="false">IF(AND(DAY(B1618)=1,D1618&gt;=13),Assumptions!B42*G1618,0)</f>
        <v>0</v>
      </c>
      <c r="T1618" s="22" t="n">
        <f aca="false">IF(DAY(B1618)=1,Assumptions!B43*G1618,0)</f>
        <v>0</v>
      </c>
      <c r="U1618" s="22" t="n">
        <f aca="false">SUM(O1618:T1618)</f>
        <v>0</v>
      </c>
      <c r="V1618" s="22" t="n">
        <f aca="false">N1618-U1618</f>
        <v>22200</v>
      </c>
      <c r="W1618" s="22" t="n">
        <f aca="false">W1617+V1618</f>
        <v>-97027.0237322719</v>
      </c>
      <c r="X1618" s="23" t="str">
        <f aca="false">IF(W1618&gt;=0,"YES","No")</f>
        <v>No</v>
      </c>
    </row>
    <row r="1619" customFormat="false" ht="15" hidden="false" customHeight="false" outlineLevel="0" collapsed="false">
      <c r="A1619" s="16" t="n">
        <v>1618</v>
      </c>
      <c r="B1619" s="17" t="n">
        <f aca="false">B1618+1</f>
        <v>47640</v>
      </c>
      <c r="C1619" s="18" t="n">
        <f aca="false">MIN(ROUNDUP(A1619/365,0),5)</f>
        <v>5</v>
      </c>
      <c r="D1619" s="18" t="n">
        <f aca="false">DATEDIF(Assumptions!B5,B1619,"m")+1</f>
        <v>54</v>
      </c>
      <c r="E1619" s="18" t="str">
        <f aca="false">TEXT(B1619,"ddd")</f>
        <v>Thu</v>
      </c>
      <c r="F1619" s="19" t="n">
        <f aca="false">IF(WEEKDAY(B1619,2)&gt;=6,Assumptions!B34,Assumptions!B35)</f>
        <v>1</v>
      </c>
      <c r="G1619" s="20" t="n">
        <f aca="false">IF(D1619&gt;=13,(1+Assumptions!B46)^(D1619-12),1)</f>
        <v>1.13406823692628</v>
      </c>
      <c r="H1619" s="21" t="n">
        <f aca="false">H1618*(1+IF(C1619=1,Assumptions!B22,Assumptions!B23))</f>
        <v>25.5580231049384</v>
      </c>
      <c r="I1619" s="16" t="n">
        <f aca="false">ROUND(H1619*F1619,0)</f>
        <v>26</v>
      </c>
      <c r="J1619" s="22" t="n">
        <f aca="false">I1619*Assumptions!B24</f>
        <v>15600</v>
      </c>
      <c r="K1619" s="21" t="n">
        <f aca="false">K1618*(1+Assumptions!B30)</f>
        <v>22.2931059459472</v>
      </c>
      <c r="L1619" s="16" t="n">
        <f aca="false">ROUND(K1619*F1619,0)</f>
        <v>22</v>
      </c>
      <c r="M1619" s="22" t="n">
        <f aca="false">L1619*Assumptions!B31</f>
        <v>6600</v>
      </c>
      <c r="N1619" s="22" t="n">
        <f aca="false">J1619+M1619</f>
        <v>22200</v>
      </c>
      <c r="O1619" s="22" t="n">
        <f aca="false">IF(DAY(B1619)=1,Assumptions!B38*G1619,0)</f>
        <v>0</v>
      </c>
      <c r="P1619" s="22" t="n">
        <f aca="false">IF(DAY(B1619)=1,Assumptions!B39*G1619,0)</f>
        <v>0</v>
      </c>
      <c r="Q1619" s="22" t="n">
        <f aca="false">IF(DAY(B1619)=1,Assumptions!B40*G1619,0)</f>
        <v>0</v>
      </c>
      <c r="R1619" s="22" t="n">
        <f aca="false">IF(DAY(B1619)=1,Assumptions!B41*G1619,0)</f>
        <v>0</v>
      </c>
      <c r="S1619" s="22" t="n">
        <f aca="false">IF(AND(DAY(B1619)=1,D1619&gt;=13),Assumptions!B42*G1619,0)</f>
        <v>0</v>
      </c>
      <c r="T1619" s="22" t="n">
        <f aca="false">IF(DAY(B1619)=1,Assumptions!B43*G1619,0)</f>
        <v>0</v>
      </c>
      <c r="U1619" s="22" t="n">
        <f aca="false">SUM(O1619:T1619)</f>
        <v>0</v>
      </c>
      <c r="V1619" s="22" t="n">
        <f aca="false">N1619-U1619</f>
        <v>22200</v>
      </c>
      <c r="W1619" s="22" t="n">
        <f aca="false">W1618+V1619</f>
        <v>-74827.0237322719</v>
      </c>
      <c r="X1619" s="23" t="str">
        <f aca="false">IF(W1619&gt;=0,"YES","No")</f>
        <v>No</v>
      </c>
    </row>
    <row r="1620" customFormat="false" ht="15" hidden="false" customHeight="false" outlineLevel="0" collapsed="false">
      <c r="A1620" s="16" t="n">
        <v>1619</v>
      </c>
      <c r="B1620" s="17" t="n">
        <f aca="false">B1619+1</f>
        <v>47641</v>
      </c>
      <c r="C1620" s="18" t="n">
        <f aca="false">MIN(ROUNDUP(A1620/365,0),5)</f>
        <v>5</v>
      </c>
      <c r="D1620" s="18" t="n">
        <f aca="false">DATEDIF(Assumptions!B5,B1620,"m")+1</f>
        <v>54</v>
      </c>
      <c r="E1620" s="18" t="str">
        <f aca="false">TEXT(B1620,"ddd")</f>
        <v>Fri</v>
      </c>
      <c r="F1620" s="19" t="n">
        <f aca="false">IF(WEEKDAY(B1620,2)&gt;=6,Assumptions!B34,Assumptions!B35)</f>
        <v>1</v>
      </c>
      <c r="G1620" s="20" t="n">
        <f aca="false">IF(D1620&gt;=13,(1+Assumptions!B46)^(D1620-12),1)</f>
        <v>1.13406823692628</v>
      </c>
      <c r="H1620" s="21" t="n">
        <f aca="false">H1619*(1+IF(C1620=1,Assumptions!B22,Assumptions!B23))</f>
        <v>25.5622110860407</v>
      </c>
      <c r="I1620" s="16" t="n">
        <f aca="false">ROUND(H1620*F1620,0)</f>
        <v>26</v>
      </c>
      <c r="J1620" s="22" t="n">
        <f aca="false">I1620*Assumptions!B24</f>
        <v>15600</v>
      </c>
      <c r="K1620" s="21" t="n">
        <f aca="false">K1619*(1+Assumptions!B30)</f>
        <v>22.3003943835002</v>
      </c>
      <c r="L1620" s="16" t="n">
        <f aca="false">ROUND(K1620*F1620,0)</f>
        <v>22</v>
      </c>
      <c r="M1620" s="22" t="n">
        <f aca="false">L1620*Assumptions!B31</f>
        <v>6600</v>
      </c>
      <c r="N1620" s="22" t="n">
        <f aca="false">J1620+M1620</f>
        <v>22200</v>
      </c>
      <c r="O1620" s="22" t="n">
        <f aca="false">IF(DAY(B1620)=1,Assumptions!B38*G1620,0)</f>
        <v>0</v>
      </c>
      <c r="P1620" s="22" t="n">
        <f aca="false">IF(DAY(B1620)=1,Assumptions!B39*G1620,0)</f>
        <v>0</v>
      </c>
      <c r="Q1620" s="22" t="n">
        <f aca="false">IF(DAY(B1620)=1,Assumptions!B40*G1620,0)</f>
        <v>0</v>
      </c>
      <c r="R1620" s="22" t="n">
        <f aca="false">IF(DAY(B1620)=1,Assumptions!B41*G1620,0)</f>
        <v>0</v>
      </c>
      <c r="S1620" s="22" t="n">
        <f aca="false">IF(AND(DAY(B1620)=1,D1620&gt;=13),Assumptions!B42*G1620,0)</f>
        <v>0</v>
      </c>
      <c r="T1620" s="22" t="n">
        <f aca="false">IF(DAY(B1620)=1,Assumptions!B43*G1620,0)</f>
        <v>0</v>
      </c>
      <c r="U1620" s="22" t="n">
        <f aca="false">SUM(O1620:T1620)</f>
        <v>0</v>
      </c>
      <c r="V1620" s="22" t="n">
        <f aca="false">N1620-U1620</f>
        <v>22200</v>
      </c>
      <c r="W1620" s="22" t="n">
        <f aca="false">W1619+V1620</f>
        <v>-52627.0237322719</v>
      </c>
      <c r="X1620" s="23" t="str">
        <f aca="false">IF(W1620&gt;=0,"YES","No")</f>
        <v>No</v>
      </c>
    </row>
    <row r="1621" customFormat="false" ht="15" hidden="false" customHeight="false" outlineLevel="0" collapsed="false">
      <c r="A1621" s="16" t="n">
        <v>1620</v>
      </c>
      <c r="B1621" s="17" t="n">
        <f aca="false">B1620+1</f>
        <v>47642</v>
      </c>
      <c r="C1621" s="18" t="n">
        <f aca="false">MIN(ROUNDUP(A1621/365,0),5)</f>
        <v>5</v>
      </c>
      <c r="D1621" s="18" t="n">
        <f aca="false">DATEDIF(Assumptions!B5,B1621,"m")+1</f>
        <v>54</v>
      </c>
      <c r="E1621" s="18" t="str">
        <f aca="false">TEXT(B1621,"ddd")</f>
        <v>Sat</v>
      </c>
      <c r="F1621" s="19" t="n">
        <f aca="false">IF(WEEKDAY(B1621,2)&gt;=6,Assumptions!B34,Assumptions!B35)</f>
        <v>0.6</v>
      </c>
      <c r="G1621" s="20" t="n">
        <f aca="false">IF(D1621&gt;=13,(1+Assumptions!B46)^(D1621-12),1)</f>
        <v>1.13406823692628</v>
      </c>
      <c r="H1621" s="21" t="n">
        <f aca="false">H1620*(1+IF(C1621=1,Assumptions!B22,Assumptions!B23))</f>
        <v>25.5663997533928</v>
      </c>
      <c r="I1621" s="16" t="n">
        <f aca="false">ROUND(H1621*F1621,0)</f>
        <v>15</v>
      </c>
      <c r="J1621" s="22" t="n">
        <f aca="false">I1621*Assumptions!B24</f>
        <v>9000</v>
      </c>
      <c r="K1621" s="21" t="n">
        <f aca="false">K1620*(1+Assumptions!B30)</f>
        <v>22.3076852039119</v>
      </c>
      <c r="L1621" s="16" t="n">
        <f aca="false">ROUND(K1621*F1621,0)</f>
        <v>13</v>
      </c>
      <c r="M1621" s="22" t="n">
        <f aca="false">L1621*Assumptions!B31</f>
        <v>3900</v>
      </c>
      <c r="N1621" s="22" t="n">
        <f aca="false">J1621+M1621</f>
        <v>12900</v>
      </c>
      <c r="O1621" s="22" t="n">
        <f aca="false">IF(DAY(B1621)=1,Assumptions!B38*G1621,0)</f>
        <v>0</v>
      </c>
      <c r="P1621" s="22" t="n">
        <f aca="false">IF(DAY(B1621)=1,Assumptions!B39*G1621,0)</f>
        <v>0</v>
      </c>
      <c r="Q1621" s="22" t="n">
        <f aca="false">IF(DAY(B1621)=1,Assumptions!B40*G1621,0)</f>
        <v>0</v>
      </c>
      <c r="R1621" s="22" t="n">
        <f aca="false">IF(DAY(B1621)=1,Assumptions!B41*G1621,0)</f>
        <v>0</v>
      </c>
      <c r="S1621" s="22" t="n">
        <f aca="false">IF(AND(DAY(B1621)=1,D1621&gt;=13),Assumptions!B42*G1621,0)</f>
        <v>0</v>
      </c>
      <c r="T1621" s="22" t="n">
        <f aca="false">IF(DAY(B1621)=1,Assumptions!B43*G1621,0)</f>
        <v>0</v>
      </c>
      <c r="U1621" s="22" t="n">
        <f aca="false">SUM(O1621:T1621)</f>
        <v>0</v>
      </c>
      <c r="V1621" s="22" t="n">
        <f aca="false">N1621-U1621</f>
        <v>12900</v>
      </c>
      <c r="W1621" s="22" t="n">
        <f aca="false">W1620+V1621</f>
        <v>-39727.0237322719</v>
      </c>
      <c r="X1621" s="23" t="str">
        <f aca="false">IF(W1621&gt;=0,"YES","No")</f>
        <v>No</v>
      </c>
    </row>
    <row r="1622" customFormat="false" ht="15" hidden="false" customHeight="false" outlineLevel="0" collapsed="false">
      <c r="A1622" s="16" t="n">
        <v>1621</v>
      </c>
      <c r="B1622" s="17" t="n">
        <f aca="false">B1621+1</f>
        <v>47643</v>
      </c>
      <c r="C1622" s="18" t="n">
        <f aca="false">MIN(ROUNDUP(A1622/365,0),5)</f>
        <v>5</v>
      </c>
      <c r="D1622" s="18" t="n">
        <f aca="false">DATEDIF(Assumptions!B5,B1622,"m")+1</f>
        <v>54</v>
      </c>
      <c r="E1622" s="18" t="str">
        <f aca="false">TEXT(B1622,"ddd")</f>
        <v>Sun</v>
      </c>
      <c r="F1622" s="19" t="n">
        <f aca="false">IF(WEEKDAY(B1622,2)&gt;=6,Assumptions!B34,Assumptions!B35)</f>
        <v>0.6</v>
      </c>
      <c r="G1622" s="20" t="n">
        <f aca="false">IF(D1622&gt;=13,(1+Assumptions!B46)^(D1622-12),1)</f>
        <v>1.13406823692628</v>
      </c>
      <c r="H1622" s="21" t="n">
        <f aca="false">H1621*(1+IF(C1622=1,Assumptions!B22,Assumptions!B23))</f>
        <v>25.570589107107</v>
      </c>
      <c r="I1622" s="16" t="n">
        <f aca="false">ROUND(H1622*F1622,0)</f>
        <v>15</v>
      </c>
      <c r="J1622" s="22" t="n">
        <f aca="false">I1622*Assumptions!B24</f>
        <v>9000</v>
      </c>
      <c r="K1622" s="21" t="n">
        <f aca="false">K1621*(1+Assumptions!B30)</f>
        <v>22.3149784079614</v>
      </c>
      <c r="L1622" s="16" t="n">
        <f aca="false">ROUND(K1622*F1622,0)</f>
        <v>13</v>
      </c>
      <c r="M1622" s="22" t="n">
        <f aca="false">L1622*Assumptions!B31</f>
        <v>3900</v>
      </c>
      <c r="N1622" s="22" t="n">
        <f aca="false">J1622+M1622</f>
        <v>12900</v>
      </c>
      <c r="O1622" s="22" t="n">
        <f aca="false">IF(DAY(B1622)=1,Assumptions!B38*G1622,0)</f>
        <v>0</v>
      </c>
      <c r="P1622" s="22" t="n">
        <f aca="false">IF(DAY(B1622)=1,Assumptions!B39*G1622,0)</f>
        <v>0</v>
      </c>
      <c r="Q1622" s="22" t="n">
        <f aca="false">IF(DAY(B1622)=1,Assumptions!B40*G1622,0)</f>
        <v>0</v>
      </c>
      <c r="R1622" s="22" t="n">
        <f aca="false">IF(DAY(B1622)=1,Assumptions!B41*G1622,0)</f>
        <v>0</v>
      </c>
      <c r="S1622" s="22" t="n">
        <f aca="false">IF(AND(DAY(B1622)=1,D1622&gt;=13),Assumptions!B42*G1622,0)</f>
        <v>0</v>
      </c>
      <c r="T1622" s="22" t="n">
        <f aca="false">IF(DAY(B1622)=1,Assumptions!B43*G1622,0)</f>
        <v>0</v>
      </c>
      <c r="U1622" s="22" t="n">
        <f aca="false">SUM(O1622:T1622)</f>
        <v>0</v>
      </c>
      <c r="V1622" s="22" t="n">
        <f aca="false">N1622-U1622</f>
        <v>12900</v>
      </c>
      <c r="W1622" s="22" t="n">
        <f aca="false">W1621+V1622</f>
        <v>-26827.0237322719</v>
      </c>
      <c r="X1622" s="23" t="str">
        <f aca="false">IF(W1622&gt;=0,"YES","No")</f>
        <v>No</v>
      </c>
    </row>
    <row r="1623" customFormat="false" ht="15" hidden="false" customHeight="false" outlineLevel="0" collapsed="false">
      <c r="A1623" s="16" t="n">
        <v>1622</v>
      </c>
      <c r="B1623" s="17" t="n">
        <f aca="false">B1622+1</f>
        <v>47644</v>
      </c>
      <c r="C1623" s="18" t="n">
        <f aca="false">MIN(ROUNDUP(A1623/365,0),5)</f>
        <v>5</v>
      </c>
      <c r="D1623" s="18" t="n">
        <f aca="false">DATEDIF(Assumptions!B5,B1623,"m")+1</f>
        <v>54</v>
      </c>
      <c r="E1623" s="18" t="str">
        <f aca="false">TEXT(B1623,"ddd")</f>
        <v>Mon</v>
      </c>
      <c r="F1623" s="19" t="n">
        <f aca="false">IF(WEEKDAY(B1623,2)&gt;=6,Assumptions!B34,Assumptions!B35)</f>
        <v>1</v>
      </c>
      <c r="G1623" s="20" t="n">
        <f aca="false">IF(D1623&gt;=13,(1+Assumptions!B46)^(D1623-12),1)</f>
        <v>1.13406823692628</v>
      </c>
      <c r="H1623" s="21" t="n">
        <f aca="false">H1622*(1+IF(C1623=1,Assumptions!B22,Assumptions!B23))</f>
        <v>25.5747791472958</v>
      </c>
      <c r="I1623" s="16" t="n">
        <f aca="false">ROUND(H1623*F1623,0)</f>
        <v>26</v>
      </c>
      <c r="J1623" s="22" t="n">
        <f aca="false">I1623*Assumptions!B24</f>
        <v>15600</v>
      </c>
      <c r="K1623" s="21" t="n">
        <f aca="false">K1622*(1+Assumptions!B30)</f>
        <v>22.322273996428</v>
      </c>
      <c r="L1623" s="16" t="n">
        <f aca="false">ROUND(K1623*F1623,0)</f>
        <v>22</v>
      </c>
      <c r="M1623" s="22" t="n">
        <f aca="false">L1623*Assumptions!B31</f>
        <v>6600</v>
      </c>
      <c r="N1623" s="22" t="n">
        <f aca="false">J1623+M1623</f>
        <v>22200</v>
      </c>
      <c r="O1623" s="22" t="n">
        <f aca="false">IF(DAY(B1623)=1,Assumptions!B38*G1623,0)</f>
        <v>0</v>
      </c>
      <c r="P1623" s="22" t="n">
        <f aca="false">IF(DAY(B1623)=1,Assumptions!B39*G1623,0)</f>
        <v>0</v>
      </c>
      <c r="Q1623" s="22" t="n">
        <f aca="false">IF(DAY(B1623)=1,Assumptions!B40*G1623,0)</f>
        <v>0</v>
      </c>
      <c r="R1623" s="22" t="n">
        <f aca="false">IF(DAY(B1623)=1,Assumptions!B41*G1623,0)</f>
        <v>0</v>
      </c>
      <c r="S1623" s="22" t="n">
        <f aca="false">IF(AND(DAY(B1623)=1,D1623&gt;=13),Assumptions!B42*G1623,0)</f>
        <v>0</v>
      </c>
      <c r="T1623" s="22" t="n">
        <f aca="false">IF(DAY(B1623)=1,Assumptions!B43*G1623,0)</f>
        <v>0</v>
      </c>
      <c r="U1623" s="22" t="n">
        <f aca="false">SUM(O1623:T1623)</f>
        <v>0</v>
      </c>
      <c r="V1623" s="22" t="n">
        <f aca="false">N1623-U1623</f>
        <v>22200</v>
      </c>
      <c r="W1623" s="22" t="n">
        <f aca="false">W1622+V1623</f>
        <v>-4627.02373227186</v>
      </c>
      <c r="X1623" s="23" t="str">
        <f aca="false">IF(W1623&gt;=0,"YES","No")</f>
        <v>No</v>
      </c>
    </row>
    <row r="1624" customFormat="false" ht="15" hidden="false" customHeight="false" outlineLevel="0" collapsed="false">
      <c r="A1624" s="16" t="n">
        <v>1623</v>
      </c>
      <c r="B1624" s="17" t="n">
        <f aca="false">B1623+1</f>
        <v>47645</v>
      </c>
      <c r="C1624" s="18" t="n">
        <f aca="false">MIN(ROUNDUP(A1624/365,0),5)</f>
        <v>5</v>
      </c>
      <c r="D1624" s="18" t="n">
        <f aca="false">DATEDIF(Assumptions!B5,B1624,"m")+1</f>
        <v>54</v>
      </c>
      <c r="E1624" s="18" t="str">
        <f aca="false">TEXT(B1624,"ddd")</f>
        <v>Tue</v>
      </c>
      <c r="F1624" s="19" t="n">
        <f aca="false">IF(WEEKDAY(B1624,2)&gt;=6,Assumptions!B34,Assumptions!B35)</f>
        <v>1</v>
      </c>
      <c r="G1624" s="20" t="n">
        <f aca="false">IF(D1624&gt;=13,(1+Assumptions!B46)^(D1624-12),1)</f>
        <v>1.13406823692628</v>
      </c>
      <c r="H1624" s="21" t="n">
        <f aca="false">H1623*(1+IF(C1624=1,Assumptions!B22,Assumptions!B23))</f>
        <v>25.5789698740717</v>
      </c>
      <c r="I1624" s="16" t="n">
        <f aca="false">ROUND(H1624*F1624,0)</f>
        <v>26</v>
      </c>
      <c r="J1624" s="22" t="n">
        <f aca="false">I1624*Assumptions!B24</f>
        <v>15600</v>
      </c>
      <c r="K1624" s="21" t="n">
        <f aca="false">K1623*(1+Assumptions!B30)</f>
        <v>22.3295719700912</v>
      </c>
      <c r="L1624" s="16" t="n">
        <f aca="false">ROUND(K1624*F1624,0)</f>
        <v>22</v>
      </c>
      <c r="M1624" s="22" t="n">
        <f aca="false">L1624*Assumptions!B31</f>
        <v>6600</v>
      </c>
      <c r="N1624" s="22" t="n">
        <f aca="false">J1624+M1624</f>
        <v>22200</v>
      </c>
      <c r="O1624" s="22" t="n">
        <f aca="false">IF(DAY(B1624)=1,Assumptions!B38*G1624,0)</f>
        <v>0</v>
      </c>
      <c r="P1624" s="22" t="n">
        <f aca="false">IF(DAY(B1624)=1,Assumptions!B39*G1624,0)</f>
        <v>0</v>
      </c>
      <c r="Q1624" s="22" t="n">
        <f aca="false">IF(DAY(B1624)=1,Assumptions!B40*G1624,0)</f>
        <v>0</v>
      </c>
      <c r="R1624" s="22" t="n">
        <f aca="false">IF(DAY(B1624)=1,Assumptions!B41*G1624,0)</f>
        <v>0</v>
      </c>
      <c r="S1624" s="22" t="n">
        <f aca="false">IF(AND(DAY(B1624)=1,D1624&gt;=13),Assumptions!B42*G1624,0)</f>
        <v>0</v>
      </c>
      <c r="T1624" s="22" t="n">
        <f aca="false">IF(DAY(B1624)=1,Assumptions!B43*G1624,0)</f>
        <v>0</v>
      </c>
      <c r="U1624" s="22" t="n">
        <f aca="false">SUM(O1624:T1624)</f>
        <v>0</v>
      </c>
      <c r="V1624" s="22" t="n">
        <f aca="false">N1624-U1624</f>
        <v>22200</v>
      </c>
      <c r="W1624" s="22" t="n">
        <f aca="false">W1623+V1624</f>
        <v>17572.9762677281</v>
      </c>
      <c r="X1624" s="23" t="str">
        <f aca="false">IF(W1624&gt;=0,"YES","No")</f>
        <v>YES</v>
      </c>
    </row>
    <row r="1625" customFormat="false" ht="15" hidden="false" customHeight="false" outlineLevel="0" collapsed="false">
      <c r="A1625" s="16" t="n">
        <v>1624</v>
      </c>
      <c r="B1625" s="17" t="n">
        <f aca="false">B1624+1</f>
        <v>47646</v>
      </c>
      <c r="C1625" s="18" t="n">
        <f aca="false">MIN(ROUNDUP(A1625/365,0),5)</f>
        <v>5</v>
      </c>
      <c r="D1625" s="18" t="n">
        <f aca="false">DATEDIF(Assumptions!B5,B1625,"m")+1</f>
        <v>54</v>
      </c>
      <c r="E1625" s="18" t="str">
        <f aca="false">TEXT(B1625,"ddd")</f>
        <v>Wed</v>
      </c>
      <c r="F1625" s="19" t="n">
        <f aca="false">IF(WEEKDAY(B1625,2)&gt;=6,Assumptions!B34,Assumptions!B35)</f>
        <v>1</v>
      </c>
      <c r="G1625" s="20" t="n">
        <f aca="false">IF(D1625&gt;=13,(1+Assumptions!B46)^(D1625-12),1)</f>
        <v>1.13406823692628</v>
      </c>
      <c r="H1625" s="21" t="n">
        <f aca="false">H1624*(1+IF(C1625=1,Assumptions!B22,Assumptions!B23))</f>
        <v>25.5831612875473</v>
      </c>
      <c r="I1625" s="16" t="n">
        <f aca="false">ROUND(H1625*F1625,0)</f>
        <v>26</v>
      </c>
      <c r="J1625" s="22" t="n">
        <f aca="false">I1625*Assumptions!B24</f>
        <v>15600</v>
      </c>
      <c r="K1625" s="21" t="n">
        <f aca="false">K1624*(1+Assumptions!B30)</f>
        <v>22.3368723297308</v>
      </c>
      <c r="L1625" s="16" t="n">
        <f aca="false">ROUND(K1625*F1625,0)</f>
        <v>22</v>
      </c>
      <c r="M1625" s="22" t="n">
        <f aca="false">L1625*Assumptions!B31</f>
        <v>6600</v>
      </c>
      <c r="N1625" s="22" t="n">
        <f aca="false">J1625+M1625</f>
        <v>22200</v>
      </c>
      <c r="O1625" s="22" t="n">
        <f aca="false">IF(DAY(B1625)=1,Assumptions!B38*G1625,0)</f>
        <v>0</v>
      </c>
      <c r="P1625" s="22" t="n">
        <f aca="false">IF(DAY(B1625)=1,Assumptions!B39*G1625,0)</f>
        <v>0</v>
      </c>
      <c r="Q1625" s="22" t="n">
        <f aca="false">IF(DAY(B1625)=1,Assumptions!B40*G1625,0)</f>
        <v>0</v>
      </c>
      <c r="R1625" s="22" t="n">
        <f aca="false">IF(DAY(B1625)=1,Assumptions!B41*G1625,0)</f>
        <v>0</v>
      </c>
      <c r="S1625" s="22" t="n">
        <f aca="false">IF(AND(DAY(B1625)=1,D1625&gt;=13),Assumptions!B42*G1625,0)</f>
        <v>0</v>
      </c>
      <c r="T1625" s="22" t="n">
        <f aca="false">IF(DAY(B1625)=1,Assumptions!B43*G1625,0)</f>
        <v>0</v>
      </c>
      <c r="U1625" s="22" t="n">
        <f aca="false">SUM(O1625:T1625)</f>
        <v>0</v>
      </c>
      <c r="V1625" s="22" t="n">
        <f aca="false">N1625-U1625</f>
        <v>22200</v>
      </c>
      <c r="W1625" s="22" t="n">
        <f aca="false">W1624+V1625</f>
        <v>39772.9762677281</v>
      </c>
      <c r="X1625" s="23" t="str">
        <f aca="false">IF(W1625&gt;=0,"YES","No")</f>
        <v>YES</v>
      </c>
    </row>
    <row r="1626" customFormat="false" ht="15" hidden="false" customHeight="false" outlineLevel="0" collapsed="false">
      <c r="A1626" s="16" t="n">
        <v>1625</v>
      </c>
      <c r="B1626" s="17" t="n">
        <f aca="false">B1625+1</f>
        <v>47647</v>
      </c>
      <c r="C1626" s="18" t="n">
        <f aca="false">MIN(ROUNDUP(A1626/365,0),5)</f>
        <v>5</v>
      </c>
      <c r="D1626" s="18" t="n">
        <f aca="false">DATEDIF(Assumptions!B5,B1626,"m")+1</f>
        <v>54</v>
      </c>
      <c r="E1626" s="18" t="str">
        <f aca="false">TEXT(B1626,"ddd")</f>
        <v>Thu</v>
      </c>
      <c r="F1626" s="19" t="n">
        <f aca="false">IF(WEEKDAY(B1626,2)&gt;=6,Assumptions!B34,Assumptions!B35)</f>
        <v>1</v>
      </c>
      <c r="G1626" s="20" t="n">
        <f aca="false">IF(D1626&gt;=13,(1+Assumptions!B46)^(D1626-12),1)</f>
        <v>1.13406823692628</v>
      </c>
      <c r="H1626" s="21" t="n">
        <f aca="false">H1625*(1+IF(C1626=1,Assumptions!B22,Assumptions!B23))</f>
        <v>25.5873533878349</v>
      </c>
      <c r="I1626" s="16" t="n">
        <f aca="false">ROUND(H1626*F1626,0)</f>
        <v>26</v>
      </c>
      <c r="J1626" s="22" t="n">
        <f aca="false">I1626*Assumptions!B24</f>
        <v>15600</v>
      </c>
      <c r="K1626" s="21" t="n">
        <f aca="false">K1625*(1+Assumptions!B30)</f>
        <v>22.3441750761269</v>
      </c>
      <c r="L1626" s="16" t="n">
        <f aca="false">ROUND(K1626*F1626,0)</f>
        <v>22</v>
      </c>
      <c r="M1626" s="22" t="n">
        <f aca="false">L1626*Assumptions!B31</f>
        <v>6600</v>
      </c>
      <c r="N1626" s="22" t="n">
        <f aca="false">J1626+M1626</f>
        <v>22200</v>
      </c>
      <c r="O1626" s="22" t="n">
        <f aca="false">IF(DAY(B1626)=1,Assumptions!B38*G1626,0)</f>
        <v>0</v>
      </c>
      <c r="P1626" s="22" t="n">
        <f aca="false">IF(DAY(B1626)=1,Assumptions!B39*G1626,0)</f>
        <v>0</v>
      </c>
      <c r="Q1626" s="22" t="n">
        <f aca="false">IF(DAY(B1626)=1,Assumptions!B40*G1626,0)</f>
        <v>0</v>
      </c>
      <c r="R1626" s="22" t="n">
        <f aca="false">IF(DAY(B1626)=1,Assumptions!B41*G1626,0)</f>
        <v>0</v>
      </c>
      <c r="S1626" s="22" t="n">
        <f aca="false">IF(AND(DAY(B1626)=1,D1626&gt;=13),Assumptions!B42*G1626,0)</f>
        <v>0</v>
      </c>
      <c r="T1626" s="22" t="n">
        <f aca="false">IF(DAY(B1626)=1,Assumptions!B43*G1626,0)</f>
        <v>0</v>
      </c>
      <c r="U1626" s="22" t="n">
        <f aca="false">SUM(O1626:T1626)</f>
        <v>0</v>
      </c>
      <c r="V1626" s="22" t="n">
        <f aca="false">N1626-U1626</f>
        <v>22200</v>
      </c>
      <c r="W1626" s="22" t="n">
        <f aca="false">W1625+V1626</f>
        <v>61972.9762677281</v>
      </c>
      <c r="X1626" s="23" t="str">
        <f aca="false">IF(W1626&gt;=0,"YES","No")</f>
        <v>YES</v>
      </c>
    </row>
    <row r="1627" customFormat="false" ht="15" hidden="false" customHeight="false" outlineLevel="0" collapsed="false">
      <c r="A1627" s="16" t="n">
        <v>1626</v>
      </c>
      <c r="B1627" s="17" t="n">
        <f aca="false">B1626+1</f>
        <v>47648</v>
      </c>
      <c r="C1627" s="18" t="n">
        <f aca="false">MIN(ROUNDUP(A1627/365,0),5)</f>
        <v>5</v>
      </c>
      <c r="D1627" s="18" t="n">
        <f aca="false">DATEDIF(Assumptions!B5,B1627,"m")+1</f>
        <v>54</v>
      </c>
      <c r="E1627" s="18" t="str">
        <f aca="false">TEXT(B1627,"ddd")</f>
        <v>Fri</v>
      </c>
      <c r="F1627" s="19" t="n">
        <f aca="false">IF(WEEKDAY(B1627,2)&gt;=6,Assumptions!B34,Assumptions!B35)</f>
        <v>1</v>
      </c>
      <c r="G1627" s="20" t="n">
        <f aca="false">IF(D1627&gt;=13,(1+Assumptions!B46)^(D1627-12),1)</f>
        <v>1.13406823692628</v>
      </c>
      <c r="H1627" s="21" t="n">
        <f aca="false">H1626*(1+IF(C1627=1,Assumptions!B22,Assumptions!B23))</f>
        <v>25.5915461750473</v>
      </c>
      <c r="I1627" s="16" t="n">
        <f aca="false">ROUND(H1627*F1627,0)</f>
        <v>26</v>
      </c>
      <c r="J1627" s="22" t="n">
        <f aca="false">I1627*Assumptions!B24</f>
        <v>15600</v>
      </c>
      <c r="K1627" s="21" t="n">
        <f aca="false">K1626*(1+Assumptions!B30)</f>
        <v>22.3514802100598</v>
      </c>
      <c r="L1627" s="16" t="n">
        <f aca="false">ROUND(K1627*F1627,0)</f>
        <v>22</v>
      </c>
      <c r="M1627" s="22" t="n">
        <f aca="false">L1627*Assumptions!B31</f>
        <v>6600</v>
      </c>
      <c r="N1627" s="22" t="n">
        <f aca="false">J1627+M1627</f>
        <v>22200</v>
      </c>
      <c r="O1627" s="22" t="n">
        <f aca="false">IF(DAY(B1627)=1,Assumptions!B38*G1627,0)</f>
        <v>0</v>
      </c>
      <c r="P1627" s="22" t="n">
        <f aca="false">IF(DAY(B1627)=1,Assumptions!B39*G1627,0)</f>
        <v>0</v>
      </c>
      <c r="Q1627" s="22" t="n">
        <f aca="false">IF(DAY(B1627)=1,Assumptions!B40*G1627,0)</f>
        <v>0</v>
      </c>
      <c r="R1627" s="22" t="n">
        <f aca="false">IF(DAY(B1627)=1,Assumptions!B41*G1627,0)</f>
        <v>0</v>
      </c>
      <c r="S1627" s="22" t="n">
        <f aca="false">IF(AND(DAY(B1627)=1,D1627&gt;=13),Assumptions!B42*G1627,0)</f>
        <v>0</v>
      </c>
      <c r="T1627" s="22" t="n">
        <f aca="false">IF(DAY(B1627)=1,Assumptions!B43*G1627,0)</f>
        <v>0</v>
      </c>
      <c r="U1627" s="22" t="n">
        <f aca="false">SUM(O1627:T1627)</f>
        <v>0</v>
      </c>
      <c r="V1627" s="22" t="n">
        <f aca="false">N1627-U1627</f>
        <v>22200</v>
      </c>
      <c r="W1627" s="22" t="n">
        <f aca="false">W1626+V1627</f>
        <v>84172.9762677281</v>
      </c>
      <c r="X1627" s="23" t="str">
        <f aca="false">IF(W1627&gt;=0,"YES","No")</f>
        <v>YES</v>
      </c>
    </row>
    <row r="1628" customFormat="false" ht="15" hidden="false" customHeight="false" outlineLevel="0" collapsed="false">
      <c r="A1628" s="16" t="n">
        <v>1627</v>
      </c>
      <c r="B1628" s="17" t="n">
        <f aca="false">B1627+1</f>
        <v>47649</v>
      </c>
      <c r="C1628" s="18" t="n">
        <f aca="false">MIN(ROUNDUP(A1628/365,0),5)</f>
        <v>5</v>
      </c>
      <c r="D1628" s="18" t="n">
        <f aca="false">DATEDIF(Assumptions!B5,B1628,"m")+1</f>
        <v>54</v>
      </c>
      <c r="E1628" s="18" t="str">
        <f aca="false">TEXT(B1628,"ddd")</f>
        <v>Sat</v>
      </c>
      <c r="F1628" s="19" t="n">
        <f aca="false">IF(WEEKDAY(B1628,2)&gt;=6,Assumptions!B34,Assumptions!B35)</f>
        <v>0.6</v>
      </c>
      <c r="G1628" s="20" t="n">
        <f aca="false">IF(D1628&gt;=13,(1+Assumptions!B46)^(D1628-12),1)</f>
        <v>1.13406823692628</v>
      </c>
      <c r="H1628" s="21" t="n">
        <f aca="false">H1627*(1+IF(C1628=1,Assumptions!B22,Assumptions!B23))</f>
        <v>25.5957396492969</v>
      </c>
      <c r="I1628" s="16" t="n">
        <f aca="false">ROUND(H1628*F1628,0)</f>
        <v>15</v>
      </c>
      <c r="J1628" s="22" t="n">
        <f aca="false">I1628*Assumptions!B24</f>
        <v>9000</v>
      </c>
      <c r="K1628" s="21" t="n">
        <f aca="false">K1627*(1+Assumptions!B30)</f>
        <v>22.3587877323102</v>
      </c>
      <c r="L1628" s="16" t="n">
        <f aca="false">ROUND(K1628*F1628,0)</f>
        <v>13</v>
      </c>
      <c r="M1628" s="22" t="n">
        <f aca="false">L1628*Assumptions!B31</f>
        <v>3900</v>
      </c>
      <c r="N1628" s="22" t="n">
        <f aca="false">J1628+M1628</f>
        <v>12900</v>
      </c>
      <c r="O1628" s="22" t="n">
        <f aca="false">IF(DAY(B1628)=1,Assumptions!B38*G1628,0)</f>
        <v>0</v>
      </c>
      <c r="P1628" s="22" t="n">
        <f aca="false">IF(DAY(B1628)=1,Assumptions!B39*G1628,0)</f>
        <v>0</v>
      </c>
      <c r="Q1628" s="22" t="n">
        <f aca="false">IF(DAY(B1628)=1,Assumptions!B40*G1628,0)</f>
        <v>0</v>
      </c>
      <c r="R1628" s="22" t="n">
        <f aca="false">IF(DAY(B1628)=1,Assumptions!B41*G1628,0)</f>
        <v>0</v>
      </c>
      <c r="S1628" s="22" t="n">
        <f aca="false">IF(AND(DAY(B1628)=1,D1628&gt;=13),Assumptions!B42*G1628,0)</f>
        <v>0</v>
      </c>
      <c r="T1628" s="22" t="n">
        <f aca="false">IF(DAY(B1628)=1,Assumptions!B43*G1628,0)</f>
        <v>0</v>
      </c>
      <c r="U1628" s="22" t="n">
        <f aca="false">SUM(O1628:T1628)</f>
        <v>0</v>
      </c>
      <c r="V1628" s="22" t="n">
        <f aca="false">N1628-U1628</f>
        <v>12900</v>
      </c>
      <c r="W1628" s="22" t="n">
        <f aca="false">W1627+V1628</f>
        <v>97072.9762677281</v>
      </c>
      <c r="X1628" s="23" t="str">
        <f aca="false">IF(W1628&gt;=0,"YES","No")</f>
        <v>YES</v>
      </c>
    </row>
    <row r="1629" customFormat="false" ht="15" hidden="false" customHeight="false" outlineLevel="0" collapsed="false">
      <c r="A1629" s="16" t="n">
        <v>1628</v>
      </c>
      <c r="B1629" s="17" t="n">
        <f aca="false">B1628+1</f>
        <v>47650</v>
      </c>
      <c r="C1629" s="18" t="n">
        <f aca="false">MIN(ROUNDUP(A1629/365,0),5)</f>
        <v>5</v>
      </c>
      <c r="D1629" s="18" t="n">
        <f aca="false">DATEDIF(Assumptions!B5,B1629,"m")+1</f>
        <v>54</v>
      </c>
      <c r="E1629" s="18" t="str">
        <f aca="false">TEXT(B1629,"ddd")</f>
        <v>Sun</v>
      </c>
      <c r="F1629" s="19" t="n">
        <f aca="false">IF(WEEKDAY(B1629,2)&gt;=6,Assumptions!B34,Assumptions!B35)</f>
        <v>0.6</v>
      </c>
      <c r="G1629" s="20" t="n">
        <f aca="false">IF(D1629&gt;=13,(1+Assumptions!B46)^(D1629-12),1)</f>
        <v>1.13406823692628</v>
      </c>
      <c r="H1629" s="21" t="n">
        <f aca="false">H1628*(1+IF(C1629=1,Assumptions!B22,Assumptions!B23))</f>
        <v>25.5999338106963</v>
      </c>
      <c r="I1629" s="16" t="n">
        <f aca="false">ROUND(H1629*F1629,0)</f>
        <v>15</v>
      </c>
      <c r="J1629" s="22" t="n">
        <f aca="false">I1629*Assumptions!B24</f>
        <v>9000</v>
      </c>
      <c r="K1629" s="21" t="n">
        <f aca="false">K1628*(1+Assumptions!B30)</f>
        <v>22.3660976436587</v>
      </c>
      <c r="L1629" s="16" t="n">
        <f aca="false">ROUND(K1629*F1629,0)</f>
        <v>13</v>
      </c>
      <c r="M1629" s="22" t="n">
        <f aca="false">L1629*Assumptions!B31</f>
        <v>3900</v>
      </c>
      <c r="N1629" s="22" t="n">
        <f aca="false">J1629+M1629</f>
        <v>12900</v>
      </c>
      <c r="O1629" s="22" t="n">
        <f aca="false">IF(DAY(B1629)=1,Assumptions!B38*G1629,0)</f>
        <v>0</v>
      </c>
      <c r="P1629" s="22" t="n">
        <f aca="false">IF(DAY(B1629)=1,Assumptions!B39*G1629,0)</f>
        <v>0</v>
      </c>
      <c r="Q1629" s="22" t="n">
        <f aca="false">IF(DAY(B1629)=1,Assumptions!B40*G1629,0)</f>
        <v>0</v>
      </c>
      <c r="R1629" s="22" t="n">
        <f aca="false">IF(DAY(B1629)=1,Assumptions!B41*G1629,0)</f>
        <v>0</v>
      </c>
      <c r="S1629" s="22" t="n">
        <f aca="false">IF(AND(DAY(B1629)=1,D1629&gt;=13),Assumptions!B42*G1629,0)</f>
        <v>0</v>
      </c>
      <c r="T1629" s="22" t="n">
        <f aca="false">IF(DAY(B1629)=1,Assumptions!B43*G1629,0)</f>
        <v>0</v>
      </c>
      <c r="U1629" s="22" t="n">
        <f aca="false">SUM(O1629:T1629)</f>
        <v>0</v>
      </c>
      <c r="V1629" s="22" t="n">
        <f aca="false">N1629-U1629</f>
        <v>12900</v>
      </c>
      <c r="W1629" s="22" t="n">
        <f aca="false">W1628+V1629</f>
        <v>109972.976267728</v>
      </c>
      <c r="X1629" s="23" t="str">
        <f aca="false">IF(W1629&gt;=0,"YES","No")</f>
        <v>YES</v>
      </c>
    </row>
    <row r="1630" customFormat="false" ht="15" hidden="false" customHeight="false" outlineLevel="0" collapsed="false">
      <c r="A1630" s="16" t="n">
        <v>1629</v>
      </c>
      <c r="B1630" s="17" t="n">
        <f aca="false">B1629+1</f>
        <v>47651</v>
      </c>
      <c r="C1630" s="18" t="n">
        <f aca="false">MIN(ROUNDUP(A1630/365,0),5)</f>
        <v>5</v>
      </c>
      <c r="D1630" s="18" t="n">
        <f aca="false">DATEDIF(Assumptions!B5,B1630,"m")+1</f>
        <v>54</v>
      </c>
      <c r="E1630" s="18" t="str">
        <f aca="false">TEXT(B1630,"ddd")</f>
        <v>Mon</v>
      </c>
      <c r="F1630" s="19" t="n">
        <f aca="false">IF(WEEKDAY(B1630,2)&gt;=6,Assumptions!B34,Assumptions!B35)</f>
        <v>1</v>
      </c>
      <c r="G1630" s="20" t="n">
        <f aca="false">IF(D1630&gt;=13,(1+Assumptions!B46)^(D1630-12),1)</f>
        <v>1.13406823692628</v>
      </c>
      <c r="H1630" s="21" t="n">
        <f aca="false">H1629*(1+IF(C1630=1,Assumptions!B22,Assumptions!B23))</f>
        <v>25.6041286593581</v>
      </c>
      <c r="I1630" s="16" t="n">
        <f aca="false">ROUND(H1630*F1630,0)</f>
        <v>26</v>
      </c>
      <c r="J1630" s="22" t="n">
        <f aca="false">I1630*Assumptions!B24</f>
        <v>15600</v>
      </c>
      <c r="K1630" s="21" t="n">
        <f aca="false">K1629*(1+Assumptions!B30)</f>
        <v>22.3734099448865</v>
      </c>
      <c r="L1630" s="16" t="n">
        <f aca="false">ROUND(K1630*F1630,0)</f>
        <v>22</v>
      </c>
      <c r="M1630" s="22" t="n">
        <f aca="false">L1630*Assumptions!B31</f>
        <v>6600</v>
      </c>
      <c r="N1630" s="22" t="n">
        <f aca="false">J1630+M1630</f>
        <v>22200</v>
      </c>
      <c r="O1630" s="22" t="n">
        <f aca="false">IF(DAY(B1630)=1,Assumptions!B38*G1630,0)</f>
        <v>0</v>
      </c>
      <c r="P1630" s="22" t="n">
        <f aca="false">IF(DAY(B1630)=1,Assumptions!B39*G1630,0)</f>
        <v>0</v>
      </c>
      <c r="Q1630" s="22" t="n">
        <f aca="false">IF(DAY(B1630)=1,Assumptions!B40*G1630,0)</f>
        <v>0</v>
      </c>
      <c r="R1630" s="22" t="n">
        <f aca="false">IF(DAY(B1630)=1,Assumptions!B41*G1630,0)</f>
        <v>0</v>
      </c>
      <c r="S1630" s="22" t="n">
        <f aca="false">IF(AND(DAY(B1630)=1,D1630&gt;=13),Assumptions!B42*G1630,0)</f>
        <v>0</v>
      </c>
      <c r="T1630" s="22" t="n">
        <f aca="false">IF(DAY(B1630)=1,Assumptions!B43*G1630,0)</f>
        <v>0</v>
      </c>
      <c r="U1630" s="22" t="n">
        <f aca="false">SUM(O1630:T1630)</f>
        <v>0</v>
      </c>
      <c r="V1630" s="22" t="n">
        <f aca="false">N1630-U1630</f>
        <v>22200</v>
      </c>
      <c r="W1630" s="22" t="n">
        <f aca="false">W1629+V1630</f>
        <v>132172.976267728</v>
      </c>
      <c r="X1630" s="23" t="str">
        <f aca="false">IF(W1630&gt;=0,"YES","No")</f>
        <v>YES</v>
      </c>
    </row>
    <row r="1631" customFormat="false" ht="15" hidden="false" customHeight="false" outlineLevel="0" collapsed="false">
      <c r="A1631" s="16" t="n">
        <v>1630</v>
      </c>
      <c r="B1631" s="17" t="n">
        <f aca="false">B1630+1</f>
        <v>47652</v>
      </c>
      <c r="C1631" s="18" t="n">
        <f aca="false">MIN(ROUNDUP(A1631/365,0),5)</f>
        <v>5</v>
      </c>
      <c r="D1631" s="18" t="n">
        <f aca="false">DATEDIF(Assumptions!B5,B1631,"m")+1</f>
        <v>54</v>
      </c>
      <c r="E1631" s="18" t="str">
        <f aca="false">TEXT(B1631,"ddd")</f>
        <v>Tue</v>
      </c>
      <c r="F1631" s="19" t="n">
        <f aca="false">IF(WEEKDAY(B1631,2)&gt;=6,Assumptions!B34,Assumptions!B35)</f>
        <v>1</v>
      </c>
      <c r="G1631" s="20" t="n">
        <f aca="false">IF(D1631&gt;=13,(1+Assumptions!B46)^(D1631-12),1)</f>
        <v>1.13406823692628</v>
      </c>
      <c r="H1631" s="21" t="n">
        <f aca="false">H1630*(1+IF(C1631=1,Assumptions!B22,Assumptions!B23))</f>
        <v>25.6083241953949</v>
      </c>
      <c r="I1631" s="16" t="n">
        <f aca="false">ROUND(H1631*F1631,0)</f>
        <v>26</v>
      </c>
      <c r="J1631" s="22" t="n">
        <f aca="false">I1631*Assumptions!B24</f>
        <v>15600</v>
      </c>
      <c r="K1631" s="21" t="n">
        <f aca="false">K1630*(1+Assumptions!B30)</f>
        <v>22.380724636775</v>
      </c>
      <c r="L1631" s="16" t="n">
        <f aca="false">ROUND(K1631*F1631,0)</f>
        <v>22</v>
      </c>
      <c r="M1631" s="22" t="n">
        <f aca="false">L1631*Assumptions!B31</f>
        <v>6600</v>
      </c>
      <c r="N1631" s="22" t="n">
        <f aca="false">J1631+M1631</f>
        <v>22200</v>
      </c>
      <c r="O1631" s="22" t="n">
        <f aca="false">IF(DAY(B1631)=1,Assumptions!B38*G1631,0)</f>
        <v>0</v>
      </c>
      <c r="P1631" s="22" t="n">
        <f aca="false">IF(DAY(B1631)=1,Assumptions!B39*G1631,0)</f>
        <v>0</v>
      </c>
      <c r="Q1631" s="22" t="n">
        <f aca="false">IF(DAY(B1631)=1,Assumptions!B40*G1631,0)</f>
        <v>0</v>
      </c>
      <c r="R1631" s="22" t="n">
        <f aca="false">IF(DAY(B1631)=1,Assumptions!B41*G1631,0)</f>
        <v>0</v>
      </c>
      <c r="S1631" s="22" t="n">
        <f aca="false">IF(AND(DAY(B1631)=1,D1631&gt;=13),Assumptions!B42*G1631,0)</f>
        <v>0</v>
      </c>
      <c r="T1631" s="22" t="n">
        <f aca="false">IF(DAY(B1631)=1,Assumptions!B43*G1631,0)</f>
        <v>0</v>
      </c>
      <c r="U1631" s="22" t="n">
        <f aca="false">SUM(O1631:T1631)</f>
        <v>0</v>
      </c>
      <c r="V1631" s="22" t="n">
        <f aca="false">N1631-U1631</f>
        <v>22200</v>
      </c>
      <c r="W1631" s="22" t="n">
        <f aca="false">W1630+V1631</f>
        <v>154372.976267728</v>
      </c>
      <c r="X1631" s="23" t="str">
        <f aca="false">IF(W1631&gt;=0,"YES","No")</f>
        <v>YES</v>
      </c>
    </row>
    <row r="1632" customFormat="false" ht="15" hidden="false" customHeight="false" outlineLevel="0" collapsed="false">
      <c r="A1632" s="16" t="n">
        <v>1631</v>
      </c>
      <c r="B1632" s="17" t="n">
        <f aca="false">B1631+1</f>
        <v>47653</v>
      </c>
      <c r="C1632" s="18" t="n">
        <f aca="false">MIN(ROUNDUP(A1632/365,0),5)</f>
        <v>5</v>
      </c>
      <c r="D1632" s="18" t="n">
        <f aca="false">DATEDIF(Assumptions!B5,B1632,"m")+1</f>
        <v>54</v>
      </c>
      <c r="E1632" s="18" t="str">
        <f aca="false">TEXT(B1632,"ddd")</f>
        <v>Wed</v>
      </c>
      <c r="F1632" s="19" t="n">
        <f aca="false">IF(WEEKDAY(B1632,2)&gt;=6,Assumptions!B34,Assumptions!B35)</f>
        <v>1</v>
      </c>
      <c r="G1632" s="20" t="n">
        <f aca="false">IF(D1632&gt;=13,(1+Assumptions!B46)^(D1632-12),1)</f>
        <v>1.13406823692628</v>
      </c>
      <c r="H1632" s="21" t="n">
        <f aca="false">H1631*(1+IF(C1632=1,Assumptions!B22,Assumptions!B23))</f>
        <v>25.6125204189195</v>
      </c>
      <c r="I1632" s="16" t="n">
        <f aca="false">ROUND(H1632*F1632,0)</f>
        <v>26</v>
      </c>
      <c r="J1632" s="22" t="n">
        <f aca="false">I1632*Assumptions!B24</f>
        <v>15600</v>
      </c>
      <c r="K1632" s="21" t="n">
        <f aca="false">K1631*(1+Assumptions!B30)</f>
        <v>22.3880417201056</v>
      </c>
      <c r="L1632" s="16" t="n">
        <f aca="false">ROUND(K1632*F1632,0)</f>
        <v>22</v>
      </c>
      <c r="M1632" s="22" t="n">
        <f aca="false">L1632*Assumptions!B31</f>
        <v>6600</v>
      </c>
      <c r="N1632" s="22" t="n">
        <f aca="false">J1632+M1632</f>
        <v>22200</v>
      </c>
      <c r="O1632" s="22" t="n">
        <f aca="false">IF(DAY(B1632)=1,Assumptions!B38*G1632,0)</f>
        <v>0</v>
      </c>
      <c r="P1632" s="22" t="n">
        <f aca="false">IF(DAY(B1632)=1,Assumptions!B39*G1632,0)</f>
        <v>0</v>
      </c>
      <c r="Q1632" s="22" t="n">
        <f aca="false">IF(DAY(B1632)=1,Assumptions!B40*G1632,0)</f>
        <v>0</v>
      </c>
      <c r="R1632" s="22" t="n">
        <f aca="false">IF(DAY(B1632)=1,Assumptions!B41*G1632,0)</f>
        <v>0</v>
      </c>
      <c r="S1632" s="22" t="n">
        <f aca="false">IF(AND(DAY(B1632)=1,D1632&gt;=13),Assumptions!B42*G1632,0)</f>
        <v>0</v>
      </c>
      <c r="T1632" s="22" t="n">
        <f aca="false">IF(DAY(B1632)=1,Assumptions!B43*G1632,0)</f>
        <v>0</v>
      </c>
      <c r="U1632" s="22" t="n">
        <f aca="false">SUM(O1632:T1632)</f>
        <v>0</v>
      </c>
      <c r="V1632" s="22" t="n">
        <f aca="false">N1632-U1632</f>
        <v>22200</v>
      </c>
      <c r="W1632" s="22" t="n">
        <f aca="false">W1631+V1632</f>
        <v>176572.976267728</v>
      </c>
      <c r="X1632" s="23" t="str">
        <f aca="false">IF(W1632&gt;=0,"YES","No")</f>
        <v>YES</v>
      </c>
    </row>
    <row r="1633" customFormat="false" ht="15" hidden="false" customHeight="false" outlineLevel="0" collapsed="false">
      <c r="A1633" s="16" t="n">
        <v>1632</v>
      </c>
      <c r="B1633" s="17" t="n">
        <f aca="false">B1632+1</f>
        <v>47654</v>
      </c>
      <c r="C1633" s="18" t="n">
        <f aca="false">MIN(ROUNDUP(A1633/365,0),5)</f>
        <v>5</v>
      </c>
      <c r="D1633" s="18" t="n">
        <f aca="false">DATEDIF(Assumptions!B5,B1633,"m")+1</f>
        <v>54</v>
      </c>
      <c r="E1633" s="18" t="str">
        <f aca="false">TEXT(B1633,"ddd")</f>
        <v>Thu</v>
      </c>
      <c r="F1633" s="19" t="n">
        <f aca="false">IF(WEEKDAY(B1633,2)&gt;=6,Assumptions!B34,Assumptions!B35)</f>
        <v>1</v>
      </c>
      <c r="G1633" s="20" t="n">
        <f aca="false">IF(D1633&gt;=13,(1+Assumptions!B46)^(D1633-12),1)</f>
        <v>1.13406823692628</v>
      </c>
      <c r="H1633" s="21" t="n">
        <f aca="false">H1632*(1+IF(C1633=1,Assumptions!B22,Assumptions!B23))</f>
        <v>25.6167173300443</v>
      </c>
      <c r="I1633" s="16" t="n">
        <f aca="false">ROUND(H1633*F1633,0)</f>
        <v>26</v>
      </c>
      <c r="J1633" s="22" t="n">
        <f aca="false">I1633*Assumptions!B24</f>
        <v>15600</v>
      </c>
      <c r="K1633" s="21" t="n">
        <f aca="false">K1632*(1+Assumptions!B30)</f>
        <v>22.3953611956604</v>
      </c>
      <c r="L1633" s="16" t="n">
        <f aca="false">ROUND(K1633*F1633,0)</f>
        <v>22</v>
      </c>
      <c r="M1633" s="22" t="n">
        <f aca="false">L1633*Assumptions!B31</f>
        <v>6600</v>
      </c>
      <c r="N1633" s="22" t="n">
        <f aca="false">J1633+M1633</f>
        <v>22200</v>
      </c>
      <c r="O1633" s="22" t="n">
        <f aca="false">IF(DAY(B1633)=1,Assumptions!B38*G1633,0)</f>
        <v>0</v>
      </c>
      <c r="P1633" s="22" t="n">
        <f aca="false">IF(DAY(B1633)=1,Assumptions!B39*G1633,0)</f>
        <v>0</v>
      </c>
      <c r="Q1633" s="22" t="n">
        <f aca="false">IF(DAY(B1633)=1,Assumptions!B40*G1633,0)</f>
        <v>0</v>
      </c>
      <c r="R1633" s="22" t="n">
        <f aca="false">IF(DAY(B1633)=1,Assumptions!B41*G1633,0)</f>
        <v>0</v>
      </c>
      <c r="S1633" s="22" t="n">
        <f aca="false">IF(AND(DAY(B1633)=1,D1633&gt;=13),Assumptions!B42*G1633,0)</f>
        <v>0</v>
      </c>
      <c r="T1633" s="22" t="n">
        <f aca="false">IF(DAY(B1633)=1,Assumptions!B43*G1633,0)</f>
        <v>0</v>
      </c>
      <c r="U1633" s="22" t="n">
        <f aca="false">SUM(O1633:T1633)</f>
        <v>0</v>
      </c>
      <c r="V1633" s="22" t="n">
        <f aca="false">N1633-U1633</f>
        <v>22200</v>
      </c>
      <c r="W1633" s="22" t="n">
        <f aca="false">W1632+V1633</f>
        <v>198772.976267728</v>
      </c>
      <c r="X1633" s="23" t="str">
        <f aca="false">IF(W1633&gt;=0,"YES","No")</f>
        <v>YES</v>
      </c>
    </row>
    <row r="1634" customFormat="false" ht="15" hidden="false" customHeight="false" outlineLevel="0" collapsed="false">
      <c r="A1634" s="16" t="n">
        <v>1633</v>
      </c>
      <c r="B1634" s="17" t="n">
        <f aca="false">B1633+1</f>
        <v>47655</v>
      </c>
      <c r="C1634" s="18" t="n">
        <f aca="false">MIN(ROUNDUP(A1634/365,0),5)</f>
        <v>5</v>
      </c>
      <c r="D1634" s="18" t="n">
        <f aca="false">DATEDIF(Assumptions!B5,B1634,"m")+1</f>
        <v>54</v>
      </c>
      <c r="E1634" s="18" t="str">
        <f aca="false">TEXT(B1634,"ddd")</f>
        <v>Fri</v>
      </c>
      <c r="F1634" s="19" t="n">
        <f aca="false">IF(WEEKDAY(B1634,2)&gt;=6,Assumptions!B34,Assumptions!B35)</f>
        <v>1</v>
      </c>
      <c r="G1634" s="20" t="n">
        <f aca="false">IF(D1634&gt;=13,(1+Assumptions!B46)^(D1634-12),1)</f>
        <v>1.13406823692628</v>
      </c>
      <c r="H1634" s="21" t="n">
        <f aca="false">H1633*(1+IF(C1634=1,Assumptions!B22,Assumptions!B23))</f>
        <v>25.6209149288821</v>
      </c>
      <c r="I1634" s="16" t="n">
        <f aca="false">ROUND(H1634*F1634,0)</f>
        <v>26</v>
      </c>
      <c r="J1634" s="22" t="n">
        <f aca="false">I1634*Assumptions!B24</f>
        <v>15600</v>
      </c>
      <c r="K1634" s="21" t="n">
        <f aca="false">K1633*(1+Assumptions!B30)</f>
        <v>22.4026830642214</v>
      </c>
      <c r="L1634" s="16" t="n">
        <f aca="false">ROUND(K1634*F1634,0)</f>
        <v>22</v>
      </c>
      <c r="M1634" s="22" t="n">
        <f aca="false">L1634*Assumptions!B31</f>
        <v>6600</v>
      </c>
      <c r="N1634" s="22" t="n">
        <f aca="false">J1634+M1634</f>
        <v>22200</v>
      </c>
      <c r="O1634" s="22" t="n">
        <f aca="false">IF(DAY(B1634)=1,Assumptions!B38*G1634,0)</f>
        <v>0</v>
      </c>
      <c r="P1634" s="22" t="n">
        <f aca="false">IF(DAY(B1634)=1,Assumptions!B39*G1634,0)</f>
        <v>0</v>
      </c>
      <c r="Q1634" s="22" t="n">
        <f aca="false">IF(DAY(B1634)=1,Assumptions!B40*G1634,0)</f>
        <v>0</v>
      </c>
      <c r="R1634" s="22" t="n">
        <f aca="false">IF(DAY(B1634)=1,Assumptions!B41*G1634,0)</f>
        <v>0</v>
      </c>
      <c r="S1634" s="22" t="n">
        <f aca="false">IF(AND(DAY(B1634)=1,D1634&gt;=13),Assumptions!B42*G1634,0)</f>
        <v>0</v>
      </c>
      <c r="T1634" s="22" t="n">
        <f aca="false">IF(DAY(B1634)=1,Assumptions!B43*G1634,0)</f>
        <v>0</v>
      </c>
      <c r="U1634" s="22" t="n">
        <f aca="false">SUM(O1634:T1634)</f>
        <v>0</v>
      </c>
      <c r="V1634" s="22" t="n">
        <f aca="false">N1634-U1634</f>
        <v>22200</v>
      </c>
      <c r="W1634" s="22" t="n">
        <f aca="false">W1633+V1634</f>
        <v>220972.976267728</v>
      </c>
      <c r="X1634" s="23" t="str">
        <f aca="false">IF(W1634&gt;=0,"YES","No")</f>
        <v>YES</v>
      </c>
    </row>
    <row r="1635" customFormat="false" ht="15" hidden="false" customHeight="false" outlineLevel="0" collapsed="false">
      <c r="A1635" s="16" t="n">
        <v>1634</v>
      </c>
      <c r="B1635" s="17" t="n">
        <f aca="false">B1634+1</f>
        <v>47656</v>
      </c>
      <c r="C1635" s="18" t="n">
        <f aca="false">MIN(ROUNDUP(A1635/365,0),5)</f>
        <v>5</v>
      </c>
      <c r="D1635" s="18" t="n">
        <f aca="false">DATEDIF(Assumptions!B5,B1635,"m")+1</f>
        <v>54</v>
      </c>
      <c r="E1635" s="18" t="str">
        <f aca="false">TEXT(B1635,"ddd")</f>
        <v>Sat</v>
      </c>
      <c r="F1635" s="19" t="n">
        <f aca="false">IF(WEEKDAY(B1635,2)&gt;=6,Assumptions!B34,Assumptions!B35)</f>
        <v>0.6</v>
      </c>
      <c r="G1635" s="20" t="n">
        <f aca="false">IF(D1635&gt;=13,(1+Assumptions!B46)^(D1635-12),1)</f>
        <v>1.13406823692628</v>
      </c>
      <c r="H1635" s="21" t="n">
        <f aca="false">H1634*(1+IF(C1635=1,Assumptions!B22,Assumptions!B23))</f>
        <v>25.6251132155456</v>
      </c>
      <c r="I1635" s="16" t="n">
        <f aca="false">ROUND(H1635*F1635,0)</f>
        <v>15</v>
      </c>
      <c r="J1635" s="22" t="n">
        <f aca="false">I1635*Assumptions!B24</f>
        <v>9000</v>
      </c>
      <c r="K1635" s="21" t="n">
        <f aca="false">K1634*(1+Assumptions!B30)</f>
        <v>22.4100073265709</v>
      </c>
      <c r="L1635" s="16" t="n">
        <f aca="false">ROUND(K1635*F1635,0)</f>
        <v>13</v>
      </c>
      <c r="M1635" s="22" t="n">
        <f aca="false">L1635*Assumptions!B31</f>
        <v>3900</v>
      </c>
      <c r="N1635" s="22" t="n">
        <f aca="false">J1635+M1635</f>
        <v>12900</v>
      </c>
      <c r="O1635" s="22" t="n">
        <f aca="false">IF(DAY(B1635)=1,Assumptions!B38*G1635,0)</f>
        <v>0</v>
      </c>
      <c r="P1635" s="22" t="n">
        <f aca="false">IF(DAY(B1635)=1,Assumptions!B39*G1635,0)</f>
        <v>0</v>
      </c>
      <c r="Q1635" s="22" t="n">
        <f aca="false">IF(DAY(B1635)=1,Assumptions!B40*G1635,0)</f>
        <v>0</v>
      </c>
      <c r="R1635" s="22" t="n">
        <f aca="false">IF(DAY(B1635)=1,Assumptions!B41*G1635,0)</f>
        <v>0</v>
      </c>
      <c r="S1635" s="22" t="n">
        <f aca="false">IF(AND(DAY(B1635)=1,D1635&gt;=13),Assumptions!B42*G1635,0)</f>
        <v>0</v>
      </c>
      <c r="T1635" s="22" t="n">
        <f aca="false">IF(DAY(B1635)=1,Assumptions!B43*G1635,0)</f>
        <v>0</v>
      </c>
      <c r="U1635" s="22" t="n">
        <f aca="false">SUM(O1635:T1635)</f>
        <v>0</v>
      </c>
      <c r="V1635" s="22" t="n">
        <f aca="false">N1635-U1635</f>
        <v>12900</v>
      </c>
      <c r="W1635" s="22" t="n">
        <f aca="false">W1634+V1635</f>
        <v>233872.976267728</v>
      </c>
      <c r="X1635" s="23" t="str">
        <f aca="false">IF(W1635&gt;=0,"YES","No")</f>
        <v>YES</v>
      </c>
    </row>
    <row r="1636" customFormat="false" ht="15" hidden="false" customHeight="false" outlineLevel="0" collapsed="false">
      <c r="A1636" s="16" t="n">
        <v>1635</v>
      </c>
      <c r="B1636" s="17" t="n">
        <f aca="false">B1635+1</f>
        <v>47657</v>
      </c>
      <c r="C1636" s="18" t="n">
        <f aca="false">MIN(ROUNDUP(A1636/365,0),5)</f>
        <v>5</v>
      </c>
      <c r="D1636" s="18" t="n">
        <f aca="false">DATEDIF(Assumptions!B5,B1636,"m")+1</f>
        <v>54</v>
      </c>
      <c r="E1636" s="18" t="str">
        <f aca="false">TEXT(B1636,"ddd")</f>
        <v>Sun</v>
      </c>
      <c r="F1636" s="19" t="n">
        <f aca="false">IF(WEEKDAY(B1636,2)&gt;=6,Assumptions!B34,Assumptions!B35)</f>
        <v>0.6</v>
      </c>
      <c r="G1636" s="20" t="n">
        <f aca="false">IF(D1636&gt;=13,(1+Assumptions!B46)^(D1636-12),1)</f>
        <v>1.13406823692628</v>
      </c>
      <c r="H1636" s="21" t="n">
        <f aca="false">H1635*(1+IF(C1636=1,Assumptions!B22,Assumptions!B23))</f>
        <v>25.6293121901475</v>
      </c>
      <c r="I1636" s="16" t="n">
        <f aca="false">ROUND(H1636*F1636,0)</f>
        <v>15</v>
      </c>
      <c r="J1636" s="22" t="n">
        <f aca="false">I1636*Assumptions!B24</f>
        <v>9000</v>
      </c>
      <c r="K1636" s="21" t="n">
        <f aca="false">K1635*(1+Assumptions!B30)</f>
        <v>22.4173339834916</v>
      </c>
      <c r="L1636" s="16" t="n">
        <f aca="false">ROUND(K1636*F1636,0)</f>
        <v>13</v>
      </c>
      <c r="M1636" s="22" t="n">
        <f aca="false">L1636*Assumptions!B31</f>
        <v>3900</v>
      </c>
      <c r="N1636" s="22" t="n">
        <f aca="false">J1636+M1636</f>
        <v>12900</v>
      </c>
      <c r="O1636" s="22" t="n">
        <f aca="false">IF(DAY(B1636)=1,Assumptions!B38*G1636,0)</f>
        <v>0</v>
      </c>
      <c r="P1636" s="22" t="n">
        <f aca="false">IF(DAY(B1636)=1,Assumptions!B39*G1636,0)</f>
        <v>0</v>
      </c>
      <c r="Q1636" s="22" t="n">
        <f aca="false">IF(DAY(B1636)=1,Assumptions!B40*G1636,0)</f>
        <v>0</v>
      </c>
      <c r="R1636" s="22" t="n">
        <f aca="false">IF(DAY(B1636)=1,Assumptions!B41*G1636,0)</f>
        <v>0</v>
      </c>
      <c r="S1636" s="22" t="n">
        <f aca="false">IF(AND(DAY(B1636)=1,D1636&gt;=13),Assumptions!B42*G1636,0)</f>
        <v>0</v>
      </c>
      <c r="T1636" s="22" t="n">
        <f aca="false">IF(DAY(B1636)=1,Assumptions!B43*G1636,0)</f>
        <v>0</v>
      </c>
      <c r="U1636" s="22" t="n">
        <f aca="false">SUM(O1636:T1636)</f>
        <v>0</v>
      </c>
      <c r="V1636" s="22" t="n">
        <f aca="false">N1636-U1636</f>
        <v>12900</v>
      </c>
      <c r="W1636" s="22" t="n">
        <f aca="false">W1635+V1636</f>
        <v>246772.976267728</v>
      </c>
      <c r="X1636" s="23" t="str">
        <f aca="false">IF(W1636&gt;=0,"YES","No")</f>
        <v>YES</v>
      </c>
    </row>
    <row r="1637" customFormat="false" ht="15" hidden="false" customHeight="false" outlineLevel="0" collapsed="false">
      <c r="A1637" s="16" t="n">
        <v>1636</v>
      </c>
      <c r="B1637" s="17" t="n">
        <f aca="false">B1636+1</f>
        <v>47658</v>
      </c>
      <c r="C1637" s="18" t="n">
        <f aca="false">MIN(ROUNDUP(A1637/365,0),5)</f>
        <v>5</v>
      </c>
      <c r="D1637" s="18" t="n">
        <f aca="false">DATEDIF(Assumptions!B5,B1637,"m")+1</f>
        <v>54</v>
      </c>
      <c r="E1637" s="18" t="str">
        <f aca="false">TEXT(B1637,"ddd")</f>
        <v>Mon</v>
      </c>
      <c r="F1637" s="19" t="n">
        <f aca="false">IF(WEEKDAY(B1637,2)&gt;=6,Assumptions!B34,Assumptions!B35)</f>
        <v>1</v>
      </c>
      <c r="G1637" s="20" t="n">
        <f aca="false">IF(D1637&gt;=13,(1+Assumptions!B46)^(D1637-12),1)</f>
        <v>1.13406823692628</v>
      </c>
      <c r="H1637" s="21" t="n">
        <f aca="false">H1636*(1+IF(C1637=1,Assumptions!B22,Assumptions!B23))</f>
        <v>25.6335118528005</v>
      </c>
      <c r="I1637" s="16" t="n">
        <f aca="false">ROUND(H1637*F1637,0)</f>
        <v>26</v>
      </c>
      <c r="J1637" s="22" t="n">
        <f aca="false">I1637*Assumptions!B24</f>
        <v>15600</v>
      </c>
      <c r="K1637" s="21" t="n">
        <f aca="false">K1636*(1+Assumptions!B30)</f>
        <v>22.4246630357663</v>
      </c>
      <c r="L1637" s="16" t="n">
        <f aca="false">ROUND(K1637*F1637,0)</f>
        <v>22</v>
      </c>
      <c r="M1637" s="22" t="n">
        <f aca="false">L1637*Assumptions!B31</f>
        <v>6600</v>
      </c>
      <c r="N1637" s="22" t="n">
        <f aca="false">J1637+M1637</f>
        <v>22200</v>
      </c>
      <c r="O1637" s="22" t="n">
        <f aca="false">IF(DAY(B1637)=1,Assumptions!B38*G1637,0)</f>
        <v>0</v>
      </c>
      <c r="P1637" s="22" t="n">
        <f aca="false">IF(DAY(B1637)=1,Assumptions!B39*G1637,0)</f>
        <v>0</v>
      </c>
      <c r="Q1637" s="22" t="n">
        <f aca="false">IF(DAY(B1637)=1,Assumptions!B40*G1637,0)</f>
        <v>0</v>
      </c>
      <c r="R1637" s="22" t="n">
        <f aca="false">IF(DAY(B1637)=1,Assumptions!B41*G1637,0)</f>
        <v>0</v>
      </c>
      <c r="S1637" s="22" t="n">
        <f aca="false">IF(AND(DAY(B1637)=1,D1637&gt;=13),Assumptions!B42*G1637,0)</f>
        <v>0</v>
      </c>
      <c r="T1637" s="22" t="n">
        <f aca="false">IF(DAY(B1637)=1,Assumptions!B43*G1637,0)</f>
        <v>0</v>
      </c>
      <c r="U1637" s="22" t="n">
        <f aca="false">SUM(O1637:T1637)</f>
        <v>0</v>
      </c>
      <c r="V1637" s="22" t="n">
        <f aca="false">N1637-U1637</f>
        <v>22200</v>
      </c>
      <c r="W1637" s="22" t="n">
        <f aca="false">W1636+V1637</f>
        <v>268972.976267728</v>
      </c>
      <c r="X1637" s="23" t="str">
        <f aca="false">IF(W1637&gt;=0,"YES","No")</f>
        <v>YES</v>
      </c>
    </row>
    <row r="1638" customFormat="false" ht="15" hidden="false" customHeight="false" outlineLevel="0" collapsed="false">
      <c r="A1638" s="16" t="n">
        <v>1637</v>
      </c>
      <c r="B1638" s="17" t="n">
        <f aca="false">B1637+1</f>
        <v>47659</v>
      </c>
      <c r="C1638" s="18" t="n">
        <f aca="false">MIN(ROUNDUP(A1638/365,0),5)</f>
        <v>5</v>
      </c>
      <c r="D1638" s="18" t="n">
        <f aca="false">DATEDIF(Assumptions!B5,B1638,"m")+1</f>
        <v>54</v>
      </c>
      <c r="E1638" s="18" t="str">
        <f aca="false">TEXT(B1638,"ddd")</f>
        <v>Tue</v>
      </c>
      <c r="F1638" s="19" t="n">
        <f aca="false">IF(WEEKDAY(B1638,2)&gt;=6,Assumptions!B34,Assumptions!B35)</f>
        <v>1</v>
      </c>
      <c r="G1638" s="20" t="n">
        <f aca="false">IF(D1638&gt;=13,(1+Assumptions!B46)^(D1638-12),1)</f>
        <v>1.13406823692628</v>
      </c>
      <c r="H1638" s="21" t="n">
        <f aca="false">H1637*(1+IF(C1638=1,Assumptions!B22,Assumptions!B23))</f>
        <v>25.6377122036174</v>
      </c>
      <c r="I1638" s="16" t="n">
        <f aca="false">ROUND(H1638*F1638,0)</f>
        <v>26</v>
      </c>
      <c r="J1638" s="22" t="n">
        <f aca="false">I1638*Assumptions!B24</f>
        <v>15600</v>
      </c>
      <c r="K1638" s="21" t="n">
        <f aca="false">K1637*(1+Assumptions!B30)</f>
        <v>22.4319944841782</v>
      </c>
      <c r="L1638" s="16" t="n">
        <f aca="false">ROUND(K1638*F1638,0)</f>
        <v>22</v>
      </c>
      <c r="M1638" s="22" t="n">
        <f aca="false">L1638*Assumptions!B31</f>
        <v>6600</v>
      </c>
      <c r="N1638" s="22" t="n">
        <f aca="false">J1638+M1638</f>
        <v>22200</v>
      </c>
      <c r="O1638" s="22" t="n">
        <f aca="false">IF(DAY(B1638)=1,Assumptions!B38*G1638,0)</f>
        <v>0</v>
      </c>
      <c r="P1638" s="22" t="n">
        <f aca="false">IF(DAY(B1638)=1,Assumptions!B39*G1638,0)</f>
        <v>0</v>
      </c>
      <c r="Q1638" s="22" t="n">
        <f aca="false">IF(DAY(B1638)=1,Assumptions!B40*G1638,0)</f>
        <v>0</v>
      </c>
      <c r="R1638" s="22" t="n">
        <f aca="false">IF(DAY(B1638)=1,Assumptions!B41*G1638,0)</f>
        <v>0</v>
      </c>
      <c r="S1638" s="22" t="n">
        <f aca="false">IF(AND(DAY(B1638)=1,D1638&gt;=13),Assumptions!B42*G1638,0)</f>
        <v>0</v>
      </c>
      <c r="T1638" s="22" t="n">
        <f aca="false">IF(DAY(B1638)=1,Assumptions!B43*G1638,0)</f>
        <v>0</v>
      </c>
      <c r="U1638" s="22" t="n">
        <f aca="false">SUM(O1638:T1638)</f>
        <v>0</v>
      </c>
      <c r="V1638" s="22" t="n">
        <f aca="false">N1638-U1638</f>
        <v>22200</v>
      </c>
      <c r="W1638" s="22" t="n">
        <f aca="false">W1637+V1638</f>
        <v>291172.976267728</v>
      </c>
      <c r="X1638" s="23" t="str">
        <f aca="false">IF(W1638&gt;=0,"YES","No")</f>
        <v>YES</v>
      </c>
    </row>
    <row r="1639" customFormat="false" ht="15" hidden="false" customHeight="false" outlineLevel="0" collapsed="false">
      <c r="A1639" s="16" t="n">
        <v>1638</v>
      </c>
      <c r="B1639" s="17" t="n">
        <f aca="false">B1638+1</f>
        <v>47660</v>
      </c>
      <c r="C1639" s="18" t="n">
        <f aca="false">MIN(ROUNDUP(A1639/365,0),5)</f>
        <v>5</v>
      </c>
      <c r="D1639" s="18" t="n">
        <f aca="false">DATEDIF(Assumptions!B5,B1639,"m")+1</f>
        <v>54</v>
      </c>
      <c r="E1639" s="18" t="str">
        <f aca="false">TEXT(B1639,"ddd")</f>
        <v>Wed</v>
      </c>
      <c r="F1639" s="19" t="n">
        <f aca="false">IF(WEEKDAY(B1639,2)&gt;=6,Assumptions!B34,Assumptions!B35)</f>
        <v>1</v>
      </c>
      <c r="G1639" s="20" t="n">
        <f aca="false">IF(D1639&gt;=13,(1+Assumptions!B46)^(D1639-12),1)</f>
        <v>1.13406823692628</v>
      </c>
      <c r="H1639" s="21" t="n">
        <f aca="false">H1638*(1+IF(C1639=1,Assumptions!B22,Assumptions!B23))</f>
        <v>25.6419132427109</v>
      </c>
      <c r="I1639" s="16" t="n">
        <f aca="false">ROUND(H1639*F1639,0)</f>
        <v>26</v>
      </c>
      <c r="J1639" s="22" t="n">
        <f aca="false">I1639*Assumptions!B24</f>
        <v>15600</v>
      </c>
      <c r="K1639" s="21" t="n">
        <f aca="false">K1638*(1+Assumptions!B30)</f>
        <v>22.4393283295107</v>
      </c>
      <c r="L1639" s="16" t="n">
        <f aca="false">ROUND(K1639*F1639,0)</f>
        <v>22</v>
      </c>
      <c r="M1639" s="22" t="n">
        <f aca="false">L1639*Assumptions!B31</f>
        <v>6600</v>
      </c>
      <c r="N1639" s="22" t="n">
        <f aca="false">J1639+M1639</f>
        <v>22200</v>
      </c>
      <c r="O1639" s="22" t="n">
        <f aca="false">IF(DAY(B1639)=1,Assumptions!B38*G1639,0)</f>
        <v>0</v>
      </c>
      <c r="P1639" s="22" t="n">
        <f aca="false">IF(DAY(B1639)=1,Assumptions!B39*G1639,0)</f>
        <v>0</v>
      </c>
      <c r="Q1639" s="22" t="n">
        <f aca="false">IF(DAY(B1639)=1,Assumptions!B40*G1639,0)</f>
        <v>0</v>
      </c>
      <c r="R1639" s="22" t="n">
        <f aca="false">IF(DAY(B1639)=1,Assumptions!B41*G1639,0)</f>
        <v>0</v>
      </c>
      <c r="S1639" s="22" t="n">
        <f aca="false">IF(AND(DAY(B1639)=1,D1639&gt;=13),Assumptions!B42*G1639,0)</f>
        <v>0</v>
      </c>
      <c r="T1639" s="22" t="n">
        <f aca="false">IF(DAY(B1639)=1,Assumptions!B43*G1639,0)</f>
        <v>0</v>
      </c>
      <c r="U1639" s="22" t="n">
        <f aca="false">SUM(O1639:T1639)</f>
        <v>0</v>
      </c>
      <c r="V1639" s="22" t="n">
        <f aca="false">N1639-U1639</f>
        <v>22200</v>
      </c>
      <c r="W1639" s="22" t="n">
        <f aca="false">W1638+V1639</f>
        <v>313372.976267728</v>
      </c>
      <c r="X1639" s="23" t="str">
        <f aca="false">IF(W1639&gt;=0,"YES","No")</f>
        <v>YES</v>
      </c>
    </row>
    <row r="1640" customFormat="false" ht="15" hidden="false" customHeight="false" outlineLevel="0" collapsed="false">
      <c r="A1640" s="16" t="n">
        <v>1639</v>
      </c>
      <c r="B1640" s="17" t="n">
        <f aca="false">B1639+1</f>
        <v>47661</v>
      </c>
      <c r="C1640" s="18" t="n">
        <f aca="false">MIN(ROUNDUP(A1640/365,0),5)</f>
        <v>5</v>
      </c>
      <c r="D1640" s="18" t="n">
        <f aca="false">DATEDIF(Assumptions!B5,B1640,"m")+1</f>
        <v>54</v>
      </c>
      <c r="E1640" s="18" t="str">
        <f aca="false">TEXT(B1640,"ddd")</f>
        <v>Thu</v>
      </c>
      <c r="F1640" s="19" t="n">
        <f aca="false">IF(WEEKDAY(B1640,2)&gt;=6,Assumptions!B34,Assumptions!B35)</f>
        <v>1</v>
      </c>
      <c r="G1640" s="20" t="n">
        <f aca="false">IF(D1640&gt;=13,(1+Assumptions!B46)^(D1640-12),1)</f>
        <v>1.13406823692628</v>
      </c>
      <c r="H1640" s="21" t="n">
        <f aca="false">H1639*(1+IF(C1640=1,Assumptions!B22,Assumptions!B23))</f>
        <v>25.6461149701938</v>
      </c>
      <c r="I1640" s="16" t="n">
        <f aca="false">ROUND(H1640*F1640,0)</f>
        <v>26</v>
      </c>
      <c r="J1640" s="22" t="n">
        <f aca="false">I1640*Assumptions!B24</f>
        <v>15600</v>
      </c>
      <c r="K1640" s="21" t="n">
        <f aca="false">K1639*(1+Assumptions!B30)</f>
        <v>22.4466645725473</v>
      </c>
      <c r="L1640" s="16" t="n">
        <f aca="false">ROUND(K1640*F1640,0)</f>
        <v>22</v>
      </c>
      <c r="M1640" s="22" t="n">
        <f aca="false">L1640*Assumptions!B31</f>
        <v>6600</v>
      </c>
      <c r="N1640" s="22" t="n">
        <f aca="false">J1640+M1640</f>
        <v>22200</v>
      </c>
      <c r="O1640" s="22" t="n">
        <f aca="false">IF(DAY(B1640)=1,Assumptions!B38*G1640,0)</f>
        <v>0</v>
      </c>
      <c r="P1640" s="22" t="n">
        <f aca="false">IF(DAY(B1640)=1,Assumptions!B39*G1640,0)</f>
        <v>0</v>
      </c>
      <c r="Q1640" s="22" t="n">
        <f aca="false">IF(DAY(B1640)=1,Assumptions!B40*G1640,0)</f>
        <v>0</v>
      </c>
      <c r="R1640" s="22" t="n">
        <f aca="false">IF(DAY(B1640)=1,Assumptions!B41*G1640,0)</f>
        <v>0</v>
      </c>
      <c r="S1640" s="22" t="n">
        <f aca="false">IF(AND(DAY(B1640)=1,D1640&gt;=13),Assumptions!B42*G1640,0)</f>
        <v>0</v>
      </c>
      <c r="T1640" s="22" t="n">
        <f aca="false">IF(DAY(B1640)=1,Assumptions!B43*G1640,0)</f>
        <v>0</v>
      </c>
      <c r="U1640" s="22" t="n">
        <f aca="false">SUM(O1640:T1640)</f>
        <v>0</v>
      </c>
      <c r="V1640" s="22" t="n">
        <f aca="false">N1640-U1640</f>
        <v>22200</v>
      </c>
      <c r="W1640" s="22" t="n">
        <f aca="false">W1639+V1640</f>
        <v>335572.976267728</v>
      </c>
      <c r="X1640" s="23" t="str">
        <f aca="false">IF(W1640&gt;=0,"YES","No")</f>
        <v>YES</v>
      </c>
    </row>
    <row r="1641" customFormat="false" ht="15" hidden="false" customHeight="false" outlineLevel="0" collapsed="false">
      <c r="A1641" s="16" t="n">
        <v>1640</v>
      </c>
      <c r="B1641" s="17" t="n">
        <f aca="false">B1640+1</f>
        <v>47662</v>
      </c>
      <c r="C1641" s="18" t="n">
        <f aca="false">MIN(ROUNDUP(A1641/365,0),5)</f>
        <v>5</v>
      </c>
      <c r="D1641" s="18" t="n">
        <f aca="false">DATEDIF(Assumptions!B5,B1641,"m")+1</f>
        <v>54</v>
      </c>
      <c r="E1641" s="18" t="str">
        <f aca="false">TEXT(B1641,"ddd")</f>
        <v>Fri</v>
      </c>
      <c r="F1641" s="19" t="n">
        <f aca="false">IF(WEEKDAY(B1641,2)&gt;=6,Assumptions!B34,Assumptions!B35)</f>
        <v>1</v>
      </c>
      <c r="G1641" s="20" t="n">
        <f aca="false">IF(D1641&gt;=13,(1+Assumptions!B46)^(D1641-12),1)</f>
        <v>1.13406823692628</v>
      </c>
      <c r="H1641" s="21" t="n">
        <f aca="false">H1640*(1+IF(C1641=1,Assumptions!B22,Assumptions!B23))</f>
        <v>25.6503173861789</v>
      </c>
      <c r="I1641" s="16" t="n">
        <f aca="false">ROUND(H1641*F1641,0)</f>
        <v>26</v>
      </c>
      <c r="J1641" s="22" t="n">
        <f aca="false">I1641*Assumptions!B24</f>
        <v>15600</v>
      </c>
      <c r="K1641" s="21" t="n">
        <f aca="false">K1640*(1+Assumptions!B30)</f>
        <v>22.4540032140721</v>
      </c>
      <c r="L1641" s="16" t="n">
        <f aca="false">ROUND(K1641*F1641,0)</f>
        <v>22</v>
      </c>
      <c r="M1641" s="22" t="n">
        <f aca="false">L1641*Assumptions!B31</f>
        <v>6600</v>
      </c>
      <c r="N1641" s="22" t="n">
        <f aca="false">J1641+M1641</f>
        <v>22200</v>
      </c>
      <c r="O1641" s="22" t="n">
        <f aca="false">IF(DAY(B1641)=1,Assumptions!B38*G1641,0)</f>
        <v>0</v>
      </c>
      <c r="P1641" s="22" t="n">
        <f aca="false">IF(DAY(B1641)=1,Assumptions!B39*G1641,0)</f>
        <v>0</v>
      </c>
      <c r="Q1641" s="22" t="n">
        <f aca="false">IF(DAY(B1641)=1,Assumptions!B40*G1641,0)</f>
        <v>0</v>
      </c>
      <c r="R1641" s="22" t="n">
        <f aca="false">IF(DAY(B1641)=1,Assumptions!B41*G1641,0)</f>
        <v>0</v>
      </c>
      <c r="S1641" s="22" t="n">
        <f aca="false">IF(AND(DAY(B1641)=1,D1641&gt;=13),Assumptions!B42*G1641,0)</f>
        <v>0</v>
      </c>
      <c r="T1641" s="22" t="n">
        <f aca="false">IF(DAY(B1641)=1,Assumptions!B43*G1641,0)</f>
        <v>0</v>
      </c>
      <c r="U1641" s="22" t="n">
        <f aca="false">SUM(O1641:T1641)</f>
        <v>0</v>
      </c>
      <c r="V1641" s="22" t="n">
        <f aca="false">N1641-U1641</f>
        <v>22200</v>
      </c>
      <c r="W1641" s="22" t="n">
        <f aca="false">W1640+V1641</f>
        <v>357772.976267728</v>
      </c>
      <c r="X1641" s="23" t="str">
        <f aca="false">IF(W1641&gt;=0,"YES","No")</f>
        <v>YES</v>
      </c>
    </row>
    <row r="1642" customFormat="false" ht="15" hidden="false" customHeight="false" outlineLevel="0" collapsed="false">
      <c r="A1642" s="16" t="n">
        <v>1641</v>
      </c>
      <c r="B1642" s="17" t="n">
        <f aca="false">B1641+1</f>
        <v>47663</v>
      </c>
      <c r="C1642" s="18" t="n">
        <f aca="false">MIN(ROUNDUP(A1642/365,0),5)</f>
        <v>5</v>
      </c>
      <c r="D1642" s="18" t="n">
        <f aca="false">DATEDIF(Assumptions!B5,B1642,"m")+1</f>
        <v>54</v>
      </c>
      <c r="E1642" s="18" t="str">
        <f aca="false">TEXT(B1642,"ddd")</f>
        <v>Sat</v>
      </c>
      <c r="F1642" s="19" t="n">
        <f aca="false">IF(WEEKDAY(B1642,2)&gt;=6,Assumptions!B34,Assumptions!B35)</f>
        <v>0.6</v>
      </c>
      <c r="G1642" s="20" t="n">
        <f aca="false">IF(D1642&gt;=13,(1+Assumptions!B46)^(D1642-12),1)</f>
        <v>1.13406823692628</v>
      </c>
      <c r="H1642" s="21" t="n">
        <f aca="false">H1641*(1+IF(C1642=1,Assumptions!B22,Assumptions!B23))</f>
        <v>25.654520490779</v>
      </c>
      <c r="I1642" s="16" t="n">
        <f aca="false">ROUND(H1642*F1642,0)</f>
        <v>15</v>
      </c>
      <c r="J1642" s="22" t="n">
        <f aca="false">I1642*Assumptions!B24</f>
        <v>9000</v>
      </c>
      <c r="K1642" s="21" t="n">
        <f aca="false">K1641*(1+Assumptions!B30)</f>
        <v>22.461344254869</v>
      </c>
      <c r="L1642" s="16" t="n">
        <f aca="false">ROUND(K1642*F1642,0)</f>
        <v>13</v>
      </c>
      <c r="M1642" s="22" t="n">
        <f aca="false">L1642*Assumptions!B31</f>
        <v>3900</v>
      </c>
      <c r="N1642" s="22" t="n">
        <f aca="false">J1642+M1642</f>
        <v>12900</v>
      </c>
      <c r="O1642" s="22" t="n">
        <f aca="false">IF(DAY(B1642)=1,Assumptions!B38*G1642,0)</f>
        <v>0</v>
      </c>
      <c r="P1642" s="22" t="n">
        <f aca="false">IF(DAY(B1642)=1,Assumptions!B39*G1642,0)</f>
        <v>0</v>
      </c>
      <c r="Q1642" s="22" t="n">
        <f aca="false">IF(DAY(B1642)=1,Assumptions!B40*G1642,0)</f>
        <v>0</v>
      </c>
      <c r="R1642" s="22" t="n">
        <f aca="false">IF(DAY(B1642)=1,Assumptions!B41*G1642,0)</f>
        <v>0</v>
      </c>
      <c r="S1642" s="22" t="n">
        <f aca="false">IF(AND(DAY(B1642)=1,D1642&gt;=13),Assumptions!B42*G1642,0)</f>
        <v>0</v>
      </c>
      <c r="T1642" s="22" t="n">
        <f aca="false">IF(DAY(B1642)=1,Assumptions!B43*G1642,0)</f>
        <v>0</v>
      </c>
      <c r="U1642" s="22" t="n">
        <f aca="false">SUM(O1642:T1642)</f>
        <v>0</v>
      </c>
      <c r="V1642" s="22" t="n">
        <f aca="false">N1642-U1642</f>
        <v>12900</v>
      </c>
      <c r="W1642" s="22" t="n">
        <f aca="false">W1641+V1642</f>
        <v>370672.976267728</v>
      </c>
      <c r="X1642" s="23" t="str">
        <f aca="false">IF(W1642&gt;=0,"YES","No")</f>
        <v>YES</v>
      </c>
    </row>
    <row r="1643" customFormat="false" ht="15" hidden="false" customHeight="false" outlineLevel="0" collapsed="false">
      <c r="A1643" s="16" t="n">
        <v>1642</v>
      </c>
      <c r="B1643" s="17" t="n">
        <f aca="false">B1642+1</f>
        <v>47664</v>
      </c>
      <c r="C1643" s="18" t="n">
        <f aca="false">MIN(ROUNDUP(A1643/365,0),5)</f>
        <v>5</v>
      </c>
      <c r="D1643" s="18" t="n">
        <f aca="false">DATEDIF(Assumptions!B5,B1643,"m")+1</f>
        <v>54</v>
      </c>
      <c r="E1643" s="18" t="str">
        <f aca="false">TEXT(B1643,"ddd")</f>
        <v>Sun</v>
      </c>
      <c r="F1643" s="19" t="n">
        <f aca="false">IF(WEEKDAY(B1643,2)&gt;=6,Assumptions!B34,Assumptions!B35)</f>
        <v>0.6</v>
      </c>
      <c r="G1643" s="20" t="n">
        <f aca="false">IF(D1643&gt;=13,(1+Assumptions!B46)^(D1643-12),1)</f>
        <v>1.13406823692628</v>
      </c>
      <c r="H1643" s="21" t="n">
        <f aca="false">H1642*(1+IF(C1643=1,Assumptions!B22,Assumptions!B23))</f>
        <v>25.658724284107</v>
      </c>
      <c r="I1643" s="16" t="n">
        <f aca="false">ROUND(H1643*F1643,0)</f>
        <v>15</v>
      </c>
      <c r="J1643" s="22" t="n">
        <f aca="false">I1643*Assumptions!B24</f>
        <v>9000</v>
      </c>
      <c r="K1643" s="21" t="n">
        <f aca="false">K1642*(1+Assumptions!B30)</f>
        <v>22.4686876957227</v>
      </c>
      <c r="L1643" s="16" t="n">
        <f aca="false">ROUND(K1643*F1643,0)</f>
        <v>13</v>
      </c>
      <c r="M1643" s="22" t="n">
        <f aca="false">L1643*Assumptions!B31</f>
        <v>3900</v>
      </c>
      <c r="N1643" s="22" t="n">
        <f aca="false">J1643+M1643</f>
        <v>12900</v>
      </c>
      <c r="O1643" s="22" t="n">
        <f aca="false">IF(DAY(B1643)=1,Assumptions!B38*G1643,0)</f>
        <v>0</v>
      </c>
      <c r="P1643" s="22" t="n">
        <f aca="false">IF(DAY(B1643)=1,Assumptions!B39*G1643,0)</f>
        <v>0</v>
      </c>
      <c r="Q1643" s="22" t="n">
        <f aca="false">IF(DAY(B1643)=1,Assumptions!B40*G1643,0)</f>
        <v>0</v>
      </c>
      <c r="R1643" s="22" t="n">
        <f aca="false">IF(DAY(B1643)=1,Assumptions!B41*G1643,0)</f>
        <v>0</v>
      </c>
      <c r="S1643" s="22" t="n">
        <f aca="false">IF(AND(DAY(B1643)=1,D1643&gt;=13),Assumptions!B42*G1643,0)</f>
        <v>0</v>
      </c>
      <c r="T1643" s="22" t="n">
        <f aca="false">IF(DAY(B1643)=1,Assumptions!B43*G1643,0)</f>
        <v>0</v>
      </c>
      <c r="U1643" s="22" t="n">
        <f aca="false">SUM(O1643:T1643)</f>
        <v>0</v>
      </c>
      <c r="V1643" s="22" t="n">
        <f aca="false">N1643-U1643</f>
        <v>12900</v>
      </c>
      <c r="W1643" s="22" t="n">
        <f aca="false">W1642+V1643</f>
        <v>383572.976267728</v>
      </c>
      <c r="X1643" s="23" t="str">
        <f aca="false">IF(W1643&gt;=0,"YES","No")</f>
        <v>YES</v>
      </c>
    </row>
    <row r="1644" customFormat="false" ht="15" hidden="false" customHeight="false" outlineLevel="0" collapsed="false">
      <c r="A1644" s="16" t="n">
        <v>1643</v>
      </c>
      <c r="B1644" s="17" t="n">
        <f aca="false">B1643+1</f>
        <v>47665</v>
      </c>
      <c r="C1644" s="18" t="n">
        <f aca="false">MIN(ROUNDUP(A1644/365,0),5)</f>
        <v>5</v>
      </c>
      <c r="D1644" s="18" t="n">
        <f aca="false">DATEDIF(Assumptions!B5,B1644,"m")+1</f>
        <v>55</v>
      </c>
      <c r="E1644" s="18" t="str">
        <f aca="false">TEXT(B1644,"ddd")</f>
        <v>Mon</v>
      </c>
      <c r="F1644" s="19" t="n">
        <f aca="false">IF(WEEKDAY(B1644,2)&gt;=6,Assumptions!B34,Assumptions!B35)</f>
        <v>1</v>
      </c>
      <c r="G1644" s="20" t="n">
        <f aca="false">IF(D1644&gt;=13,(1+Assumptions!B46)^(D1644-12),1)</f>
        <v>1.13747044163706</v>
      </c>
      <c r="H1644" s="21" t="n">
        <f aca="false">H1643*(1+IF(C1644=1,Assumptions!B22,Assumptions!B23))</f>
        <v>25.6629287662757</v>
      </c>
      <c r="I1644" s="16" t="n">
        <f aca="false">ROUND(H1644*F1644,0)</f>
        <v>26</v>
      </c>
      <c r="J1644" s="22" t="n">
        <f aca="false">I1644*Assumptions!B24</f>
        <v>15600</v>
      </c>
      <c r="K1644" s="21" t="n">
        <f aca="false">K1643*(1+Assumptions!B30)</f>
        <v>22.4760335374177</v>
      </c>
      <c r="L1644" s="16" t="n">
        <f aca="false">ROUND(K1644*F1644,0)</f>
        <v>22</v>
      </c>
      <c r="M1644" s="22" t="n">
        <f aca="false">L1644*Assumptions!B31</f>
        <v>6600</v>
      </c>
      <c r="N1644" s="22" t="n">
        <f aca="false">J1644+M1644</f>
        <v>22200</v>
      </c>
      <c r="O1644" s="22" t="n">
        <f aca="false">IF(DAY(B1644)=1,Assumptions!B38*G1644,0)</f>
        <v>170620.566245559</v>
      </c>
      <c r="P1644" s="22" t="n">
        <f aca="false">IF(DAY(B1644)=1,Assumptions!B39*G1644,0)</f>
        <v>45498.8176654824</v>
      </c>
      <c r="Q1644" s="22" t="n">
        <f aca="false">IF(DAY(B1644)=1,Assumptions!B40*G1644,0)</f>
        <v>34124.1132491118</v>
      </c>
      <c r="R1644" s="22" t="n">
        <f aca="false">IF(DAY(B1644)=1,Assumptions!B41*G1644,0)</f>
        <v>22749.4088327412</v>
      </c>
      <c r="S1644" s="22" t="n">
        <f aca="false">IF(AND(DAY(B1644)=1,D1644&gt;=13),Assumptions!B42*G1644,0)</f>
        <v>170620.566245559</v>
      </c>
      <c r="T1644" s="22" t="n">
        <f aca="false">IF(DAY(B1644)=1,Assumptions!B43*G1644,0)</f>
        <v>22749.4088327412</v>
      </c>
      <c r="U1644" s="22" t="n">
        <f aca="false">SUM(O1644:T1644)</f>
        <v>466362.881071195</v>
      </c>
      <c r="V1644" s="22" t="n">
        <f aca="false">N1644-U1644</f>
        <v>-444162.881071195</v>
      </c>
      <c r="W1644" s="22" t="n">
        <f aca="false">W1643+V1644</f>
        <v>-60589.9048034666</v>
      </c>
      <c r="X1644" s="23" t="str">
        <f aca="false">IF(W1644&gt;=0,"YES","No")</f>
        <v>No</v>
      </c>
    </row>
    <row r="1645" customFormat="false" ht="15" hidden="false" customHeight="false" outlineLevel="0" collapsed="false">
      <c r="A1645" s="16" t="n">
        <v>1644</v>
      </c>
      <c r="B1645" s="17" t="n">
        <f aca="false">B1644+1</f>
        <v>47666</v>
      </c>
      <c r="C1645" s="18" t="n">
        <f aca="false">MIN(ROUNDUP(A1645/365,0),5)</f>
        <v>5</v>
      </c>
      <c r="D1645" s="18" t="n">
        <f aca="false">DATEDIF(Assumptions!B5,B1645,"m")+1</f>
        <v>55</v>
      </c>
      <c r="E1645" s="18" t="str">
        <f aca="false">TEXT(B1645,"ddd")</f>
        <v>Tue</v>
      </c>
      <c r="F1645" s="19" t="n">
        <f aca="false">IF(WEEKDAY(B1645,2)&gt;=6,Assumptions!B34,Assumptions!B35)</f>
        <v>1</v>
      </c>
      <c r="G1645" s="20" t="n">
        <f aca="false">IF(D1645&gt;=13,(1+Assumptions!B46)^(D1645-12),1)</f>
        <v>1.13747044163706</v>
      </c>
      <c r="H1645" s="21" t="n">
        <f aca="false">H1644*(1+IF(C1645=1,Assumptions!B22,Assumptions!B23))</f>
        <v>25.667133937398</v>
      </c>
      <c r="I1645" s="16" t="n">
        <f aca="false">ROUND(H1645*F1645,0)</f>
        <v>26</v>
      </c>
      <c r="J1645" s="22" t="n">
        <f aca="false">I1645*Assumptions!B24</f>
        <v>15600</v>
      </c>
      <c r="K1645" s="21" t="n">
        <f aca="false">K1644*(1+Assumptions!B30)</f>
        <v>22.4833817807389</v>
      </c>
      <c r="L1645" s="16" t="n">
        <f aca="false">ROUND(K1645*F1645,0)</f>
        <v>22</v>
      </c>
      <c r="M1645" s="22" t="n">
        <f aca="false">L1645*Assumptions!B31</f>
        <v>6600</v>
      </c>
      <c r="N1645" s="22" t="n">
        <f aca="false">J1645+M1645</f>
        <v>22200</v>
      </c>
      <c r="O1645" s="22" t="n">
        <f aca="false">IF(DAY(B1645)=1,Assumptions!B38*G1645,0)</f>
        <v>0</v>
      </c>
      <c r="P1645" s="22" t="n">
        <f aca="false">IF(DAY(B1645)=1,Assumptions!B39*G1645,0)</f>
        <v>0</v>
      </c>
      <c r="Q1645" s="22" t="n">
        <f aca="false">IF(DAY(B1645)=1,Assumptions!B40*G1645,0)</f>
        <v>0</v>
      </c>
      <c r="R1645" s="22" t="n">
        <f aca="false">IF(DAY(B1645)=1,Assumptions!B41*G1645,0)</f>
        <v>0</v>
      </c>
      <c r="S1645" s="22" t="n">
        <f aca="false">IF(AND(DAY(B1645)=1,D1645&gt;=13),Assumptions!B42*G1645,0)</f>
        <v>0</v>
      </c>
      <c r="T1645" s="22" t="n">
        <f aca="false">IF(DAY(B1645)=1,Assumptions!B43*G1645,0)</f>
        <v>0</v>
      </c>
      <c r="U1645" s="22" t="n">
        <f aca="false">SUM(O1645:T1645)</f>
        <v>0</v>
      </c>
      <c r="V1645" s="22" t="n">
        <f aca="false">N1645-U1645</f>
        <v>22200</v>
      </c>
      <c r="W1645" s="22" t="n">
        <f aca="false">W1644+V1645</f>
        <v>-38389.9048034666</v>
      </c>
      <c r="X1645" s="23" t="str">
        <f aca="false">IF(W1645&gt;=0,"YES","No")</f>
        <v>No</v>
      </c>
    </row>
    <row r="1646" customFormat="false" ht="15" hidden="false" customHeight="false" outlineLevel="0" collapsed="false">
      <c r="A1646" s="16" t="n">
        <v>1645</v>
      </c>
      <c r="B1646" s="17" t="n">
        <f aca="false">B1645+1</f>
        <v>47667</v>
      </c>
      <c r="C1646" s="18" t="n">
        <f aca="false">MIN(ROUNDUP(A1646/365,0),5)</f>
        <v>5</v>
      </c>
      <c r="D1646" s="18" t="n">
        <f aca="false">DATEDIF(Assumptions!B5,B1646,"m")+1</f>
        <v>55</v>
      </c>
      <c r="E1646" s="18" t="str">
        <f aca="false">TEXT(B1646,"ddd")</f>
        <v>Wed</v>
      </c>
      <c r="F1646" s="19" t="n">
        <f aca="false">IF(WEEKDAY(B1646,2)&gt;=6,Assumptions!B34,Assumptions!B35)</f>
        <v>1</v>
      </c>
      <c r="G1646" s="20" t="n">
        <f aca="false">IF(D1646&gt;=13,(1+Assumptions!B46)^(D1646-12),1)</f>
        <v>1.13747044163706</v>
      </c>
      <c r="H1646" s="21" t="n">
        <f aca="false">H1645*(1+IF(C1646=1,Assumptions!B22,Assumptions!B23))</f>
        <v>25.6713397975868</v>
      </c>
      <c r="I1646" s="16" t="n">
        <f aca="false">ROUND(H1646*F1646,0)</f>
        <v>26</v>
      </c>
      <c r="J1646" s="22" t="n">
        <f aca="false">I1646*Assumptions!B24</f>
        <v>15600</v>
      </c>
      <c r="K1646" s="21" t="n">
        <f aca="false">K1645*(1+Assumptions!B30)</f>
        <v>22.4907324264716</v>
      </c>
      <c r="L1646" s="16" t="n">
        <f aca="false">ROUND(K1646*F1646,0)</f>
        <v>22</v>
      </c>
      <c r="M1646" s="22" t="n">
        <f aca="false">L1646*Assumptions!B31</f>
        <v>6600</v>
      </c>
      <c r="N1646" s="22" t="n">
        <f aca="false">J1646+M1646</f>
        <v>22200</v>
      </c>
      <c r="O1646" s="22" t="n">
        <f aca="false">IF(DAY(B1646)=1,Assumptions!B38*G1646,0)</f>
        <v>0</v>
      </c>
      <c r="P1646" s="22" t="n">
        <f aca="false">IF(DAY(B1646)=1,Assumptions!B39*G1646,0)</f>
        <v>0</v>
      </c>
      <c r="Q1646" s="22" t="n">
        <f aca="false">IF(DAY(B1646)=1,Assumptions!B40*G1646,0)</f>
        <v>0</v>
      </c>
      <c r="R1646" s="22" t="n">
        <f aca="false">IF(DAY(B1646)=1,Assumptions!B41*G1646,0)</f>
        <v>0</v>
      </c>
      <c r="S1646" s="22" t="n">
        <f aca="false">IF(AND(DAY(B1646)=1,D1646&gt;=13),Assumptions!B42*G1646,0)</f>
        <v>0</v>
      </c>
      <c r="T1646" s="22" t="n">
        <f aca="false">IF(DAY(B1646)=1,Assumptions!B43*G1646,0)</f>
        <v>0</v>
      </c>
      <c r="U1646" s="22" t="n">
        <f aca="false">SUM(O1646:T1646)</f>
        <v>0</v>
      </c>
      <c r="V1646" s="22" t="n">
        <f aca="false">N1646-U1646</f>
        <v>22200</v>
      </c>
      <c r="W1646" s="22" t="n">
        <f aca="false">W1645+V1646</f>
        <v>-16189.9048034666</v>
      </c>
      <c r="X1646" s="23" t="str">
        <f aca="false">IF(W1646&gt;=0,"YES","No")</f>
        <v>No</v>
      </c>
    </row>
    <row r="1647" customFormat="false" ht="15" hidden="false" customHeight="false" outlineLevel="0" collapsed="false">
      <c r="A1647" s="16" t="n">
        <v>1646</v>
      </c>
      <c r="B1647" s="17" t="n">
        <f aca="false">B1646+1</f>
        <v>47668</v>
      </c>
      <c r="C1647" s="18" t="n">
        <f aca="false">MIN(ROUNDUP(A1647/365,0),5)</f>
        <v>5</v>
      </c>
      <c r="D1647" s="18" t="n">
        <f aca="false">DATEDIF(Assumptions!B5,B1647,"m")+1</f>
        <v>55</v>
      </c>
      <c r="E1647" s="18" t="str">
        <f aca="false">TEXT(B1647,"ddd")</f>
        <v>Thu</v>
      </c>
      <c r="F1647" s="19" t="n">
        <f aca="false">IF(WEEKDAY(B1647,2)&gt;=6,Assumptions!B34,Assumptions!B35)</f>
        <v>1</v>
      </c>
      <c r="G1647" s="20" t="n">
        <f aca="false">IF(D1647&gt;=13,(1+Assumptions!B46)^(D1647-12),1)</f>
        <v>1.13747044163706</v>
      </c>
      <c r="H1647" s="21" t="n">
        <f aca="false">H1646*(1+IF(C1647=1,Assumptions!B22,Assumptions!B23))</f>
        <v>25.675546346955</v>
      </c>
      <c r="I1647" s="16" t="n">
        <f aca="false">ROUND(H1647*F1647,0)</f>
        <v>26</v>
      </c>
      <c r="J1647" s="22" t="n">
        <f aca="false">I1647*Assumptions!B24</f>
        <v>15600</v>
      </c>
      <c r="K1647" s="21" t="n">
        <f aca="false">K1646*(1+Assumptions!B30)</f>
        <v>22.4980854754011</v>
      </c>
      <c r="L1647" s="16" t="n">
        <f aca="false">ROUND(K1647*F1647,0)</f>
        <v>22</v>
      </c>
      <c r="M1647" s="22" t="n">
        <f aca="false">L1647*Assumptions!B31</f>
        <v>6600</v>
      </c>
      <c r="N1647" s="22" t="n">
        <f aca="false">J1647+M1647</f>
        <v>22200</v>
      </c>
      <c r="O1647" s="22" t="n">
        <f aca="false">IF(DAY(B1647)=1,Assumptions!B38*G1647,0)</f>
        <v>0</v>
      </c>
      <c r="P1647" s="22" t="n">
        <f aca="false">IF(DAY(B1647)=1,Assumptions!B39*G1647,0)</f>
        <v>0</v>
      </c>
      <c r="Q1647" s="22" t="n">
        <f aca="false">IF(DAY(B1647)=1,Assumptions!B40*G1647,0)</f>
        <v>0</v>
      </c>
      <c r="R1647" s="22" t="n">
        <f aca="false">IF(DAY(B1647)=1,Assumptions!B41*G1647,0)</f>
        <v>0</v>
      </c>
      <c r="S1647" s="22" t="n">
        <f aca="false">IF(AND(DAY(B1647)=1,D1647&gt;=13),Assumptions!B42*G1647,0)</f>
        <v>0</v>
      </c>
      <c r="T1647" s="22" t="n">
        <f aca="false">IF(DAY(B1647)=1,Assumptions!B43*G1647,0)</f>
        <v>0</v>
      </c>
      <c r="U1647" s="22" t="n">
        <f aca="false">SUM(O1647:T1647)</f>
        <v>0</v>
      </c>
      <c r="V1647" s="22" t="n">
        <f aca="false">N1647-U1647</f>
        <v>22200</v>
      </c>
      <c r="W1647" s="22" t="n">
        <f aca="false">W1646+V1647</f>
        <v>6010.09519653337</v>
      </c>
      <c r="X1647" s="23" t="str">
        <f aca="false">IF(W1647&gt;=0,"YES","No")</f>
        <v>YES</v>
      </c>
    </row>
    <row r="1648" customFormat="false" ht="15" hidden="false" customHeight="false" outlineLevel="0" collapsed="false">
      <c r="A1648" s="16" t="n">
        <v>1647</v>
      </c>
      <c r="B1648" s="17" t="n">
        <f aca="false">B1647+1</f>
        <v>47669</v>
      </c>
      <c r="C1648" s="18" t="n">
        <f aca="false">MIN(ROUNDUP(A1648/365,0),5)</f>
        <v>5</v>
      </c>
      <c r="D1648" s="18" t="n">
        <f aca="false">DATEDIF(Assumptions!B5,B1648,"m")+1</f>
        <v>55</v>
      </c>
      <c r="E1648" s="18" t="str">
        <f aca="false">TEXT(B1648,"ddd")</f>
        <v>Fri</v>
      </c>
      <c r="F1648" s="19" t="n">
        <f aca="false">IF(WEEKDAY(B1648,2)&gt;=6,Assumptions!B34,Assumptions!B35)</f>
        <v>1</v>
      </c>
      <c r="G1648" s="20" t="n">
        <f aca="false">IF(D1648&gt;=13,(1+Assumptions!B46)^(D1648-12),1)</f>
        <v>1.13747044163706</v>
      </c>
      <c r="H1648" s="21" t="n">
        <f aca="false">H1647*(1+IF(C1648=1,Assumptions!B22,Assumptions!B23))</f>
        <v>25.6797535856155</v>
      </c>
      <c r="I1648" s="16" t="n">
        <f aca="false">ROUND(H1648*F1648,0)</f>
        <v>26</v>
      </c>
      <c r="J1648" s="22" t="n">
        <f aca="false">I1648*Assumptions!B24</f>
        <v>15600</v>
      </c>
      <c r="K1648" s="21" t="n">
        <f aca="false">K1647*(1+Assumptions!B30)</f>
        <v>22.5054409283132</v>
      </c>
      <c r="L1648" s="16" t="n">
        <f aca="false">ROUND(K1648*F1648,0)</f>
        <v>23</v>
      </c>
      <c r="M1648" s="22" t="n">
        <f aca="false">L1648*Assumptions!B31</f>
        <v>6900</v>
      </c>
      <c r="N1648" s="22" t="n">
        <f aca="false">J1648+M1648</f>
        <v>22500</v>
      </c>
      <c r="O1648" s="22" t="n">
        <f aca="false">IF(DAY(B1648)=1,Assumptions!B38*G1648,0)</f>
        <v>0</v>
      </c>
      <c r="P1648" s="22" t="n">
        <f aca="false">IF(DAY(B1648)=1,Assumptions!B39*G1648,0)</f>
        <v>0</v>
      </c>
      <c r="Q1648" s="22" t="n">
        <f aca="false">IF(DAY(B1648)=1,Assumptions!B40*G1648,0)</f>
        <v>0</v>
      </c>
      <c r="R1648" s="22" t="n">
        <f aca="false">IF(DAY(B1648)=1,Assumptions!B41*G1648,0)</f>
        <v>0</v>
      </c>
      <c r="S1648" s="22" t="n">
        <f aca="false">IF(AND(DAY(B1648)=1,D1648&gt;=13),Assumptions!B42*G1648,0)</f>
        <v>0</v>
      </c>
      <c r="T1648" s="22" t="n">
        <f aca="false">IF(DAY(B1648)=1,Assumptions!B43*G1648,0)</f>
        <v>0</v>
      </c>
      <c r="U1648" s="22" t="n">
        <f aca="false">SUM(O1648:T1648)</f>
        <v>0</v>
      </c>
      <c r="V1648" s="22" t="n">
        <f aca="false">N1648-U1648</f>
        <v>22500</v>
      </c>
      <c r="W1648" s="22" t="n">
        <f aca="false">W1647+V1648</f>
        <v>28510.0951965334</v>
      </c>
      <c r="X1648" s="23" t="str">
        <f aca="false">IF(W1648&gt;=0,"YES","No")</f>
        <v>YES</v>
      </c>
    </row>
    <row r="1649" customFormat="false" ht="15" hidden="false" customHeight="false" outlineLevel="0" collapsed="false">
      <c r="A1649" s="16" t="n">
        <v>1648</v>
      </c>
      <c r="B1649" s="17" t="n">
        <f aca="false">B1648+1</f>
        <v>47670</v>
      </c>
      <c r="C1649" s="18" t="n">
        <f aca="false">MIN(ROUNDUP(A1649/365,0),5)</f>
        <v>5</v>
      </c>
      <c r="D1649" s="18" t="n">
        <f aca="false">DATEDIF(Assumptions!B5,B1649,"m")+1</f>
        <v>55</v>
      </c>
      <c r="E1649" s="18" t="str">
        <f aca="false">TEXT(B1649,"ddd")</f>
        <v>Sat</v>
      </c>
      <c r="F1649" s="19" t="n">
        <f aca="false">IF(WEEKDAY(B1649,2)&gt;=6,Assumptions!B34,Assumptions!B35)</f>
        <v>0.6</v>
      </c>
      <c r="G1649" s="20" t="n">
        <f aca="false">IF(D1649&gt;=13,(1+Assumptions!B46)^(D1649-12),1)</f>
        <v>1.13747044163706</v>
      </c>
      <c r="H1649" s="21" t="n">
        <f aca="false">H1648*(1+IF(C1649=1,Assumptions!B22,Assumptions!B23))</f>
        <v>25.6839615136813</v>
      </c>
      <c r="I1649" s="16" t="n">
        <f aca="false">ROUND(H1649*F1649,0)</f>
        <v>15</v>
      </c>
      <c r="J1649" s="22" t="n">
        <f aca="false">I1649*Assumptions!B24</f>
        <v>9000</v>
      </c>
      <c r="K1649" s="21" t="n">
        <f aca="false">K1648*(1+Assumptions!B30)</f>
        <v>22.5127987859939</v>
      </c>
      <c r="L1649" s="16" t="n">
        <f aca="false">ROUND(K1649*F1649,0)</f>
        <v>14</v>
      </c>
      <c r="M1649" s="22" t="n">
        <f aca="false">L1649*Assumptions!B31</f>
        <v>4200</v>
      </c>
      <c r="N1649" s="22" t="n">
        <f aca="false">J1649+M1649</f>
        <v>13200</v>
      </c>
      <c r="O1649" s="22" t="n">
        <f aca="false">IF(DAY(B1649)=1,Assumptions!B38*G1649,0)</f>
        <v>0</v>
      </c>
      <c r="P1649" s="22" t="n">
        <f aca="false">IF(DAY(B1649)=1,Assumptions!B39*G1649,0)</f>
        <v>0</v>
      </c>
      <c r="Q1649" s="22" t="n">
        <f aca="false">IF(DAY(B1649)=1,Assumptions!B40*G1649,0)</f>
        <v>0</v>
      </c>
      <c r="R1649" s="22" t="n">
        <f aca="false">IF(DAY(B1649)=1,Assumptions!B41*G1649,0)</f>
        <v>0</v>
      </c>
      <c r="S1649" s="22" t="n">
        <f aca="false">IF(AND(DAY(B1649)=1,D1649&gt;=13),Assumptions!B42*G1649,0)</f>
        <v>0</v>
      </c>
      <c r="T1649" s="22" t="n">
        <f aca="false">IF(DAY(B1649)=1,Assumptions!B43*G1649,0)</f>
        <v>0</v>
      </c>
      <c r="U1649" s="22" t="n">
        <f aca="false">SUM(O1649:T1649)</f>
        <v>0</v>
      </c>
      <c r="V1649" s="22" t="n">
        <f aca="false">N1649-U1649</f>
        <v>13200</v>
      </c>
      <c r="W1649" s="22" t="n">
        <f aca="false">W1648+V1649</f>
        <v>41710.0951965334</v>
      </c>
      <c r="X1649" s="23" t="str">
        <f aca="false">IF(W1649&gt;=0,"YES","No")</f>
        <v>YES</v>
      </c>
    </row>
    <row r="1650" customFormat="false" ht="15" hidden="false" customHeight="false" outlineLevel="0" collapsed="false">
      <c r="A1650" s="16" t="n">
        <v>1649</v>
      </c>
      <c r="B1650" s="17" t="n">
        <f aca="false">B1649+1</f>
        <v>47671</v>
      </c>
      <c r="C1650" s="18" t="n">
        <f aca="false">MIN(ROUNDUP(A1650/365,0),5)</f>
        <v>5</v>
      </c>
      <c r="D1650" s="18" t="n">
        <f aca="false">DATEDIF(Assumptions!B5,B1650,"m")+1</f>
        <v>55</v>
      </c>
      <c r="E1650" s="18" t="str">
        <f aca="false">TEXT(B1650,"ddd")</f>
        <v>Sun</v>
      </c>
      <c r="F1650" s="19" t="n">
        <f aca="false">IF(WEEKDAY(B1650,2)&gt;=6,Assumptions!B34,Assumptions!B35)</f>
        <v>0.6</v>
      </c>
      <c r="G1650" s="20" t="n">
        <f aca="false">IF(D1650&gt;=13,(1+Assumptions!B46)^(D1650-12),1)</f>
        <v>1.13747044163706</v>
      </c>
      <c r="H1650" s="21" t="n">
        <f aca="false">H1649*(1+IF(C1650=1,Assumptions!B22,Assumptions!B23))</f>
        <v>25.6881701312654</v>
      </c>
      <c r="I1650" s="16" t="n">
        <f aca="false">ROUND(H1650*F1650,0)</f>
        <v>15</v>
      </c>
      <c r="J1650" s="22" t="n">
        <f aca="false">I1650*Assumptions!B24</f>
        <v>9000</v>
      </c>
      <c r="K1650" s="21" t="n">
        <f aca="false">K1649*(1+Assumptions!B30)</f>
        <v>22.5201590492292</v>
      </c>
      <c r="L1650" s="16" t="n">
        <f aca="false">ROUND(K1650*F1650,0)</f>
        <v>14</v>
      </c>
      <c r="M1650" s="22" t="n">
        <f aca="false">L1650*Assumptions!B31</f>
        <v>4200</v>
      </c>
      <c r="N1650" s="22" t="n">
        <f aca="false">J1650+M1650</f>
        <v>13200</v>
      </c>
      <c r="O1650" s="22" t="n">
        <f aca="false">IF(DAY(B1650)=1,Assumptions!B38*G1650,0)</f>
        <v>0</v>
      </c>
      <c r="P1650" s="22" t="n">
        <f aca="false">IF(DAY(B1650)=1,Assumptions!B39*G1650,0)</f>
        <v>0</v>
      </c>
      <c r="Q1650" s="22" t="n">
        <f aca="false">IF(DAY(B1650)=1,Assumptions!B40*G1650,0)</f>
        <v>0</v>
      </c>
      <c r="R1650" s="22" t="n">
        <f aca="false">IF(DAY(B1650)=1,Assumptions!B41*G1650,0)</f>
        <v>0</v>
      </c>
      <c r="S1650" s="22" t="n">
        <f aca="false">IF(AND(DAY(B1650)=1,D1650&gt;=13),Assumptions!B42*G1650,0)</f>
        <v>0</v>
      </c>
      <c r="T1650" s="22" t="n">
        <f aca="false">IF(DAY(B1650)=1,Assumptions!B43*G1650,0)</f>
        <v>0</v>
      </c>
      <c r="U1650" s="22" t="n">
        <f aca="false">SUM(O1650:T1650)</f>
        <v>0</v>
      </c>
      <c r="V1650" s="22" t="n">
        <f aca="false">N1650-U1650</f>
        <v>13200</v>
      </c>
      <c r="W1650" s="22" t="n">
        <f aca="false">W1649+V1650</f>
        <v>54910.0951965334</v>
      </c>
      <c r="X1650" s="23" t="str">
        <f aca="false">IF(W1650&gt;=0,"YES","No")</f>
        <v>YES</v>
      </c>
    </row>
    <row r="1651" customFormat="false" ht="15" hidden="false" customHeight="false" outlineLevel="0" collapsed="false">
      <c r="A1651" s="16" t="n">
        <v>1650</v>
      </c>
      <c r="B1651" s="17" t="n">
        <f aca="false">B1650+1</f>
        <v>47672</v>
      </c>
      <c r="C1651" s="18" t="n">
        <f aca="false">MIN(ROUNDUP(A1651/365,0),5)</f>
        <v>5</v>
      </c>
      <c r="D1651" s="18" t="n">
        <f aca="false">DATEDIF(Assumptions!B5,B1651,"m")+1</f>
        <v>55</v>
      </c>
      <c r="E1651" s="18" t="str">
        <f aca="false">TEXT(B1651,"ddd")</f>
        <v>Mon</v>
      </c>
      <c r="F1651" s="19" t="n">
        <f aca="false">IF(WEEKDAY(B1651,2)&gt;=6,Assumptions!B34,Assumptions!B35)</f>
        <v>1</v>
      </c>
      <c r="G1651" s="20" t="n">
        <f aca="false">IF(D1651&gt;=13,(1+Assumptions!B46)^(D1651-12),1)</f>
        <v>1.13747044163706</v>
      </c>
      <c r="H1651" s="21" t="n">
        <f aca="false">H1650*(1+IF(C1651=1,Assumptions!B22,Assumptions!B23))</f>
        <v>25.6923794384806</v>
      </c>
      <c r="I1651" s="16" t="n">
        <f aca="false">ROUND(H1651*F1651,0)</f>
        <v>26</v>
      </c>
      <c r="J1651" s="22" t="n">
        <f aca="false">I1651*Assumptions!B24</f>
        <v>15600</v>
      </c>
      <c r="K1651" s="21" t="n">
        <f aca="false">K1650*(1+Assumptions!B30)</f>
        <v>22.5275217188057</v>
      </c>
      <c r="L1651" s="16" t="n">
        <f aca="false">ROUND(K1651*F1651,0)</f>
        <v>23</v>
      </c>
      <c r="M1651" s="22" t="n">
        <f aca="false">L1651*Assumptions!B31</f>
        <v>6900</v>
      </c>
      <c r="N1651" s="22" t="n">
        <f aca="false">J1651+M1651</f>
        <v>22500</v>
      </c>
      <c r="O1651" s="22" t="n">
        <f aca="false">IF(DAY(B1651)=1,Assumptions!B38*G1651,0)</f>
        <v>0</v>
      </c>
      <c r="P1651" s="22" t="n">
        <f aca="false">IF(DAY(B1651)=1,Assumptions!B39*G1651,0)</f>
        <v>0</v>
      </c>
      <c r="Q1651" s="22" t="n">
        <f aca="false">IF(DAY(B1651)=1,Assumptions!B40*G1651,0)</f>
        <v>0</v>
      </c>
      <c r="R1651" s="22" t="n">
        <f aca="false">IF(DAY(B1651)=1,Assumptions!B41*G1651,0)</f>
        <v>0</v>
      </c>
      <c r="S1651" s="22" t="n">
        <f aca="false">IF(AND(DAY(B1651)=1,D1651&gt;=13),Assumptions!B42*G1651,0)</f>
        <v>0</v>
      </c>
      <c r="T1651" s="22" t="n">
        <f aca="false">IF(DAY(B1651)=1,Assumptions!B43*G1651,0)</f>
        <v>0</v>
      </c>
      <c r="U1651" s="22" t="n">
        <f aca="false">SUM(O1651:T1651)</f>
        <v>0</v>
      </c>
      <c r="V1651" s="22" t="n">
        <f aca="false">N1651-U1651</f>
        <v>22500</v>
      </c>
      <c r="W1651" s="22" t="n">
        <f aca="false">W1650+V1651</f>
        <v>77410.0951965334</v>
      </c>
      <c r="X1651" s="23" t="str">
        <f aca="false">IF(W1651&gt;=0,"YES","No")</f>
        <v>YES</v>
      </c>
    </row>
    <row r="1652" customFormat="false" ht="15" hidden="false" customHeight="false" outlineLevel="0" collapsed="false">
      <c r="A1652" s="16" t="n">
        <v>1651</v>
      </c>
      <c r="B1652" s="17" t="n">
        <f aca="false">B1651+1</f>
        <v>47673</v>
      </c>
      <c r="C1652" s="18" t="n">
        <f aca="false">MIN(ROUNDUP(A1652/365,0),5)</f>
        <v>5</v>
      </c>
      <c r="D1652" s="18" t="n">
        <f aca="false">DATEDIF(Assumptions!B5,B1652,"m")+1</f>
        <v>55</v>
      </c>
      <c r="E1652" s="18" t="str">
        <f aca="false">TEXT(B1652,"ddd")</f>
        <v>Tue</v>
      </c>
      <c r="F1652" s="19" t="n">
        <f aca="false">IF(WEEKDAY(B1652,2)&gt;=6,Assumptions!B34,Assumptions!B35)</f>
        <v>1</v>
      </c>
      <c r="G1652" s="20" t="n">
        <f aca="false">IF(D1652&gt;=13,(1+Assumptions!B46)^(D1652-12),1)</f>
        <v>1.13747044163706</v>
      </c>
      <c r="H1652" s="21" t="n">
        <f aca="false">H1651*(1+IF(C1652=1,Assumptions!B22,Assumptions!B23))</f>
        <v>25.6965894354402</v>
      </c>
      <c r="I1652" s="16" t="n">
        <f aca="false">ROUND(H1652*F1652,0)</f>
        <v>26</v>
      </c>
      <c r="J1652" s="22" t="n">
        <f aca="false">I1652*Assumptions!B24</f>
        <v>15600</v>
      </c>
      <c r="K1652" s="21" t="n">
        <f aca="false">K1651*(1+Assumptions!B30)</f>
        <v>22.5348867955101</v>
      </c>
      <c r="L1652" s="16" t="n">
        <f aca="false">ROUND(K1652*F1652,0)</f>
        <v>23</v>
      </c>
      <c r="M1652" s="22" t="n">
        <f aca="false">L1652*Assumptions!B31</f>
        <v>6900</v>
      </c>
      <c r="N1652" s="22" t="n">
        <f aca="false">J1652+M1652</f>
        <v>22500</v>
      </c>
      <c r="O1652" s="22" t="n">
        <f aca="false">IF(DAY(B1652)=1,Assumptions!B38*G1652,0)</f>
        <v>0</v>
      </c>
      <c r="P1652" s="22" t="n">
        <f aca="false">IF(DAY(B1652)=1,Assumptions!B39*G1652,0)</f>
        <v>0</v>
      </c>
      <c r="Q1652" s="22" t="n">
        <f aca="false">IF(DAY(B1652)=1,Assumptions!B40*G1652,0)</f>
        <v>0</v>
      </c>
      <c r="R1652" s="22" t="n">
        <f aca="false">IF(DAY(B1652)=1,Assumptions!B41*G1652,0)</f>
        <v>0</v>
      </c>
      <c r="S1652" s="22" t="n">
        <f aca="false">IF(AND(DAY(B1652)=1,D1652&gt;=13),Assumptions!B42*G1652,0)</f>
        <v>0</v>
      </c>
      <c r="T1652" s="22" t="n">
        <f aca="false">IF(DAY(B1652)=1,Assumptions!B43*G1652,0)</f>
        <v>0</v>
      </c>
      <c r="U1652" s="22" t="n">
        <f aca="false">SUM(O1652:T1652)</f>
        <v>0</v>
      </c>
      <c r="V1652" s="22" t="n">
        <f aca="false">N1652-U1652</f>
        <v>22500</v>
      </c>
      <c r="W1652" s="22" t="n">
        <f aca="false">W1651+V1652</f>
        <v>99910.0951965334</v>
      </c>
      <c r="X1652" s="23" t="str">
        <f aca="false">IF(W1652&gt;=0,"YES","No")</f>
        <v>YES</v>
      </c>
    </row>
    <row r="1653" customFormat="false" ht="15" hidden="false" customHeight="false" outlineLevel="0" collapsed="false">
      <c r="A1653" s="16" t="n">
        <v>1652</v>
      </c>
      <c r="B1653" s="17" t="n">
        <f aca="false">B1652+1</f>
        <v>47674</v>
      </c>
      <c r="C1653" s="18" t="n">
        <f aca="false">MIN(ROUNDUP(A1653/365,0),5)</f>
        <v>5</v>
      </c>
      <c r="D1653" s="18" t="n">
        <f aca="false">DATEDIF(Assumptions!B5,B1653,"m")+1</f>
        <v>55</v>
      </c>
      <c r="E1653" s="18" t="str">
        <f aca="false">TEXT(B1653,"ddd")</f>
        <v>Wed</v>
      </c>
      <c r="F1653" s="19" t="n">
        <f aca="false">IF(WEEKDAY(B1653,2)&gt;=6,Assumptions!B34,Assumptions!B35)</f>
        <v>1</v>
      </c>
      <c r="G1653" s="20" t="n">
        <f aca="false">IF(D1653&gt;=13,(1+Assumptions!B46)^(D1653-12),1)</f>
        <v>1.13747044163706</v>
      </c>
      <c r="H1653" s="21" t="n">
        <f aca="false">H1652*(1+IF(C1653=1,Assumptions!B22,Assumptions!B23))</f>
        <v>25.7008001222569</v>
      </c>
      <c r="I1653" s="16" t="n">
        <f aca="false">ROUND(H1653*F1653,0)</f>
        <v>26</v>
      </c>
      <c r="J1653" s="22" t="n">
        <f aca="false">I1653*Assumptions!B24</f>
        <v>15600</v>
      </c>
      <c r="K1653" s="21" t="n">
        <f aca="false">K1652*(1+Assumptions!B30)</f>
        <v>22.5422542801294</v>
      </c>
      <c r="L1653" s="16" t="n">
        <f aca="false">ROUND(K1653*F1653,0)</f>
        <v>23</v>
      </c>
      <c r="M1653" s="22" t="n">
        <f aca="false">L1653*Assumptions!B31</f>
        <v>6900</v>
      </c>
      <c r="N1653" s="22" t="n">
        <f aca="false">J1653+M1653</f>
        <v>22500</v>
      </c>
      <c r="O1653" s="22" t="n">
        <f aca="false">IF(DAY(B1653)=1,Assumptions!B38*G1653,0)</f>
        <v>0</v>
      </c>
      <c r="P1653" s="22" t="n">
        <f aca="false">IF(DAY(B1653)=1,Assumptions!B39*G1653,0)</f>
        <v>0</v>
      </c>
      <c r="Q1653" s="22" t="n">
        <f aca="false">IF(DAY(B1653)=1,Assumptions!B40*G1653,0)</f>
        <v>0</v>
      </c>
      <c r="R1653" s="22" t="n">
        <f aca="false">IF(DAY(B1653)=1,Assumptions!B41*G1653,0)</f>
        <v>0</v>
      </c>
      <c r="S1653" s="22" t="n">
        <f aca="false">IF(AND(DAY(B1653)=1,D1653&gt;=13),Assumptions!B42*G1653,0)</f>
        <v>0</v>
      </c>
      <c r="T1653" s="22" t="n">
        <f aca="false">IF(DAY(B1653)=1,Assumptions!B43*G1653,0)</f>
        <v>0</v>
      </c>
      <c r="U1653" s="22" t="n">
        <f aca="false">SUM(O1653:T1653)</f>
        <v>0</v>
      </c>
      <c r="V1653" s="22" t="n">
        <f aca="false">N1653-U1653</f>
        <v>22500</v>
      </c>
      <c r="W1653" s="22" t="n">
        <f aca="false">W1652+V1653</f>
        <v>122410.095196533</v>
      </c>
      <c r="X1653" s="23" t="str">
        <f aca="false">IF(W1653&gt;=0,"YES","No")</f>
        <v>YES</v>
      </c>
    </row>
    <row r="1654" customFormat="false" ht="15" hidden="false" customHeight="false" outlineLevel="0" collapsed="false">
      <c r="A1654" s="16" t="n">
        <v>1653</v>
      </c>
      <c r="B1654" s="17" t="n">
        <f aca="false">B1653+1</f>
        <v>47675</v>
      </c>
      <c r="C1654" s="18" t="n">
        <f aca="false">MIN(ROUNDUP(A1654/365,0),5)</f>
        <v>5</v>
      </c>
      <c r="D1654" s="18" t="n">
        <f aca="false">DATEDIF(Assumptions!B5,B1654,"m")+1</f>
        <v>55</v>
      </c>
      <c r="E1654" s="18" t="str">
        <f aca="false">TEXT(B1654,"ddd")</f>
        <v>Thu</v>
      </c>
      <c r="F1654" s="19" t="n">
        <f aca="false">IF(WEEKDAY(B1654,2)&gt;=6,Assumptions!B34,Assumptions!B35)</f>
        <v>1</v>
      </c>
      <c r="G1654" s="20" t="n">
        <f aca="false">IF(D1654&gt;=13,(1+Assumptions!B46)^(D1654-12),1)</f>
        <v>1.13747044163706</v>
      </c>
      <c r="H1654" s="21" t="n">
        <f aca="false">H1653*(1+IF(C1654=1,Assumptions!B22,Assumptions!B23))</f>
        <v>25.705011499044</v>
      </c>
      <c r="I1654" s="16" t="n">
        <f aca="false">ROUND(H1654*F1654,0)</f>
        <v>26</v>
      </c>
      <c r="J1654" s="22" t="n">
        <f aca="false">I1654*Assumptions!B24</f>
        <v>15600</v>
      </c>
      <c r="K1654" s="21" t="n">
        <f aca="false">K1653*(1+Assumptions!B30)</f>
        <v>22.5496241734509</v>
      </c>
      <c r="L1654" s="16" t="n">
        <f aca="false">ROUND(K1654*F1654,0)</f>
        <v>23</v>
      </c>
      <c r="M1654" s="22" t="n">
        <f aca="false">L1654*Assumptions!B31</f>
        <v>6900</v>
      </c>
      <c r="N1654" s="22" t="n">
        <f aca="false">J1654+M1654</f>
        <v>22500</v>
      </c>
      <c r="O1654" s="22" t="n">
        <f aca="false">IF(DAY(B1654)=1,Assumptions!B38*G1654,0)</f>
        <v>0</v>
      </c>
      <c r="P1654" s="22" t="n">
        <f aca="false">IF(DAY(B1654)=1,Assumptions!B39*G1654,0)</f>
        <v>0</v>
      </c>
      <c r="Q1654" s="22" t="n">
        <f aca="false">IF(DAY(B1654)=1,Assumptions!B40*G1654,0)</f>
        <v>0</v>
      </c>
      <c r="R1654" s="22" t="n">
        <f aca="false">IF(DAY(B1654)=1,Assumptions!B41*G1654,0)</f>
        <v>0</v>
      </c>
      <c r="S1654" s="22" t="n">
        <f aca="false">IF(AND(DAY(B1654)=1,D1654&gt;=13),Assumptions!B42*G1654,0)</f>
        <v>0</v>
      </c>
      <c r="T1654" s="22" t="n">
        <f aca="false">IF(DAY(B1654)=1,Assumptions!B43*G1654,0)</f>
        <v>0</v>
      </c>
      <c r="U1654" s="22" t="n">
        <f aca="false">SUM(O1654:T1654)</f>
        <v>0</v>
      </c>
      <c r="V1654" s="22" t="n">
        <f aca="false">N1654-U1654</f>
        <v>22500</v>
      </c>
      <c r="W1654" s="22" t="n">
        <f aca="false">W1653+V1654</f>
        <v>144910.095196533</v>
      </c>
      <c r="X1654" s="23" t="str">
        <f aca="false">IF(W1654&gt;=0,"YES","No")</f>
        <v>YES</v>
      </c>
    </row>
    <row r="1655" customFormat="false" ht="15" hidden="false" customHeight="false" outlineLevel="0" collapsed="false">
      <c r="A1655" s="16" t="n">
        <v>1654</v>
      </c>
      <c r="B1655" s="17" t="n">
        <f aca="false">B1654+1</f>
        <v>47676</v>
      </c>
      <c r="C1655" s="18" t="n">
        <f aca="false">MIN(ROUNDUP(A1655/365,0),5)</f>
        <v>5</v>
      </c>
      <c r="D1655" s="18" t="n">
        <f aca="false">DATEDIF(Assumptions!B5,B1655,"m")+1</f>
        <v>55</v>
      </c>
      <c r="E1655" s="18" t="str">
        <f aca="false">TEXT(B1655,"ddd")</f>
        <v>Fri</v>
      </c>
      <c r="F1655" s="19" t="n">
        <f aca="false">IF(WEEKDAY(B1655,2)&gt;=6,Assumptions!B34,Assumptions!B35)</f>
        <v>1</v>
      </c>
      <c r="G1655" s="20" t="n">
        <f aca="false">IF(D1655&gt;=13,(1+Assumptions!B46)^(D1655-12),1)</f>
        <v>1.13747044163706</v>
      </c>
      <c r="H1655" s="21" t="n">
        <f aca="false">H1654*(1+IF(C1655=1,Assumptions!B22,Assumptions!B23))</f>
        <v>25.7092235659144</v>
      </c>
      <c r="I1655" s="16" t="n">
        <f aca="false">ROUND(H1655*F1655,0)</f>
        <v>26</v>
      </c>
      <c r="J1655" s="22" t="n">
        <f aca="false">I1655*Assumptions!B24</f>
        <v>15600</v>
      </c>
      <c r="K1655" s="21" t="n">
        <f aca="false">K1654*(1+Assumptions!B30)</f>
        <v>22.5569964762619</v>
      </c>
      <c r="L1655" s="16" t="n">
        <f aca="false">ROUND(K1655*F1655,0)</f>
        <v>23</v>
      </c>
      <c r="M1655" s="22" t="n">
        <f aca="false">L1655*Assumptions!B31</f>
        <v>6900</v>
      </c>
      <c r="N1655" s="22" t="n">
        <f aca="false">J1655+M1655</f>
        <v>22500</v>
      </c>
      <c r="O1655" s="22" t="n">
        <f aca="false">IF(DAY(B1655)=1,Assumptions!B38*G1655,0)</f>
        <v>0</v>
      </c>
      <c r="P1655" s="22" t="n">
        <f aca="false">IF(DAY(B1655)=1,Assumptions!B39*G1655,0)</f>
        <v>0</v>
      </c>
      <c r="Q1655" s="22" t="n">
        <f aca="false">IF(DAY(B1655)=1,Assumptions!B40*G1655,0)</f>
        <v>0</v>
      </c>
      <c r="R1655" s="22" t="n">
        <f aca="false">IF(DAY(B1655)=1,Assumptions!B41*G1655,0)</f>
        <v>0</v>
      </c>
      <c r="S1655" s="22" t="n">
        <f aca="false">IF(AND(DAY(B1655)=1,D1655&gt;=13),Assumptions!B42*G1655,0)</f>
        <v>0</v>
      </c>
      <c r="T1655" s="22" t="n">
        <f aca="false">IF(DAY(B1655)=1,Assumptions!B43*G1655,0)</f>
        <v>0</v>
      </c>
      <c r="U1655" s="22" t="n">
        <f aca="false">SUM(O1655:T1655)</f>
        <v>0</v>
      </c>
      <c r="V1655" s="22" t="n">
        <f aca="false">N1655-U1655</f>
        <v>22500</v>
      </c>
      <c r="W1655" s="22" t="n">
        <f aca="false">W1654+V1655</f>
        <v>167410.095196533</v>
      </c>
      <c r="X1655" s="23" t="str">
        <f aca="false">IF(W1655&gt;=0,"YES","No")</f>
        <v>YES</v>
      </c>
    </row>
    <row r="1656" customFormat="false" ht="15" hidden="false" customHeight="false" outlineLevel="0" collapsed="false">
      <c r="A1656" s="16" t="n">
        <v>1655</v>
      </c>
      <c r="B1656" s="17" t="n">
        <f aca="false">B1655+1</f>
        <v>47677</v>
      </c>
      <c r="C1656" s="18" t="n">
        <f aca="false">MIN(ROUNDUP(A1656/365,0),5)</f>
        <v>5</v>
      </c>
      <c r="D1656" s="18" t="n">
        <f aca="false">DATEDIF(Assumptions!B5,B1656,"m")+1</f>
        <v>55</v>
      </c>
      <c r="E1656" s="18" t="str">
        <f aca="false">TEXT(B1656,"ddd")</f>
        <v>Sat</v>
      </c>
      <c r="F1656" s="19" t="n">
        <f aca="false">IF(WEEKDAY(B1656,2)&gt;=6,Assumptions!B34,Assumptions!B35)</f>
        <v>0.6</v>
      </c>
      <c r="G1656" s="20" t="n">
        <f aca="false">IF(D1656&gt;=13,(1+Assumptions!B46)^(D1656-12),1)</f>
        <v>1.13747044163706</v>
      </c>
      <c r="H1656" s="21" t="n">
        <f aca="false">H1655*(1+IF(C1656=1,Assumptions!B22,Assumptions!B23))</f>
        <v>25.7134363229812</v>
      </c>
      <c r="I1656" s="16" t="n">
        <f aca="false">ROUND(H1656*F1656,0)</f>
        <v>15</v>
      </c>
      <c r="J1656" s="22" t="n">
        <f aca="false">I1656*Assumptions!B24</f>
        <v>9000</v>
      </c>
      <c r="K1656" s="21" t="n">
        <f aca="false">K1655*(1+Assumptions!B30)</f>
        <v>22.5643711893503</v>
      </c>
      <c r="L1656" s="16" t="n">
        <f aca="false">ROUND(K1656*F1656,0)</f>
        <v>14</v>
      </c>
      <c r="M1656" s="22" t="n">
        <f aca="false">L1656*Assumptions!B31</f>
        <v>4200</v>
      </c>
      <c r="N1656" s="22" t="n">
        <f aca="false">J1656+M1656</f>
        <v>13200</v>
      </c>
      <c r="O1656" s="22" t="n">
        <f aca="false">IF(DAY(B1656)=1,Assumptions!B38*G1656,0)</f>
        <v>0</v>
      </c>
      <c r="P1656" s="22" t="n">
        <f aca="false">IF(DAY(B1656)=1,Assumptions!B39*G1656,0)</f>
        <v>0</v>
      </c>
      <c r="Q1656" s="22" t="n">
        <f aca="false">IF(DAY(B1656)=1,Assumptions!B40*G1656,0)</f>
        <v>0</v>
      </c>
      <c r="R1656" s="22" t="n">
        <f aca="false">IF(DAY(B1656)=1,Assumptions!B41*G1656,0)</f>
        <v>0</v>
      </c>
      <c r="S1656" s="22" t="n">
        <f aca="false">IF(AND(DAY(B1656)=1,D1656&gt;=13),Assumptions!B42*G1656,0)</f>
        <v>0</v>
      </c>
      <c r="T1656" s="22" t="n">
        <f aca="false">IF(DAY(B1656)=1,Assumptions!B43*G1656,0)</f>
        <v>0</v>
      </c>
      <c r="U1656" s="22" t="n">
        <f aca="false">SUM(O1656:T1656)</f>
        <v>0</v>
      </c>
      <c r="V1656" s="22" t="n">
        <f aca="false">N1656-U1656</f>
        <v>13200</v>
      </c>
      <c r="W1656" s="22" t="n">
        <f aca="false">W1655+V1656</f>
        <v>180610.095196533</v>
      </c>
      <c r="X1656" s="23" t="str">
        <f aca="false">IF(W1656&gt;=0,"YES","No")</f>
        <v>YES</v>
      </c>
    </row>
    <row r="1657" customFormat="false" ht="15" hidden="false" customHeight="false" outlineLevel="0" collapsed="false">
      <c r="A1657" s="16" t="n">
        <v>1656</v>
      </c>
      <c r="B1657" s="17" t="n">
        <f aca="false">B1656+1</f>
        <v>47678</v>
      </c>
      <c r="C1657" s="18" t="n">
        <f aca="false">MIN(ROUNDUP(A1657/365,0),5)</f>
        <v>5</v>
      </c>
      <c r="D1657" s="18" t="n">
        <f aca="false">DATEDIF(Assumptions!B5,B1657,"m")+1</f>
        <v>55</v>
      </c>
      <c r="E1657" s="18" t="str">
        <f aca="false">TEXT(B1657,"ddd")</f>
        <v>Sun</v>
      </c>
      <c r="F1657" s="19" t="n">
        <f aca="false">IF(WEEKDAY(B1657,2)&gt;=6,Assumptions!B34,Assumptions!B35)</f>
        <v>0.6</v>
      </c>
      <c r="G1657" s="20" t="n">
        <f aca="false">IF(D1657&gt;=13,(1+Assumptions!B46)^(D1657-12),1)</f>
        <v>1.13747044163706</v>
      </c>
      <c r="H1657" s="21" t="n">
        <f aca="false">H1656*(1+IF(C1657=1,Assumptions!B22,Assumptions!B23))</f>
        <v>25.7176497703576</v>
      </c>
      <c r="I1657" s="16" t="n">
        <f aca="false">ROUND(H1657*F1657,0)</f>
        <v>15</v>
      </c>
      <c r="J1657" s="22" t="n">
        <f aca="false">I1657*Assumptions!B24</f>
        <v>9000</v>
      </c>
      <c r="K1657" s="21" t="n">
        <f aca="false">K1656*(1+Assumptions!B30)</f>
        <v>22.5717483135041</v>
      </c>
      <c r="L1657" s="16" t="n">
        <f aca="false">ROUND(K1657*F1657,0)</f>
        <v>14</v>
      </c>
      <c r="M1657" s="22" t="n">
        <f aca="false">L1657*Assumptions!B31</f>
        <v>4200</v>
      </c>
      <c r="N1657" s="22" t="n">
        <f aca="false">J1657+M1657</f>
        <v>13200</v>
      </c>
      <c r="O1657" s="22" t="n">
        <f aca="false">IF(DAY(B1657)=1,Assumptions!B38*G1657,0)</f>
        <v>0</v>
      </c>
      <c r="P1657" s="22" t="n">
        <f aca="false">IF(DAY(B1657)=1,Assumptions!B39*G1657,0)</f>
        <v>0</v>
      </c>
      <c r="Q1657" s="22" t="n">
        <f aca="false">IF(DAY(B1657)=1,Assumptions!B40*G1657,0)</f>
        <v>0</v>
      </c>
      <c r="R1657" s="22" t="n">
        <f aca="false">IF(DAY(B1657)=1,Assumptions!B41*G1657,0)</f>
        <v>0</v>
      </c>
      <c r="S1657" s="22" t="n">
        <f aca="false">IF(AND(DAY(B1657)=1,D1657&gt;=13),Assumptions!B42*G1657,0)</f>
        <v>0</v>
      </c>
      <c r="T1657" s="22" t="n">
        <f aca="false">IF(DAY(B1657)=1,Assumptions!B43*G1657,0)</f>
        <v>0</v>
      </c>
      <c r="U1657" s="22" t="n">
        <f aca="false">SUM(O1657:T1657)</f>
        <v>0</v>
      </c>
      <c r="V1657" s="22" t="n">
        <f aca="false">N1657-U1657</f>
        <v>13200</v>
      </c>
      <c r="W1657" s="22" t="n">
        <f aca="false">W1656+V1657</f>
        <v>193810.095196533</v>
      </c>
      <c r="X1657" s="23" t="str">
        <f aca="false">IF(W1657&gt;=0,"YES","No")</f>
        <v>YES</v>
      </c>
    </row>
    <row r="1658" customFormat="false" ht="15" hidden="false" customHeight="false" outlineLevel="0" collapsed="false">
      <c r="A1658" s="16" t="n">
        <v>1657</v>
      </c>
      <c r="B1658" s="17" t="n">
        <f aca="false">B1657+1</f>
        <v>47679</v>
      </c>
      <c r="C1658" s="18" t="n">
        <f aca="false">MIN(ROUNDUP(A1658/365,0),5)</f>
        <v>5</v>
      </c>
      <c r="D1658" s="18" t="n">
        <f aca="false">DATEDIF(Assumptions!B5,B1658,"m")+1</f>
        <v>55</v>
      </c>
      <c r="E1658" s="18" t="str">
        <f aca="false">TEXT(B1658,"ddd")</f>
        <v>Mon</v>
      </c>
      <c r="F1658" s="19" t="n">
        <f aca="false">IF(WEEKDAY(B1658,2)&gt;=6,Assumptions!B34,Assumptions!B35)</f>
        <v>1</v>
      </c>
      <c r="G1658" s="20" t="n">
        <f aca="false">IF(D1658&gt;=13,(1+Assumptions!B46)^(D1658-12),1)</f>
        <v>1.13747044163706</v>
      </c>
      <c r="H1658" s="21" t="n">
        <f aca="false">H1657*(1+IF(C1658=1,Assumptions!B22,Assumptions!B23))</f>
        <v>25.7218639081567</v>
      </c>
      <c r="I1658" s="16" t="n">
        <f aca="false">ROUND(H1658*F1658,0)</f>
        <v>26</v>
      </c>
      <c r="J1658" s="22" t="n">
        <f aca="false">I1658*Assumptions!B24</f>
        <v>15600</v>
      </c>
      <c r="K1658" s="21" t="n">
        <f aca="false">K1657*(1+Assumptions!B30)</f>
        <v>22.5791278495115</v>
      </c>
      <c r="L1658" s="16" t="n">
        <f aca="false">ROUND(K1658*F1658,0)</f>
        <v>23</v>
      </c>
      <c r="M1658" s="22" t="n">
        <f aca="false">L1658*Assumptions!B31</f>
        <v>6900</v>
      </c>
      <c r="N1658" s="22" t="n">
        <f aca="false">J1658+M1658</f>
        <v>22500</v>
      </c>
      <c r="O1658" s="22" t="n">
        <f aca="false">IF(DAY(B1658)=1,Assumptions!B38*G1658,0)</f>
        <v>0</v>
      </c>
      <c r="P1658" s="22" t="n">
        <f aca="false">IF(DAY(B1658)=1,Assumptions!B39*G1658,0)</f>
        <v>0</v>
      </c>
      <c r="Q1658" s="22" t="n">
        <f aca="false">IF(DAY(B1658)=1,Assumptions!B40*G1658,0)</f>
        <v>0</v>
      </c>
      <c r="R1658" s="22" t="n">
        <f aca="false">IF(DAY(B1658)=1,Assumptions!B41*G1658,0)</f>
        <v>0</v>
      </c>
      <c r="S1658" s="22" t="n">
        <f aca="false">IF(AND(DAY(B1658)=1,D1658&gt;=13),Assumptions!B42*G1658,0)</f>
        <v>0</v>
      </c>
      <c r="T1658" s="22" t="n">
        <f aca="false">IF(DAY(B1658)=1,Assumptions!B43*G1658,0)</f>
        <v>0</v>
      </c>
      <c r="U1658" s="22" t="n">
        <f aca="false">SUM(O1658:T1658)</f>
        <v>0</v>
      </c>
      <c r="V1658" s="22" t="n">
        <f aca="false">N1658-U1658</f>
        <v>22500</v>
      </c>
      <c r="W1658" s="22" t="n">
        <f aca="false">W1657+V1658</f>
        <v>216310.095196533</v>
      </c>
      <c r="X1658" s="23" t="str">
        <f aca="false">IF(W1658&gt;=0,"YES","No")</f>
        <v>YES</v>
      </c>
    </row>
    <row r="1659" customFormat="false" ht="15" hidden="false" customHeight="false" outlineLevel="0" collapsed="false">
      <c r="A1659" s="16" t="n">
        <v>1658</v>
      </c>
      <c r="B1659" s="17" t="n">
        <f aca="false">B1658+1</f>
        <v>47680</v>
      </c>
      <c r="C1659" s="18" t="n">
        <f aca="false">MIN(ROUNDUP(A1659/365,0),5)</f>
        <v>5</v>
      </c>
      <c r="D1659" s="18" t="n">
        <f aca="false">DATEDIF(Assumptions!B5,B1659,"m")+1</f>
        <v>55</v>
      </c>
      <c r="E1659" s="18" t="str">
        <f aca="false">TEXT(B1659,"ddd")</f>
        <v>Tue</v>
      </c>
      <c r="F1659" s="19" t="n">
        <f aca="false">IF(WEEKDAY(B1659,2)&gt;=6,Assumptions!B34,Assumptions!B35)</f>
        <v>1</v>
      </c>
      <c r="G1659" s="20" t="n">
        <f aca="false">IF(D1659&gt;=13,(1+Assumptions!B46)^(D1659-12),1)</f>
        <v>1.13747044163706</v>
      </c>
      <c r="H1659" s="21" t="n">
        <f aca="false">H1658*(1+IF(C1659=1,Assumptions!B22,Assumptions!B23))</f>
        <v>25.7260787364915</v>
      </c>
      <c r="I1659" s="16" t="n">
        <f aca="false">ROUND(H1659*F1659,0)</f>
        <v>26</v>
      </c>
      <c r="J1659" s="22" t="n">
        <f aca="false">I1659*Assumptions!B24</f>
        <v>15600</v>
      </c>
      <c r="K1659" s="21" t="n">
        <f aca="false">K1658*(1+Assumptions!B30)</f>
        <v>22.5865097981611</v>
      </c>
      <c r="L1659" s="16" t="n">
        <f aca="false">ROUND(K1659*F1659,0)</f>
        <v>23</v>
      </c>
      <c r="M1659" s="22" t="n">
        <f aca="false">L1659*Assumptions!B31</f>
        <v>6900</v>
      </c>
      <c r="N1659" s="22" t="n">
        <f aca="false">J1659+M1659</f>
        <v>22500</v>
      </c>
      <c r="O1659" s="22" t="n">
        <f aca="false">IF(DAY(B1659)=1,Assumptions!B38*G1659,0)</f>
        <v>0</v>
      </c>
      <c r="P1659" s="22" t="n">
        <f aca="false">IF(DAY(B1659)=1,Assumptions!B39*G1659,0)</f>
        <v>0</v>
      </c>
      <c r="Q1659" s="22" t="n">
        <f aca="false">IF(DAY(B1659)=1,Assumptions!B40*G1659,0)</f>
        <v>0</v>
      </c>
      <c r="R1659" s="22" t="n">
        <f aca="false">IF(DAY(B1659)=1,Assumptions!B41*G1659,0)</f>
        <v>0</v>
      </c>
      <c r="S1659" s="22" t="n">
        <f aca="false">IF(AND(DAY(B1659)=1,D1659&gt;=13),Assumptions!B42*G1659,0)</f>
        <v>0</v>
      </c>
      <c r="T1659" s="22" t="n">
        <f aca="false">IF(DAY(B1659)=1,Assumptions!B43*G1659,0)</f>
        <v>0</v>
      </c>
      <c r="U1659" s="22" t="n">
        <f aca="false">SUM(O1659:T1659)</f>
        <v>0</v>
      </c>
      <c r="V1659" s="22" t="n">
        <f aca="false">N1659-U1659</f>
        <v>22500</v>
      </c>
      <c r="W1659" s="22" t="n">
        <f aca="false">W1658+V1659</f>
        <v>238810.095196533</v>
      </c>
      <c r="X1659" s="23" t="str">
        <f aca="false">IF(W1659&gt;=0,"YES","No")</f>
        <v>YES</v>
      </c>
    </row>
    <row r="1660" customFormat="false" ht="15" hidden="false" customHeight="false" outlineLevel="0" collapsed="false">
      <c r="A1660" s="16" t="n">
        <v>1659</v>
      </c>
      <c r="B1660" s="17" t="n">
        <f aca="false">B1659+1</f>
        <v>47681</v>
      </c>
      <c r="C1660" s="18" t="n">
        <f aca="false">MIN(ROUNDUP(A1660/365,0),5)</f>
        <v>5</v>
      </c>
      <c r="D1660" s="18" t="n">
        <f aca="false">DATEDIF(Assumptions!B5,B1660,"m")+1</f>
        <v>55</v>
      </c>
      <c r="E1660" s="18" t="str">
        <f aca="false">TEXT(B1660,"ddd")</f>
        <v>Wed</v>
      </c>
      <c r="F1660" s="19" t="n">
        <f aca="false">IF(WEEKDAY(B1660,2)&gt;=6,Assumptions!B34,Assumptions!B35)</f>
        <v>1</v>
      </c>
      <c r="G1660" s="20" t="n">
        <f aca="false">IF(D1660&gt;=13,(1+Assumptions!B46)^(D1660-12),1)</f>
        <v>1.13747044163706</v>
      </c>
      <c r="H1660" s="21" t="n">
        <f aca="false">H1659*(1+IF(C1660=1,Assumptions!B22,Assumptions!B23))</f>
        <v>25.7302942554752</v>
      </c>
      <c r="I1660" s="16" t="n">
        <f aca="false">ROUND(H1660*F1660,0)</f>
        <v>26</v>
      </c>
      <c r="J1660" s="22" t="n">
        <f aca="false">I1660*Assumptions!B24</f>
        <v>15600</v>
      </c>
      <c r="K1660" s="21" t="n">
        <f aca="false">K1659*(1+Assumptions!B30)</f>
        <v>22.5938941602416</v>
      </c>
      <c r="L1660" s="16" t="n">
        <f aca="false">ROUND(K1660*F1660,0)</f>
        <v>23</v>
      </c>
      <c r="M1660" s="22" t="n">
        <f aca="false">L1660*Assumptions!B31</f>
        <v>6900</v>
      </c>
      <c r="N1660" s="22" t="n">
        <f aca="false">J1660+M1660</f>
        <v>22500</v>
      </c>
      <c r="O1660" s="22" t="n">
        <f aca="false">IF(DAY(B1660)=1,Assumptions!B38*G1660,0)</f>
        <v>0</v>
      </c>
      <c r="P1660" s="22" t="n">
        <f aca="false">IF(DAY(B1660)=1,Assumptions!B39*G1660,0)</f>
        <v>0</v>
      </c>
      <c r="Q1660" s="22" t="n">
        <f aca="false">IF(DAY(B1660)=1,Assumptions!B40*G1660,0)</f>
        <v>0</v>
      </c>
      <c r="R1660" s="22" t="n">
        <f aca="false">IF(DAY(B1660)=1,Assumptions!B41*G1660,0)</f>
        <v>0</v>
      </c>
      <c r="S1660" s="22" t="n">
        <f aca="false">IF(AND(DAY(B1660)=1,D1660&gt;=13),Assumptions!B42*G1660,0)</f>
        <v>0</v>
      </c>
      <c r="T1660" s="22" t="n">
        <f aca="false">IF(DAY(B1660)=1,Assumptions!B43*G1660,0)</f>
        <v>0</v>
      </c>
      <c r="U1660" s="22" t="n">
        <f aca="false">SUM(O1660:T1660)</f>
        <v>0</v>
      </c>
      <c r="V1660" s="22" t="n">
        <f aca="false">N1660-U1660</f>
        <v>22500</v>
      </c>
      <c r="W1660" s="22" t="n">
        <f aca="false">W1659+V1660</f>
        <v>261310.095196533</v>
      </c>
      <c r="X1660" s="23" t="str">
        <f aca="false">IF(W1660&gt;=0,"YES","No")</f>
        <v>YES</v>
      </c>
    </row>
    <row r="1661" customFormat="false" ht="15" hidden="false" customHeight="false" outlineLevel="0" collapsed="false">
      <c r="A1661" s="16" t="n">
        <v>1660</v>
      </c>
      <c r="B1661" s="17" t="n">
        <f aca="false">B1660+1</f>
        <v>47682</v>
      </c>
      <c r="C1661" s="18" t="n">
        <f aca="false">MIN(ROUNDUP(A1661/365,0),5)</f>
        <v>5</v>
      </c>
      <c r="D1661" s="18" t="n">
        <f aca="false">DATEDIF(Assumptions!B5,B1661,"m")+1</f>
        <v>55</v>
      </c>
      <c r="E1661" s="18" t="str">
        <f aca="false">TEXT(B1661,"ddd")</f>
        <v>Thu</v>
      </c>
      <c r="F1661" s="19" t="n">
        <f aca="false">IF(WEEKDAY(B1661,2)&gt;=6,Assumptions!B34,Assumptions!B35)</f>
        <v>1</v>
      </c>
      <c r="G1661" s="20" t="n">
        <f aca="false">IF(D1661&gt;=13,(1+Assumptions!B46)^(D1661-12),1)</f>
        <v>1.13747044163706</v>
      </c>
      <c r="H1661" s="21" t="n">
        <f aca="false">H1660*(1+IF(C1661=1,Assumptions!B22,Assumptions!B23))</f>
        <v>25.7345104652211</v>
      </c>
      <c r="I1661" s="16" t="n">
        <f aca="false">ROUND(H1661*F1661,0)</f>
        <v>26</v>
      </c>
      <c r="J1661" s="22" t="n">
        <f aca="false">I1661*Assumptions!B24</f>
        <v>15600</v>
      </c>
      <c r="K1661" s="21" t="n">
        <f aca="false">K1660*(1+Assumptions!B30)</f>
        <v>22.6012809365422</v>
      </c>
      <c r="L1661" s="16" t="n">
        <f aca="false">ROUND(K1661*F1661,0)</f>
        <v>23</v>
      </c>
      <c r="M1661" s="22" t="n">
        <f aca="false">L1661*Assumptions!B31</f>
        <v>6900</v>
      </c>
      <c r="N1661" s="22" t="n">
        <f aca="false">J1661+M1661</f>
        <v>22500</v>
      </c>
      <c r="O1661" s="22" t="n">
        <f aca="false">IF(DAY(B1661)=1,Assumptions!B38*G1661,0)</f>
        <v>0</v>
      </c>
      <c r="P1661" s="22" t="n">
        <f aca="false">IF(DAY(B1661)=1,Assumptions!B39*G1661,0)</f>
        <v>0</v>
      </c>
      <c r="Q1661" s="22" t="n">
        <f aca="false">IF(DAY(B1661)=1,Assumptions!B40*G1661,0)</f>
        <v>0</v>
      </c>
      <c r="R1661" s="22" t="n">
        <f aca="false">IF(DAY(B1661)=1,Assumptions!B41*G1661,0)</f>
        <v>0</v>
      </c>
      <c r="S1661" s="22" t="n">
        <f aca="false">IF(AND(DAY(B1661)=1,D1661&gt;=13),Assumptions!B42*G1661,0)</f>
        <v>0</v>
      </c>
      <c r="T1661" s="22" t="n">
        <f aca="false">IF(DAY(B1661)=1,Assumptions!B43*G1661,0)</f>
        <v>0</v>
      </c>
      <c r="U1661" s="22" t="n">
        <f aca="false">SUM(O1661:T1661)</f>
        <v>0</v>
      </c>
      <c r="V1661" s="22" t="n">
        <f aca="false">N1661-U1661</f>
        <v>22500</v>
      </c>
      <c r="W1661" s="22" t="n">
        <f aca="false">W1660+V1661</f>
        <v>283810.095196533</v>
      </c>
      <c r="X1661" s="23" t="str">
        <f aca="false">IF(W1661&gt;=0,"YES","No")</f>
        <v>YES</v>
      </c>
    </row>
    <row r="1662" customFormat="false" ht="15" hidden="false" customHeight="false" outlineLevel="0" collapsed="false">
      <c r="A1662" s="16" t="n">
        <v>1661</v>
      </c>
      <c r="B1662" s="17" t="n">
        <f aca="false">B1661+1</f>
        <v>47683</v>
      </c>
      <c r="C1662" s="18" t="n">
        <f aca="false">MIN(ROUNDUP(A1662/365,0),5)</f>
        <v>5</v>
      </c>
      <c r="D1662" s="18" t="n">
        <f aca="false">DATEDIF(Assumptions!B5,B1662,"m")+1</f>
        <v>55</v>
      </c>
      <c r="E1662" s="18" t="str">
        <f aca="false">TEXT(B1662,"ddd")</f>
        <v>Fri</v>
      </c>
      <c r="F1662" s="19" t="n">
        <f aca="false">IF(WEEKDAY(B1662,2)&gt;=6,Assumptions!B34,Assumptions!B35)</f>
        <v>1</v>
      </c>
      <c r="G1662" s="20" t="n">
        <f aca="false">IF(D1662&gt;=13,(1+Assumptions!B46)^(D1662-12),1)</f>
        <v>1.13747044163706</v>
      </c>
      <c r="H1662" s="21" t="n">
        <f aca="false">H1661*(1+IF(C1662=1,Assumptions!B22,Assumptions!B23))</f>
        <v>25.7387273658422</v>
      </c>
      <c r="I1662" s="16" t="n">
        <f aca="false">ROUND(H1662*F1662,0)</f>
        <v>26</v>
      </c>
      <c r="J1662" s="22" t="n">
        <f aca="false">I1662*Assumptions!B24</f>
        <v>15600</v>
      </c>
      <c r="K1662" s="21" t="n">
        <f aca="false">K1661*(1+Assumptions!B30)</f>
        <v>22.608670127852</v>
      </c>
      <c r="L1662" s="16" t="n">
        <f aca="false">ROUND(K1662*F1662,0)</f>
        <v>23</v>
      </c>
      <c r="M1662" s="22" t="n">
        <f aca="false">L1662*Assumptions!B31</f>
        <v>6900</v>
      </c>
      <c r="N1662" s="22" t="n">
        <f aca="false">J1662+M1662</f>
        <v>22500</v>
      </c>
      <c r="O1662" s="22" t="n">
        <f aca="false">IF(DAY(B1662)=1,Assumptions!B38*G1662,0)</f>
        <v>0</v>
      </c>
      <c r="P1662" s="22" t="n">
        <f aca="false">IF(DAY(B1662)=1,Assumptions!B39*G1662,0)</f>
        <v>0</v>
      </c>
      <c r="Q1662" s="22" t="n">
        <f aca="false">IF(DAY(B1662)=1,Assumptions!B40*G1662,0)</f>
        <v>0</v>
      </c>
      <c r="R1662" s="22" t="n">
        <f aca="false">IF(DAY(B1662)=1,Assumptions!B41*G1662,0)</f>
        <v>0</v>
      </c>
      <c r="S1662" s="22" t="n">
        <f aca="false">IF(AND(DAY(B1662)=1,D1662&gt;=13),Assumptions!B42*G1662,0)</f>
        <v>0</v>
      </c>
      <c r="T1662" s="22" t="n">
        <f aca="false">IF(DAY(B1662)=1,Assumptions!B43*G1662,0)</f>
        <v>0</v>
      </c>
      <c r="U1662" s="22" t="n">
        <f aca="false">SUM(O1662:T1662)</f>
        <v>0</v>
      </c>
      <c r="V1662" s="22" t="n">
        <f aca="false">N1662-U1662</f>
        <v>22500</v>
      </c>
      <c r="W1662" s="22" t="n">
        <f aca="false">W1661+V1662</f>
        <v>306310.095196533</v>
      </c>
      <c r="X1662" s="23" t="str">
        <f aca="false">IF(W1662&gt;=0,"YES","No")</f>
        <v>YES</v>
      </c>
    </row>
    <row r="1663" customFormat="false" ht="15" hidden="false" customHeight="false" outlineLevel="0" collapsed="false">
      <c r="A1663" s="16" t="n">
        <v>1662</v>
      </c>
      <c r="B1663" s="17" t="n">
        <f aca="false">B1662+1</f>
        <v>47684</v>
      </c>
      <c r="C1663" s="18" t="n">
        <f aca="false">MIN(ROUNDUP(A1663/365,0),5)</f>
        <v>5</v>
      </c>
      <c r="D1663" s="18" t="n">
        <f aca="false">DATEDIF(Assumptions!B5,B1663,"m")+1</f>
        <v>55</v>
      </c>
      <c r="E1663" s="18" t="str">
        <f aca="false">TEXT(B1663,"ddd")</f>
        <v>Sat</v>
      </c>
      <c r="F1663" s="19" t="n">
        <f aca="false">IF(WEEKDAY(B1663,2)&gt;=6,Assumptions!B34,Assumptions!B35)</f>
        <v>0.6</v>
      </c>
      <c r="G1663" s="20" t="n">
        <f aca="false">IF(D1663&gt;=13,(1+Assumptions!B46)^(D1663-12),1)</f>
        <v>1.13747044163706</v>
      </c>
      <c r="H1663" s="21" t="n">
        <f aca="false">H1662*(1+IF(C1663=1,Assumptions!B22,Assumptions!B23))</f>
        <v>25.7429449574519</v>
      </c>
      <c r="I1663" s="16" t="n">
        <f aca="false">ROUND(H1663*F1663,0)</f>
        <v>15</v>
      </c>
      <c r="J1663" s="22" t="n">
        <f aca="false">I1663*Assumptions!B24</f>
        <v>9000</v>
      </c>
      <c r="K1663" s="21" t="n">
        <f aca="false">K1662*(1+Assumptions!B30)</f>
        <v>22.6160617349606</v>
      </c>
      <c r="L1663" s="16" t="n">
        <f aca="false">ROUND(K1663*F1663,0)</f>
        <v>14</v>
      </c>
      <c r="M1663" s="22" t="n">
        <f aca="false">L1663*Assumptions!B31</f>
        <v>4200</v>
      </c>
      <c r="N1663" s="22" t="n">
        <f aca="false">J1663+M1663</f>
        <v>13200</v>
      </c>
      <c r="O1663" s="22" t="n">
        <f aca="false">IF(DAY(B1663)=1,Assumptions!B38*G1663,0)</f>
        <v>0</v>
      </c>
      <c r="P1663" s="22" t="n">
        <f aca="false">IF(DAY(B1663)=1,Assumptions!B39*G1663,0)</f>
        <v>0</v>
      </c>
      <c r="Q1663" s="22" t="n">
        <f aca="false">IF(DAY(B1663)=1,Assumptions!B40*G1663,0)</f>
        <v>0</v>
      </c>
      <c r="R1663" s="22" t="n">
        <f aca="false">IF(DAY(B1663)=1,Assumptions!B41*G1663,0)</f>
        <v>0</v>
      </c>
      <c r="S1663" s="22" t="n">
        <f aca="false">IF(AND(DAY(B1663)=1,D1663&gt;=13),Assumptions!B42*G1663,0)</f>
        <v>0</v>
      </c>
      <c r="T1663" s="22" t="n">
        <f aca="false">IF(DAY(B1663)=1,Assumptions!B43*G1663,0)</f>
        <v>0</v>
      </c>
      <c r="U1663" s="22" t="n">
        <f aca="false">SUM(O1663:T1663)</f>
        <v>0</v>
      </c>
      <c r="V1663" s="22" t="n">
        <f aca="false">N1663-U1663</f>
        <v>13200</v>
      </c>
      <c r="W1663" s="22" t="n">
        <f aca="false">W1662+V1663</f>
        <v>319510.095196533</v>
      </c>
      <c r="X1663" s="23" t="str">
        <f aca="false">IF(W1663&gt;=0,"YES","No")</f>
        <v>YES</v>
      </c>
    </row>
    <row r="1664" customFormat="false" ht="15" hidden="false" customHeight="false" outlineLevel="0" collapsed="false">
      <c r="A1664" s="16" t="n">
        <v>1663</v>
      </c>
      <c r="B1664" s="17" t="n">
        <f aca="false">B1663+1</f>
        <v>47685</v>
      </c>
      <c r="C1664" s="18" t="n">
        <f aca="false">MIN(ROUNDUP(A1664/365,0),5)</f>
        <v>5</v>
      </c>
      <c r="D1664" s="18" t="n">
        <f aca="false">DATEDIF(Assumptions!B5,B1664,"m")+1</f>
        <v>55</v>
      </c>
      <c r="E1664" s="18" t="str">
        <f aca="false">TEXT(B1664,"ddd")</f>
        <v>Sun</v>
      </c>
      <c r="F1664" s="19" t="n">
        <f aca="false">IF(WEEKDAY(B1664,2)&gt;=6,Assumptions!B34,Assumptions!B35)</f>
        <v>0.6</v>
      </c>
      <c r="G1664" s="20" t="n">
        <f aca="false">IF(D1664&gt;=13,(1+Assumptions!B46)^(D1664-12),1)</f>
        <v>1.13747044163706</v>
      </c>
      <c r="H1664" s="21" t="n">
        <f aca="false">H1663*(1+IF(C1664=1,Assumptions!B22,Assumptions!B23))</f>
        <v>25.7471632401633</v>
      </c>
      <c r="I1664" s="16" t="n">
        <f aca="false">ROUND(H1664*F1664,0)</f>
        <v>15</v>
      </c>
      <c r="J1664" s="22" t="n">
        <f aca="false">I1664*Assumptions!B24</f>
        <v>9000</v>
      </c>
      <c r="K1664" s="21" t="n">
        <f aca="false">K1663*(1+Assumptions!B30)</f>
        <v>22.6234557586579</v>
      </c>
      <c r="L1664" s="16" t="n">
        <f aca="false">ROUND(K1664*F1664,0)</f>
        <v>14</v>
      </c>
      <c r="M1664" s="22" t="n">
        <f aca="false">L1664*Assumptions!B31</f>
        <v>4200</v>
      </c>
      <c r="N1664" s="22" t="n">
        <f aca="false">J1664+M1664</f>
        <v>13200</v>
      </c>
      <c r="O1664" s="22" t="n">
        <f aca="false">IF(DAY(B1664)=1,Assumptions!B38*G1664,0)</f>
        <v>0</v>
      </c>
      <c r="P1664" s="22" t="n">
        <f aca="false">IF(DAY(B1664)=1,Assumptions!B39*G1664,0)</f>
        <v>0</v>
      </c>
      <c r="Q1664" s="22" t="n">
        <f aca="false">IF(DAY(B1664)=1,Assumptions!B40*G1664,0)</f>
        <v>0</v>
      </c>
      <c r="R1664" s="22" t="n">
        <f aca="false">IF(DAY(B1664)=1,Assumptions!B41*G1664,0)</f>
        <v>0</v>
      </c>
      <c r="S1664" s="22" t="n">
        <f aca="false">IF(AND(DAY(B1664)=1,D1664&gt;=13),Assumptions!B42*G1664,0)</f>
        <v>0</v>
      </c>
      <c r="T1664" s="22" t="n">
        <f aca="false">IF(DAY(B1664)=1,Assumptions!B43*G1664,0)</f>
        <v>0</v>
      </c>
      <c r="U1664" s="22" t="n">
        <f aca="false">SUM(O1664:T1664)</f>
        <v>0</v>
      </c>
      <c r="V1664" s="22" t="n">
        <f aca="false">N1664-U1664</f>
        <v>13200</v>
      </c>
      <c r="W1664" s="22" t="n">
        <f aca="false">W1663+V1664</f>
        <v>332710.095196533</v>
      </c>
      <c r="X1664" s="23" t="str">
        <f aca="false">IF(W1664&gt;=0,"YES","No")</f>
        <v>YES</v>
      </c>
    </row>
    <row r="1665" customFormat="false" ht="15" hidden="false" customHeight="false" outlineLevel="0" collapsed="false">
      <c r="A1665" s="16" t="n">
        <v>1664</v>
      </c>
      <c r="B1665" s="17" t="n">
        <f aca="false">B1664+1</f>
        <v>47686</v>
      </c>
      <c r="C1665" s="18" t="n">
        <f aca="false">MIN(ROUNDUP(A1665/365,0),5)</f>
        <v>5</v>
      </c>
      <c r="D1665" s="18" t="n">
        <f aca="false">DATEDIF(Assumptions!B5,B1665,"m")+1</f>
        <v>55</v>
      </c>
      <c r="E1665" s="18" t="str">
        <f aca="false">TEXT(B1665,"ddd")</f>
        <v>Mon</v>
      </c>
      <c r="F1665" s="19" t="n">
        <f aca="false">IF(WEEKDAY(B1665,2)&gt;=6,Assumptions!B34,Assumptions!B35)</f>
        <v>1</v>
      </c>
      <c r="G1665" s="20" t="n">
        <f aca="false">IF(D1665&gt;=13,(1+Assumptions!B46)^(D1665-12),1)</f>
        <v>1.13747044163706</v>
      </c>
      <c r="H1665" s="21" t="n">
        <f aca="false">H1664*(1+IF(C1665=1,Assumptions!B22,Assumptions!B23))</f>
        <v>25.7513822140896</v>
      </c>
      <c r="I1665" s="16" t="n">
        <f aca="false">ROUND(H1665*F1665,0)</f>
        <v>26</v>
      </c>
      <c r="J1665" s="22" t="n">
        <f aca="false">I1665*Assumptions!B24</f>
        <v>15600</v>
      </c>
      <c r="K1665" s="21" t="n">
        <f aca="false">K1664*(1+Assumptions!B30)</f>
        <v>22.6308521997339</v>
      </c>
      <c r="L1665" s="16" t="n">
        <f aca="false">ROUND(K1665*F1665,0)</f>
        <v>23</v>
      </c>
      <c r="M1665" s="22" t="n">
        <f aca="false">L1665*Assumptions!B31</f>
        <v>6900</v>
      </c>
      <c r="N1665" s="22" t="n">
        <f aca="false">J1665+M1665</f>
        <v>22500</v>
      </c>
      <c r="O1665" s="22" t="n">
        <f aca="false">IF(DAY(B1665)=1,Assumptions!B38*G1665,0)</f>
        <v>0</v>
      </c>
      <c r="P1665" s="22" t="n">
        <f aca="false">IF(DAY(B1665)=1,Assumptions!B39*G1665,0)</f>
        <v>0</v>
      </c>
      <c r="Q1665" s="22" t="n">
        <f aca="false">IF(DAY(B1665)=1,Assumptions!B40*G1665,0)</f>
        <v>0</v>
      </c>
      <c r="R1665" s="22" t="n">
        <f aca="false">IF(DAY(B1665)=1,Assumptions!B41*G1665,0)</f>
        <v>0</v>
      </c>
      <c r="S1665" s="22" t="n">
        <f aca="false">IF(AND(DAY(B1665)=1,D1665&gt;=13),Assumptions!B42*G1665,0)</f>
        <v>0</v>
      </c>
      <c r="T1665" s="22" t="n">
        <f aca="false">IF(DAY(B1665)=1,Assumptions!B43*G1665,0)</f>
        <v>0</v>
      </c>
      <c r="U1665" s="22" t="n">
        <f aca="false">SUM(O1665:T1665)</f>
        <v>0</v>
      </c>
      <c r="V1665" s="22" t="n">
        <f aca="false">N1665-U1665</f>
        <v>22500</v>
      </c>
      <c r="W1665" s="22" t="n">
        <f aca="false">W1664+V1665</f>
        <v>355210.095196533</v>
      </c>
      <c r="X1665" s="23" t="str">
        <f aca="false">IF(W1665&gt;=0,"YES","No")</f>
        <v>YES</v>
      </c>
    </row>
    <row r="1666" customFormat="false" ht="15" hidden="false" customHeight="false" outlineLevel="0" collapsed="false">
      <c r="A1666" s="16" t="n">
        <v>1665</v>
      </c>
      <c r="B1666" s="17" t="n">
        <f aca="false">B1665+1</f>
        <v>47687</v>
      </c>
      <c r="C1666" s="18" t="n">
        <f aca="false">MIN(ROUNDUP(A1666/365,0),5)</f>
        <v>5</v>
      </c>
      <c r="D1666" s="18" t="n">
        <f aca="false">DATEDIF(Assumptions!B5,B1666,"m")+1</f>
        <v>55</v>
      </c>
      <c r="E1666" s="18" t="str">
        <f aca="false">TEXT(B1666,"ddd")</f>
        <v>Tue</v>
      </c>
      <c r="F1666" s="19" t="n">
        <f aca="false">IF(WEEKDAY(B1666,2)&gt;=6,Assumptions!B34,Assumptions!B35)</f>
        <v>1</v>
      </c>
      <c r="G1666" s="20" t="n">
        <f aca="false">IF(D1666&gt;=13,(1+Assumptions!B46)^(D1666-12),1)</f>
        <v>1.13747044163706</v>
      </c>
      <c r="H1666" s="21" t="n">
        <f aca="false">H1665*(1+IF(C1666=1,Assumptions!B22,Assumptions!B23))</f>
        <v>25.7556018793442</v>
      </c>
      <c r="I1666" s="16" t="n">
        <f aca="false">ROUND(H1666*F1666,0)</f>
        <v>26</v>
      </c>
      <c r="J1666" s="22" t="n">
        <f aca="false">I1666*Assumptions!B24</f>
        <v>15600</v>
      </c>
      <c r="K1666" s="21" t="n">
        <f aca="false">K1665*(1+Assumptions!B30)</f>
        <v>22.638251058979</v>
      </c>
      <c r="L1666" s="16" t="n">
        <f aca="false">ROUND(K1666*F1666,0)</f>
        <v>23</v>
      </c>
      <c r="M1666" s="22" t="n">
        <f aca="false">L1666*Assumptions!B31</f>
        <v>6900</v>
      </c>
      <c r="N1666" s="22" t="n">
        <f aca="false">J1666+M1666</f>
        <v>22500</v>
      </c>
      <c r="O1666" s="22" t="n">
        <f aca="false">IF(DAY(B1666)=1,Assumptions!B38*G1666,0)</f>
        <v>0</v>
      </c>
      <c r="P1666" s="22" t="n">
        <f aca="false">IF(DAY(B1666)=1,Assumptions!B39*G1666,0)</f>
        <v>0</v>
      </c>
      <c r="Q1666" s="22" t="n">
        <f aca="false">IF(DAY(B1666)=1,Assumptions!B40*G1666,0)</f>
        <v>0</v>
      </c>
      <c r="R1666" s="22" t="n">
        <f aca="false">IF(DAY(B1666)=1,Assumptions!B41*G1666,0)</f>
        <v>0</v>
      </c>
      <c r="S1666" s="22" t="n">
        <f aca="false">IF(AND(DAY(B1666)=1,D1666&gt;=13),Assumptions!B42*G1666,0)</f>
        <v>0</v>
      </c>
      <c r="T1666" s="22" t="n">
        <f aca="false">IF(DAY(B1666)=1,Assumptions!B43*G1666,0)</f>
        <v>0</v>
      </c>
      <c r="U1666" s="22" t="n">
        <f aca="false">SUM(O1666:T1666)</f>
        <v>0</v>
      </c>
      <c r="V1666" s="22" t="n">
        <f aca="false">N1666-U1666</f>
        <v>22500</v>
      </c>
      <c r="W1666" s="22" t="n">
        <f aca="false">W1665+V1666</f>
        <v>377710.095196533</v>
      </c>
      <c r="X1666" s="23" t="str">
        <f aca="false">IF(W1666&gt;=0,"YES","No")</f>
        <v>YES</v>
      </c>
    </row>
    <row r="1667" customFormat="false" ht="15" hidden="false" customHeight="false" outlineLevel="0" collapsed="false">
      <c r="A1667" s="16" t="n">
        <v>1666</v>
      </c>
      <c r="B1667" s="17" t="n">
        <f aca="false">B1666+1</f>
        <v>47688</v>
      </c>
      <c r="C1667" s="18" t="n">
        <f aca="false">MIN(ROUNDUP(A1667/365,0),5)</f>
        <v>5</v>
      </c>
      <c r="D1667" s="18" t="n">
        <f aca="false">DATEDIF(Assumptions!B5,B1667,"m")+1</f>
        <v>55</v>
      </c>
      <c r="E1667" s="18" t="str">
        <f aca="false">TEXT(B1667,"ddd")</f>
        <v>Wed</v>
      </c>
      <c r="F1667" s="19" t="n">
        <f aca="false">IF(WEEKDAY(B1667,2)&gt;=6,Assumptions!B34,Assumptions!B35)</f>
        <v>1</v>
      </c>
      <c r="G1667" s="20" t="n">
        <f aca="false">IF(D1667&gt;=13,(1+Assumptions!B46)^(D1667-12),1)</f>
        <v>1.13747044163706</v>
      </c>
      <c r="H1667" s="21" t="n">
        <f aca="false">H1666*(1+IF(C1667=1,Assumptions!B22,Assumptions!B23))</f>
        <v>25.7598222360403</v>
      </c>
      <c r="I1667" s="16" t="n">
        <f aca="false">ROUND(H1667*F1667,0)</f>
        <v>26</v>
      </c>
      <c r="J1667" s="22" t="n">
        <f aca="false">I1667*Assumptions!B24</f>
        <v>15600</v>
      </c>
      <c r="K1667" s="21" t="n">
        <f aca="false">K1666*(1+Assumptions!B30)</f>
        <v>22.6456523371837</v>
      </c>
      <c r="L1667" s="16" t="n">
        <f aca="false">ROUND(K1667*F1667,0)</f>
        <v>23</v>
      </c>
      <c r="M1667" s="22" t="n">
        <f aca="false">L1667*Assumptions!B31</f>
        <v>6900</v>
      </c>
      <c r="N1667" s="22" t="n">
        <f aca="false">J1667+M1667</f>
        <v>22500</v>
      </c>
      <c r="O1667" s="22" t="n">
        <f aca="false">IF(DAY(B1667)=1,Assumptions!B38*G1667,0)</f>
        <v>0</v>
      </c>
      <c r="P1667" s="22" t="n">
        <f aca="false">IF(DAY(B1667)=1,Assumptions!B39*G1667,0)</f>
        <v>0</v>
      </c>
      <c r="Q1667" s="22" t="n">
        <f aca="false">IF(DAY(B1667)=1,Assumptions!B40*G1667,0)</f>
        <v>0</v>
      </c>
      <c r="R1667" s="22" t="n">
        <f aca="false">IF(DAY(B1667)=1,Assumptions!B41*G1667,0)</f>
        <v>0</v>
      </c>
      <c r="S1667" s="22" t="n">
        <f aca="false">IF(AND(DAY(B1667)=1,D1667&gt;=13),Assumptions!B42*G1667,0)</f>
        <v>0</v>
      </c>
      <c r="T1667" s="22" t="n">
        <f aca="false">IF(DAY(B1667)=1,Assumptions!B43*G1667,0)</f>
        <v>0</v>
      </c>
      <c r="U1667" s="22" t="n">
        <f aca="false">SUM(O1667:T1667)</f>
        <v>0</v>
      </c>
      <c r="V1667" s="22" t="n">
        <f aca="false">N1667-U1667</f>
        <v>22500</v>
      </c>
      <c r="W1667" s="22" t="n">
        <f aca="false">W1666+V1667</f>
        <v>400210.095196533</v>
      </c>
      <c r="X1667" s="23" t="str">
        <f aca="false">IF(W1667&gt;=0,"YES","No")</f>
        <v>YES</v>
      </c>
    </row>
    <row r="1668" customFormat="false" ht="15" hidden="false" customHeight="false" outlineLevel="0" collapsed="false">
      <c r="A1668" s="16" t="n">
        <v>1667</v>
      </c>
      <c r="B1668" s="17" t="n">
        <f aca="false">B1667+1</f>
        <v>47689</v>
      </c>
      <c r="C1668" s="18" t="n">
        <f aca="false">MIN(ROUNDUP(A1668/365,0),5)</f>
        <v>5</v>
      </c>
      <c r="D1668" s="18" t="n">
        <f aca="false">DATEDIF(Assumptions!B5,B1668,"m")+1</f>
        <v>55</v>
      </c>
      <c r="E1668" s="18" t="str">
        <f aca="false">TEXT(B1668,"ddd")</f>
        <v>Thu</v>
      </c>
      <c r="F1668" s="19" t="n">
        <f aca="false">IF(WEEKDAY(B1668,2)&gt;=6,Assumptions!B34,Assumptions!B35)</f>
        <v>1</v>
      </c>
      <c r="G1668" s="20" t="n">
        <f aca="false">IF(D1668&gt;=13,(1+Assumptions!B46)^(D1668-12),1)</f>
        <v>1.13747044163706</v>
      </c>
      <c r="H1668" s="21" t="n">
        <f aca="false">H1667*(1+IF(C1668=1,Assumptions!B22,Assumptions!B23))</f>
        <v>25.7640432842913</v>
      </c>
      <c r="I1668" s="16" t="n">
        <f aca="false">ROUND(H1668*F1668,0)</f>
        <v>26</v>
      </c>
      <c r="J1668" s="22" t="n">
        <f aca="false">I1668*Assumptions!B24</f>
        <v>15600</v>
      </c>
      <c r="K1668" s="21" t="n">
        <f aca="false">K1667*(1+Assumptions!B30)</f>
        <v>22.6530560351388</v>
      </c>
      <c r="L1668" s="16" t="n">
        <f aca="false">ROUND(K1668*F1668,0)</f>
        <v>23</v>
      </c>
      <c r="M1668" s="22" t="n">
        <f aca="false">L1668*Assumptions!B31</f>
        <v>6900</v>
      </c>
      <c r="N1668" s="22" t="n">
        <f aca="false">J1668+M1668</f>
        <v>22500</v>
      </c>
      <c r="O1668" s="22" t="n">
        <f aca="false">IF(DAY(B1668)=1,Assumptions!B38*G1668,0)</f>
        <v>0</v>
      </c>
      <c r="P1668" s="22" t="n">
        <f aca="false">IF(DAY(B1668)=1,Assumptions!B39*G1668,0)</f>
        <v>0</v>
      </c>
      <c r="Q1668" s="22" t="n">
        <f aca="false">IF(DAY(B1668)=1,Assumptions!B40*G1668,0)</f>
        <v>0</v>
      </c>
      <c r="R1668" s="22" t="n">
        <f aca="false">IF(DAY(B1668)=1,Assumptions!B41*G1668,0)</f>
        <v>0</v>
      </c>
      <c r="S1668" s="22" t="n">
        <f aca="false">IF(AND(DAY(B1668)=1,D1668&gt;=13),Assumptions!B42*G1668,0)</f>
        <v>0</v>
      </c>
      <c r="T1668" s="22" t="n">
        <f aca="false">IF(DAY(B1668)=1,Assumptions!B43*G1668,0)</f>
        <v>0</v>
      </c>
      <c r="U1668" s="22" t="n">
        <f aca="false">SUM(O1668:T1668)</f>
        <v>0</v>
      </c>
      <c r="V1668" s="22" t="n">
        <f aca="false">N1668-U1668</f>
        <v>22500</v>
      </c>
      <c r="W1668" s="22" t="n">
        <f aca="false">W1667+V1668</f>
        <v>422710.095196533</v>
      </c>
      <c r="X1668" s="23" t="str">
        <f aca="false">IF(W1668&gt;=0,"YES","No")</f>
        <v>YES</v>
      </c>
    </row>
    <row r="1669" customFormat="false" ht="15" hidden="false" customHeight="false" outlineLevel="0" collapsed="false">
      <c r="A1669" s="16" t="n">
        <v>1668</v>
      </c>
      <c r="B1669" s="17" t="n">
        <f aca="false">B1668+1</f>
        <v>47690</v>
      </c>
      <c r="C1669" s="18" t="n">
        <f aca="false">MIN(ROUNDUP(A1669/365,0),5)</f>
        <v>5</v>
      </c>
      <c r="D1669" s="18" t="n">
        <f aca="false">DATEDIF(Assumptions!B5,B1669,"m")+1</f>
        <v>55</v>
      </c>
      <c r="E1669" s="18" t="str">
        <f aca="false">TEXT(B1669,"ddd")</f>
        <v>Fri</v>
      </c>
      <c r="F1669" s="19" t="n">
        <f aca="false">IF(WEEKDAY(B1669,2)&gt;=6,Assumptions!B34,Assumptions!B35)</f>
        <v>1</v>
      </c>
      <c r="G1669" s="20" t="n">
        <f aca="false">IF(D1669&gt;=13,(1+Assumptions!B46)^(D1669-12),1)</f>
        <v>1.13747044163706</v>
      </c>
      <c r="H1669" s="21" t="n">
        <f aca="false">H1668*(1+IF(C1669=1,Assumptions!B22,Assumptions!B23))</f>
        <v>25.7682650242103</v>
      </c>
      <c r="I1669" s="16" t="n">
        <f aca="false">ROUND(H1669*F1669,0)</f>
        <v>26</v>
      </c>
      <c r="J1669" s="22" t="n">
        <f aca="false">I1669*Assumptions!B24</f>
        <v>15600</v>
      </c>
      <c r="K1669" s="21" t="n">
        <f aca="false">K1668*(1+Assumptions!B30)</f>
        <v>22.6604621536356</v>
      </c>
      <c r="L1669" s="16" t="n">
        <f aca="false">ROUND(K1669*F1669,0)</f>
        <v>23</v>
      </c>
      <c r="M1669" s="22" t="n">
        <f aca="false">L1669*Assumptions!B31</f>
        <v>6900</v>
      </c>
      <c r="N1669" s="22" t="n">
        <f aca="false">J1669+M1669</f>
        <v>22500</v>
      </c>
      <c r="O1669" s="22" t="n">
        <f aca="false">IF(DAY(B1669)=1,Assumptions!B38*G1669,0)</f>
        <v>0</v>
      </c>
      <c r="P1669" s="22" t="n">
        <f aca="false">IF(DAY(B1669)=1,Assumptions!B39*G1669,0)</f>
        <v>0</v>
      </c>
      <c r="Q1669" s="22" t="n">
        <f aca="false">IF(DAY(B1669)=1,Assumptions!B40*G1669,0)</f>
        <v>0</v>
      </c>
      <c r="R1669" s="22" t="n">
        <f aca="false">IF(DAY(B1669)=1,Assumptions!B41*G1669,0)</f>
        <v>0</v>
      </c>
      <c r="S1669" s="22" t="n">
        <f aca="false">IF(AND(DAY(B1669)=1,D1669&gt;=13),Assumptions!B42*G1669,0)</f>
        <v>0</v>
      </c>
      <c r="T1669" s="22" t="n">
        <f aca="false">IF(DAY(B1669)=1,Assumptions!B43*G1669,0)</f>
        <v>0</v>
      </c>
      <c r="U1669" s="22" t="n">
        <f aca="false">SUM(O1669:T1669)</f>
        <v>0</v>
      </c>
      <c r="V1669" s="22" t="n">
        <f aca="false">N1669-U1669</f>
        <v>22500</v>
      </c>
      <c r="W1669" s="22" t="n">
        <f aca="false">W1668+V1669</f>
        <v>445210.095196533</v>
      </c>
      <c r="X1669" s="23" t="str">
        <f aca="false">IF(W1669&gt;=0,"YES","No")</f>
        <v>YES</v>
      </c>
    </row>
    <row r="1670" customFormat="false" ht="15" hidden="false" customHeight="false" outlineLevel="0" collapsed="false">
      <c r="A1670" s="16" t="n">
        <v>1669</v>
      </c>
      <c r="B1670" s="17" t="n">
        <f aca="false">B1669+1</f>
        <v>47691</v>
      </c>
      <c r="C1670" s="18" t="n">
        <f aca="false">MIN(ROUNDUP(A1670/365,0),5)</f>
        <v>5</v>
      </c>
      <c r="D1670" s="18" t="n">
        <f aca="false">DATEDIF(Assumptions!B5,B1670,"m")+1</f>
        <v>55</v>
      </c>
      <c r="E1670" s="18" t="str">
        <f aca="false">TEXT(B1670,"ddd")</f>
        <v>Sat</v>
      </c>
      <c r="F1670" s="19" t="n">
        <f aca="false">IF(WEEKDAY(B1670,2)&gt;=6,Assumptions!B34,Assumptions!B35)</f>
        <v>0.6</v>
      </c>
      <c r="G1670" s="20" t="n">
        <f aca="false">IF(D1670&gt;=13,(1+Assumptions!B46)^(D1670-12),1)</f>
        <v>1.13747044163706</v>
      </c>
      <c r="H1670" s="21" t="n">
        <f aca="false">H1669*(1+IF(C1670=1,Assumptions!B22,Assumptions!B23))</f>
        <v>25.7724874559109</v>
      </c>
      <c r="I1670" s="16" t="n">
        <f aca="false">ROUND(H1670*F1670,0)</f>
        <v>15</v>
      </c>
      <c r="J1670" s="22" t="n">
        <f aca="false">I1670*Assumptions!B24</f>
        <v>9000</v>
      </c>
      <c r="K1670" s="21" t="n">
        <f aca="false">K1669*(1+Assumptions!B30)</f>
        <v>22.6678706934654</v>
      </c>
      <c r="L1670" s="16" t="n">
        <f aca="false">ROUND(K1670*F1670,0)</f>
        <v>14</v>
      </c>
      <c r="M1670" s="22" t="n">
        <f aca="false">L1670*Assumptions!B31</f>
        <v>4200</v>
      </c>
      <c r="N1670" s="22" t="n">
        <f aca="false">J1670+M1670</f>
        <v>13200</v>
      </c>
      <c r="O1670" s="22" t="n">
        <f aca="false">IF(DAY(B1670)=1,Assumptions!B38*G1670,0)</f>
        <v>0</v>
      </c>
      <c r="P1670" s="22" t="n">
        <f aca="false">IF(DAY(B1670)=1,Assumptions!B39*G1670,0)</f>
        <v>0</v>
      </c>
      <c r="Q1670" s="22" t="n">
        <f aca="false">IF(DAY(B1670)=1,Assumptions!B40*G1670,0)</f>
        <v>0</v>
      </c>
      <c r="R1670" s="22" t="n">
        <f aca="false">IF(DAY(B1670)=1,Assumptions!B41*G1670,0)</f>
        <v>0</v>
      </c>
      <c r="S1670" s="22" t="n">
        <f aca="false">IF(AND(DAY(B1670)=1,D1670&gt;=13),Assumptions!B42*G1670,0)</f>
        <v>0</v>
      </c>
      <c r="T1670" s="22" t="n">
        <f aca="false">IF(DAY(B1670)=1,Assumptions!B43*G1670,0)</f>
        <v>0</v>
      </c>
      <c r="U1670" s="22" t="n">
        <f aca="false">SUM(O1670:T1670)</f>
        <v>0</v>
      </c>
      <c r="V1670" s="22" t="n">
        <f aca="false">N1670-U1670</f>
        <v>13200</v>
      </c>
      <c r="W1670" s="22" t="n">
        <f aca="false">W1669+V1670</f>
        <v>458410.095196533</v>
      </c>
      <c r="X1670" s="23" t="str">
        <f aca="false">IF(W1670&gt;=0,"YES","No")</f>
        <v>YES</v>
      </c>
    </row>
    <row r="1671" customFormat="false" ht="15" hidden="false" customHeight="false" outlineLevel="0" collapsed="false">
      <c r="A1671" s="16" t="n">
        <v>1670</v>
      </c>
      <c r="B1671" s="17" t="n">
        <f aca="false">B1670+1</f>
        <v>47692</v>
      </c>
      <c r="C1671" s="18" t="n">
        <f aca="false">MIN(ROUNDUP(A1671/365,0),5)</f>
        <v>5</v>
      </c>
      <c r="D1671" s="18" t="n">
        <f aca="false">DATEDIF(Assumptions!B5,B1671,"m")+1</f>
        <v>55</v>
      </c>
      <c r="E1671" s="18" t="str">
        <f aca="false">TEXT(B1671,"ddd")</f>
        <v>Sun</v>
      </c>
      <c r="F1671" s="19" t="n">
        <f aca="false">IF(WEEKDAY(B1671,2)&gt;=6,Assumptions!B34,Assumptions!B35)</f>
        <v>0.6</v>
      </c>
      <c r="G1671" s="20" t="n">
        <f aca="false">IF(D1671&gt;=13,(1+Assumptions!B46)^(D1671-12),1)</f>
        <v>1.13747044163706</v>
      </c>
      <c r="H1671" s="21" t="n">
        <f aca="false">H1670*(1+IF(C1671=1,Assumptions!B22,Assumptions!B23))</f>
        <v>25.7767105795063</v>
      </c>
      <c r="I1671" s="16" t="n">
        <f aca="false">ROUND(H1671*F1671,0)</f>
        <v>15</v>
      </c>
      <c r="J1671" s="22" t="n">
        <f aca="false">I1671*Assumptions!B24</f>
        <v>9000</v>
      </c>
      <c r="K1671" s="21" t="n">
        <f aca="false">K1670*(1+Assumptions!B30)</f>
        <v>22.6752816554197</v>
      </c>
      <c r="L1671" s="16" t="n">
        <f aca="false">ROUND(K1671*F1671,0)</f>
        <v>14</v>
      </c>
      <c r="M1671" s="22" t="n">
        <f aca="false">L1671*Assumptions!B31</f>
        <v>4200</v>
      </c>
      <c r="N1671" s="22" t="n">
        <f aca="false">J1671+M1671</f>
        <v>13200</v>
      </c>
      <c r="O1671" s="22" t="n">
        <f aca="false">IF(DAY(B1671)=1,Assumptions!B38*G1671,0)</f>
        <v>0</v>
      </c>
      <c r="P1671" s="22" t="n">
        <f aca="false">IF(DAY(B1671)=1,Assumptions!B39*G1671,0)</f>
        <v>0</v>
      </c>
      <c r="Q1671" s="22" t="n">
        <f aca="false">IF(DAY(B1671)=1,Assumptions!B40*G1671,0)</f>
        <v>0</v>
      </c>
      <c r="R1671" s="22" t="n">
        <f aca="false">IF(DAY(B1671)=1,Assumptions!B41*G1671,0)</f>
        <v>0</v>
      </c>
      <c r="S1671" s="22" t="n">
        <f aca="false">IF(AND(DAY(B1671)=1,D1671&gt;=13),Assumptions!B42*G1671,0)</f>
        <v>0</v>
      </c>
      <c r="T1671" s="22" t="n">
        <f aca="false">IF(DAY(B1671)=1,Assumptions!B43*G1671,0)</f>
        <v>0</v>
      </c>
      <c r="U1671" s="22" t="n">
        <f aca="false">SUM(O1671:T1671)</f>
        <v>0</v>
      </c>
      <c r="V1671" s="22" t="n">
        <f aca="false">N1671-U1671</f>
        <v>13200</v>
      </c>
      <c r="W1671" s="22" t="n">
        <f aca="false">W1670+V1671</f>
        <v>471610.095196533</v>
      </c>
      <c r="X1671" s="23" t="str">
        <f aca="false">IF(W1671&gt;=0,"YES","No")</f>
        <v>YES</v>
      </c>
    </row>
    <row r="1672" customFormat="false" ht="15" hidden="false" customHeight="false" outlineLevel="0" collapsed="false">
      <c r="A1672" s="16" t="n">
        <v>1671</v>
      </c>
      <c r="B1672" s="17" t="n">
        <f aca="false">B1671+1</f>
        <v>47693</v>
      </c>
      <c r="C1672" s="18" t="n">
        <f aca="false">MIN(ROUNDUP(A1672/365,0),5)</f>
        <v>5</v>
      </c>
      <c r="D1672" s="18" t="n">
        <f aca="false">DATEDIF(Assumptions!B5,B1672,"m")+1</f>
        <v>55</v>
      </c>
      <c r="E1672" s="18" t="str">
        <f aca="false">TEXT(B1672,"ddd")</f>
        <v>Mon</v>
      </c>
      <c r="F1672" s="19" t="n">
        <f aca="false">IF(WEEKDAY(B1672,2)&gt;=6,Assumptions!B34,Assumptions!B35)</f>
        <v>1</v>
      </c>
      <c r="G1672" s="20" t="n">
        <f aca="false">IF(D1672&gt;=13,(1+Assumptions!B46)^(D1672-12),1)</f>
        <v>1.13747044163706</v>
      </c>
      <c r="H1672" s="21" t="n">
        <f aca="false">H1671*(1+IF(C1672=1,Assumptions!B22,Assumptions!B23))</f>
        <v>25.7809343951099</v>
      </c>
      <c r="I1672" s="16" t="n">
        <f aca="false">ROUND(H1672*F1672,0)</f>
        <v>26</v>
      </c>
      <c r="J1672" s="22" t="n">
        <f aca="false">I1672*Assumptions!B24</f>
        <v>15600</v>
      </c>
      <c r="K1672" s="21" t="n">
        <f aca="false">K1671*(1+Assumptions!B30)</f>
        <v>22.6826950402905</v>
      </c>
      <c r="L1672" s="16" t="n">
        <f aca="false">ROUND(K1672*F1672,0)</f>
        <v>23</v>
      </c>
      <c r="M1672" s="22" t="n">
        <f aca="false">L1672*Assumptions!B31</f>
        <v>6900</v>
      </c>
      <c r="N1672" s="22" t="n">
        <f aca="false">J1672+M1672</f>
        <v>22500</v>
      </c>
      <c r="O1672" s="22" t="n">
        <f aca="false">IF(DAY(B1672)=1,Assumptions!B38*G1672,0)</f>
        <v>0</v>
      </c>
      <c r="P1672" s="22" t="n">
        <f aca="false">IF(DAY(B1672)=1,Assumptions!B39*G1672,0)</f>
        <v>0</v>
      </c>
      <c r="Q1672" s="22" t="n">
        <f aca="false">IF(DAY(B1672)=1,Assumptions!B40*G1672,0)</f>
        <v>0</v>
      </c>
      <c r="R1672" s="22" t="n">
        <f aca="false">IF(DAY(B1672)=1,Assumptions!B41*G1672,0)</f>
        <v>0</v>
      </c>
      <c r="S1672" s="22" t="n">
        <f aca="false">IF(AND(DAY(B1672)=1,D1672&gt;=13),Assumptions!B42*G1672,0)</f>
        <v>0</v>
      </c>
      <c r="T1672" s="22" t="n">
        <f aca="false">IF(DAY(B1672)=1,Assumptions!B43*G1672,0)</f>
        <v>0</v>
      </c>
      <c r="U1672" s="22" t="n">
        <f aca="false">SUM(O1672:T1672)</f>
        <v>0</v>
      </c>
      <c r="V1672" s="22" t="n">
        <f aca="false">N1672-U1672</f>
        <v>22500</v>
      </c>
      <c r="W1672" s="22" t="n">
        <f aca="false">W1671+V1672</f>
        <v>494110.095196533</v>
      </c>
      <c r="X1672" s="23" t="str">
        <f aca="false">IF(W1672&gt;=0,"YES","No")</f>
        <v>YES</v>
      </c>
    </row>
    <row r="1673" customFormat="false" ht="15" hidden="false" customHeight="false" outlineLevel="0" collapsed="false">
      <c r="A1673" s="16" t="n">
        <v>1672</v>
      </c>
      <c r="B1673" s="17" t="n">
        <f aca="false">B1672+1</f>
        <v>47694</v>
      </c>
      <c r="C1673" s="18" t="n">
        <f aca="false">MIN(ROUNDUP(A1673/365,0),5)</f>
        <v>5</v>
      </c>
      <c r="D1673" s="18" t="n">
        <f aca="false">DATEDIF(Assumptions!B5,B1673,"m")+1</f>
        <v>55</v>
      </c>
      <c r="E1673" s="18" t="str">
        <f aca="false">TEXT(B1673,"ddd")</f>
        <v>Tue</v>
      </c>
      <c r="F1673" s="19" t="n">
        <f aca="false">IF(WEEKDAY(B1673,2)&gt;=6,Assumptions!B34,Assumptions!B35)</f>
        <v>1</v>
      </c>
      <c r="G1673" s="20" t="n">
        <f aca="false">IF(D1673&gt;=13,(1+Assumptions!B46)^(D1673-12),1)</f>
        <v>1.13747044163706</v>
      </c>
      <c r="H1673" s="21" t="n">
        <f aca="false">H1672*(1+IF(C1673=1,Assumptions!B22,Assumptions!B23))</f>
        <v>25.7851589028351</v>
      </c>
      <c r="I1673" s="16" t="n">
        <f aca="false">ROUND(H1673*F1673,0)</f>
        <v>26</v>
      </c>
      <c r="J1673" s="22" t="n">
        <f aca="false">I1673*Assumptions!B24</f>
        <v>15600</v>
      </c>
      <c r="K1673" s="21" t="n">
        <f aca="false">K1672*(1+Assumptions!B30)</f>
        <v>22.6901108488699</v>
      </c>
      <c r="L1673" s="16" t="n">
        <f aca="false">ROUND(K1673*F1673,0)</f>
        <v>23</v>
      </c>
      <c r="M1673" s="22" t="n">
        <f aca="false">L1673*Assumptions!B31</f>
        <v>6900</v>
      </c>
      <c r="N1673" s="22" t="n">
        <f aca="false">J1673+M1673</f>
        <v>22500</v>
      </c>
      <c r="O1673" s="22" t="n">
        <f aca="false">IF(DAY(B1673)=1,Assumptions!B38*G1673,0)</f>
        <v>0</v>
      </c>
      <c r="P1673" s="22" t="n">
        <f aca="false">IF(DAY(B1673)=1,Assumptions!B39*G1673,0)</f>
        <v>0</v>
      </c>
      <c r="Q1673" s="22" t="n">
        <f aca="false">IF(DAY(B1673)=1,Assumptions!B40*G1673,0)</f>
        <v>0</v>
      </c>
      <c r="R1673" s="22" t="n">
        <f aca="false">IF(DAY(B1673)=1,Assumptions!B41*G1673,0)</f>
        <v>0</v>
      </c>
      <c r="S1673" s="22" t="n">
        <f aca="false">IF(AND(DAY(B1673)=1,D1673&gt;=13),Assumptions!B42*G1673,0)</f>
        <v>0</v>
      </c>
      <c r="T1673" s="22" t="n">
        <f aca="false">IF(DAY(B1673)=1,Assumptions!B43*G1673,0)</f>
        <v>0</v>
      </c>
      <c r="U1673" s="22" t="n">
        <f aca="false">SUM(O1673:T1673)</f>
        <v>0</v>
      </c>
      <c r="V1673" s="22" t="n">
        <f aca="false">N1673-U1673</f>
        <v>22500</v>
      </c>
      <c r="W1673" s="22" t="n">
        <f aca="false">W1672+V1673</f>
        <v>516610.095196533</v>
      </c>
      <c r="X1673" s="23" t="str">
        <f aca="false">IF(W1673&gt;=0,"YES","No")</f>
        <v>YES</v>
      </c>
    </row>
    <row r="1674" customFormat="false" ht="15" hidden="false" customHeight="false" outlineLevel="0" collapsed="false">
      <c r="A1674" s="16" t="n">
        <v>1673</v>
      </c>
      <c r="B1674" s="17" t="n">
        <f aca="false">B1673+1</f>
        <v>47695</v>
      </c>
      <c r="C1674" s="18" t="n">
        <f aca="false">MIN(ROUNDUP(A1674/365,0),5)</f>
        <v>5</v>
      </c>
      <c r="D1674" s="18" t="n">
        <f aca="false">DATEDIF(Assumptions!B5,B1674,"m")+1</f>
        <v>55</v>
      </c>
      <c r="E1674" s="18" t="str">
        <f aca="false">TEXT(B1674,"ddd")</f>
        <v>Wed</v>
      </c>
      <c r="F1674" s="19" t="n">
        <f aca="false">IF(WEEKDAY(B1674,2)&gt;=6,Assumptions!B34,Assumptions!B35)</f>
        <v>1</v>
      </c>
      <c r="G1674" s="20" t="n">
        <f aca="false">IF(D1674&gt;=13,(1+Assumptions!B46)^(D1674-12),1)</f>
        <v>1.13747044163706</v>
      </c>
      <c r="H1674" s="21" t="n">
        <f aca="false">H1673*(1+IF(C1674=1,Assumptions!B22,Assumptions!B23))</f>
        <v>25.7893841027953</v>
      </c>
      <c r="I1674" s="16" t="n">
        <f aca="false">ROUND(H1674*F1674,0)</f>
        <v>26</v>
      </c>
      <c r="J1674" s="22" t="n">
        <f aca="false">I1674*Assumptions!B24</f>
        <v>15600</v>
      </c>
      <c r="K1674" s="21" t="n">
        <f aca="false">K1673*(1+Assumptions!B30)</f>
        <v>22.6975290819503</v>
      </c>
      <c r="L1674" s="16" t="n">
        <f aca="false">ROUND(K1674*F1674,0)</f>
        <v>23</v>
      </c>
      <c r="M1674" s="22" t="n">
        <f aca="false">L1674*Assumptions!B31</f>
        <v>6900</v>
      </c>
      <c r="N1674" s="22" t="n">
        <f aca="false">J1674+M1674</f>
        <v>22500</v>
      </c>
      <c r="O1674" s="22" t="n">
        <f aca="false">IF(DAY(B1674)=1,Assumptions!B38*G1674,0)</f>
        <v>0</v>
      </c>
      <c r="P1674" s="22" t="n">
        <f aca="false">IF(DAY(B1674)=1,Assumptions!B39*G1674,0)</f>
        <v>0</v>
      </c>
      <c r="Q1674" s="22" t="n">
        <f aca="false">IF(DAY(B1674)=1,Assumptions!B40*G1674,0)</f>
        <v>0</v>
      </c>
      <c r="R1674" s="22" t="n">
        <f aca="false">IF(DAY(B1674)=1,Assumptions!B41*G1674,0)</f>
        <v>0</v>
      </c>
      <c r="S1674" s="22" t="n">
        <f aca="false">IF(AND(DAY(B1674)=1,D1674&gt;=13),Assumptions!B42*G1674,0)</f>
        <v>0</v>
      </c>
      <c r="T1674" s="22" t="n">
        <f aca="false">IF(DAY(B1674)=1,Assumptions!B43*G1674,0)</f>
        <v>0</v>
      </c>
      <c r="U1674" s="22" t="n">
        <f aca="false">SUM(O1674:T1674)</f>
        <v>0</v>
      </c>
      <c r="V1674" s="22" t="n">
        <f aca="false">N1674-U1674</f>
        <v>22500</v>
      </c>
      <c r="W1674" s="22" t="n">
        <f aca="false">W1673+V1674</f>
        <v>539110.095196533</v>
      </c>
      <c r="X1674" s="23" t="str">
        <f aca="false">IF(W1674&gt;=0,"YES","No")</f>
        <v>YES</v>
      </c>
    </row>
    <row r="1675" customFormat="false" ht="15" hidden="false" customHeight="false" outlineLevel="0" collapsed="false">
      <c r="A1675" s="16" t="n">
        <v>1674</v>
      </c>
      <c r="B1675" s="17" t="n">
        <f aca="false">B1674+1</f>
        <v>47696</v>
      </c>
      <c r="C1675" s="18" t="n">
        <f aca="false">MIN(ROUNDUP(A1675/365,0),5)</f>
        <v>5</v>
      </c>
      <c r="D1675" s="18" t="n">
        <f aca="false">DATEDIF(Assumptions!B5,B1675,"m")+1</f>
        <v>56</v>
      </c>
      <c r="E1675" s="18" t="str">
        <f aca="false">TEXT(B1675,"ddd")</f>
        <v>Thu</v>
      </c>
      <c r="F1675" s="19" t="n">
        <f aca="false">IF(WEEKDAY(B1675,2)&gt;=6,Assumptions!B34,Assumptions!B35)</f>
        <v>1</v>
      </c>
      <c r="G1675" s="20" t="n">
        <f aca="false">IF(D1675&gt;=13,(1+Assumptions!B46)^(D1675-12),1)</f>
        <v>1.14088285296197</v>
      </c>
      <c r="H1675" s="21" t="n">
        <f aca="false">H1674*(1+IF(C1675=1,Assumptions!B22,Assumptions!B23))</f>
        <v>25.7936099951039</v>
      </c>
      <c r="I1675" s="16" t="n">
        <f aca="false">ROUND(H1675*F1675,0)</f>
        <v>26</v>
      </c>
      <c r="J1675" s="22" t="n">
        <f aca="false">I1675*Assumptions!B24</f>
        <v>15600</v>
      </c>
      <c r="K1675" s="21" t="n">
        <f aca="false">K1674*(1+Assumptions!B30)</f>
        <v>22.7049497403244</v>
      </c>
      <c r="L1675" s="16" t="n">
        <f aca="false">ROUND(K1675*F1675,0)</f>
        <v>23</v>
      </c>
      <c r="M1675" s="22" t="n">
        <f aca="false">L1675*Assumptions!B31</f>
        <v>6900</v>
      </c>
      <c r="N1675" s="22" t="n">
        <f aca="false">J1675+M1675</f>
        <v>22500</v>
      </c>
      <c r="O1675" s="22" t="n">
        <f aca="false">IF(DAY(B1675)=1,Assumptions!B38*G1675,0)</f>
        <v>171132.427944296</v>
      </c>
      <c r="P1675" s="22" t="n">
        <f aca="false">IF(DAY(B1675)=1,Assumptions!B39*G1675,0)</f>
        <v>45635.3141184789</v>
      </c>
      <c r="Q1675" s="22" t="n">
        <f aca="false">IF(DAY(B1675)=1,Assumptions!B40*G1675,0)</f>
        <v>34226.4855888591</v>
      </c>
      <c r="R1675" s="22" t="n">
        <f aca="false">IF(DAY(B1675)=1,Assumptions!B41*G1675,0)</f>
        <v>22817.6570592394</v>
      </c>
      <c r="S1675" s="22" t="n">
        <f aca="false">IF(AND(DAY(B1675)=1,D1675&gt;=13),Assumptions!B42*G1675,0)</f>
        <v>171132.427944296</v>
      </c>
      <c r="T1675" s="22" t="n">
        <f aca="false">IF(DAY(B1675)=1,Assumptions!B43*G1675,0)</f>
        <v>22817.6570592394</v>
      </c>
      <c r="U1675" s="22" t="n">
        <f aca="false">SUM(O1675:T1675)</f>
        <v>467761.969714408</v>
      </c>
      <c r="V1675" s="22" t="n">
        <f aca="false">N1675-U1675</f>
        <v>-445261.969714408</v>
      </c>
      <c r="W1675" s="22" t="n">
        <f aca="false">W1674+V1675</f>
        <v>93848.1254821251</v>
      </c>
      <c r="X1675" s="23" t="str">
        <f aca="false">IF(W1675&gt;=0,"YES","No")</f>
        <v>YES</v>
      </c>
    </row>
    <row r="1676" customFormat="false" ht="15" hidden="false" customHeight="false" outlineLevel="0" collapsed="false">
      <c r="A1676" s="16" t="n">
        <v>1675</v>
      </c>
      <c r="B1676" s="17" t="n">
        <f aca="false">B1675+1</f>
        <v>47697</v>
      </c>
      <c r="C1676" s="18" t="n">
        <f aca="false">MIN(ROUNDUP(A1676/365,0),5)</f>
        <v>5</v>
      </c>
      <c r="D1676" s="18" t="n">
        <f aca="false">DATEDIF(Assumptions!B5,B1676,"m")+1</f>
        <v>56</v>
      </c>
      <c r="E1676" s="18" t="str">
        <f aca="false">TEXT(B1676,"ddd")</f>
        <v>Fri</v>
      </c>
      <c r="F1676" s="19" t="n">
        <f aca="false">IF(WEEKDAY(B1676,2)&gt;=6,Assumptions!B34,Assumptions!B35)</f>
        <v>1</v>
      </c>
      <c r="G1676" s="20" t="n">
        <f aca="false">IF(D1676&gt;=13,(1+Assumptions!B46)^(D1676-12),1)</f>
        <v>1.14088285296197</v>
      </c>
      <c r="H1676" s="21" t="n">
        <f aca="false">H1675*(1+IF(C1676=1,Assumptions!B22,Assumptions!B23))</f>
        <v>25.7978365798745</v>
      </c>
      <c r="I1676" s="16" t="n">
        <f aca="false">ROUND(H1676*F1676,0)</f>
        <v>26</v>
      </c>
      <c r="J1676" s="22" t="n">
        <f aca="false">I1676*Assumptions!B24</f>
        <v>15600</v>
      </c>
      <c r="K1676" s="21" t="n">
        <f aca="false">K1675*(1+Assumptions!B30)</f>
        <v>22.712372824785</v>
      </c>
      <c r="L1676" s="16" t="n">
        <f aca="false">ROUND(K1676*F1676,0)</f>
        <v>23</v>
      </c>
      <c r="M1676" s="22" t="n">
        <f aca="false">L1676*Assumptions!B31</f>
        <v>6900</v>
      </c>
      <c r="N1676" s="22" t="n">
        <f aca="false">J1676+M1676</f>
        <v>22500</v>
      </c>
      <c r="O1676" s="22" t="n">
        <f aca="false">IF(DAY(B1676)=1,Assumptions!B38*G1676,0)</f>
        <v>0</v>
      </c>
      <c r="P1676" s="22" t="n">
        <f aca="false">IF(DAY(B1676)=1,Assumptions!B39*G1676,0)</f>
        <v>0</v>
      </c>
      <c r="Q1676" s="22" t="n">
        <f aca="false">IF(DAY(B1676)=1,Assumptions!B40*G1676,0)</f>
        <v>0</v>
      </c>
      <c r="R1676" s="22" t="n">
        <f aca="false">IF(DAY(B1676)=1,Assumptions!B41*G1676,0)</f>
        <v>0</v>
      </c>
      <c r="S1676" s="22" t="n">
        <f aca="false">IF(AND(DAY(B1676)=1,D1676&gt;=13),Assumptions!B42*G1676,0)</f>
        <v>0</v>
      </c>
      <c r="T1676" s="22" t="n">
        <f aca="false">IF(DAY(B1676)=1,Assumptions!B43*G1676,0)</f>
        <v>0</v>
      </c>
      <c r="U1676" s="22" t="n">
        <f aca="false">SUM(O1676:T1676)</f>
        <v>0</v>
      </c>
      <c r="V1676" s="22" t="n">
        <f aca="false">N1676-U1676</f>
        <v>22500</v>
      </c>
      <c r="W1676" s="22" t="n">
        <f aca="false">W1675+V1676</f>
        <v>116348.125482125</v>
      </c>
      <c r="X1676" s="23" t="str">
        <f aca="false">IF(W1676&gt;=0,"YES","No")</f>
        <v>YES</v>
      </c>
    </row>
    <row r="1677" customFormat="false" ht="15" hidden="false" customHeight="false" outlineLevel="0" collapsed="false">
      <c r="A1677" s="16" t="n">
        <v>1676</v>
      </c>
      <c r="B1677" s="17" t="n">
        <f aca="false">B1676+1</f>
        <v>47698</v>
      </c>
      <c r="C1677" s="18" t="n">
        <f aca="false">MIN(ROUNDUP(A1677/365,0),5)</f>
        <v>5</v>
      </c>
      <c r="D1677" s="18" t="n">
        <f aca="false">DATEDIF(Assumptions!B5,B1677,"m")+1</f>
        <v>56</v>
      </c>
      <c r="E1677" s="18" t="str">
        <f aca="false">TEXT(B1677,"ddd")</f>
        <v>Sat</v>
      </c>
      <c r="F1677" s="19" t="n">
        <f aca="false">IF(WEEKDAY(B1677,2)&gt;=6,Assumptions!B34,Assumptions!B35)</f>
        <v>0.6</v>
      </c>
      <c r="G1677" s="20" t="n">
        <f aca="false">IF(D1677&gt;=13,(1+Assumptions!B46)^(D1677-12),1)</f>
        <v>1.14088285296197</v>
      </c>
      <c r="H1677" s="21" t="n">
        <f aca="false">H1676*(1+IF(C1677=1,Assumptions!B22,Assumptions!B23))</f>
        <v>25.8020638572204</v>
      </c>
      <c r="I1677" s="16" t="n">
        <f aca="false">ROUND(H1677*F1677,0)</f>
        <v>15</v>
      </c>
      <c r="J1677" s="22" t="n">
        <f aca="false">I1677*Assumptions!B24</f>
        <v>9000</v>
      </c>
      <c r="K1677" s="21" t="n">
        <f aca="false">K1676*(1+Assumptions!B30)</f>
        <v>22.7197983361254</v>
      </c>
      <c r="L1677" s="16" t="n">
        <f aca="false">ROUND(K1677*F1677,0)</f>
        <v>14</v>
      </c>
      <c r="M1677" s="22" t="n">
        <f aca="false">L1677*Assumptions!B31</f>
        <v>4200</v>
      </c>
      <c r="N1677" s="22" t="n">
        <f aca="false">J1677+M1677</f>
        <v>13200</v>
      </c>
      <c r="O1677" s="22" t="n">
        <f aca="false">IF(DAY(B1677)=1,Assumptions!B38*G1677,0)</f>
        <v>0</v>
      </c>
      <c r="P1677" s="22" t="n">
        <f aca="false">IF(DAY(B1677)=1,Assumptions!B39*G1677,0)</f>
        <v>0</v>
      </c>
      <c r="Q1677" s="22" t="n">
        <f aca="false">IF(DAY(B1677)=1,Assumptions!B40*G1677,0)</f>
        <v>0</v>
      </c>
      <c r="R1677" s="22" t="n">
        <f aca="false">IF(DAY(B1677)=1,Assumptions!B41*G1677,0)</f>
        <v>0</v>
      </c>
      <c r="S1677" s="22" t="n">
        <f aca="false">IF(AND(DAY(B1677)=1,D1677&gt;=13),Assumptions!B42*G1677,0)</f>
        <v>0</v>
      </c>
      <c r="T1677" s="22" t="n">
        <f aca="false">IF(DAY(B1677)=1,Assumptions!B43*G1677,0)</f>
        <v>0</v>
      </c>
      <c r="U1677" s="22" t="n">
        <f aca="false">SUM(O1677:T1677)</f>
        <v>0</v>
      </c>
      <c r="V1677" s="22" t="n">
        <f aca="false">N1677-U1677</f>
        <v>13200</v>
      </c>
      <c r="W1677" s="22" t="n">
        <f aca="false">W1676+V1677</f>
        <v>129548.125482125</v>
      </c>
      <c r="X1677" s="23" t="str">
        <f aca="false">IF(W1677&gt;=0,"YES","No")</f>
        <v>YES</v>
      </c>
    </row>
    <row r="1678" customFormat="false" ht="15" hidden="false" customHeight="false" outlineLevel="0" collapsed="false">
      <c r="A1678" s="16" t="n">
        <v>1677</v>
      </c>
      <c r="B1678" s="17" t="n">
        <f aca="false">B1677+1</f>
        <v>47699</v>
      </c>
      <c r="C1678" s="18" t="n">
        <f aca="false">MIN(ROUNDUP(A1678/365,0),5)</f>
        <v>5</v>
      </c>
      <c r="D1678" s="18" t="n">
        <f aca="false">DATEDIF(Assumptions!B5,B1678,"m")+1</f>
        <v>56</v>
      </c>
      <c r="E1678" s="18" t="str">
        <f aca="false">TEXT(B1678,"ddd")</f>
        <v>Sun</v>
      </c>
      <c r="F1678" s="19" t="n">
        <f aca="false">IF(WEEKDAY(B1678,2)&gt;=6,Assumptions!B34,Assumptions!B35)</f>
        <v>0.6</v>
      </c>
      <c r="G1678" s="20" t="n">
        <f aca="false">IF(D1678&gt;=13,(1+Assumptions!B46)^(D1678-12),1)</f>
        <v>1.14088285296197</v>
      </c>
      <c r="H1678" s="21" t="n">
        <f aca="false">H1677*(1+IF(C1678=1,Assumptions!B22,Assumptions!B23))</f>
        <v>25.8062918272552</v>
      </c>
      <c r="I1678" s="16" t="n">
        <f aca="false">ROUND(H1678*F1678,0)</f>
        <v>15</v>
      </c>
      <c r="J1678" s="22" t="n">
        <f aca="false">I1678*Assumptions!B24</f>
        <v>9000</v>
      </c>
      <c r="K1678" s="21" t="n">
        <f aca="false">K1677*(1+Assumptions!B30)</f>
        <v>22.727226275139</v>
      </c>
      <c r="L1678" s="16" t="n">
        <f aca="false">ROUND(K1678*F1678,0)</f>
        <v>14</v>
      </c>
      <c r="M1678" s="22" t="n">
        <f aca="false">L1678*Assumptions!B31</f>
        <v>4200</v>
      </c>
      <c r="N1678" s="22" t="n">
        <f aca="false">J1678+M1678</f>
        <v>13200</v>
      </c>
      <c r="O1678" s="22" t="n">
        <f aca="false">IF(DAY(B1678)=1,Assumptions!B38*G1678,0)</f>
        <v>0</v>
      </c>
      <c r="P1678" s="22" t="n">
        <f aca="false">IF(DAY(B1678)=1,Assumptions!B39*G1678,0)</f>
        <v>0</v>
      </c>
      <c r="Q1678" s="22" t="n">
        <f aca="false">IF(DAY(B1678)=1,Assumptions!B40*G1678,0)</f>
        <v>0</v>
      </c>
      <c r="R1678" s="22" t="n">
        <f aca="false">IF(DAY(B1678)=1,Assumptions!B41*G1678,0)</f>
        <v>0</v>
      </c>
      <c r="S1678" s="22" t="n">
        <f aca="false">IF(AND(DAY(B1678)=1,D1678&gt;=13),Assumptions!B42*G1678,0)</f>
        <v>0</v>
      </c>
      <c r="T1678" s="22" t="n">
        <f aca="false">IF(DAY(B1678)=1,Assumptions!B43*G1678,0)</f>
        <v>0</v>
      </c>
      <c r="U1678" s="22" t="n">
        <f aca="false">SUM(O1678:T1678)</f>
        <v>0</v>
      </c>
      <c r="V1678" s="22" t="n">
        <f aca="false">N1678-U1678</f>
        <v>13200</v>
      </c>
      <c r="W1678" s="22" t="n">
        <f aca="false">W1677+V1678</f>
        <v>142748.125482125</v>
      </c>
      <c r="X1678" s="23" t="str">
        <f aca="false">IF(W1678&gt;=0,"YES","No")</f>
        <v>YES</v>
      </c>
    </row>
    <row r="1679" customFormat="false" ht="15" hidden="false" customHeight="false" outlineLevel="0" collapsed="false">
      <c r="A1679" s="16" t="n">
        <v>1678</v>
      </c>
      <c r="B1679" s="17" t="n">
        <f aca="false">B1678+1</f>
        <v>47700</v>
      </c>
      <c r="C1679" s="18" t="n">
        <f aca="false">MIN(ROUNDUP(A1679/365,0),5)</f>
        <v>5</v>
      </c>
      <c r="D1679" s="18" t="n">
        <f aca="false">DATEDIF(Assumptions!B5,B1679,"m")+1</f>
        <v>56</v>
      </c>
      <c r="E1679" s="18" t="str">
        <f aca="false">TEXT(B1679,"ddd")</f>
        <v>Mon</v>
      </c>
      <c r="F1679" s="19" t="n">
        <f aca="false">IF(WEEKDAY(B1679,2)&gt;=6,Assumptions!B34,Assumptions!B35)</f>
        <v>1</v>
      </c>
      <c r="G1679" s="20" t="n">
        <f aca="false">IF(D1679&gt;=13,(1+Assumptions!B46)^(D1679-12),1)</f>
        <v>1.14088285296197</v>
      </c>
      <c r="H1679" s="21" t="n">
        <f aca="false">H1678*(1+IF(C1679=1,Assumptions!B22,Assumptions!B23))</f>
        <v>25.8105204900923</v>
      </c>
      <c r="I1679" s="16" t="n">
        <f aca="false">ROUND(H1679*F1679,0)</f>
        <v>26</v>
      </c>
      <c r="J1679" s="22" t="n">
        <f aca="false">I1679*Assumptions!B24</f>
        <v>15600</v>
      </c>
      <c r="K1679" s="21" t="n">
        <f aca="false">K1678*(1+Assumptions!B30)</f>
        <v>22.7346566426195</v>
      </c>
      <c r="L1679" s="16" t="n">
        <f aca="false">ROUND(K1679*F1679,0)</f>
        <v>23</v>
      </c>
      <c r="M1679" s="22" t="n">
        <f aca="false">L1679*Assumptions!B31</f>
        <v>6900</v>
      </c>
      <c r="N1679" s="22" t="n">
        <f aca="false">J1679+M1679</f>
        <v>22500</v>
      </c>
      <c r="O1679" s="22" t="n">
        <f aca="false">IF(DAY(B1679)=1,Assumptions!B38*G1679,0)</f>
        <v>0</v>
      </c>
      <c r="P1679" s="22" t="n">
        <f aca="false">IF(DAY(B1679)=1,Assumptions!B39*G1679,0)</f>
        <v>0</v>
      </c>
      <c r="Q1679" s="22" t="n">
        <f aca="false">IF(DAY(B1679)=1,Assumptions!B40*G1679,0)</f>
        <v>0</v>
      </c>
      <c r="R1679" s="22" t="n">
        <f aca="false">IF(DAY(B1679)=1,Assumptions!B41*G1679,0)</f>
        <v>0</v>
      </c>
      <c r="S1679" s="22" t="n">
        <f aca="false">IF(AND(DAY(B1679)=1,D1679&gt;=13),Assumptions!B42*G1679,0)</f>
        <v>0</v>
      </c>
      <c r="T1679" s="22" t="n">
        <f aca="false">IF(DAY(B1679)=1,Assumptions!B43*G1679,0)</f>
        <v>0</v>
      </c>
      <c r="U1679" s="22" t="n">
        <f aca="false">SUM(O1679:T1679)</f>
        <v>0</v>
      </c>
      <c r="V1679" s="22" t="n">
        <f aca="false">N1679-U1679</f>
        <v>22500</v>
      </c>
      <c r="W1679" s="22" t="n">
        <f aca="false">W1678+V1679</f>
        <v>165248.125482125</v>
      </c>
      <c r="X1679" s="23" t="str">
        <f aca="false">IF(W1679&gt;=0,"YES","No")</f>
        <v>YES</v>
      </c>
    </row>
    <row r="1680" customFormat="false" ht="15" hidden="false" customHeight="false" outlineLevel="0" collapsed="false">
      <c r="A1680" s="16" t="n">
        <v>1679</v>
      </c>
      <c r="B1680" s="17" t="n">
        <f aca="false">B1679+1</f>
        <v>47701</v>
      </c>
      <c r="C1680" s="18" t="n">
        <f aca="false">MIN(ROUNDUP(A1680/365,0),5)</f>
        <v>5</v>
      </c>
      <c r="D1680" s="18" t="n">
        <f aca="false">DATEDIF(Assumptions!B5,B1680,"m")+1</f>
        <v>56</v>
      </c>
      <c r="E1680" s="18" t="str">
        <f aca="false">TEXT(B1680,"ddd")</f>
        <v>Tue</v>
      </c>
      <c r="F1680" s="19" t="n">
        <f aca="false">IF(WEEKDAY(B1680,2)&gt;=6,Assumptions!B34,Assumptions!B35)</f>
        <v>1</v>
      </c>
      <c r="G1680" s="20" t="n">
        <f aca="false">IF(D1680&gt;=13,(1+Assumptions!B46)^(D1680-12),1)</f>
        <v>1.14088285296197</v>
      </c>
      <c r="H1680" s="21" t="n">
        <f aca="false">H1679*(1+IF(C1680=1,Assumptions!B22,Assumptions!B23))</f>
        <v>25.8147498458453</v>
      </c>
      <c r="I1680" s="16" t="n">
        <f aca="false">ROUND(H1680*F1680,0)</f>
        <v>26</v>
      </c>
      <c r="J1680" s="22" t="n">
        <f aca="false">I1680*Assumptions!B24</f>
        <v>15600</v>
      </c>
      <c r="K1680" s="21" t="n">
        <f aca="false">K1679*(1+Assumptions!B30)</f>
        <v>22.7420894393608</v>
      </c>
      <c r="L1680" s="16" t="n">
        <f aca="false">ROUND(K1680*F1680,0)</f>
        <v>23</v>
      </c>
      <c r="M1680" s="22" t="n">
        <f aca="false">L1680*Assumptions!B31</f>
        <v>6900</v>
      </c>
      <c r="N1680" s="22" t="n">
        <f aca="false">J1680+M1680</f>
        <v>22500</v>
      </c>
      <c r="O1680" s="22" t="n">
        <f aca="false">IF(DAY(B1680)=1,Assumptions!B38*G1680,0)</f>
        <v>0</v>
      </c>
      <c r="P1680" s="22" t="n">
        <f aca="false">IF(DAY(B1680)=1,Assumptions!B39*G1680,0)</f>
        <v>0</v>
      </c>
      <c r="Q1680" s="22" t="n">
        <f aca="false">IF(DAY(B1680)=1,Assumptions!B40*G1680,0)</f>
        <v>0</v>
      </c>
      <c r="R1680" s="22" t="n">
        <f aca="false">IF(DAY(B1680)=1,Assumptions!B41*G1680,0)</f>
        <v>0</v>
      </c>
      <c r="S1680" s="22" t="n">
        <f aca="false">IF(AND(DAY(B1680)=1,D1680&gt;=13),Assumptions!B42*G1680,0)</f>
        <v>0</v>
      </c>
      <c r="T1680" s="22" t="n">
        <f aca="false">IF(DAY(B1680)=1,Assumptions!B43*G1680,0)</f>
        <v>0</v>
      </c>
      <c r="U1680" s="22" t="n">
        <f aca="false">SUM(O1680:T1680)</f>
        <v>0</v>
      </c>
      <c r="V1680" s="22" t="n">
        <f aca="false">N1680-U1680</f>
        <v>22500</v>
      </c>
      <c r="W1680" s="22" t="n">
        <f aca="false">W1679+V1680</f>
        <v>187748.125482125</v>
      </c>
      <c r="X1680" s="23" t="str">
        <f aca="false">IF(W1680&gt;=0,"YES","No")</f>
        <v>YES</v>
      </c>
    </row>
    <row r="1681" customFormat="false" ht="15" hidden="false" customHeight="false" outlineLevel="0" collapsed="false">
      <c r="A1681" s="16" t="n">
        <v>1680</v>
      </c>
      <c r="B1681" s="17" t="n">
        <f aca="false">B1680+1</f>
        <v>47702</v>
      </c>
      <c r="C1681" s="18" t="n">
        <f aca="false">MIN(ROUNDUP(A1681/365,0),5)</f>
        <v>5</v>
      </c>
      <c r="D1681" s="18" t="n">
        <f aca="false">DATEDIF(Assumptions!B5,B1681,"m")+1</f>
        <v>56</v>
      </c>
      <c r="E1681" s="18" t="str">
        <f aca="false">TEXT(B1681,"ddd")</f>
        <v>Wed</v>
      </c>
      <c r="F1681" s="19" t="n">
        <f aca="false">IF(WEEKDAY(B1681,2)&gt;=6,Assumptions!B34,Assumptions!B35)</f>
        <v>1</v>
      </c>
      <c r="G1681" s="20" t="n">
        <f aca="false">IF(D1681&gt;=13,(1+Assumptions!B46)^(D1681-12),1)</f>
        <v>1.14088285296197</v>
      </c>
      <c r="H1681" s="21" t="n">
        <f aca="false">H1680*(1+IF(C1681=1,Assumptions!B22,Assumptions!B23))</f>
        <v>25.8189798946277</v>
      </c>
      <c r="I1681" s="16" t="n">
        <f aca="false">ROUND(H1681*F1681,0)</f>
        <v>26</v>
      </c>
      <c r="J1681" s="22" t="n">
        <f aca="false">I1681*Assumptions!B24</f>
        <v>15600</v>
      </c>
      <c r="K1681" s="21" t="n">
        <f aca="false">K1680*(1+Assumptions!B30)</f>
        <v>22.7495246661572</v>
      </c>
      <c r="L1681" s="16" t="n">
        <f aca="false">ROUND(K1681*F1681,0)</f>
        <v>23</v>
      </c>
      <c r="M1681" s="22" t="n">
        <f aca="false">L1681*Assumptions!B31</f>
        <v>6900</v>
      </c>
      <c r="N1681" s="22" t="n">
        <f aca="false">J1681+M1681</f>
        <v>22500</v>
      </c>
      <c r="O1681" s="22" t="n">
        <f aca="false">IF(DAY(B1681)=1,Assumptions!B38*G1681,0)</f>
        <v>0</v>
      </c>
      <c r="P1681" s="22" t="n">
        <f aca="false">IF(DAY(B1681)=1,Assumptions!B39*G1681,0)</f>
        <v>0</v>
      </c>
      <c r="Q1681" s="22" t="n">
        <f aca="false">IF(DAY(B1681)=1,Assumptions!B40*G1681,0)</f>
        <v>0</v>
      </c>
      <c r="R1681" s="22" t="n">
        <f aca="false">IF(DAY(B1681)=1,Assumptions!B41*G1681,0)</f>
        <v>0</v>
      </c>
      <c r="S1681" s="22" t="n">
        <f aca="false">IF(AND(DAY(B1681)=1,D1681&gt;=13),Assumptions!B42*G1681,0)</f>
        <v>0</v>
      </c>
      <c r="T1681" s="22" t="n">
        <f aca="false">IF(DAY(B1681)=1,Assumptions!B43*G1681,0)</f>
        <v>0</v>
      </c>
      <c r="U1681" s="22" t="n">
        <f aca="false">SUM(O1681:T1681)</f>
        <v>0</v>
      </c>
      <c r="V1681" s="22" t="n">
        <f aca="false">N1681-U1681</f>
        <v>22500</v>
      </c>
      <c r="W1681" s="22" t="n">
        <f aca="false">W1680+V1681</f>
        <v>210248.125482125</v>
      </c>
      <c r="X1681" s="23" t="str">
        <f aca="false">IF(W1681&gt;=0,"YES","No")</f>
        <v>YES</v>
      </c>
    </row>
    <row r="1682" customFormat="false" ht="15" hidden="false" customHeight="false" outlineLevel="0" collapsed="false">
      <c r="A1682" s="16" t="n">
        <v>1681</v>
      </c>
      <c r="B1682" s="17" t="n">
        <f aca="false">B1681+1</f>
        <v>47703</v>
      </c>
      <c r="C1682" s="18" t="n">
        <f aca="false">MIN(ROUNDUP(A1682/365,0),5)</f>
        <v>5</v>
      </c>
      <c r="D1682" s="18" t="n">
        <f aca="false">DATEDIF(Assumptions!B5,B1682,"m")+1</f>
        <v>56</v>
      </c>
      <c r="E1682" s="18" t="str">
        <f aca="false">TEXT(B1682,"ddd")</f>
        <v>Thu</v>
      </c>
      <c r="F1682" s="19" t="n">
        <f aca="false">IF(WEEKDAY(B1682,2)&gt;=6,Assumptions!B34,Assumptions!B35)</f>
        <v>1</v>
      </c>
      <c r="G1682" s="20" t="n">
        <f aca="false">IF(D1682&gt;=13,(1+Assumptions!B46)^(D1682-12),1)</f>
        <v>1.14088285296197</v>
      </c>
      <c r="H1682" s="21" t="n">
        <f aca="false">H1681*(1+IF(C1682=1,Assumptions!B22,Assumptions!B23))</f>
        <v>25.8232106365531</v>
      </c>
      <c r="I1682" s="16" t="n">
        <f aca="false">ROUND(H1682*F1682,0)</f>
        <v>26</v>
      </c>
      <c r="J1682" s="22" t="n">
        <f aca="false">I1682*Assumptions!B24</f>
        <v>15600</v>
      </c>
      <c r="K1682" s="21" t="n">
        <f aca="false">K1681*(1+Assumptions!B30)</f>
        <v>22.7569623238031</v>
      </c>
      <c r="L1682" s="16" t="n">
        <f aca="false">ROUND(K1682*F1682,0)</f>
        <v>23</v>
      </c>
      <c r="M1682" s="22" t="n">
        <f aca="false">L1682*Assumptions!B31</f>
        <v>6900</v>
      </c>
      <c r="N1682" s="22" t="n">
        <f aca="false">J1682+M1682</f>
        <v>22500</v>
      </c>
      <c r="O1682" s="22" t="n">
        <f aca="false">IF(DAY(B1682)=1,Assumptions!B38*G1682,0)</f>
        <v>0</v>
      </c>
      <c r="P1682" s="22" t="n">
        <f aca="false">IF(DAY(B1682)=1,Assumptions!B39*G1682,0)</f>
        <v>0</v>
      </c>
      <c r="Q1682" s="22" t="n">
        <f aca="false">IF(DAY(B1682)=1,Assumptions!B40*G1682,0)</f>
        <v>0</v>
      </c>
      <c r="R1682" s="22" t="n">
        <f aca="false">IF(DAY(B1682)=1,Assumptions!B41*G1682,0)</f>
        <v>0</v>
      </c>
      <c r="S1682" s="22" t="n">
        <f aca="false">IF(AND(DAY(B1682)=1,D1682&gt;=13),Assumptions!B42*G1682,0)</f>
        <v>0</v>
      </c>
      <c r="T1682" s="22" t="n">
        <f aca="false">IF(DAY(B1682)=1,Assumptions!B43*G1682,0)</f>
        <v>0</v>
      </c>
      <c r="U1682" s="22" t="n">
        <f aca="false">SUM(O1682:T1682)</f>
        <v>0</v>
      </c>
      <c r="V1682" s="22" t="n">
        <f aca="false">N1682-U1682</f>
        <v>22500</v>
      </c>
      <c r="W1682" s="22" t="n">
        <f aca="false">W1681+V1682</f>
        <v>232748.125482125</v>
      </c>
      <c r="X1682" s="23" t="str">
        <f aca="false">IF(W1682&gt;=0,"YES","No")</f>
        <v>YES</v>
      </c>
    </row>
    <row r="1683" customFormat="false" ht="15" hidden="false" customHeight="false" outlineLevel="0" collapsed="false">
      <c r="A1683" s="16" t="n">
        <v>1682</v>
      </c>
      <c r="B1683" s="17" t="n">
        <f aca="false">B1682+1</f>
        <v>47704</v>
      </c>
      <c r="C1683" s="18" t="n">
        <f aca="false">MIN(ROUNDUP(A1683/365,0),5)</f>
        <v>5</v>
      </c>
      <c r="D1683" s="18" t="n">
        <f aca="false">DATEDIF(Assumptions!B5,B1683,"m")+1</f>
        <v>56</v>
      </c>
      <c r="E1683" s="18" t="str">
        <f aca="false">TEXT(B1683,"ddd")</f>
        <v>Fri</v>
      </c>
      <c r="F1683" s="19" t="n">
        <f aca="false">IF(WEEKDAY(B1683,2)&gt;=6,Assumptions!B34,Assumptions!B35)</f>
        <v>1</v>
      </c>
      <c r="G1683" s="20" t="n">
        <f aca="false">IF(D1683&gt;=13,(1+Assumptions!B46)^(D1683-12),1)</f>
        <v>1.14088285296197</v>
      </c>
      <c r="H1683" s="21" t="n">
        <f aca="false">H1682*(1+IF(C1683=1,Assumptions!B22,Assumptions!B23))</f>
        <v>25.8274420717351</v>
      </c>
      <c r="I1683" s="16" t="n">
        <f aca="false">ROUND(H1683*F1683,0)</f>
        <v>26</v>
      </c>
      <c r="J1683" s="22" t="n">
        <f aca="false">I1683*Assumptions!B24</f>
        <v>15600</v>
      </c>
      <c r="K1683" s="21" t="n">
        <f aca="false">K1682*(1+Assumptions!B30)</f>
        <v>22.7644024130933</v>
      </c>
      <c r="L1683" s="16" t="n">
        <f aca="false">ROUND(K1683*F1683,0)</f>
        <v>23</v>
      </c>
      <c r="M1683" s="22" t="n">
        <f aca="false">L1683*Assumptions!B31</f>
        <v>6900</v>
      </c>
      <c r="N1683" s="22" t="n">
        <f aca="false">J1683+M1683</f>
        <v>22500</v>
      </c>
      <c r="O1683" s="22" t="n">
        <f aca="false">IF(DAY(B1683)=1,Assumptions!B38*G1683,0)</f>
        <v>0</v>
      </c>
      <c r="P1683" s="22" t="n">
        <f aca="false">IF(DAY(B1683)=1,Assumptions!B39*G1683,0)</f>
        <v>0</v>
      </c>
      <c r="Q1683" s="22" t="n">
        <f aca="false">IF(DAY(B1683)=1,Assumptions!B40*G1683,0)</f>
        <v>0</v>
      </c>
      <c r="R1683" s="22" t="n">
        <f aca="false">IF(DAY(B1683)=1,Assumptions!B41*G1683,0)</f>
        <v>0</v>
      </c>
      <c r="S1683" s="22" t="n">
        <f aca="false">IF(AND(DAY(B1683)=1,D1683&gt;=13),Assumptions!B42*G1683,0)</f>
        <v>0</v>
      </c>
      <c r="T1683" s="22" t="n">
        <f aca="false">IF(DAY(B1683)=1,Assumptions!B43*G1683,0)</f>
        <v>0</v>
      </c>
      <c r="U1683" s="22" t="n">
        <f aca="false">SUM(O1683:T1683)</f>
        <v>0</v>
      </c>
      <c r="V1683" s="22" t="n">
        <f aca="false">N1683-U1683</f>
        <v>22500</v>
      </c>
      <c r="W1683" s="22" t="n">
        <f aca="false">W1682+V1683</f>
        <v>255248.125482125</v>
      </c>
      <c r="X1683" s="23" t="str">
        <f aca="false">IF(W1683&gt;=0,"YES","No")</f>
        <v>YES</v>
      </c>
    </row>
    <row r="1684" customFormat="false" ht="15" hidden="false" customHeight="false" outlineLevel="0" collapsed="false">
      <c r="A1684" s="16" t="n">
        <v>1683</v>
      </c>
      <c r="B1684" s="17" t="n">
        <f aca="false">B1683+1</f>
        <v>47705</v>
      </c>
      <c r="C1684" s="18" t="n">
        <f aca="false">MIN(ROUNDUP(A1684/365,0),5)</f>
        <v>5</v>
      </c>
      <c r="D1684" s="18" t="n">
        <f aca="false">DATEDIF(Assumptions!B5,B1684,"m")+1</f>
        <v>56</v>
      </c>
      <c r="E1684" s="18" t="str">
        <f aca="false">TEXT(B1684,"ddd")</f>
        <v>Sat</v>
      </c>
      <c r="F1684" s="19" t="n">
        <f aca="false">IF(WEEKDAY(B1684,2)&gt;=6,Assumptions!B34,Assumptions!B35)</f>
        <v>0.6</v>
      </c>
      <c r="G1684" s="20" t="n">
        <f aca="false">IF(D1684&gt;=13,(1+Assumptions!B46)^(D1684-12),1)</f>
        <v>1.14088285296197</v>
      </c>
      <c r="H1684" s="21" t="n">
        <f aca="false">H1683*(1+IF(C1684=1,Assumptions!B22,Assumptions!B23))</f>
        <v>25.8316742002872</v>
      </c>
      <c r="I1684" s="16" t="n">
        <f aca="false">ROUND(H1684*F1684,0)</f>
        <v>15</v>
      </c>
      <c r="J1684" s="22" t="n">
        <f aca="false">I1684*Assumptions!B24</f>
        <v>9000</v>
      </c>
      <c r="K1684" s="21" t="n">
        <f aca="false">K1683*(1+Assumptions!B30)</f>
        <v>22.7718449348227</v>
      </c>
      <c r="L1684" s="16" t="n">
        <f aca="false">ROUND(K1684*F1684,0)</f>
        <v>14</v>
      </c>
      <c r="M1684" s="22" t="n">
        <f aca="false">L1684*Assumptions!B31</f>
        <v>4200</v>
      </c>
      <c r="N1684" s="22" t="n">
        <f aca="false">J1684+M1684</f>
        <v>13200</v>
      </c>
      <c r="O1684" s="22" t="n">
        <f aca="false">IF(DAY(B1684)=1,Assumptions!B38*G1684,0)</f>
        <v>0</v>
      </c>
      <c r="P1684" s="22" t="n">
        <f aca="false">IF(DAY(B1684)=1,Assumptions!B39*G1684,0)</f>
        <v>0</v>
      </c>
      <c r="Q1684" s="22" t="n">
        <f aca="false">IF(DAY(B1684)=1,Assumptions!B40*G1684,0)</f>
        <v>0</v>
      </c>
      <c r="R1684" s="22" t="n">
        <f aca="false">IF(DAY(B1684)=1,Assumptions!B41*G1684,0)</f>
        <v>0</v>
      </c>
      <c r="S1684" s="22" t="n">
        <f aca="false">IF(AND(DAY(B1684)=1,D1684&gt;=13),Assumptions!B42*G1684,0)</f>
        <v>0</v>
      </c>
      <c r="T1684" s="22" t="n">
        <f aca="false">IF(DAY(B1684)=1,Assumptions!B43*G1684,0)</f>
        <v>0</v>
      </c>
      <c r="U1684" s="22" t="n">
        <f aca="false">SUM(O1684:T1684)</f>
        <v>0</v>
      </c>
      <c r="V1684" s="22" t="n">
        <f aca="false">N1684-U1684</f>
        <v>13200</v>
      </c>
      <c r="W1684" s="22" t="n">
        <f aca="false">W1683+V1684</f>
        <v>268448.125482125</v>
      </c>
      <c r="X1684" s="23" t="str">
        <f aca="false">IF(W1684&gt;=0,"YES","No")</f>
        <v>YES</v>
      </c>
    </row>
    <row r="1685" customFormat="false" ht="15" hidden="false" customHeight="false" outlineLevel="0" collapsed="false">
      <c r="A1685" s="16" t="n">
        <v>1684</v>
      </c>
      <c r="B1685" s="17" t="n">
        <f aca="false">B1684+1</f>
        <v>47706</v>
      </c>
      <c r="C1685" s="18" t="n">
        <f aca="false">MIN(ROUNDUP(A1685/365,0),5)</f>
        <v>5</v>
      </c>
      <c r="D1685" s="18" t="n">
        <f aca="false">DATEDIF(Assumptions!B5,B1685,"m")+1</f>
        <v>56</v>
      </c>
      <c r="E1685" s="18" t="str">
        <f aca="false">TEXT(B1685,"ddd")</f>
        <v>Sun</v>
      </c>
      <c r="F1685" s="19" t="n">
        <f aca="false">IF(WEEKDAY(B1685,2)&gt;=6,Assumptions!B34,Assumptions!B35)</f>
        <v>0.6</v>
      </c>
      <c r="G1685" s="20" t="n">
        <f aca="false">IF(D1685&gt;=13,(1+Assumptions!B46)^(D1685-12),1)</f>
        <v>1.14088285296197</v>
      </c>
      <c r="H1685" s="21" t="n">
        <f aca="false">H1684*(1+IF(C1685=1,Assumptions!B22,Assumptions!B23))</f>
        <v>25.8359070223232</v>
      </c>
      <c r="I1685" s="16" t="n">
        <f aca="false">ROUND(H1685*F1685,0)</f>
        <v>16</v>
      </c>
      <c r="J1685" s="22" t="n">
        <f aca="false">I1685*Assumptions!B24</f>
        <v>9600</v>
      </c>
      <c r="K1685" s="21" t="n">
        <f aca="false">K1684*(1+Assumptions!B30)</f>
        <v>22.7792898897867</v>
      </c>
      <c r="L1685" s="16" t="n">
        <f aca="false">ROUND(K1685*F1685,0)</f>
        <v>14</v>
      </c>
      <c r="M1685" s="22" t="n">
        <f aca="false">L1685*Assumptions!B31</f>
        <v>4200</v>
      </c>
      <c r="N1685" s="22" t="n">
        <f aca="false">J1685+M1685</f>
        <v>13800</v>
      </c>
      <c r="O1685" s="22" t="n">
        <f aca="false">IF(DAY(B1685)=1,Assumptions!B38*G1685,0)</f>
        <v>0</v>
      </c>
      <c r="P1685" s="22" t="n">
        <f aca="false">IF(DAY(B1685)=1,Assumptions!B39*G1685,0)</f>
        <v>0</v>
      </c>
      <c r="Q1685" s="22" t="n">
        <f aca="false">IF(DAY(B1685)=1,Assumptions!B40*G1685,0)</f>
        <v>0</v>
      </c>
      <c r="R1685" s="22" t="n">
        <f aca="false">IF(DAY(B1685)=1,Assumptions!B41*G1685,0)</f>
        <v>0</v>
      </c>
      <c r="S1685" s="22" t="n">
        <f aca="false">IF(AND(DAY(B1685)=1,D1685&gt;=13),Assumptions!B42*G1685,0)</f>
        <v>0</v>
      </c>
      <c r="T1685" s="22" t="n">
        <f aca="false">IF(DAY(B1685)=1,Assumptions!B43*G1685,0)</f>
        <v>0</v>
      </c>
      <c r="U1685" s="22" t="n">
        <f aca="false">SUM(O1685:T1685)</f>
        <v>0</v>
      </c>
      <c r="V1685" s="22" t="n">
        <f aca="false">N1685-U1685</f>
        <v>13800</v>
      </c>
      <c r="W1685" s="22" t="n">
        <f aca="false">W1684+V1685</f>
        <v>282248.125482125</v>
      </c>
      <c r="X1685" s="23" t="str">
        <f aca="false">IF(W1685&gt;=0,"YES","No")</f>
        <v>YES</v>
      </c>
    </row>
    <row r="1686" customFormat="false" ht="15" hidden="false" customHeight="false" outlineLevel="0" collapsed="false">
      <c r="A1686" s="16" t="n">
        <v>1685</v>
      </c>
      <c r="B1686" s="17" t="n">
        <f aca="false">B1685+1</f>
        <v>47707</v>
      </c>
      <c r="C1686" s="18" t="n">
        <f aca="false">MIN(ROUNDUP(A1686/365,0),5)</f>
        <v>5</v>
      </c>
      <c r="D1686" s="18" t="n">
        <f aca="false">DATEDIF(Assumptions!B5,B1686,"m")+1</f>
        <v>56</v>
      </c>
      <c r="E1686" s="18" t="str">
        <f aca="false">TEXT(B1686,"ddd")</f>
        <v>Mon</v>
      </c>
      <c r="F1686" s="19" t="n">
        <f aca="false">IF(WEEKDAY(B1686,2)&gt;=6,Assumptions!B34,Assumptions!B35)</f>
        <v>1</v>
      </c>
      <c r="G1686" s="20" t="n">
        <f aca="false">IF(D1686&gt;=13,(1+Assumptions!B46)^(D1686-12),1)</f>
        <v>1.14088285296197</v>
      </c>
      <c r="H1686" s="21" t="n">
        <f aca="false">H1685*(1+IF(C1686=1,Assumptions!B22,Assumptions!B23))</f>
        <v>25.8401405379565</v>
      </c>
      <c r="I1686" s="16" t="n">
        <f aca="false">ROUND(H1686*F1686,0)</f>
        <v>26</v>
      </c>
      <c r="J1686" s="22" t="n">
        <f aca="false">I1686*Assumptions!B24</f>
        <v>15600</v>
      </c>
      <c r="K1686" s="21" t="n">
        <f aca="false">K1685*(1+Assumptions!B30)</f>
        <v>22.7867372787807</v>
      </c>
      <c r="L1686" s="16" t="n">
        <f aca="false">ROUND(K1686*F1686,0)</f>
        <v>23</v>
      </c>
      <c r="M1686" s="22" t="n">
        <f aca="false">L1686*Assumptions!B31</f>
        <v>6900</v>
      </c>
      <c r="N1686" s="22" t="n">
        <f aca="false">J1686+M1686</f>
        <v>22500</v>
      </c>
      <c r="O1686" s="22" t="n">
        <f aca="false">IF(DAY(B1686)=1,Assumptions!B38*G1686,0)</f>
        <v>0</v>
      </c>
      <c r="P1686" s="22" t="n">
        <f aca="false">IF(DAY(B1686)=1,Assumptions!B39*G1686,0)</f>
        <v>0</v>
      </c>
      <c r="Q1686" s="22" t="n">
        <f aca="false">IF(DAY(B1686)=1,Assumptions!B40*G1686,0)</f>
        <v>0</v>
      </c>
      <c r="R1686" s="22" t="n">
        <f aca="false">IF(DAY(B1686)=1,Assumptions!B41*G1686,0)</f>
        <v>0</v>
      </c>
      <c r="S1686" s="22" t="n">
        <f aca="false">IF(AND(DAY(B1686)=1,D1686&gt;=13),Assumptions!B42*G1686,0)</f>
        <v>0</v>
      </c>
      <c r="T1686" s="22" t="n">
        <f aca="false">IF(DAY(B1686)=1,Assumptions!B43*G1686,0)</f>
        <v>0</v>
      </c>
      <c r="U1686" s="22" t="n">
        <f aca="false">SUM(O1686:T1686)</f>
        <v>0</v>
      </c>
      <c r="V1686" s="22" t="n">
        <f aca="false">N1686-U1686</f>
        <v>22500</v>
      </c>
      <c r="W1686" s="22" t="n">
        <f aca="false">W1685+V1686</f>
        <v>304748.125482125</v>
      </c>
      <c r="X1686" s="23" t="str">
        <f aca="false">IF(W1686&gt;=0,"YES","No")</f>
        <v>YES</v>
      </c>
    </row>
    <row r="1687" customFormat="false" ht="15" hidden="false" customHeight="false" outlineLevel="0" collapsed="false">
      <c r="A1687" s="16" t="n">
        <v>1686</v>
      </c>
      <c r="B1687" s="17" t="n">
        <f aca="false">B1686+1</f>
        <v>47708</v>
      </c>
      <c r="C1687" s="18" t="n">
        <f aca="false">MIN(ROUNDUP(A1687/365,0),5)</f>
        <v>5</v>
      </c>
      <c r="D1687" s="18" t="n">
        <f aca="false">DATEDIF(Assumptions!B5,B1687,"m")+1</f>
        <v>56</v>
      </c>
      <c r="E1687" s="18" t="str">
        <f aca="false">TEXT(B1687,"ddd")</f>
        <v>Tue</v>
      </c>
      <c r="F1687" s="19" t="n">
        <f aca="false">IF(WEEKDAY(B1687,2)&gt;=6,Assumptions!B34,Assumptions!B35)</f>
        <v>1</v>
      </c>
      <c r="G1687" s="20" t="n">
        <f aca="false">IF(D1687&gt;=13,(1+Assumptions!B46)^(D1687-12),1)</f>
        <v>1.14088285296197</v>
      </c>
      <c r="H1687" s="21" t="n">
        <f aca="false">H1686*(1+IF(C1687=1,Assumptions!B22,Assumptions!B23))</f>
        <v>25.8443747473009</v>
      </c>
      <c r="I1687" s="16" t="n">
        <f aca="false">ROUND(H1687*F1687,0)</f>
        <v>26</v>
      </c>
      <c r="J1687" s="22" t="n">
        <f aca="false">I1687*Assumptions!B24</f>
        <v>15600</v>
      </c>
      <c r="K1687" s="21" t="n">
        <f aca="false">K1686*(1+Assumptions!B30)</f>
        <v>22.7941871026005</v>
      </c>
      <c r="L1687" s="16" t="n">
        <f aca="false">ROUND(K1687*F1687,0)</f>
        <v>23</v>
      </c>
      <c r="M1687" s="22" t="n">
        <f aca="false">L1687*Assumptions!B31</f>
        <v>6900</v>
      </c>
      <c r="N1687" s="22" t="n">
        <f aca="false">J1687+M1687</f>
        <v>22500</v>
      </c>
      <c r="O1687" s="22" t="n">
        <f aca="false">IF(DAY(B1687)=1,Assumptions!B38*G1687,0)</f>
        <v>0</v>
      </c>
      <c r="P1687" s="22" t="n">
        <f aca="false">IF(DAY(B1687)=1,Assumptions!B39*G1687,0)</f>
        <v>0</v>
      </c>
      <c r="Q1687" s="22" t="n">
        <f aca="false">IF(DAY(B1687)=1,Assumptions!B40*G1687,0)</f>
        <v>0</v>
      </c>
      <c r="R1687" s="22" t="n">
        <f aca="false">IF(DAY(B1687)=1,Assumptions!B41*G1687,0)</f>
        <v>0</v>
      </c>
      <c r="S1687" s="22" t="n">
        <f aca="false">IF(AND(DAY(B1687)=1,D1687&gt;=13),Assumptions!B42*G1687,0)</f>
        <v>0</v>
      </c>
      <c r="T1687" s="22" t="n">
        <f aca="false">IF(DAY(B1687)=1,Assumptions!B43*G1687,0)</f>
        <v>0</v>
      </c>
      <c r="U1687" s="22" t="n">
        <f aca="false">SUM(O1687:T1687)</f>
        <v>0</v>
      </c>
      <c r="V1687" s="22" t="n">
        <f aca="false">N1687-U1687</f>
        <v>22500</v>
      </c>
      <c r="W1687" s="22" t="n">
        <f aca="false">W1686+V1687</f>
        <v>327248.125482125</v>
      </c>
      <c r="X1687" s="23" t="str">
        <f aca="false">IF(W1687&gt;=0,"YES","No")</f>
        <v>YES</v>
      </c>
    </row>
    <row r="1688" customFormat="false" ht="15" hidden="false" customHeight="false" outlineLevel="0" collapsed="false">
      <c r="A1688" s="16" t="n">
        <v>1687</v>
      </c>
      <c r="B1688" s="17" t="n">
        <f aca="false">B1687+1</f>
        <v>47709</v>
      </c>
      <c r="C1688" s="18" t="n">
        <f aca="false">MIN(ROUNDUP(A1688/365,0),5)</f>
        <v>5</v>
      </c>
      <c r="D1688" s="18" t="n">
        <f aca="false">DATEDIF(Assumptions!B5,B1688,"m")+1</f>
        <v>56</v>
      </c>
      <c r="E1688" s="18" t="str">
        <f aca="false">TEXT(B1688,"ddd")</f>
        <v>Wed</v>
      </c>
      <c r="F1688" s="19" t="n">
        <f aca="false">IF(WEEKDAY(B1688,2)&gt;=6,Assumptions!B34,Assumptions!B35)</f>
        <v>1</v>
      </c>
      <c r="G1688" s="20" t="n">
        <f aca="false">IF(D1688&gt;=13,(1+Assumptions!B46)^(D1688-12),1)</f>
        <v>1.14088285296197</v>
      </c>
      <c r="H1688" s="21" t="n">
        <f aca="false">H1687*(1+IF(C1688=1,Assumptions!B22,Assumptions!B23))</f>
        <v>25.84860965047</v>
      </c>
      <c r="I1688" s="16" t="n">
        <f aca="false">ROUND(H1688*F1688,0)</f>
        <v>26</v>
      </c>
      <c r="J1688" s="22" t="n">
        <f aca="false">I1688*Assumptions!B24</f>
        <v>15600</v>
      </c>
      <c r="K1688" s="21" t="n">
        <f aca="false">K1687*(1+Assumptions!B30)</f>
        <v>22.8016393620421</v>
      </c>
      <c r="L1688" s="16" t="n">
        <f aca="false">ROUND(K1688*F1688,0)</f>
        <v>23</v>
      </c>
      <c r="M1688" s="22" t="n">
        <f aca="false">L1688*Assumptions!B31</f>
        <v>6900</v>
      </c>
      <c r="N1688" s="22" t="n">
        <f aca="false">J1688+M1688</f>
        <v>22500</v>
      </c>
      <c r="O1688" s="22" t="n">
        <f aca="false">IF(DAY(B1688)=1,Assumptions!B38*G1688,0)</f>
        <v>0</v>
      </c>
      <c r="P1688" s="22" t="n">
        <f aca="false">IF(DAY(B1688)=1,Assumptions!B39*G1688,0)</f>
        <v>0</v>
      </c>
      <c r="Q1688" s="22" t="n">
        <f aca="false">IF(DAY(B1688)=1,Assumptions!B40*G1688,0)</f>
        <v>0</v>
      </c>
      <c r="R1688" s="22" t="n">
        <f aca="false">IF(DAY(B1688)=1,Assumptions!B41*G1688,0)</f>
        <v>0</v>
      </c>
      <c r="S1688" s="22" t="n">
        <f aca="false">IF(AND(DAY(B1688)=1,D1688&gt;=13),Assumptions!B42*G1688,0)</f>
        <v>0</v>
      </c>
      <c r="T1688" s="22" t="n">
        <f aca="false">IF(DAY(B1688)=1,Assumptions!B43*G1688,0)</f>
        <v>0</v>
      </c>
      <c r="U1688" s="22" t="n">
        <f aca="false">SUM(O1688:T1688)</f>
        <v>0</v>
      </c>
      <c r="V1688" s="22" t="n">
        <f aca="false">N1688-U1688</f>
        <v>22500</v>
      </c>
      <c r="W1688" s="22" t="n">
        <f aca="false">W1687+V1688</f>
        <v>349748.125482125</v>
      </c>
      <c r="X1688" s="23" t="str">
        <f aca="false">IF(W1688&gt;=0,"YES","No")</f>
        <v>YES</v>
      </c>
    </row>
    <row r="1689" customFormat="false" ht="15" hidden="false" customHeight="false" outlineLevel="0" collapsed="false">
      <c r="A1689" s="16" t="n">
        <v>1688</v>
      </c>
      <c r="B1689" s="17" t="n">
        <f aca="false">B1688+1</f>
        <v>47710</v>
      </c>
      <c r="C1689" s="18" t="n">
        <f aca="false">MIN(ROUNDUP(A1689/365,0),5)</f>
        <v>5</v>
      </c>
      <c r="D1689" s="18" t="n">
        <f aca="false">DATEDIF(Assumptions!B5,B1689,"m")+1</f>
        <v>56</v>
      </c>
      <c r="E1689" s="18" t="str">
        <f aca="false">TEXT(B1689,"ddd")</f>
        <v>Thu</v>
      </c>
      <c r="F1689" s="19" t="n">
        <f aca="false">IF(WEEKDAY(B1689,2)&gt;=6,Assumptions!B34,Assumptions!B35)</f>
        <v>1</v>
      </c>
      <c r="G1689" s="20" t="n">
        <f aca="false">IF(D1689&gt;=13,(1+Assumptions!B46)^(D1689-12),1)</f>
        <v>1.14088285296197</v>
      </c>
      <c r="H1689" s="21" t="n">
        <f aca="false">H1688*(1+IF(C1689=1,Assumptions!B22,Assumptions!B23))</f>
        <v>25.8528452475775</v>
      </c>
      <c r="I1689" s="16" t="n">
        <f aca="false">ROUND(H1689*F1689,0)</f>
        <v>26</v>
      </c>
      <c r="J1689" s="22" t="n">
        <f aca="false">I1689*Assumptions!B24</f>
        <v>15600</v>
      </c>
      <c r="K1689" s="21" t="n">
        <f aca="false">K1688*(1+Assumptions!B30)</f>
        <v>22.8090940579019</v>
      </c>
      <c r="L1689" s="16" t="n">
        <f aca="false">ROUND(K1689*F1689,0)</f>
        <v>23</v>
      </c>
      <c r="M1689" s="22" t="n">
        <f aca="false">L1689*Assumptions!B31</f>
        <v>6900</v>
      </c>
      <c r="N1689" s="22" t="n">
        <f aca="false">J1689+M1689</f>
        <v>22500</v>
      </c>
      <c r="O1689" s="22" t="n">
        <f aca="false">IF(DAY(B1689)=1,Assumptions!B38*G1689,0)</f>
        <v>0</v>
      </c>
      <c r="P1689" s="22" t="n">
        <f aca="false">IF(DAY(B1689)=1,Assumptions!B39*G1689,0)</f>
        <v>0</v>
      </c>
      <c r="Q1689" s="22" t="n">
        <f aca="false">IF(DAY(B1689)=1,Assumptions!B40*G1689,0)</f>
        <v>0</v>
      </c>
      <c r="R1689" s="22" t="n">
        <f aca="false">IF(DAY(B1689)=1,Assumptions!B41*G1689,0)</f>
        <v>0</v>
      </c>
      <c r="S1689" s="22" t="n">
        <f aca="false">IF(AND(DAY(B1689)=1,D1689&gt;=13),Assumptions!B42*G1689,0)</f>
        <v>0</v>
      </c>
      <c r="T1689" s="22" t="n">
        <f aca="false">IF(DAY(B1689)=1,Assumptions!B43*G1689,0)</f>
        <v>0</v>
      </c>
      <c r="U1689" s="22" t="n">
        <f aca="false">SUM(O1689:T1689)</f>
        <v>0</v>
      </c>
      <c r="V1689" s="22" t="n">
        <f aca="false">N1689-U1689</f>
        <v>22500</v>
      </c>
      <c r="W1689" s="22" t="n">
        <f aca="false">W1688+V1689</f>
        <v>372248.125482125</v>
      </c>
      <c r="X1689" s="23" t="str">
        <f aca="false">IF(W1689&gt;=0,"YES","No")</f>
        <v>YES</v>
      </c>
    </row>
    <row r="1690" customFormat="false" ht="15" hidden="false" customHeight="false" outlineLevel="0" collapsed="false">
      <c r="A1690" s="16" t="n">
        <v>1689</v>
      </c>
      <c r="B1690" s="17" t="n">
        <f aca="false">B1689+1</f>
        <v>47711</v>
      </c>
      <c r="C1690" s="18" t="n">
        <f aca="false">MIN(ROUNDUP(A1690/365,0),5)</f>
        <v>5</v>
      </c>
      <c r="D1690" s="18" t="n">
        <f aca="false">DATEDIF(Assumptions!B5,B1690,"m")+1</f>
        <v>56</v>
      </c>
      <c r="E1690" s="18" t="str">
        <f aca="false">TEXT(B1690,"ddd")</f>
        <v>Fri</v>
      </c>
      <c r="F1690" s="19" t="n">
        <f aca="false">IF(WEEKDAY(B1690,2)&gt;=6,Assumptions!B34,Assumptions!B35)</f>
        <v>1</v>
      </c>
      <c r="G1690" s="20" t="n">
        <f aca="false">IF(D1690&gt;=13,(1+Assumptions!B46)^(D1690-12),1)</f>
        <v>1.14088285296197</v>
      </c>
      <c r="H1690" s="21" t="n">
        <f aca="false">H1689*(1+IF(C1690=1,Assumptions!B22,Assumptions!B23))</f>
        <v>25.8570815387372</v>
      </c>
      <c r="I1690" s="16" t="n">
        <f aca="false">ROUND(H1690*F1690,0)</f>
        <v>26</v>
      </c>
      <c r="J1690" s="22" t="n">
        <f aca="false">I1690*Assumptions!B24</f>
        <v>15600</v>
      </c>
      <c r="K1690" s="21" t="n">
        <f aca="false">K1689*(1+Assumptions!B30)</f>
        <v>22.8165511909763</v>
      </c>
      <c r="L1690" s="16" t="n">
        <f aca="false">ROUND(K1690*F1690,0)</f>
        <v>23</v>
      </c>
      <c r="M1690" s="22" t="n">
        <f aca="false">L1690*Assumptions!B31</f>
        <v>6900</v>
      </c>
      <c r="N1690" s="22" t="n">
        <f aca="false">J1690+M1690</f>
        <v>22500</v>
      </c>
      <c r="O1690" s="22" t="n">
        <f aca="false">IF(DAY(B1690)=1,Assumptions!B38*G1690,0)</f>
        <v>0</v>
      </c>
      <c r="P1690" s="22" t="n">
        <f aca="false">IF(DAY(B1690)=1,Assumptions!B39*G1690,0)</f>
        <v>0</v>
      </c>
      <c r="Q1690" s="22" t="n">
        <f aca="false">IF(DAY(B1690)=1,Assumptions!B40*G1690,0)</f>
        <v>0</v>
      </c>
      <c r="R1690" s="22" t="n">
        <f aca="false">IF(DAY(B1690)=1,Assumptions!B41*G1690,0)</f>
        <v>0</v>
      </c>
      <c r="S1690" s="22" t="n">
        <f aca="false">IF(AND(DAY(B1690)=1,D1690&gt;=13),Assumptions!B42*G1690,0)</f>
        <v>0</v>
      </c>
      <c r="T1690" s="22" t="n">
        <f aca="false">IF(DAY(B1690)=1,Assumptions!B43*G1690,0)</f>
        <v>0</v>
      </c>
      <c r="U1690" s="22" t="n">
        <f aca="false">SUM(O1690:T1690)</f>
        <v>0</v>
      </c>
      <c r="V1690" s="22" t="n">
        <f aca="false">N1690-U1690</f>
        <v>22500</v>
      </c>
      <c r="W1690" s="22" t="n">
        <f aca="false">W1689+V1690</f>
        <v>394748.125482125</v>
      </c>
      <c r="X1690" s="23" t="str">
        <f aca="false">IF(W1690&gt;=0,"YES","No")</f>
        <v>YES</v>
      </c>
    </row>
    <row r="1691" customFormat="false" ht="15" hidden="false" customHeight="false" outlineLevel="0" collapsed="false">
      <c r="A1691" s="16" t="n">
        <v>1690</v>
      </c>
      <c r="B1691" s="17" t="n">
        <f aca="false">B1690+1</f>
        <v>47712</v>
      </c>
      <c r="C1691" s="18" t="n">
        <f aca="false">MIN(ROUNDUP(A1691/365,0),5)</f>
        <v>5</v>
      </c>
      <c r="D1691" s="18" t="n">
        <f aca="false">DATEDIF(Assumptions!B5,B1691,"m")+1</f>
        <v>56</v>
      </c>
      <c r="E1691" s="18" t="str">
        <f aca="false">TEXT(B1691,"ddd")</f>
        <v>Sat</v>
      </c>
      <c r="F1691" s="19" t="n">
        <f aca="false">IF(WEEKDAY(B1691,2)&gt;=6,Assumptions!B34,Assumptions!B35)</f>
        <v>0.6</v>
      </c>
      <c r="G1691" s="20" t="n">
        <f aca="false">IF(D1691&gt;=13,(1+Assumptions!B46)^(D1691-12),1)</f>
        <v>1.14088285296197</v>
      </c>
      <c r="H1691" s="21" t="n">
        <f aca="false">H1690*(1+IF(C1691=1,Assumptions!B22,Assumptions!B23))</f>
        <v>25.8613185240628</v>
      </c>
      <c r="I1691" s="16" t="n">
        <f aca="false">ROUND(H1691*F1691,0)</f>
        <v>16</v>
      </c>
      <c r="J1691" s="22" t="n">
        <f aca="false">I1691*Assumptions!B24</f>
        <v>9600</v>
      </c>
      <c r="K1691" s="21" t="n">
        <f aca="false">K1690*(1+Assumptions!B30)</f>
        <v>22.8240107620623</v>
      </c>
      <c r="L1691" s="16" t="n">
        <f aca="false">ROUND(K1691*F1691,0)</f>
        <v>14</v>
      </c>
      <c r="M1691" s="22" t="n">
        <f aca="false">L1691*Assumptions!B31</f>
        <v>4200</v>
      </c>
      <c r="N1691" s="22" t="n">
        <f aca="false">J1691+M1691</f>
        <v>13800</v>
      </c>
      <c r="O1691" s="22" t="n">
        <f aca="false">IF(DAY(B1691)=1,Assumptions!B38*G1691,0)</f>
        <v>0</v>
      </c>
      <c r="P1691" s="22" t="n">
        <f aca="false">IF(DAY(B1691)=1,Assumptions!B39*G1691,0)</f>
        <v>0</v>
      </c>
      <c r="Q1691" s="22" t="n">
        <f aca="false">IF(DAY(B1691)=1,Assumptions!B40*G1691,0)</f>
        <v>0</v>
      </c>
      <c r="R1691" s="22" t="n">
        <f aca="false">IF(DAY(B1691)=1,Assumptions!B41*G1691,0)</f>
        <v>0</v>
      </c>
      <c r="S1691" s="22" t="n">
        <f aca="false">IF(AND(DAY(B1691)=1,D1691&gt;=13),Assumptions!B42*G1691,0)</f>
        <v>0</v>
      </c>
      <c r="T1691" s="22" t="n">
        <f aca="false">IF(DAY(B1691)=1,Assumptions!B43*G1691,0)</f>
        <v>0</v>
      </c>
      <c r="U1691" s="22" t="n">
        <f aca="false">SUM(O1691:T1691)</f>
        <v>0</v>
      </c>
      <c r="V1691" s="22" t="n">
        <f aca="false">N1691-U1691</f>
        <v>13800</v>
      </c>
      <c r="W1691" s="22" t="n">
        <f aca="false">W1690+V1691</f>
        <v>408548.125482125</v>
      </c>
      <c r="X1691" s="23" t="str">
        <f aca="false">IF(W1691&gt;=0,"YES","No")</f>
        <v>YES</v>
      </c>
    </row>
    <row r="1692" customFormat="false" ht="15" hidden="false" customHeight="false" outlineLevel="0" collapsed="false">
      <c r="A1692" s="16" t="n">
        <v>1691</v>
      </c>
      <c r="B1692" s="17" t="n">
        <f aca="false">B1691+1</f>
        <v>47713</v>
      </c>
      <c r="C1692" s="18" t="n">
        <f aca="false">MIN(ROUNDUP(A1692/365,0),5)</f>
        <v>5</v>
      </c>
      <c r="D1692" s="18" t="n">
        <f aca="false">DATEDIF(Assumptions!B5,B1692,"m")+1</f>
        <v>56</v>
      </c>
      <c r="E1692" s="18" t="str">
        <f aca="false">TEXT(B1692,"ddd")</f>
        <v>Sun</v>
      </c>
      <c r="F1692" s="19" t="n">
        <f aca="false">IF(WEEKDAY(B1692,2)&gt;=6,Assumptions!B34,Assumptions!B35)</f>
        <v>0.6</v>
      </c>
      <c r="G1692" s="20" t="n">
        <f aca="false">IF(D1692&gt;=13,(1+Assumptions!B46)^(D1692-12),1)</f>
        <v>1.14088285296197</v>
      </c>
      <c r="H1692" s="21" t="n">
        <f aca="false">H1691*(1+IF(C1692=1,Assumptions!B22,Assumptions!B23))</f>
        <v>25.865556203668</v>
      </c>
      <c r="I1692" s="16" t="n">
        <f aca="false">ROUND(H1692*F1692,0)</f>
        <v>16</v>
      </c>
      <c r="J1692" s="22" t="n">
        <f aca="false">I1692*Assumptions!B24</f>
        <v>9600</v>
      </c>
      <c r="K1692" s="21" t="n">
        <f aca="false">K1691*(1+Assumptions!B30)</f>
        <v>22.8314727719568</v>
      </c>
      <c r="L1692" s="16" t="n">
        <f aca="false">ROUND(K1692*F1692,0)</f>
        <v>14</v>
      </c>
      <c r="M1692" s="22" t="n">
        <f aca="false">L1692*Assumptions!B31</f>
        <v>4200</v>
      </c>
      <c r="N1692" s="22" t="n">
        <f aca="false">J1692+M1692</f>
        <v>13800</v>
      </c>
      <c r="O1692" s="22" t="n">
        <f aca="false">IF(DAY(B1692)=1,Assumptions!B38*G1692,0)</f>
        <v>0</v>
      </c>
      <c r="P1692" s="22" t="n">
        <f aca="false">IF(DAY(B1692)=1,Assumptions!B39*G1692,0)</f>
        <v>0</v>
      </c>
      <c r="Q1692" s="22" t="n">
        <f aca="false">IF(DAY(B1692)=1,Assumptions!B40*G1692,0)</f>
        <v>0</v>
      </c>
      <c r="R1692" s="22" t="n">
        <f aca="false">IF(DAY(B1692)=1,Assumptions!B41*G1692,0)</f>
        <v>0</v>
      </c>
      <c r="S1692" s="22" t="n">
        <f aca="false">IF(AND(DAY(B1692)=1,D1692&gt;=13),Assumptions!B42*G1692,0)</f>
        <v>0</v>
      </c>
      <c r="T1692" s="22" t="n">
        <f aca="false">IF(DAY(B1692)=1,Assumptions!B43*G1692,0)</f>
        <v>0</v>
      </c>
      <c r="U1692" s="22" t="n">
        <f aca="false">SUM(O1692:T1692)</f>
        <v>0</v>
      </c>
      <c r="V1692" s="22" t="n">
        <f aca="false">N1692-U1692</f>
        <v>13800</v>
      </c>
      <c r="W1692" s="22" t="n">
        <f aca="false">W1691+V1692</f>
        <v>422348.125482125</v>
      </c>
      <c r="X1692" s="23" t="str">
        <f aca="false">IF(W1692&gt;=0,"YES","No")</f>
        <v>YES</v>
      </c>
    </row>
    <row r="1693" customFormat="false" ht="15" hidden="false" customHeight="false" outlineLevel="0" collapsed="false">
      <c r="A1693" s="16" t="n">
        <v>1692</v>
      </c>
      <c r="B1693" s="17" t="n">
        <f aca="false">B1692+1</f>
        <v>47714</v>
      </c>
      <c r="C1693" s="18" t="n">
        <f aca="false">MIN(ROUNDUP(A1693/365,0),5)</f>
        <v>5</v>
      </c>
      <c r="D1693" s="18" t="n">
        <f aca="false">DATEDIF(Assumptions!B5,B1693,"m")+1</f>
        <v>56</v>
      </c>
      <c r="E1693" s="18" t="str">
        <f aca="false">TEXT(B1693,"ddd")</f>
        <v>Mon</v>
      </c>
      <c r="F1693" s="19" t="n">
        <f aca="false">IF(WEEKDAY(B1693,2)&gt;=6,Assumptions!B34,Assumptions!B35)</f>
        <v>1</v>
      </c>
      <c r="G1693" s="20" t="n">
        <f aca="false">IF(D1693&gt;=13,(1+Assumptions!B46)^(D1693-12),1)</f>
        <v>1.14088285296197</v>
      </c>
      <c r="H1693" s="21" t="n">
        <f aca="false">H1692*(1+IF(C1693=1,Assumptions!B22,Assumptions!B23))</f>
        <v>25.8697945776666</v>
      </c>
      <c r="I1693" s="16" t="n">
        <f aca="false">ROUND(H1693*F1693,0)</f>
        <v>26</v>
      </c>
      <c r="J1693" s="22" t="n">
        <f aca="false">I1693*Assumptions!B24</f>
        <v>15600</v>
      </c>
      <c r="K1693" s="21" t="n">
        <f aca="false">K1692*(1+Assumptions!B30)</f>
        <v>22.8389372214573</v>
      </c>
      <c r="L1693" s="16" t="n">
        <f aca="false">ROUND(K1693*F1693,0)</f>
        <v>23</v>
      </c>
      <c r="M1693" s="22" t="n">
        <f aca="false">L1693*Assumptions!B31</f>
        <v>6900</v>
      </c>
      <c r="N1693" s="22" t="n">
        <f aca="false">J1693+M1693</f>
        <v>22500</v>
      </c>
      <c r="O1693" s="22" t="n">
        <f aca="false">IF(DAY(B1693)=1,Assumptions!B38*G1693,0)</f>
        <v>0</v>
      </c>
      <c r="P1693" s="22" t="n">
        <f aca="false">IF(DAY(B1693)=1,Assumptions!B39*G1693,0)</f>
        <v>0</v>
      </c>
      <c r="Q1693" s="22" t="n">
        <f aca="false">IF(DAY(B1693)=1,Assumptions!B40*G1693,0)</f>
        <v>0</v>
      </c>
      <c r="R1693" s="22" t="n">
        <f aca="false">IF(DAY(B1693)=1,Assumptions!B41*G1693,0)</f>
        <v>0</v>
      </c>
      <c r="S1693" s="22" t="n">
        <f aca="false">IF(AND(DAY(B1693)=1,D1693&gt;=13),Assumptions!B42*G1693,0)</f>
        <v>0</v>
      </c>
      <c r="T1693" s="22" t="n">
        <f aca="false">IF(DAY(B1693)=1,Assumptions!B43*G1693,0)</f>
        <v>0</v>
      </c>
      <c r="U1693" s="22" t="n">
        <f aca="false">SUM(O1693:T1693)</f>
        <v>0</v>
      </c>
      <c r="V1693" s="22" t="n">
        <f aca="false">N1693-U1693</f>
        <v>22500</v>
      </c>
      <c r="W1693" s="22" t="n">
        <f aca="false">W1692+V1693</f>
        <v>444848.125482125</v>
      </c>
      <c r="X1693" s="23" t="str">
        <f aca="false">IF(W1693&gt;=0,"YES","No")</f>
        <v>YES</v>
      </c>
    </row>
    <row r="1694" customFormat="false" ht="15" hidden="false" customHeight="false" outlineLevel="0" collapsed="false">
      <c r="A1694" s="16" t="n">
        <v>1693</v>
      </c>
      <c r="B1694" s="17" t="n">
        <f aca="false">B1693+1</f>
        <v>47715</v>
      </c>
      <c r="C1694" s="18" t="n">
        <f aca="false">MIN(ROUNDUP(A1694/365,0),5)</f>
        <v>5</v>
      </c>
      <c r="D1694" s="18" t="n">
        <f aca="false">DATEDIF(Assumptions!B5,B1694,"m")+1</f>
        <v>56</v>
      </c>
      <c r="E1694" s="18" t="str">
        <f aca="false">TEXT(B1694,"ddd")</f>
        <v>Tue</v>
      </c>
      <c r="F1694" s="19" t="n">
        <f aca="false">IF(WEEKDAY(B1694,2)&gt;=6,Assumptions!B34,Assumptions!B35)</f>
        <v>1</v>
      </c>
      <c r="G1694" s="20" t="n">
        <f aca="false">IF(D1694&gt;=13,(1+Assumptions!B46)^(D1694-12),1)</f>
        <v>1.14088285296197</v>
      </c>
      <c r="H1694" s="21" t="n">
        <f aca="false">H1693*(1+IF(C1694=1,Assumptions!B22,Assumptions!B23))</f>
        <v>25.8740336461723</v>
      </c>
      <c r="I1694" s="16" t="n">
        <f aca="false">ROUND(H1694*F1694,0)</f>
        <v>26</v>
      </c>
      <c r="J1694" s="22" t="n">
        <f aca="false">I1694*Assumptions!B24</f>
        <v>15600</v>
      </c>
      <c r="K1694" s="21" t="n">
        <f aca="false">K1693*(1+Assumptions!B30)</f>
        <v>22.8464041113613</v>
      </c>
      <c r="L1694" s="16" t="n">
        <f aca="false">ROUND(K1694*F1694,0)</f>
        <v>23</v>
      </c>
      <c r="M1694" s="22" t="n">
        <f aca="false">L1694*Assumptions!B31</f>
        <v>6900</v>
      </c>
      <c r="N1694" s="22" t="n">
        <f aca="false">J1694+M1694</f>
        <v>22500</v>
      </c>
      <c r="O1694" s="22" t="n">
        <f aca="false">IF(DAY(B1694)=1,Assumptions!B38*G1694,0)</f>
        <v>0</v>
      </c>
      <c r="P1694" s="22" t="n">
        <f aca="false">IF(DAY(B1694)=1,Assumptions!B39*G1694,0)</f>
        <v>0</v>
      </c>
      <c r="Q1694" s="22" t="n">
        <f aca="false">IF(DAY(B1694)=1,Assumptions!B40*G1694,0)</f>
        <v>0</v>
      </c>
      <c r="R1694" s="22" t="n">
        <f aca="false">IF(DAY(B1694)=1,Assumptions!B41*G1694,0)</f>
        <v>0</v>
      </c>
      <c r="S1694" s="22" t="n">
        <f aca="false">IF(AND(DAY(B1694)=1,D1694&gt;=13),Assumptions!B42*G1694,0)</f>
        <v>0</v>
      </c>
      <c r="T1694" s="22" t="n">
        <f aca="false">IF(DAY(B1694)=1,Assumptions!B43*G1694,0)</f>
        <v>0</v>
      </c>
      <c r="U1694" s="22" t="n">
        <f aca="false">SUM(O1694:T1694)</f>
        <v>0</v>
      </c>
      <c r="V1694" s="22" t="n">
        <f aca="false">N1694-U1694</f>
        <v>22500</v>
      </c>
      <c r="W1694" s="22" t="n">
        <f aca="false">W1693+V1694</f>
        <v>467348.125482125</v>
      </c>
      <c r="X1694" s="23" t="str">
        <f aca="false">IF(W1694&gt;=0,"YES","No")</f>
        <v>YES</v>
      </c>
    </row>
    <row r="1695" customFormat="false" ht="15" hidden="false" customHeight="false" outlineLevel="0" collapsed="false">
      <c r="A1695" s="16" t="n">
        <v>1694</v>
      </c>
      <c r="B1695" s="17" t="n">
        <f aca="false">B1694+1</f>
        <v>47716</v>
      </c>
      <c r="C1695" s="18" t="n">
        <f aca="false">MIN(ROUNDUP(A1695/365,0),5)</f>
        <v>5</v>
      </c>
      <c r="D1695" s="18" t="n">
        <f aca="false">DATEDIF(Assumptions!B5,B1695,"m")+1</f>
        <v>56</v>
      </c>
      <c r="E1695" s="18" t="str">
        <f aca="false">TEXT(B1695,"ddd")</f>
        <v>Wed</v>
      </c>
      <c r="F1695" s="19" t="n">
        <f aca="false">IF(WEEKDAY(B1695,2)&gt;=6,Assumptions!B34,Assumptions!B35)</f>
        <v>1</v>
      </c>
      <c r="G1695" s="20" t="n">
        <f aca="false">IF(D1695&gt;=13,(1+Assumptions!B46)^(D1695-12),1)</f>
        <v>1.14088285296197</v>
      </c>
      <c r="H1695" s="21" t="n">
        <f aca="false">H1694*(1+IF(C1695=1,Assumptions!B22,Assumptions!B23))</f>
        <v>25.878273409299</v>
      </c>
      <c r="I1695" s="16" t="n">
        <f aca="false">ROUND(H1695*F1695,0)</f>
        <v>26</v>
      </c>
      <c r="J1695" s="22" t="n">
        <f aca="false">I1695*Assumptions!B24</f>
        <v>15600</v>
      </c>
      <c r="K1695" s="21" t="n">
        <f aca="false">K1694*(1+Assumptions!B30)</f>
        <v>22.8538734424666</v>
      </c>
      <c r="L1695" s="16" t="n">
        <f aca="false">ROUND(K1695*F1695,0)</f>
        <v>23</v>
      </c>
      <c r="M1695" s="22" t="n">
        <f aca="false">L1695*Assumptions!B31</f>
        <v>6900</v>
      </c>
      <c r="N1695" s="22" t="n">
        <f aca="false">J1695+M1695</f>
        <v>22500</v>
      </c>
      <c r="O1695" s="22" t="n">
        <f aca="false">IF(DAY(B1695)=1,Assumptions!B38*G1695,0)</f>
        <v>0</v>
      </c>
      <c r="P1695" s="22" t="n">
        <f aca="false">IF(DAY(B1695)=1,Assumptions!B39*G1695,0)</f>
        <v>0</v>
      </c>
      <c r="Q1695" s="22" t="n">
        <f aca="false">IF(DAY(B1695)=1,Assumptions!B40*G1695,0)</f>
        <v>0</v>
      </c>
      <c r="R1695" s="22" t="n">
        <f aca="false">IF(DAY(B1695)=1,Assumptions!B41*G1695,0)</f>
        <v>0</v>
      </c>
      <c r="S1695" s="22" t="n">
        <f aca="false">IF(AND(DAY(B1695)=1,D1695&gt;=13),Assumptions!B42*G1695,0)</f>
        <v>0</v>
      </c>
      <c r="T1695" s="22" t="n">
        <f aca="false">IF(DAY(B1695)=1,Assumptions!B43*G1695,0)</f>
        <v>0</v>
      </c>
      <c r="U1695" s="22" t="n">
        <f aca="false">SUM(O1695:T1695)</f>
        <v>0</v>
      </c>
      <c r="V1695" s="22" t="n">
        <f aca="false">N1695-U1695</f>
        <v>22500</v>
      </c>
      <c r="W1695" s="22" t="n">
        <f aca="false">W1694+V1695</f>
        <v>489848.125482125</v>
      </c>
      <c r="X1695" s="23" t="str">
        <f aca="false">IF(W1695&gt;=0,"YES","No")</f>
        <v>YES</v>
      </c>
    </row>
    <row r="1696" customFormat="false" ht="15" hidden="false" customHeight="false" outlineLevel="0" collapsed="false">
      <c r="A1696" s="16" t="n">
        <v>1695</v>
      </c>
      <c r="B1696" s="17" t="n">
        <f aca="false">B1695+1</f>
        <v>47717</v>
      </c>
      <c r="C1696" s="18" t="n">
        <f aca="false">MIN(ROUNDUP(A1696/365,0),5)</f>
        <v>5</v>
      </c>
      <c r="D1696" s="18" t="n">
        <f aca="false">DATEDIF(Assumptions!B5,B1696,"m")+1</f>
        <v>56</v>
      </c>
      <c r="E1696" s="18" t="str">
        <f aca="false">TEXT(B1696,"ddd")</f>
        <v>Thu</v>
      </c>
      <c r="F1696" s="19" t="n">
        <f aca="false">IF(WEEKDAY(B1696,2)&gt;=6,Assumptions!B34,Assumptions!B35)</f>
        <v>1</v>
      </c>
      <c r="G1696" s="20" t="n">
        <f aca="false">IF(D1696&gt;=13,(1+Assumptions!B46)^(D1696-12),1)</f>
        <v>1.14088285296197</v>
      </c>
      <c r="H1696" s="21" t="n">
        <f aca="false">H1695*(1+IF(C1696=1,Assumptions!B22,Assumptions!B23))</f>
        <v>25.8825138671605</v>
      </c>
      <c r="I1696" s="16" t="n">
        <f aca="false">ROUND(H1696*F1696,0)</f>
        <v>26</v>
      </c>
      <c r="J1696" s="22" t="n">
        <f aca="false">I1696*Assumptions!B24</f>
        <v>15600</v>
      </c>
      <c r="K1696" s="21" t="n">
        <f aca="false">K1695*(1+Assumptions!B30)</f>
        <v>22.8613452155714</v>
      </c>
      <c r="L1696" s="16" t="n">
        <f aca="false">ROUND(K1696*F1696,0)</f>
        <v>23</v>
      </c>
      <c r="M1696" s="22" t="n">
        <f aca="false">L1696*Assumptions!B31</f>
        <v>6900</v>
      </c>
      <c r="N1696" s="22" t="n">
        <f aca="false">J1696+M1696</f>
        <v>22500</v>
      </c>
      <c r="O1696" s="22" t="n">
        <f aca="false">IF(DAY(B1696)=1,Assumptions!B38*G1696,0)</f>
        <v>0</v>
      </c>
      <c r="P1696" s="22" t="n">
        <f aca="false">IF(DAY(B1696)=1,Assumptions!B39*G1696,0)</f>
        <v>0</v>
      </c>
      <c r="Q1696" s="22" t="n">
        <f aca="false">IF(DAY(B1696)=1,Assumptions!B40*G1696,0)</f>
        <v>0</v>
      </c>
      <c r="R1696" s="22" t="n">
        <f aca="false">IF(DAY(B1696)=1,Assumptions!B41*G1696,0)</f>
        <v>0</v>
      </c>
      <c r="S1696" s="22" t="n">
        <f aca="false">IF(AND(DAY(B1696)=1,D1696&gt;=13),Assumptions!B42*G1696,0)</f>
        <v>0</v>
      </c>
      <c r="T1696" s="22" t="n">
        <f aca="false">IF(DAY(B1696)=1,Assumptions!B43*G1696,0)</f>
        <v>0</v>
      </c>
      <c r="U1696" s="22" t="n">
        <f aca="false">SUM(O1696:T1696)</f>
        <v>0</v>
      </c>
      <c r="V1696" s="22" t="n">
        <f aca="false">N1696-U1696</f>
        <v>22500</v>
      </c>
      <c r="W1696" s="22" t="n">
        <f aca="false">W1695+V1696</f>
        <v>512348.125482125</v>
      </c>
      <c r="X1696" s="23" t="str">
        <f aca="false">IF(W1696&gt;=0,"YES","No")</f>
        <v>YES</v>
      </c>
    </row>
    <row r="1697" customFormat="false" ht="15" hidden="false" customHeight="false" outlineLevel="0" collapsed="false">
      <c r="A1697" s="16" t="n">
        <v>1696</v>
      </c>
      <c r="B1697" s="17" t="n">
        <f aca="false">B1696+1</f>
        <v>47718</v>
      </c>
      <c r="C1697" s="18" t="n">
        <f aca="false">MIN(ROUNDUP(A1697/365,0),5)</f>
        <v>5</v>
      </c>
      <c r="D1697" s="18" t="n">
        <f aca="false">DATEDIF(Assumptions!B5,B1697,"m")+1</f>
        <v>56</v>
      </c>
      <c r="E1697" s="18" t="str">
        <f aca="false">TEXT(B1697,"ddd")</f>
        <v>Fri</v>
      </c>
      <c r="F1697" s="19" t="n">
        <f aca="false">IF(WEEKDAY(B1697,2)&gt;=6,Assumptions!B34,Assumptions!B35)</f>
        <v>1</v>
      </c>
      <c r="G1697" s="20" t="n">
        <f aca="false">IF(D1697&gt;=13,(1+Assumptions!B46)^(D1697-12),1)</f>
        <v>1.14088285296197</v>
      </c>
      <c r="H1697" s="21" t="n">
        <f aca="false">H1696*(1+IF(C1697=1,Assumptions!B22,Assumptions!B23))</f>
        <v>25.8867550198706</v>
      </c>
      <c r="I1697" s="16" t="n">
        <f aca="false">ROUND(H1697*F1697,0)</f>
        <v>26</v>
      </c>
      <c r="J1697" s="22" t="n">
        <f aca="false">I1697*Assumptions!B24</f>
        <v>15600</v>
      </c>
      <c r="K1697" s="21" t="n">
        <f aca="false">K1696*(1+Assumptions!B30)</f>
        <v>22.8688194314741</v>
      </c>
      <c r="L1697" s="16" t="n">
        <f aca="false">ROUND(K1697*F1697,0)</f>
        <v>23</v>
      </c>
      <c r="M1697" s="22" t="n">
        <f aca="false">L1697*Assumptions!B31</f>
        <v>6900</v>
      </c>
      <c r="N1697" s="22" t="n">
        <f aca="false">J1697+M1697</f>
        <v>22500</v>
      </c>
      <c r="O1697" s="22" t="n">
        <f aca="false">IF(DAY(B1697)=1,Assumptions!B38*G1697,0)</f>
        <v>0</v>
      </c>
      <c r="P1697" s="22" t="n">
        <f aca="false">IF(DAY(B1697)=1,Assumptions!B39*G1697,0)</f>
        <v>0</v>
      </c>
      <c r="Q1697" s="22" t="n">
        <f aca="false">IF(DAY(B1697)=1,Assumptions!B40*G1697,0)</f>
        <v>0</v>
      </c>
      <c r="R1697" s="22" t="n">
        <f aca="false">IF(DAY(B1697)=1,Assumptions!B41*G1697,0)</f>
        <v>0</v>
      </c>
      <c r="S1697" s="22" t="n">
        <f aca="false">IF(AND(DAY(B1697)=1,D1697&gt;=13),Assumptions!B42*G1697,0)</f>
        <v>0</v>
      </c>
      <c r="T1697" s="22" t="n">
        <f aca="false">IF(DAY(B1697)=1,Assumptions!B43*G1697,0)</f>
        <v>0</v>
      </c>
      <c r="U1697" s="22" t="n">
        <f aca="false">SUM(O1697:T1697)</f>
        <v>0</v>
      </c>
      <c r="V1697" s="22" t="n">
        <f aca="false">N1697-U1697</f>
        <v>22500</v>
      </c>
      <c r="W1697" s="22" t="n">
        <f aca="false">W1696+V1697</f>
        <v>534848.125482125</v>
      </c>
      <c r="X1697" s="23" t="str">
        <f aca="false">IF(W1697&gt;=0,"YES","No")</f>
        <v>YES</v>
      </c>
    </row>
    <row r="1698" customFormat="false" ht="15" hidden="false" customHeight="false" outlineLevel="0" collapsed="false">
      <c r="A1698" s="16" t="n">
        <v>1697</v>
      </c>
      <c r="B1698" s="17" t="n">
        <f aca="false">B1697+1</f>
        <v>47719</v>
      </c>
      <c r="C1698" s="18" t="n">
        <f aca="false">MIN(ROUNDUP(A1698/365,0),5)</f>
        <v>5</v>
      </c>
      <c r="D1698" s="18" t="n">
        <f aca="false">DATEDIF(Assumptions!B5,B1698,"m")+1</f>
        <v>56</v>
      </c>
      <c r="E1698" s="18" t="str">
        <f aca="false">TEXT(B1698,"ddd")</f>
        <v>Sat</v>
      </c>
      <c r="F1698" s="19" t="n">
        <f aca="false">IF(WEEKDAY(B1698,2)&gt;=6,Assumptions!B34,Assumptions!B35)</f>
        <v>0.6</v>
      </c>
      <c r="G1698" s="20" t="n">
        <f aca="false">IF(D1698&gt;=13,(1+Assumptions!B46)^(D1698-12),1)</f>
        <v>1.14088285296197</v>
      </c>
      <c r="H1698" s="21" t="n">
        <f aca="false">H1697*(1+IF(C1698=1,Assumptions!B22,Assumptions!B23))</f>
        <v>25.8909968675432</v>
      </c>
      <c r="I1698" s="16" t="n">
        <f aca="false">ROUND(H1698*F1698,0)</f>
        <v>16</v>
      </c>
      <c r="J1698" s="22" t="n">
        <f aca="false">I1698*Assumptions!B24</f>
        <v>9600</v>
      </c>
      <c r="K1698" s="21" t="n">
        <f aca="false">K1697*(1+Assumptions!B30)</f>
        <v>22.8762960909733</v>
      </c>
      <c r="L1698" s="16" t="n">
        <f aca="false">ROUND(K1698*F1698,0)</f>
        <v>14</v>
      </c>
      <c r="M1698" s="22" t="n">
        <f aca="false">L1698*Assumptions!B31</f>
        <v>4200</v>
      </c>
      <c r="N1698" s="22" t="n">
        <f aca="false">J1698+M1698</f>
        <v>13800</v>
      </c>
      <c r="O1698" s="22" t="n">
        <f aca="false">IF(DAY(B1698)=1,Assumptions!B38*G1698,0)</f>
        <v>0</v>
      </c>
      <c r="P1698" s="22" t="n">
        <f aca="false">IF(DAY(B1698)=1,Assumptions!B39*G1698,0)</f>
        <v>0</v>
      </c>
      <c r="Q1698" s="22" t="n">
        <f aca="false">IF(DAY(B1698)=1,Assumptions!B40*G1698,0)</f>
        <v>0</v>
      </c>
      <c r="R1698" s="22" t="n">
        <f aca="false">IF(DAY(B1698)=1,Assumptions!B41*G1698,0)</f>
        <v>0</v>
      </c>
      <c r="S1698" s="22" t="n">
        <f aca="false">IF(AND(DAY(B1698)=1,D1698&gt;=13),Assumptions!B42*G1698,0)</f>
        <v>0</v>
      </c>
      <c r="T1698" s="22" t="n">
        <f aca="false">IF(DAY(B1698)=1,Assumptions!B43*G1698,0)</f>
        <v>0</v>
      </c>
      <c r="U1698" s="22" t="n">
        <f aca="false">SUM(O1698:T1698)</f>
        <v>0</v>
      </c>
      <c r="V1698" s="22" t="n">
        <f aca="false">N1698-U1698</f>
        <v>13800</v>
      </c>
      <c r="W1698" s="22" t="n">
        <f aca="false">W1697+V1698</f>
        <v>548648.125482125</v>
      </c>
      <c r="X1698" s="23" t="str">
        <f aca="false">IF(W1698&gt;=0,"YES","No")</f>
        <v>YES</v>
      </c>
    </row>
    <row r="1699" customFormat="false" ht="15" hidden="false" customHeight="false" outlineLevel="0" collapsed="false">
      <c r="A1699" s="16" t="n">
        <v>1698</v>
      </c>
      <c r="B1699" s="17" t="n">
        <f aca="false">B1698+1</f>
        <v>47720</v>
      </c>
      <c r="C1699" s="18" t="n">
        <f aca="false">MIN(ROUNDUP(A1699/365,0),5)</f>
        <v>5</v>
      </c>
      <c r="D1699" s="18" t="n">
        <f aca="false">DATEDIF(Assumptions!B5,B1699,"m")+1</f>
        <v>56</v>
      </c>
      <c r="E1699" s="18" t="str">
        <f aca="false">TEXT(B1699,"ddd")</f>
        <v>Sun</v>
      </c>
      <c r="F1699" s="19" t="n">
        <f aca="false">IF(WEEKDAY(B1699,2)&gt;=6,Assumptions!B34,Assumptions!B35)</f>
        <v>0.6</v>
      </c>
      <c r="G1699" s="20" t="n">
        <f aca="false">IF(D1699&gt;=13,(1+Assumptions!B46)^(D1699-12),1)</f>
        <v>1.14088285296197</v>
      </c>
      <c r="H1699" s="21" t="n">
        <f aca="false">H1698*(1+IF(C1699=1,Assumptions!B22,Assumptions!B23))</f>
        <v>25.8952394102922</v>
      </c>
      <c r="I1699" s="16" t="n">
        <f aca="false">ROUND(H1699*F1699,0)</f>
        <v>16</v>
      </c>
      <c r="J1699" s="22" t="n">
        <f aca="false">I1699*Assumptions!B24</f>
        <v>9600</v>
      </c>
      <c r="K1699" s="21" t="n">
        <f aca="false">K1698*(1+Assumptions!B30)</f>
        <v>22.8837751948679</v>
      </c>
      <c r="L1699" s="16" t="n">
        <f aca="false">ROUND(K1699*F1699,0)</f>
        <v>14</v>
      </c>
      <c r="M1699" s="22" t="n">
        <f aca="false">L1699*Assumptions!B31</f>
        <v>4200</v>
      </c>
      <c r="N1699" s="22" t="n">
        <f aca="false">J1699+M1699</f>
        <v>13800</v>
      </c>
      <c r="O1699" s="22" t="n">
        <f aca="false">IF(DAY(B1699)=1,Assumptions!B38*G1699,0)</f>
        <v>0</v>
      </c>
      <c r="P1699" s="22" t="n">
        <f aca="false">IF(DAY(B1699)=1,Assumptions!B39*G1699,0)</f>
        <v>0</v>
      </c>
      <c r="Q1699" s="22" t="n">
        <f aca="false">IF(DAY(B1699)=1,Assumptions!B40*G1699,0)</f>
        <v>0</v>
      </c>
      <c r="R1699" s="22" t="n">
        <f aca="false">IF(DAY(B1699)=1,Assumptions!B41*G1699,0)</f>
        <v>0</v>
      </c>
      <c r="S1699" s="22" t="n">
        <f aca="false">IF(AND(DAY(B1699)=1,D1699&gt;=13),Assumptions!B42*G1699,0)</f>
        <v>0</v>
      </c>
      <c r="T1699" s="22" t="n">
        <f aca="false">IF(DAY(B1699)=1,Assumptions!B43*G1699,0)</f>
        <v>0</v>
      </c>
      <c r="U1699" s="22" t="n">
        <f aca="false">SUM(O1699:T1699)</f>
        <v>0</v>
      </c>
      <c r="V1699" s="22" t="n">
        <f aca="false">N1699-U1699</f>
        <v>13800</v>
      </c>
      <c r="W1699" s="22" t="n">
        <f aca="false">W1698+V1699</f>
        <v>562448.125482125</v>
      </c>
      <c r="X1699" s="23" t="str">
        <f aca="false">IF(W1699&gt;=0,"YES","No")</f>
        <v>YES</v>
      </c>
    </row>
    <row r="1700" customFormat="false" ht="15" hidden="false" customHeight="false" outlineLevel="0" collapsed="false">
      <c r="A1700" s="16" t="n">
        <v>1699</v>
      </c>
      <c r="B1700" s="17" t="n">
        <f aca="false">B1699+1</f>
        <v>47721</v>
      </c>
      <c r="C1700" s="18" t="n">
        <f aca="false">MIN(ROUNDUP(A1700/365,0),5)</f>
        <v>5</v>
      </c>
      <c r="D1700" s="18" t="n">
        <f aca="false">DATEDIF(Assumptions!B5,B1700,"m")+1</f>
        <v>56</v>
      </c>
      <c r="E1700" s="18" t="str">
        <f aca="false">TEXT(B1700,"ddd")</f>
        <v>Mon</v>
      </c>
      <c r="F1700" s="19" t="n">
        <f aca="false">IF(WEEKDAY(B1700,2)&gt;=6,Assumptions!B34,Assumptions!B35)</f>
        <v>1</v>
      </c>
      <c r="G1700" s="20" t="n">
        <f aca="false">IF(D1700&gt;=13,(1+Assumptions!B46)^(D1700-12),1)</f>
        <v>1.14088285296197</v>
      </c>
      <c r="H1700" s="21" t="n">
        <f aca="false">H1699*(1+IF(C1700=1,Assumptions!B22,Assumptions!B23))</f>
        <v>25.8994826482315</v>
      </c>
      <c r="I1700" s="16" t="n">
        <f aca="false">ROUND(H1700*F1700,0)</f>
        <v>26</v>
      </c>
      <c r="J1700" s="22" t="n">
        <f aca="false">I1700*Assumptions!B24</f>
        <v>15600</v>
      </c>
      <c r="K1700" s="21" t="n">
        <f aca="false">K1699*(1+Assumptions!B30)</f>
        <v>22.8912567439571</v>
      </c>
      <c r="L1700" s="16" t="n">
        <f aca="false">ROUND(K1700*F1700,0)</f>
        <v>23</v>
      </c>
      <c r="M1700" s="22" t="n">
        <f aca="false">L1700*Assumptions!B31</f>
        <v>6900</v>
      </c>
      <c r="N1700" s="22" t="n">
        <f aca="false">J1700+M1700</f>
        <v>22500</v>
      </c>
      <c r="O1700" s="22" t="n">
        <f aca="false">IF(DAY(B1700)=1,Assumptions!B38*G1700,0)</f>
        <v>0</v>
      </c>
      <c r="P1700" s="22" t="n">
        <f aca="false">IF(DAY(B1700)=1,Assumptions!B39*G1700,0)</f>
        <v>0</v>
      </c>
      <c r="Q1700" s="22" t="n">
        <f aca="false">IF(DAY(B1700)=1,Assumptions!B40*G1700,0)</f>
        <v>0</v>
      </c>
      <c r="R1700" s="22" t="n">
        <f aca="false">IF(DAY(B1700)=1,Assumptions!B41*G1700,0)</f>
        <v>0</v>
      </c>
      <c r="S1700" s="22" t="n">
        <f aca="false">IF(AND(DAY(B1700)=1,D1700&gt;=13),Assumptions!B42*G1700,0)</f>
        <v>0</v>
      </c>
      <c r="T1700" s="22" t="n">
        <f aca="false">IF(DAY(B1700)=1,Assumptions!B43*G1700,0)</f>
        <v>0</v>
      </c>
      <c r="U1700" s="22" t="n">
        <f aca="false">SUM(O1700:T1700)</f>
        <v>0</v>
      </c>
      <c r="V1700" s="22" t="n">
        <f aca="false">N1700-U1700</f>
        <v>22500</v>
      </c>
      <c r="W1700" s="22" t="n">
        <f aca="false">W1699+V1700</f>
        <v>584948.125482125</v>
      </c>
      <c r="X1700" s="23" t="str">
        <f aca="false">IF(W1700&gt;=0,"YES","No")</f>
        <v>YES</v>
      </c>
    </row>
    <row r="1701" customFormat="false" ht="15" hidden="false" customHeight="false" outlineLevel="0" collapsed="false">
      <c r="A1701" s="16" t="n">
        <v>1700</v>
      </c>
      <c r="B1701" s="17" t="n">
        <f aca="false">B1700+1</f>
        <v>47722</v>
      </c>
      <c r="C1701" s="18" t="n">
        <f aca="false">MIN(ROUNDUP(A1701/365,0),5)</f>
        <v>5</v>
      </c>
      <c r="D1701" s="18" t="n">
        <f aca="false">DATEDIF(Assumptions!B5,B1701,"m")+1</f>
        <v>56</v>
      </c>
      <c r="E1701" s="18" t="str">
        <f aca="false">TEXT(B1701,"ddd")</f>
        <v>Tue</v>
      </c>
      <c r="F1701" s="19" t="n">
        <f aca="false">IF(WEEKDAY(B1701,2)&gt;=6,Assumptions!B34,Assumptions!B35)</f>
        <v>1</v>
      </c>
      <c r="G1701" s="20" t="n">
        <f aca="false">IF(D1701&gt;=13,(1+Assumptions!B46)^(D1701-12),1)</f>
        <v>1.14088285296197</v>
      </c>
      <c r="H1701" s="21" t="n">
        <f aca="false">H1700*(1+IF(C1701=1,Assumptions!B22,Assumptions!B23))</f>
        <v>25.9037265814749</v>
      </c>
      <c r="I1701" s="16" t="n">
        <f aca="false">ROUND(H1701*F1701,0)</f>
        <v>26</v>
      </c>
      <c r="J1701" s="22" t="n">
        <f aca="false">I1701*Assumptions!B24</f>
        <v>15600</v>
      </c>
      <c r="K1701" s="21" t="n">
        <f aca="false">K1700*(1+Assumptions!B30)</f>
        <v>22.8987407390403</v>
      </c>
      <c r="L1701" s="16" t="n">
        <f aca="false">ROUND(K1701*F1701,0)</f>
        <v>23</v>
      </c>
      <c r="M1701" s="22" t="n">
        <f aca="false">L1701*Assumptions!B31</f>
        <v>6900</v>
      </c>
      <c r="N1701" s="22" t="n">
        <f aca="false">J1701+M1701</f>
        <v>22500</v>
      </c>
      <c r="O1701" s="22" t="n">
        <f aca="false">IF(DAY(B1701)=1,Assumptions!B38*G1701,0)</f>
        <v>0</v>
      </c>
      <c r="P1701" s="22" t="n">
        <f aca="false">IF(DAY(B1701)=1,Assumptions!B39*G1701,0)</f>
        <v>0</v>
      </c>
      <c r="Q1701" s="22" t="n">
        <f aca="false">IF(DAY(B1701)=1,Assumptions!B40*G1701,0)</f>
        <v>0</v>
      </c>
      <c r="R1701" s="22" t="n">
        <f aca="false">IF(DAY(B1701)=1,Assumptions!B41*G1701,0)</f>
        <v>0</v>
      </c>
      <c r="S1701" s="22" t="n">
        <f aca="false">IF(AND(DAY(B1701)=1,D1701&gt;=13),Assumptions!B42*G1701,0)</f>
        <v>0</v>
      </c>
      <c r="T1701" s="22" t="n">
        <f aca="false">IF(DAY(B1701)=1,Assumptions!B43*G1701,0)</f>
        <v>0</v>
      </c>
      <c r="U1701" s="22" t="n">
        <f aca="false">SUM(O1701:T1701)</f>
        <v>0</v>
      </c>
      <c r="V1701" s="22" t="n">
        <f aca="false">N1701-U1701</f>
        <v>22500</v>
      </c>
      <c r="W1701" s="22" t="n">
        <f aca="false">W1700+V1701</f>
        <v>607448.125482125</v>
      </c>
      <c r="X1701" s="23" t="str">
        <f aca="false">IF(W1701&gt;=0,"YES","No")</f>
        <v>YES</v>
      </c>
    </row>
    <row r="1702" customFormat="false" ht="15" hidden="false" customHeight="false" outlineLevel="0" collapsed="false">
      <c r="A1702" s="16" t="n">
        <v>1701</v>
      </c>
      <c r="B1702" s="17" t="n">
        <f aca="false">B1701+1</f>
        <v>47723</v>
      </c>
      <c r="C1702" s="18" t="n">
        <f aca="false">MIN(ROUNDUP(A1702/365,0),5)</f>
        <v>5</v>
      </c>
      <c r="D1702" s="18" t="n">
        <f aca="false">DATEDIF(Assumptions!B5,B1702,"m")+1</f>
        <v>56</v>
      </c>
      <c r="E1702" s="18" t="str">
        <f aca="false">TEXT(B1702,"ddd")</f>
        <v>Wed</v>
      </c>
      <c r="F1702" s="19" t="n">
        <f aca="false">IF(WEEKDAY(B1702,2)&gt;=6,Assumptions!B34,Assumptions!B35)</f>
        <v>1</v>
      </c>
      <c r="G1702" s="20" t="n">
        <f aca="false">IF(D1702&gt;=13,(1+Assumptions!B46)^(D1702-12),1)</f>
        <v>1.14088285296197</v>
      </c>
      <c r="H1702" s="21" t="n">
        <f aca="false">H1701*(1+IF(C1702=1,Assumptions!B22,Assumptions!B23))</f>
        <v>25.9079712101364</v>
      </c>
      <c r="I1702" s="16" t="n">
        <f aca="false">ROUND(H1702*F1702,0)</f>
        <v>26</v>
      </c>
      <c r="J1702" s="22" t="n">
        <f aca="false">I1702*Assumptions!B24</f>
        <v>15600</v>
      </c>
      <c r="K1702" s="21" t="n">
        <f aca="false">K1701*(1+Assumptions!B30)</f>
        <v>22.9062271809172</v>
      </c>
      <c r="L1702" s="16" t="n">
        <f aca="false">ROUND(K1702*F1702,0)</f>
        <v>23</v>
      </c>
      <c r="M1702" s="22" t="n">
        <f aca="false">L1702*Assumptions!B31</f>
        <v>6900</v>
      </c>
      <c r="N1702" s="22" t="n">
        <f aca="false">J1702+M1702</f>
        <v>22500</v>
      </c>
      <c r="O1702" s="22" t="n">
        <f aca="false">IF(DAY(B1702)=1,Assumptions!B38*G1702,0)</f>
        <v>0</v>
      </c>
      <c r="P1702" s="22" t="n">
        <f aca="false">IF(DAY(B1702)=1,Assumptions!B39*G1702,0)</f>
        <v>0</v>
      </c>
      <c r="Q1702" s="22" t="n">
        <f aca="false">IF(DAY(B1702)=1,Assumptions!B40*G1702,0)</f>
        <v>0</v>
      </c>
      <c r="R1702" s="22" t="n">
        <f aca="false">IF(DAY(B1702)=1,Assumptions!B41*G1702,0)</f>
        <v>0</v>
      </c>
      <c r="S1702" s="22" t="n">
        <f aca="false">IF(AND(DAY(B1702)=1,D1702&gt;=13),Assumptions!B42*G1702,0)</f>
        <v>0</v>
      </c>
      <c r="T1702" s="22" t="n">
        <f aca="false">IF(DAY(B1702)=1,Assumptions!B43*G1702,0)</f>
        <v>0</v>
      </c>
      <c r="U1702" s="22" t="n">
        <f aca="false">SUM(O1702:T1702)</f>
        <v>0</v>
      </c>
      <c r="V1702" s="22" t="n">
        <f aca="false">N1702-U1702</f>
        <v>22500</v>
      </c>
      <c r="W1702" s="22" t="n">
        <f aca="false">W1701+V1702</f>
        <v>629948.125482125</v>
      </c>
      <c r="X1702" s="23" t="str">
        <f aca="false">IF(W1702&gt;=0,"YES","No")</f>
        <v>YES</v>
      </c>
    </row>
    <row r="1703" customFormat="false" ht="15" hidden="false" customHeight="false" outlineLevel="0" collapsed="false">
      <c r="A1703" s="16" t="n">
        <v>1702</v>
      </c>
      <c r="B1703" s="17" t="n">
        <f aca="false">B1702+1</f>
        <v>47724</v>
      </c>
      <c r="C1703" s="18" t="n">
        <f aca="false">MIN(ROUNDUP(A1703/365,0),5)</f>
        <v>5</v>
      </c>
      <c r="D1703" s="18" t="n">
        <f aca="false">DATEDIF(Assumptions!B5,B1703,"m")+1</f>
        <v>56</v>
      </c>
      <c r="E1703" s="18" t="str">
        <f aca="false">TEXT(B1703,"ddd")</f>
        <v>Thu</v>
      </c>
      <c r="F1703" s="19" t="n">
        <f aca="false">IF(WEEKDAY(B1703,2)&gt;=6,Assumptions!B34,Assumptions!B35)</f>
        <v>1</v>
      </c>
      <c r="G1703" s="20" t="n">
        <f aca="false">IF(D1703&gt;=13,(1+Assumptions!B46)^(D1703-12),1)</f>
        <v>1.14088285296197</v>
      </c>
      <c r="H1703" s="21" t="n">
        <f aca="false">H1702*(1+IF(C1703=1,Assumptions!B22,Assumptions!B23))</f>
        <v>25.91221653433</v>
      </c>
      <c r="I1703" s="16" t="n">
        <f aca="false">ROUND(H1703*F1703,0)</f>
        <v>26</v>
      </c>
      <c r="J1703" s="22" t="n">
        <f aca="false">I1703*Assumptions!B24</f>
        <v>15600</v>
      </c>
      <c r="K1703" s="21" t="n">
        <f aca="false">K1702*(1+Assumptions!B30)</f>
        <v>22.9137160703877</v>
      </c>
      <c r="L1703" s="16" t="n">
        <f aca="false">ROUND(K1703*F1703,0)</f>
        <v>23</v>
      </c>
      <c r="M1703" s="22" t="n">
        <f aca="false">L1703*Assumptions!B31</f>
        <v>6900</v>
      </c>
      <c r="N1703" s="22" t="n">
        <f aca="false">J1703+M1703</f>
        <v>22500</v>
      </c>
      <c r="O1703" s="22" t="n">
        <f aca="false">IF(DAY(B1703)=1,Assumptions!B38*G1703,0)</f>
        <v>0</v>
      </c>
      <c r="P1703" s="22" t="n">
        <f aca="false">IF(DAY(B1703)=1,Assumptions!B39*G1703,0)</f>
        <v>0</v>
      </c>
      <c r="Q1703" s="22" t="n">
        <f aca="false">IF(DAY(B1703)=1,Assumptions!B40*G1703,0)</f>
        <v>0</v>
      </c>
      <c r="R1703" s="22" t="n">
        <f aca="false">IF(DAY(B1703)=1,Assumptions!B41*G1703,0)</f>
        <v>0</v>
      </c>
      <c r="S1703" s="22" t="n">
        <f aca="false">IF(AND(DAY(B1703)=1,D1703&gt;=13),Assumptions!B42*G1703,0)</f>
        <v>0</v>
      </c>
      <c r="T1703" s="22" t="n">
        <f aca="false">IF(DAY(B1703)=1,Assumptions!B43*G1703,0)</f>
        <v>0</v>
      </c>
      <c r="U1703" s="22" t="n">
        <f aca="false">SUM(O1703:T1703)</f>
        <v>0</v>
      </c>
      <c r="V1703" s="22" t="n">
        <f aca="false">N1703-U1703</f>
        <v>22500</v>
      </c>
      <c r="W1703" s="22" t="n">
        <f aca="false">W1702+V1703</f>
        <v>652448.125482125</v>
      </c>
      <c r="X1703" s="23" t="str">
        <f aca="false">IF(W1703&gt;=0,"YES","No")</f>
        <v>YES</v>
      </c>
    </row>
    <row r="1704" customFormat="false" ht="15" hidden="false" customHeight="false" outlineLevel="0" collapsed="false">
      <c r="A1704" s="16" t="n">
        <v>1703</v>
      </c>
      <c r="B1704" s="17" t="n">
        <f aca="false">B1703+1</f>
        <v>47725</v>
      </c>
      <c r="C1704" s="18" t="n">
        <f aca="false">MIN(ROUNDUP(A1704/365,0),5)</f>
        <v>5</v>
      </c>
      <c r="D1704" s="18" t="n">
        <f aca="false">DATEDIF(Assumptions!B5,B1704,"m")+1</f>
        <v>56</v>
      </c>
      <c r="E1704" s="18" t="str">
        <f aca="false">TEXT(B1704,"ddd")</f>
        <v>Fri</v>
      </c>
      <c r="F1704" s="19" t="n">
        <f aca="false">IF(WEEKDAY(B1704,2)&gt;=6,Assumptions!B34,Assumptions!B35)</f>
        <v>1</v>
      </c>
      <c r="G1704" s="20" t="n">
        <f aca="false">IF(D1704&gt;=13,(1+Assumptions!B46)^(D1704-12),1)</f>
        <v>1.14088285296197</v>
      </c>
      <c r="H1704" s="21" t="n">
        <f aca="false">H1703*(1+IF(C1704=1,Assumptions!B22,Assumptions!B23))</f>
        <v>25.9164625541697</v>
      </c>
      <c r="I1704" s="16" t="n">
        <f aca="false">ROUND(H1704*F1704,0)</f>
        <v>26</v>
      </c>
      <c r="J1704" s="22" t="n">
        <f aca="false">I1704*Assumptions!B24</f>
        <v>15600</v>
      </c>
      <c r="K1704" s="21" t="n">
        <f aca="false">K1703*(1+Assumptions!B30)</f>
        <v>22.921207408252</v>
      </c>
      <c r="L1704" s="16" t="n">
        <f aca="false">ROUND(K1704*F1704,0)</f>
        <v>23</v>
      </c>
      <c r="M1704" s="22" t="n">
        <f aca="false">L1704*Assumptions!B31</f>
        <v>6900</v>
      </c>
      <c r="N1704" s="22" t="n">
        <f aca="false">J1704+M1704</f>
        <v>22500</v>
      </c>
      <c r="O1704" s="22" t="n">
        <f aca="false">IF(DAY(B1704)=1,Assumptions!B38*G1704,0)</f>
        <v>0</v>
      </c>
      <c r="P1704" s="22" t="n">
        <f aca="false">IF(DAY(B1704)=1,Assumptions!B39*G1704,0)</f>
        <v>0</v>
      </c>
      <c r="Q1704" s="22" t="n">
        <f aca="false">IF(DAY(B1704)=1,Assumptions!B40*G1704,0)</f>
        <v>0</v>
      </c>
      <c r="R1704" s="22" t="n">
        <f aca="false">IF(DAY(B1704)=1,Assumptions!B41*G1704,0)</f>
        <v>0</v>
      </c>
      <c r="S1704" s="22" t="n">
        <f aca="false">IF(AND(DAY(B1704)=1,D1704&gt;=13),Assumptions!B42*G1704,0)</f>
        <v>0</v>
      </c>
      <c r="T1704" s="22" t="n">
        <f aca="false">IF(DAY(B1704)=1,Assumptions!B43*G1704,0)</f>
        <v>0</v>
      </c>
      <c r="U1704" s="22" t="n">
        <f aca="false">SUM(O1704:T1704)</f>
        <v>0</v>
      </c>
      <c r="V1704" s="22" t="n">
        <f aca="false">N1704-U1704</f>
        <v>22500</v>
      </c>
      <c r="W1704" s="22" t="n">
        <f aca="false">W1703+V1704</f>
        <v>674948.125482125</v>
      </c>
      <c r="X1704" s="23" t="str">
        <f aca="false">IF(W1704&gt;=0,"YES","No")</f>
        <v>YES</v>
      </c>
    </row>
    <row r="1705" customFormat="false" ht="15" hidden="false" customHeight="false" outlineLevel="0" collapsed="false">
      <c r="A1705" s="16" t="n">
        <v>1704</v>
      </c>
      <c r="B1705" s="17" t="n">
        <f aca="false">B1704+1</f>
        <v>47726</v>
      </c>
      <c r="C1705" s="18" t="n">
        <f aca="false">MIN(ROUNDUP(A1705/365,0),5)</f>
        <v>5</v>
      </c>
      <c r="D1705" s="18" t="n">
        <f aca="false">DATEDIF(Assumptions!B5,B1705,"m")+1</f>
        <v>56</v>
      </c>
      <c r="E1705" s="18" t="str">
        <f aca="false">TEXT(B1705,"ddd")</f>
        <v>Sat</v>
      </c>
      <c r="F1705" s="19" t="n">
        <f aca="false">IF(WEEKDAY(B1705,2)&gt;=6,Assumptions!B34,Assumptions!B35)</f>
        <v>0.6</v>
      </c>
      <c r="G1705" s="20" t="n">
        <f aca="false">IF(D1705&gt;=13,(1+Assumptions!B46)^(D1705-12),1)</f>
        <v>1.14088285296197</v>
      </c>
      <c r="H1705" s="21" t="n">
        <f aca="false">H1704*(1+IF(C1705=1,Assumptions!B22,Assumptions!B23))</f>
        <v>25.9207092697694</v>
      </c>
      <c r="I1705" s="16" t="n">
        <f aca="false">ROUND(H1705*F1705,0)</f>
        <v>16</v>
      </c>
      <c r="J1705" s="22" t="n">
        <f aca="false">I1705*Assumptions!B24</f>
        <v>9600</v>
      </c>
      <c r="K1705" s="21" t="n">
        <f aca="false">K1704*(1+Assumptions!B30)</f>
        <v>22.9287011953107</v>
      </c>
      <c r="L1705" s="16" t="n">
        <f aca="false">ROUND(K1705*F1705,0)</f>
        <v>14</v>
      </c>
      <c r="M1705" s="22" t="n">
        <f aca="false">L1705*Assumptions!B31</f>
        <v>4200</v>
      </c>
      <c r="N1705" s="22" t="n">
        <f aca="false">J1705+M1705</f>
        <v>13800</v>
      </c>
      <c r="O1705" s="22" t="n">
        <f aca="false">IF(DAY(B1705)=1,Assumptions!B38*G1705,0)</f>
        <v>0</v>
      </c>
      <c r="P1705" s="22" t="n">
        <f aca="false">IF(DAY(B1705)=1,Assumptions!B39*G1705,0)</f>
        <v>0</v>
      </c>
      <c r="Q1705" s="22" t="n">
        <f aca="false">IF(DAY(B1705)=1,Assumptions!B40*G1705,0)</f>
        <v>0</v>
      </c>
      <c r="R1705" s="22" t="n">
        <f aca="false">IF(DAY(B1705)=1,Assumptions!B41*G1705,0)</f>
        <v>0</v>
      </c>
      <c r="S1705" s="22" t="n">
        <f aca="false">IF(AND(DAY(B1705)=1,D1705&gt;=13),Assumptions!B42*G1705,0)</f>
        <v>0</v>
      </c>
      <c r="T1705" s="22" t="n">
        <f aca="false">IF(DAY(B1705)=1,Assumptions!B43*G1705,0)</f>
        <v>0</v>
      </c>
      <c r="U1705" s="22" t="n">
        <f aca="false">SUM(O1705:T1705)</f>
        <v>0</v>
      </c>
      <c r="V1705" s="22" t="n">
        <f aca="false">N1705-U1705</f>
        <v>13800</v>
      </c>
      <c r="W1705" s="22" t="n">
        <f aca="false">W1704+V1705</f>
        <v>688748.125482125</v>
      </c>
      <c r="X1705" s="23" t="str">
        <f aca="false">IF(W1705&gt;=0,"YES","No")</f>
        <v>YES</v>
      </c>
    </row>
    <row r="1706" customFormat="false" ht="15" hidden="false" customHeight="false" outlineLevel="0" collapsed="false">
      <c r="A1706" s="16" t="n">
        <v>1705</v>
      </c>
      <c r="B1706" s="17" t="n">
        <f aca="false">B1705+1</f>
        <v>47727</v>
      </c>
      <c r="C1706" s="18" t="n">
        <f aca="false">MIN(ROUNDUP(A1706/365,0),5)</f>
        <v>5</v>
      </c>
      <c r="D1706" s="18" t="n">
        <f aca="false">DATEDIF(Assumptions!B5,B1706,"m")+1</f>
        <v>57</v>
      </c>
      <c r="E1706" s="18" t="str">
        <f aca="false">TEXT(B1706,"ddd")</f>
        <v>Sun</v>
      </c>
      <c r="F1706" s="19" t="n">
        <f aca="false">IF(WEEKDAY(B1706,2)&gt;=6,Assumptions!B34,Assumptions!B35)</f>
        <v>0.6</v>
      </c>
      <c r="G1706" s="20" t="n">
        <f aca="false">IF(D1706&gt;=13,(1+Assumptions!B46)^(D1706-12),1)</f>
        <v>1.14430550152086</v>
      </c>
      <c r="H1706" s="21" t="n">
        <f aca="false">H1705*(1+IF(C1706=1,Assumptions!B22,Assumptions!B23))</f>
        <v>25.9249566812431</v>
      </c>
      <c r="I1706" s="16" t="n">
        <f aca="false">ROUND(H1706*F1706,0)</f>
        <v>16</v>
      </c>
      <c r="J1706" s="22" t="n">
        <f aca="false">I1706*Assumptions!B24</f>
        <v>9600</v>
      </c>
      <c r="K1706" s="21" t="n">
        <f aca="false">K1705*(1+Assumptions!B30)</f>
        <v>22.9361974323643</v>
      </c>
      <c r="L1706" s="16" t="n">
        <f aca="false">ROUND(K1706*F1706,0)</f>
        <v>14</v>
      </c>
      <c r="M1706" s="22" t="n">
        <f aca="false">L1706*Assumptions!B31</f>
        <v>4200</v>
      </c>
      <c r="N1706" s="22" t="n">
        <f aca="false">J1706+M1706</f>
        <v>13800</v>
      </c>
      <c r="O1706" s="22" t="n">
        <f aca="false">IF(DAY(B1706)=1,Assumptions!B38*G1706,0)</f>
        <v>171645.825228129</v>
      </c>
      <c r="P1706" s="22" t="n">
        <f aca="false">IF(DAY(B1706)=1,Assumptions!B39*G1706,0)</f>
        <v>45772.2200608343</v>
      </c>
      <c r="Q1706" s="22" t="n">
        <f aca="false">IF(DAY(B1706)=1,Assumptions!B40*G1706,0)</f>
        <v>34329.1650456257</v>
      </c>
      <c r="R1706" s="22" t="n">
        <f aca="false">IF(DAY(B1706)=1,Assumptions!B41*G1706,0)</f>
        <v>22886.1100304171</v>
      </c>
      <c r="S1706" s="22" t="n">
        <f aca="false">IF(AND(DAY(B1706)=1,D1706&gt;=13),Assumptions!B42*G1706,0)</f>
        <v>171645.825228129</v>
      </c>
      <c r="T1706" s="22" t="n">
        <f aca="false">IF(DAY(B1706)=1,Assumptions!B43*G1706,0)</f>
        <v>22886.1100304171</v>
      </c>
      <c r="U1706" s="22" t="n">
        <f aca="false">SUM(O1706:T1706)</f>
        <v>469165.255623552</v>
      </c>
      <c r="V1706" s="22" t="n">
        <f aca="false">N1706-U1706</f>
        <v>-455365.255623552</v>
      </c>
      <c r="W1706" s="22" t="n">
        <f aca="false">W1705+V1706</f>
        <v>233382.869858574</v>
      </c>
      <c r="X1706" s="23" t="str">
        <f aca="false">IF(W1706&gt;=0,"YES","No")</f>
        <v>YES</v>
      </c>
    </row>
    <row r="1707" customFormat="false" ht="15" hidden="false" customHeight="false" outlineLevel="0" collapsed="false">
      <c r="A1707" s="16" t="n">
        <v>1706</v>
      </c>
      <c r="B1707" s="17" t="n">
        <f aca="false">B1706+1</f>
        <v>47728</v>
      </c>
      <c r="C1707" s="18" t="n">
        <f aca="false">MIN(ROUNDUP(A1707/365,0),5)</f>
        <v>5</v>
      </c>
      <c r="D1707" s="18" t="n">
        <f aca="false">DATEDIF(Assumptions!B5,B1707,"m")+1</f>
        <v>57</v>
      </c>
      <c r="E1707" s="18" t="str">
        <f aca="false">TEXT(B1707,"ddd")</f>
        <v>Mon</v>
      </c>
      <c r="F1707" s="19" t="n">
        <f aca="false">IF(WEEKDAY(B1707,2)&gt;=6,Assumptions!B34,Assumptions!B35)</f>
        <v>1</v>
      </c>
      <c r="G1707" s="20" t="n">
        <f aca="false">IF(D1707&gt;=13,(1+Assumptions!B46)^(D1707-12),1)</f>
        <v>1.14430550152086</v>
      </c>
      <c r="H1707" s="21" t="n">
        <f aca="false">H1706*(1+IF(C1707=1,Assumptions!B22,Assumptions!B23))</f>
        <v>25.9292047887049</v>
      </c>
      <c r="I1707" s="16" t="n">
        <f aca="false">ROUND(H1707*F1707,0)</f>
        <v>26</v>
      </c>
      <c r="J1707" s="22" t="n">
        <f aca="false">I1707*Assumptions!B24</f>
        <v>15600</v>
      </c>
      <c r="K1707" s="21" t="n">
        <f aca="false">K1706*(1+Assumptions!B30)</f>
        <v>22.9436961202141</v>
      </c>
      <c r="L1707" s="16" t="n">
        <f aca="false">ROUND(K1707*F1707,0)</f>
        <v>23</v>
      </c>
      <c r="M1707" s="22" t="n">
        <f aca="false">L1707*Assumptions!B31</f>
        <v>6900</v>
      </c>
      <c r="N1707" s="22" t="n">
        <f aca="false">J1707+M1707</f>
        <v>22500</v>
      </c>
      <c r="O1707" s="22" t="n">
        <f aca="false">IF(DAY(B1707)=1,Assumptions!B38*G1707,0)</f>
        <v>0</v>
      </c>
      <c r="P1707" s="22" t="n">
        <f aca="false">IF(DAY(B1707)=1,Assumptions!B39*G1707,0)</f>
        <v>0</v>
      </c>
      <c r="Q1707" s="22" t="n">
        <f aca="false">IF(DAY(B1707)=1,Assumptions!B40*G1707,0)</f>
        <v>0</v>
      </c>
      <c r="R1707" s="22" t="n">
        <f aca="false">IF(DAY(B1707)=1,Assumptions!B41*G1707,0)</f>
        <v>0</v>
      </c>
      <c r="S1707" s="22" t="n">
        <f aca="false">IF(AND(DAY(B1707)=1,D1707&gt;=13),Assumptions!B42*G1707,0)</f>
        <v>0</v>
      </c>
      <c r="T1707" s="22" t="n">
        <f aca="false">IF(DAY(B1707)=1,Assumptions!B43*G1707,0)</f>
        <v>0</v>
      </c>
      <c r="U1707" s="22" t="n">
        <f aca="false">SUM(O1707:T1707)</f>
        <v>0</v>
      </c>
      <c r="V1707" s="22" t="n">
        <f aca="false">N1707-U1707</f>
        <v>22500</v>
      </c>
      <c r="W1707" s="22" t="n">
        <f aca="false">W1706+V1707</f>
        <v>255882.869858574</v>
      </c>
      <c r="X1707" s="23" t="str">
        <f aca="false">IF(W1707&gt;=0,"YES","No")</f>
        <v>YES</v>
      </c>
    </row>
    <row r="1708" customFormat="false" ht="15" hidden="false" customHeight="false" outlineLevel="0" collapsed="false">
      <c r="A1708" s="16" t="n">
        <v>1707</v>
      </c>
      <c r="B1708" s="17" t="n">
        <f aca="false">B1707+1</f>
        <v>47729</v>
      </c>
      <c r="C1708" s="18" t="n">
        <f aca="false">MIN(ROUNDUP(A1708/365,0),5)</f>
        <v>5</v>
      </c>
      <c r="D1708" s="18" t="n">
        <f aca="false">DATEDIF(Assumptions!B5,B1708,"m")+1</f>
        <v>57</v>
      </c>
      <c r="E1708" s="18" t="str">
        <f aca="false">TEXT(B1708,"ddd")</f>
        <v>Tue</v>
      </c>
      <c r="F1708" s="19" t="n">
        <f aca="false">IF(WEEKDAY(B1708,2)&gt;=6,Assumptions!B34,Assumptions!B35)</f>
        <v>1</v>
      </c>
      <c r="G1708" s="20" t="n">
        <f aca="false">IF(D1708&gt;=13,(1+Assumptions!B46)^(D1708-12),1)</f>
        <v>1.14430550152086</v>
      </c>
      <c r="H1708" s="21" t="n">
        <f aca="false">H1707*(1+IF(C1708=1,Assumptions!B22,Assumptions!B23))</f>
        <v>25.9334535922687</v>
      </c>
      <c r="I1708" s="16" t="n">
        <f aca="false">ROUND(H1708*F1708,0)</f>
        <v>26</v>
      </c>
      <c r="J1708" s="22" t="n">
        <f aca="false">I1708*Assumptions!B24</f>
        <v>15600</v>
      </c>
      <c r="K1708" s="21" t="n">
        <f aca="false">K1707*(1+Assumptions!B30)</f>
        <v>22.9511972596611</v>
      </c>
      <c r="L1708" s="16" t="n">
        <f aca="false">ROUND(K1708*F1708,0)</f>
        <v>23</v>
      </c>
      <c r="M1708" s="22" t="n">
        <f aca="false">L1708*Assumptions!B31</f>
        <v>6900</v>
      </c>
      <c r="N1708" s="22" t="n">
        <f aca="false">J1708+M1708</f>
        <v>22500</v>
      </c>
      <c r="O1708" s="22" t="n">
        <f aca="false">IF(DAY(B1708)=1,Assumptions!B38*G1708,0)</f>
        <v>0</v>
      </c>
      <c r="P1708" s="22" t="n">
        <f aca="false">IF(DAY(B1708)=1,Assumptions!B39*G1708,0)</f>
        <v>0</v>
      </c>
      <c r="Q1708" s="22" t="n">
        <f aca="false">IF(DAY(B1708)=1,Assumptions!B40*G1708,0)</f>
        <v>0</v>
      </c>
      <c r="R1708" s="22" t="n">
        <f aca="false">IF(DAY(B1708)=1,Assumptions!B41*G1708,0)</f>
        <v>0</v>
      </c>
      <c r="S1708" s="22" t="n">
        <f aca="false">IF(AND(DAY(B1708)=1,D1708&gt;=13),Assumptions!B42*G1708,0)</f>
        <v>0</v>
      </c>
      <c r="T1708" s="22" t="n">
        <f aca="false">IF(DAY(B1708)=1,Assumptions!B43*G1708,0)</f>
        <v>0</v>
      </c>
      <c r="U1708" s="22" t="n">
        <f aca="false">SUM(O1708:T1708)</f>
        <v>0</v>
      </c>
      <c r="V1708" s="22" t="n">
        <f aca="false">N1708-U1708</f>
        <v>22500</v>
      </c>
      <c r="W1708" s="22" t="n">
        <f aca="false">W1707+V1708</f>
        <v>278382.869858574</v>
      </c>
      <c r="X1708" s="23" t="str">
        <f aca="false">IF(W1708&gt;=0,"YES","No")</f>
        <v>YES</v>
      </c>
    </row>
    <row r="1709" customFormat="false" ht="15" hidden="false" customHeight="false" outlineLevel="0" collapsed="false">
      <c r="A1709" s="16" t="n">
        <v>1708</v>
      </c>
      <c r="B1709" s="17" t="n">
        <f aca="false">B1708+1</f>
        <v>47730</v>
      </c>
      <c r="C1709" s="18" t="n">
        <f aca="false">MIN(ROUNDUP(A1709/365,0),5)</f>
        <v>5</v>
      </c>
      <c r="D1709" s="18" t="n">
        <f aca="false">DATEDIF(Assumptions!B5,B1709,"m")+1</f>
        <v>57</v>
      </c>
      <c r="E1709" s="18" t="str">
        <f aca="false">TEXT(B1709,"ddd")</f>
        <v>Wed</v>
      </c>
      <c r="F1709" s="19" t="n">
        <f aca="false">IF(WEEKDAY(B1709,2)&gt;=6,Assumptions!B34,Assumptions!B35)</f>
        <v>1</v>
      </c>
      <c r="G1709" s="20" t="n">
        <f aca="false">IF(D1709&gt;=13,(1+Assumptions!B46)^(D1709-12),1)</f>
        <v>1.14430550152086</v>
      </c>
      <c r="H1709" s="21" t="n">
        <f aca="false">H1708*(1+IF(C1709=1,Assumptions!B22,Assumptions!B23))</f>
        <v>25.9377030920488</v>
      </c>
      <c r="I1709" s="16" t="n">
        <f aca="false">ROUND(H1709*F1709,0)</f>
        <v>26</v>
      </c>
      <c r="J1709" s="22" t="n">
        <f aca="false">I1709*Assumptions!B24</f>
        <v>15600</v>
      </c>
      <c r="K1709" s="21" t="n">
        <f aca="false">K1708*(1+Assumptions!B30)</f>
        <v>22.9587008515069</v>
      </c>
      <c r="L1709" s="16" t="n">
        <f aca="false">ROUND(K1709*F1709,0)</f>
        <v>23</v>
      </c>
      <c r="M1709" s="22" t="n">
        <f aca="false">L1709*Assumptions!B31</f>
        <v>6900</v>
      </c>
      <c r="N1709" s="22" t="n">
        <f aca="false">J1709+M1709</f>
        <v>22500</v>
      </c>
      <c r="O1709" s="22" t="n">
        <f aca="false">IF(DAY(B1709)=1,Assumptions!B38*G1709,0)</f>
        <v>0</v>
      </c>
      <c r="P1709" s="22" t="n">
        <f aca="false">IF(DAY(B1709)=1,Assumptions!B39*G1709,0)</f>
        <v>0</v>
      </c>
      <c r="Q1709" s="22" t="n">
        <f aca="false">IF(DAY(B1709)=1,Assumptions!B40*G1709,0)</f>
        <v>0</v>
      </c>
      <c r="R1709" s="22" t="n">
        <f aca="false">IF(DAY(B1709)=1,Assumptions!B41*G1709,0)</f>
        <v>0</v>
      </c>
      <c r="S1709" s="22" t="n">
        <f aca="false">IF(AND(DAY(B1709)=1,D1709&gt;=13),Assumptions!B42*G1709,0)</f>
        <v>0</v>
      </c>
      <c r="T1709" s="22" t="n">
        <f aca="false">IF(DAY(B1709)=1,Assumptions!B43*G1709,0)</f>
        <v>0</v>
      </c>
      <c r="U1709" s="22" t="n">
        <f aca="false">SUM(O1709:T1709)</f>
        <v>0</v>
      </c>
      <c r="V1709" s="22" t="n">
        <f aca="false">N1709-U1709</f>
        <v>22500</v>
      </c>
      <c r="W1709" s="22" t="n">
        <f aca="false">W1708+V1709</f>
        <v>300882.869858574</v>
      </c>
      <c r="X1709" s="23" t="str">
        <f aca="false">IF(W1709&gt;=0,"YES","No")</f>
        <v>YES</v>
      </c>
    </row>
    <row r="1710" customFormat="false" ht="15" hidden="false" customHeight="false" outlineLevel="0" collapsed="false">
      <c r="A1710" s="16" t="n">
        <v>1709</v>
      </c>
      <c r="B1710" s="17" t="n">
        <f aca="false">B1709+1</f>
        <v>47731</v>
      </c>
      <c r="C1710" s="18" t="n">
        <f aca="false">MIN(ROUNDUP(A1710/365,0),5)</f>
        <v>5</v>
      </c>
      <c r="D1710" s="18" t="n">
        <f aca="false">DATEDIF(Assumptions!B5,B1710,"m")+1</f>
        <v>57</v>
      </c>
      <c r="E1710" s="18" t="str">
        <f aca="false">TEXT(B1710,"ddd")</f>
        <v>Thu</v>
      </c>
      <c r="F1710" s="19" t="n">
        <f aca="false">IF(WEEKDAY(B1710,2)&gt;=6,Assumptions!B34,Assumptions!B35)</f>
        <v>1</v>
      </c>
      <c r="G1710" s="20" t="n">
        <f aca="false">IF(D1710&gt;=13,(1+Assumptions!B46)^(D1710-12),1)</f>
        <v>1.14430550152086</v>
      </c>
      <c r="H1710" s="21" t="n">
        <f aca="false">H1709*(1+IF(C1710=1,Assumptions!B22,Assumptions!B23))</f>
        <v>25.9419532881591</v>
      </c>
      <c r="I1710" s="16" t="n">
        <f aca="false">ROUND(H1710*F1710,0)</f>
        <v>26</v>
      </c>
      <c r="J1710" s="22" t="n">
        <f aca="false">I1710*Assumptions!B24</f>
        <v>15600</v>
      </c>
      <c r="K1710" s="21" t="n">
        <f aca="false">K1709*(1+Assumptions!B30)</f>
        <v>22.9662068965533</v>
      </c>
      <c r="L1710" s="16" t="n">
        <f aca="false">ROUND(K1710*F1710,0)</f>
        <v>23</v>
      </c>
      <c r="M1710" s="22" t="n">
        <f aca="false">L1710*Assumptions!B31</f>
        <v>6900</v>
      </c>
      <c r="N1710" s="22" t="n">
        <f aca="false">J1710+M1710</f>
        <v>22500</v>
      </c>
      <c r="O1710" s="22" t="n">
        <f aca="false">IF(DAY(B1710)=1,Assumptions!B38*G1710,0)</f>
        <v>0</v>
      </c>
      <c r="P1710" s="22" t="n">
        <f aca="false">IF(DAY(B1710)=1,Assumptions!B39*G1710,0)</f>
        <v>0</v>
      </c>
      <c r="Q1710" s="22" t="n">
        <f aca="false">IF(DAY(B1710)=1,Assumptions!B40*G1710,0)</f>
        <v>0</v>
      </c>
      <c r="R1710" s="22" t="n">
        <f aca="false">IF(DAY(B1710)=1,Assumptions!B41*G1710,0)</f>
        <v>0</v>
      </c>
      <c r="S1710" s="22" t="n">
        <f aca="false">IF(AND(DAY(B1710)=1,D1710&gt;=13),Assumptions!B42*G1710,0)</f>
        <v>0</v>
      </c>
      <c r="T1710" s="22" t="n">
        <f aca="false">IF(DAY(B1710)=1,Assumptions!B43*G1710,0)</f>
        <v>0</v>
      </c>
      <c r="U1710" s="22" t="n">
        <f aca="false">SUM(O1710:T1710)</f>
        <v>0</v>
      </c>
      <c r="V1710" s="22" t="n">
        <f aca="false">N1710-U1710</f>
        <v>22500</v>
      </c>
      <c r="W1710" s="22" t="n">
        <f aca="false">W1709+V1710</f>
        <v>323382.869858574</v>
      </c>
      <c r="X1710" s="23" t="str">
        <f aca="false">IF(W1710&gt;=0,"YES","No")</f>
        <v>YES</v>
      </c>
    </row>
    <row r="1711" customFormat="false" ht="15" hidden="false" customHeight="false" outlineLevel="0" collapsed="false">
      <c r="A1711" s="16" t="n">
        <v>1710</v>
      </c>
      <c r="B1711" s="17" t="n">
        <f aca="false">B1710+1</f>
        <v>47732</v>
      </c>
      <c r="C1711" s="18" t="n">
        <f aca="false">MIN(ROUNDUP(A1711/365,0),5)</f>
        <v>5</v>
      </c>
      <c r="D1711" s="18" t="n">
        <f aca="false">DATEDIF(Assumptions!B5,B1711,"m")+1</f>
        <v>57</v>
      </c>
      <c r="E1711" s="18" t="str">
        <f aca="false">TEXT(B1711,"ddd")</f>
        <v>Fri</v>
      </c>
      <c r="F1711" s="19" t="n">
        <f aca="false">IF(WEEKDAY(B1711,2)&gt;=6,Assumptions!B34,Assumptions!B35)</f>
        <v>1</v>
      </c>
      <c r="G1711" s="20" t="n">
        <f aca="false">IF(D1711&gt;=13,(1+Assumptions!B46)^(D1711-12),1)</f>
        <v>1.14430550152086</v>
      </c>
      <c r="H1711" s="21" t="n">
        <f aca="false">H1710*(1+IF(C1711=1,Assumptions!B22,Assumptions!B23))</f>
        <v>25.9462041807138</v>
      </c>
      <c r="I1711" s="16" t="n">
        <f aca="false">ROUND(H1711*F1711,0)</f>
        <v>26</v>
      </c>
      <c r="J1711" s="22" t="n">
        <f aca="false">I1711*Assumptions!B24</f>
        <v>15600</v>
      </c>
      <c r="K1711" s="21" t="n">
        <f aca="false">K1710*(1+Assumptions!B30)</f>
        <v>22.9737153956023</v>
      </c>
      <c r="L1711" s="16" t="n">
        <f aca="false">ROUND(K1711*F1711,0)</f>
        <v>23</v>
      </c>
      <c r="M1711" s="22" t="n">
        <f aca="false">L1711*Assumptions!B31</f>
        <v>6900</v>
      </c>
      <c r="N1711" s="22" t="n">
        <f aca="false">J1711+M1711</f>
        <v>22500</v>
      </c>
      <c r="O1711" s="22" t="n">
        <f aca="false">IF(DAY(B1711)=1,Assumptions!B38*G1711,0)</f>
        <v>0</v>
      </c>
      <c r="P1711" s="22" t="n">
        <f aca="false">IF(DAY(B1711)=1,Assumptions!B39*G1711,0)</f>
        <v>0</v>
      </c>
      <c r="Q1711" s="22" t="n">
        <f aca="false">IF(DAY(B1711)=1,Assumptions!B40*G1711,0)</f>
        <v>0</v>
      </c>
      <c r="R1711" s="22" t="n">
        <f aca="false">IF(DAY(B1711)=1,Assumptions!B41*G1711,0)</f>
        <v>0</v>
      </c>
      <c r="S1711" s="22" t="n">
        <f aca="false">IF(AND(DAY(B1711)=1,D1711&gt;=13),Assumptions!B42*G1711,0)</f>
        <v>0</v>
      </c>
      <c r="T1711" s="22" t="n">
        <f aca="false">IF(DAY(B1711)=1,Assumptions!B43*G1711,0)</f>
        <v>0</v>
      </c>
      <c r="U1711" s="22" t="n">
        <f aca="false">SUM(O1711:T1711)</f>
        <v>0</v>
      </c>
      <c r="V1711" s="22" t="n">
        <f aca="false">N1711-U1711</f>
        <v>22500</v>
      </c>
      <c r="W1711" s="22" t="n">
        <f aca="false">W1710+V1711</f>
        <v>345882.869858574</v>
      </c>
      <c r="X1711" s="23" t="str">
        <f aca="false">IF(W1711&gt;=0,"YES","No")</f>
        <v>YES</v>
      </c>
    </row>
    <row r="1712" customFormat="false" ht="15" hidden="false" customHeight="false" outlineLevel="0" collapsed="false">
      <c r="A1712" s="16" t="n">
        <v>1711</v>
      </c>
      <c r="B1712" s="17" t="n">
        <f aca="false">B1711+1</f>
        <v>47733</v>
      </c>
      <c r="C1712" s="18" t="n">
        <f aca="false">MIN(ROUNDUP(A1712/365,0),5)</f>
        <v>5</v>
      </c>
      <c r="D1712" s="18" t="n">
        <f aca="false">DATEDIF(Assumptions!B5,B1712,"m")+1</f>
        <v>57</v>
      </c>
      <c r="E1712" s="18" t="str">
        <f aca="false">TEXT(B1712,"ddd")</f>
        <v>Sat</v>
      </c>
      <c r="F1712" s="19" t="n">
        <f aca="false">IF(WEEKDAY(B1712,2)&gt;=6,Assumptions!B34,Assumptions!B35)</f>
        <v>0.6</v>
      </c>
      <c r="G1712" s="20" t="n">
        <f aca="false">IF(D1712&gt;=13,(1+Assumptions!B46)^(D1712-12),1)</f>
        <v>1.14430550152086</v>
      </c>
      <c r="H1712" s="21" t="n">
        <f aca="false">H1711*(1+IF(C1712=1,Assumptions!B22,Assumptions!B23))</f>
        <v>25.9504557698269</v>
      </c>
      <c r="I1712" s="16" t="n">
        <f aca="false">ROUND(H1712*F1712,0)</f>
        <v>16</v>
      </c>
      <c r="J1712" s="22" t="n">
        <f aca="false">I1712*Assumptions!B24</f>
        <v>9600</v>
      </c>
      <c r="K1712" s="21" t="n">
        <f aca="false">K1711*(1+Assumptions!B30)</f>
        <v>22.9812263494563</v>
      </c>
      <c r="L1712" s="16" t="n">
        <f aca="false">ROUND(K1712*F1712,0)</f>
        <v>14</v>
      </c>
      <c r="M1712" s="22" t="n">
        <f aca="false">L1712*Assumptions!B31</f>
        <v>4200</v>
      </c>
      <c r="N1712" s="22" t="n">
        <f aca="false">J1712+M1712</f>
        <v>13800</v>
      </c>
      <c r="O1712" s="22" t="n">
        <f aca="false">IF(DAY(B1712)=1,Assumptions!B38*G1712,0)</f>
        <v>0</v>
      </c>
      <c r="P1712" s="22" t="n">
        <f aca="false">IF(DAY(B1712)=1,Assumptions!B39*G1712,0)</f>
        <v>0</v>
      </c>
      <c r="Q1712" s="22" t="n">
        <f aca="false">IF(DAY(B1712)=1,Assumptions!B40*G1712,0)</f>
        <v>0</v>
      </c>
      <c r="R1712" s="22" t="n">
        <f aca="false">IF(DAY(B1712)=1,Assumptions!B41*G1712,0)</f>
        <v>0</v>
      </c>
      <c r="S1712" s="22" t="n">
        <f aca="false">IF(AND(DAY(B1712)=1,D1712&gt;=13),Assumptions!B42*G1712,0)</f>
        <v>0</v>
      </c>
      <c r="T1712" s="22" t="n">
        <f aca="false">IF(DAY(B1712)=1,Assumptions!B43*G1712,0)</f>
        <v>0</v>
      </c>
      <c r="U1712" s="22" t="n">
        <f aca="false">SUM(O1712:T1712)</f>
        <v>0</v>
      </c>
      <c r="V1712" s="22" t="n">
        <f aca="false">N1712-U1712</f>
        <v>13800</v>
      </c>
      <c r="W1712" s="22" t="n">
        <f aca="false">W1711+V1712</f>
        <v>359682.869858574</v>
      </c>
      <c r="X1712" s="23" t="str">
        <f aca="false">IF(W1712&gt;=0,"YES","No")</f>
        <v>YES</v>
      </c>
    </row>
    <row r="1713" customFormat="false" ht="15" hidden="false" customHeight="false" outlineLevel="0" collapsed="false">
      <c r="A1713" s="16" t="n">
        <v>1712</v>
      </c>
      <c r="B1713" s="17" t="n">
        <f aca="false">B1712+1</f>
        <v>47734</v>
      </c>
      <c r="C1713" s="18" t="n">
        <f aca="false">MIN(ROUNDUP(A1713/365,0),5)</f>
        <v>5</v>
      </c>
      <c r="D1713" s="18" t="n">
        <f aca="false">DATEDIF(Assumptions!B5,B1713,"m")+1</f>
        <v>57</v>
      </c>
      <c r="E1713" s="18" t="str">
        <f aca="false">TEXT(B1713,"ddd")</f>
        <v>Sun</v>
      </c>
      <c r="F1713" s="19" t="n">
        <f aca="false">IF(WEEKDAY(B1713,2)&gt;=6,Assumptions!B34,Assumptions!B35)</f>
        <v>0.6</v>
      </c>
      <c r="G1713" s="20" t="n">
        <f aca="false">IF(D1713&gt;=13,(1+Assumptions!B46)^(D1713-12),1)</f>
        <v>1.14430550152086</v>
      </c>
      <c r="H1713" s="21" t="n">
        <f aca="false">H1712*(1+IF(C1713=1,Assumptions!B22,Assumptions!B23))</f>
        <v>25.9547080556127</v>
      </c>
      <c r="I1713" s="16" t="n">
        <f aca="false">ROUND(H1713*F1713,0)</f>
        <v>16</v>
      </c>
      <c r="J1713" s="22" t="n">
        <f aca="false">I1713*Assumptions!B24</f>
        <v>9600</v>
      </c>
      <c r="K1713" s="21" t="n">
        <f aca="false">K1712*(1+Assumptions!B30)</f>
        <v>22.9887397589178</v>
      </c>
      <c r="L1713" s="16" t="n">
        <f aca="false">ROUND(K1713*F1713,0)</f>
        <v>14</v>
      </c>
      <c r="M1713" s="22" t="n">
        <f aca="false">L1713*Assumptions!B31</f>
        <v>4200</v>
      </c>
      <c r="N1713" s="22" t="n">
        <f aca="false">J1713+M1713</f>
        <v>13800</v>
      </c>
      <c r="O1713" s="22" t="n">
        <f aca="false">IF(DAY(B1713)=1,Assumptions!B38*G1713,0)</f>
        <v>0</v>
      </c>
      <c r="P1713" s="22" t="n">
        <f aca="false">IF(DAY(B1713)=1,Assumptions!B39*G1713,0)</f>
        <v>0</v>
      </c>
      <c r="Q1713" s="22" t="n">
        <f aca="false">IF(DAY(B1713)=1,Assumptions!B40*G1713,0)</f>
        <v>0</v>
      </c>
      <c r="R1713" s="22" t="n">
        <f aca="false">IF(DAY(B1713)=1,Assumptions!B41*G1713,0)</f>
        <v>0</v>
      </c>
      <c r="S1713" s="22" t="n">
        <f aca="false">IF(AND(DAY(B1713)=1,D1713&gt;=13),Assumptions!B42*G1713,0)</f>
        <v>0</v>
      </c>
      <c r="T1713" s="22" t="n">
        <f aca="false">IF(DAY(B1713)=1,Assumptions!B43*G1713,0)</f>
        <v>0</v>
      </c>
      <c r="U1713" s="22" t="n">
        <f aca="false">SUM(O1713:T1713)</f>
        <v>0</v>
      </c>
      <c r="V1713" s="22" t="n">
        <f aca="false">N1713-U1713</f>
        <v>13800</v>
      </c>
      <c r="W1713" s="22" t="n">
        <f aca="false">W1712+V1713</f>
        <v>373482.869858574</v>
      </c>
      <c r="X1713" s="23" t="str">
        <f aca="false">IF(W1713&gt;=0,"YES","No")</f>
        <v>YES</v>
      </c>
    </row>
    <row r="1714" customFormat="false" ht="15" hidden="false" customHeight="false" outlineLevel="0" collapsed="false">
      <c r="A1714" s="16" t="n">
        <v>1713</v>
      </c>
      <c r="B1714" s="17" t="n">
        <f aca="false">B1713+1</f>
        <v>47735</v>
      </c>
      <c r="C1714" s="18" t="n">
        <f aca="false">MIN(ROUNDUP(A1714/365,0),5)</f>
        <v>5</v>
      </c>
      <c r="D1714" s="18" t="n">
        <f aca="false">DATEDIF(Assumptions!B5,B1714,"m")+1</f>
        <v>57</v>
      </c>
      <c r="E1714" s="18" t="str">
        <f aca="false">TEXT(B1714,"ddd")</f>
        <v>Mon</v>
      </c>
      <c r="F1714" s="19" t="n">
        <f aca="false">IF(WEEKDAY(B1714,2)&gt;=6,Assumptions!B34,Assumptions!B35)</f>
        <v>1</v>
      </c>
      <c r="G1714" s="20" t="n">
        <f aca="false">IF(D1714&gt;=13,(1+Assumptions!B46)^(D1714-12),1)</f>
        <v>1.14430550152086</v>
      </c>
      <c r="H1714" s="21" t="n">
        <f aca="false">H1713*(1+IF(C1714=1,Assumptions!B22,Assumptions!B23))</f>
        <v>25.9589610381852</v>
      </c>
      <c r="I1714" s="16" t="n">
        <f aca="false">ROUND(H1714*F1714,0)</f>
        <v>26</v>
      </c>
      <c r="J1714" s="22" t="n">
        <f aca="false">I1714*Assumptions!B24</f>
        <v>15600</v>
      </c>
      <c r="K1714" s="21" t="n">
        <f aca="false">K1713*(1+Assumptions!B30)</f>
        <v>22.9962556247896</v>
      </c>
      <c r="L1714" s="16" t="n">
        <f aca="false">ROUND(K1714*F1714,0)</f>
        <v>23</v>
      </c>
      <c r="M1714" s="22" t="n">
        <f aca="false">L1714*Assumptions!B31</f>
        <v>6900</v>
      </c>
      <c r="N1714" s="22" t="n">
        <f aca="false">J1714+M1714</f>
        <v>22500</v>
      </c>
      <c r="O1714" s="22" t="n">
        <f aca="false">IF(DAY(B1714)=1,Assumptions!B38*G1714,0)</f>
        <v>0</v>
      </c>
      <c r="P1714" s="22" t="n">
        <f aca="false">IF(DAY(B1714)=1,Assumptions!B39*G1714,0)</f>
        <v>0</v>
      </c>
      <c r="Q1714" s="22" t="n">
        <f aca="false">IF(DAY(B1714)=1,Assumptions!B40*G1714,0)</f>
        <v>0</v>
      </c>
      <c r="R1714" s="22" t="n">
        <f aca="false">IF(DAY(B1714)=1,Assumptions!B41*G1714,0)</f>
        <v>0</v>
      </c>
      <c r="S1714" s="22" t="n">
        <f aca="false">IF(AND(DAY(B1714)=1,D1714&gt;=13),Assumptions!B42*G1714,0)</f>
        <v>0</v>
      </c>
      <c r="T1714" s="22" t="n">
        <f aca="false">IF(DAY(B1714)=1,Assumptions!B43*G1714,0)</f>
        <v>0</v>
      </c>
      <c r="U1714" s="22" t="n">
        <f aca="false">SUM(O1714:T1714)</f>
        <v>0</v>
      </c>
      <c r="V1714" s="22" t="n">
        <f aca="false">N1714-U1714</f>
        <v>22500</v>
      </c>
      <c r="W1714" s="22" t="n">
        <f aca="false">W1713+V1714</f>
        <v>395982.869858574</v>
      </c>
      <c r="X1714" s="23" t="str">
        <f aca="false">IF(W1714&gt;=0,"YES","No")</f>
        <v>YES</v>
      </c>
    </row>
    <row r="1715" customFormat="false" ht="15" hidden="false" customHeight="false" outlineLevel="0" collapsed="false">
      <c r="A1715" s="16" t="n">
        <v>1714</v>
      </c>
      <c r="B1715" s="17" t="n">
        <f aca="false">B1714+1</f>
        <v>47736</v>
      </c>
      <c r="C1715" s="18" t="n">
        <f aca="false">MIN(ROUNDUP(A1715/365,0),5)</f>
        <v>5</v>
      </c>
      <c r="D1715" s="18" t="n">
        <f aca="false">DATEDIF(Assumptions!B5,B1715,"m")+1</f>
        <v>57</v>
      </c>
      <c r="E1715" s="18" t="str">
        <f aca="false">TEXT(B1715,"ddd")</f>
        <v>Tue</v>
      </c>
      <c r="F1715" s="19" t="n">
        <f aca="false">IF(WEEKDAY(B1715,2)&gt;=6,Assumptions!B34,Assumptions!B35)</f>
        <v>1</v>
      </c>
      <c r="G1715" s="20" t="n">
        <f aca="false">IF(D1715&gt;=13,(1+Assumptions!B46)^(D1715-12),1)</f>
        <v>1.14430550152086</v>
      </c>
      <c r="H1715" s="21" t="n">
        <f aca="false">H1714*(1+IF(C1715=1,Assumptions!B22,Assumptions!B23))</f>
        <v>25.9632147176587</v>
      </c>
      <c r="I1715" s="16" t="n">
        <f aca="false">ROUND(H1715*F1715,0)</f>
        <v>26</v>
      </c>
      <c r="J1715" s="22" t="n">
        <f aca="false">I1715*Assumptions!B24</f>
        <v>15600</v>
      </c>
      <c r="K1715" s="21" t="n">
        <f aca="false">K1714*(1+Assumptions!B30)</f>
        <v>23.0037739478748</v>
      </c>
      <c r="L1715" s="16" t="n">
        <f aca="false">ROUND(K1715*F1715,0)</f>
        <v>23</v>
      </c>
      <c r="M1715" s="22" t="n">
        <f aca="false">L1715*Assumptions!B31</f>
        <v>6900</v>
      </c>
      <c r="N1715" s="22" t="n">
        <f aca="false">J1715+M1715</f>
        <v>22500</v>
      </c>
      <c r="O1715" s="22" t="n">
        <f aca="false">IF(DAY(B1715)=1,Assumptions!B38*G1715,0)</f>
        <v>0</v>
      </c>
      <c r="P1715" s="22" t="n">
        <f aca="false">IF(DAY(B1715)=1,Assumptions!B39*G1715,0)</f>
        <v>0</v>
      </c>
      <c r="Q1715" s="22" t="n">
        <f aca="false">IF(DAY(B1715)=1,Assumptions!B40*G1715,0)</f>
        <v>0</v>
      </c>
      <c r="R1715" s="22" t="n">
        <f aca="false">IF(DAY(B1715)=1,Assumptions!B41*G1715,0)</f>
        <v>0</v>
      </c>
      <c r="S1715" s="22" t="n">
        <f aca="false">IF(AND(DAY(B1715)=1,D1715&gt;=13),Assumptions!B42*G1715,0)</f>
        <v>0</v>
      </c>
      <c r="T1715" s="22" t="n">
        <f aca="false">IF(DAY(B1715)=1,Assumptions!B43*G1715,0)</f>
        <v>0</v>
      </c>
      <c r="U1715" s="22" t="n">
        <f aca="false">SUM(O1715:T1715)</f>
        <v>0</v>
      </c>
      <c r="V1715" s="22" t="n">
        <f aca="false">N1715-U1715</f>
        <v>22500</v>
      </c>
      <c r="W1715" s="22" t="n">
        <f aca="false">W1714+V1715</f>
        <v>418482.869858574</v>
      </c>
      <c r="X1715" s="23" t="str">
        <f aca="false">IF(W1715&gt;=0,"YES","No")</f>
        <v>YES</v>
      </c>
    </row>
    <row r="1716" customFormat="false" ht="15" hidden="false" customHeight="false" outlineLevel="0" collapsed="false">
      <c r="A1716" s="16" t="n">
        <v>1715</v>
      </c>
      <c r="B1716" s="17" t="n">
        <f aca="false">B1715+1</f>
        <v>47737</v>
      </c>
      <c r="C1716" s="18" t="n">
        <f aca="false">MIN(ROUNDUP(A1716/365,0),5)</f>
        <v>5</v>
      </c>
      <c r="D1716" s="18" t="n">
        <f aca="false">DATEDIF(Assumptions!B5,B1716,"m")+1</f>
        <v>57</v>
      </c>
      <c r="E1716" s="18" t="str">
        <f aca="false">TEXT(B1716,"ddd")</f>
        <v>Wed</v>
      </c>
      <c r="F1716" s="19" t="n">
        <f aca="false">IF(WEEKDAY(B1716,2)&gt;=6,Assumptions!B34,Assumptions!B35)</f>
        <v>1</v>
      </c>
      <c r="G1716" s="20" t="n">
        <f aca="false">IF(D1716&gt;=13,(1+Assumptions!B46)^(D1716-12),1)</f>
        <v>1.14430550152086</v>
      </c>
      <c r="H1716" s="21" t="n">
        <f aca="false">H1715*(1+IF(C1716=1,Assumptions!B22,Assumptions!B23))</f>
        <v>25.9674690941474</v>
      </c>
      <c r="I1716" s="16" t="n">
        <f aca="false">ROUND(H1716*F1716,0)</f>
        <v>26</v>
      </c>
      <c r="J1716" s="22" t="n">
        <f aca="false">I1716*Assumptions!B24</f>
        <v>15600</v>
      </c>
      <c r="K1716" s="21" t="n">
        <f aca="false">K1715*(1+Assumptions!B30)</f>
        <v>23.0112947289768</v>
      </c>
      <c r="L1716" s="16" t="n">
        <f aca="false">ROUND(K1716*F1716,0)</f>
        <v>23</v>
      </c>
      <c r="M1716" s="22" t="n">
        <f aca="false">L1716*Assumptions!B31</f>
        <v>6900</v>
      </c>
      <c r="N1716" s="22" t="n">
        <f aca="false">J1716+M1716</f>
        <v>22500</v>
      </c>
      <c r="O1716" s="22" t="n">
        <f aca="false">IF(DAY(B1716)=1,Assumptions!B38*G1716,0)</f>
        <v>0</v>
      </c>
      <c r="P1716" s="22" t="n">
        <f aca="false">IF(DAY(B1716)=1,Assumptions!B39*G1716,0)</f>
        <v>0</v>
      </c>
      <c r="Q1716" s="22" t="n">
        <f aca="false">IF(DAY(B1716)=1,Assumptions!B40*G1716,0)</f>
        <v>0</v>
      </c>
      <c r="R1716" s="22" t="n">
        <f aca="false">IF(DAY(B1716)=1,Assumptions!B41*G1716,0)</f>
        <v>0</v>
      </c>
      <c r="S1716" s="22" t="n">
        <f aca="false">IF(AND(DAY(B1716)=1,D1716&gt;=13),Assumptions!B42*G1716,0)</f>
        <v>0</v>
      </c>
      <c r="T1716" s="22" t="n">
        <f aca="false">IF(DAY(B1716)=1,Assumptions!B43*G1716,0)</f>
        <v>0</v>
      </c>
      <c r="U1716" s="22" t="n">
        <f aca="false">SUM(O1716:T1716)</f>
        <v>0</v>
      </c>
      <c r="V1716" s="22" t="n">
        <f aca="false">N1716-U1716</f>
        <v>22500</v>
      </c>
      <c r="W1716" s="22" t="n">
        <f aca="false">W1715+V1716</f>
        <v>440982.869858574</v>
      </c>
      <c r="X1716" s="23" t="str">
        <f aca="false">IF(W1716&gt;=0,"YES","No")</f>
        <v>YES</v>
      </c>
    </row>
    <row r="1717" customFormat="false" ht="15" hidden="false" customHeight="false" outlineLevel="0" collapsed="false">
      <c r="A1717" s="16" t="n">
        <v>1716</v>
      </c>
      <c r="B1717" s="17" t="n">
        <f aca="false">B1716+1</f>
        <v>47738</v>
      </c>
      <c r="C1717" s="18" t="n">
        <f aca="false">MIN(ROUNDUP(A1717/365,0),5)</f>
        <v>5</v>
      </c>
      <c r="D1717" s="18" t="n">
        <f aca="false">DATEDIF(Assumptions!B5,B1717,"m")+1</f>
        <v>57</v>
      </c>
      <c r="E1717" s="18" t="str">
        <f aca="false">TEXT(B1717,"ddd")</f>
        <v>Thu</v>
      </c>
      <c r="F1717" s="19" t="n">
        <f aca="false">IF(WEEKDAY(B1717,2)&gt;=6,Assumptions!B34,Assumptions!B35)</f>
        <v>1</v>
      </c>
      <c r="G1717" s="20" t="n">
        <f aca="false">IF(D1717&gt;=13,(1+Assumptions!B46)^(D1717-12),1)</f>
        <v>1.14430550152086</v>
      </c>
      <c r="H1717" s="21" t="n">
        <f aca="false">H1716*(1+IF(C1717=1,Assumptions!B22,Assumptions!B23))</f>
        <v>25.9717241677654</v>
      </c>
      <c r="I1717" s="16" t="n">
        <f aca="false">ROUND(H1717*F1717,0)</f>
        <v>26</v>
      </c>
      <c r="J1717" s="22" t="n">
        <f aca="false">I1717*Assumptions!B24</f>
        <v>15600</v>
      </c>
      <c r="K1717" s="21" t="n">
        <f aca="false">K1716*(1+Assumptions!B30)</f>
        <v>23.0188179688991</v>
      </c>
      <c r="L1717" s="16" t="n">
        <f aca="false">ROUND(K1717*F1717,0)</f>
        <v>23</v>
      </c>
      <c r="M1717" s="22" t="n">
        <f aca="false">L1717*Assumptions!B31</f>
        <v>6900</v>
      </c>
      <c r="N1717" s="22" t="n">
        <f aca="false">J1717+M1717</f>
        <v>22500</v>
      </c>
      <c r="O1717" s="22" t="n">
        <f aca="false">IF(DAY(B1717)=1,Assumptions!B38*G1717,0)</f>
        <v>0</v>
      </c>
      <c r="P1717" s="22" t="n">
        <f aca="false">IF(DAY(B1717)=1,Assumptions!B39*G1717,0)</f>
        <v>0</v>
      </c>
      <c r="Q1717" s="22" t="n">
        <f aca="false">IF(DAY(B1717)=1,Assumptions!B40*G1717,0)</f>
        <v>0</v>
      </c>
      <c r="R1717" s="22" t="n">
        <f aca="false">IF(DAY(B1717)=1,Assumptions!B41*G1717,0)</f>
        <v>0</v>
      </c>
      <c r="S1717" s="22" t="n">
        <f aca="false">IF(AND(DAY(B1717)=1,D1717&gt;=13),Assumptions!B42*G1717,0)</f>
        <v>0</v>
      </c>
      <c r="T1717" s="22" t="n">
        <f aca="false">IF(DAY(B1717)=1,Assumptions!B43*G1717,0)</f>
        <v>0</v>
      </c>
      <c r="U1717" s="22" t="n">
        <f aca="false">SUM(O1717:T1717)</f>
        <v>0</v>
      </c>
      <c r="V1717" s="22" t="n">
        <f aca="false">N1717-U1717</f>
        <v>22500</v>
      </c>
      <c r="W1717" s="22" t="n">
        <f aca="false">W1716+V1717</f>
        <v>463482.869858574</v>
      </c>
      <c r="X1717" s="23" t="str">
        <f aca="false">IF(W1717&gt;=0,"YES","No")</f>
        <v>YES</v>
      </c>
    </row>
    <row r="1718" customFormat="false" ht="15" hidden="false" customHeight="false" outlineLevel="0" collapsed="false">
      <c r="A1718" s="16" t="n">
        <v>1717</v>
      </c>
      <c r="B1718" s="17" t="n">
        <f aca="false">B1717+1</f>
        <v>47739</v>
      </c>
      <c r="C1718" s="18" t="n">
        <f aca="false">MIN(ROUNDUP(A1718/365,0),5)</f>
        <v>5</v>
      </c>
      <c r="D1718" s="18" t="n">
        <f aca="false">DATEDIF(Assumptions!B5,B1718,"m")+1</f>
        <v>57</v>
      </c>
      <c r="E1718" s="18" t="str">
        <f aca="false">TEXT(B1718,"ddd")</f>
        <v>Fri</v>
      </c>
      <c r="F1718" s="19" t="n">
        <f aca="false">IF(WEEKDAY(B1718,2)&gt;=6,Assumptions!B34,Assumptions!B35)</f>
        <v>1</v>
      </c>
      <c r="G1718" s="20" t="n">
        <f aca="false">IF(D1718&gt;=13,(1+Assumptions!B46)^(D1718-12),1)</f>
        <v>1.14430550152086</v>
      </c>
      <c r="H1718" s="21" t="n">
        <f aca="false">H1717*(1+IF(C1718=1,Assumptions!B22,Assumptions!B23))</f>
        <v>25.975979938627</v>
      </c>
      <c r="I1718" s="16" t="n">
        <f aca="false">ROUND(H1718*F1718,0)</f>
        <v>26</v>
      </c>
      <c r="J1718" s="22" t="n">
        <f aca="false">I1718*Assumptions!B24</f>
        <v>15600</v>
      </c>
      <c r="K1718" s="21" t="n">
        <f aca="false">K1717*(1+Assumptions!B30)</f>
        <v>23.0263436684458</v>
      </c>
      <c r="L1718" s="16" t="n">
        <f aca="false">ROUND(K1718*F1718,0)</f>
        <v>23</v>
      </c>
      <c r="M1718" s="22" t="n">
        <f aca="false">L1718*Assumptions!B31</f>
        <v>6900</v>
      </c>
      <c r="N1718" s="22" t="n">
        <f aca="false">J1718+M1718</f>
        <v>22500</v>
      </c>
      <c r="O1718" s="22" t="n">
        <f aca="false">IF(DAY(B1718)=1,Assumptions!B38*G1718,0)</f>
        <v>0</v>
      </c>
      <c r="P1718" s="22" t="n">
        <f aca="false">IF(DAY(B1718)=1,Assumptions!B39*G1718,0)</f>
        <v>0</v>
      </c>
      <c r="Q1718" s="22" t="n">
        <f aca="false">IF(DAY(B1718)=1,Assumptions!B40*G1718,0)</f>
        <v>0</v>
      </c>
      <c r="R1718" s="22" t="n">
        <f aca="false">IF(DAY(B1718)=1,Assumptions!B41*G1718,0)</f>
        <v>0</v>
      </c>
      <c r="S1718" s="22" t="n">
        <f aca="false">IF(AND(DAY(B1718)=1,D1718&gt;=13),Assumptions!B42*G1718,0)</f>
        <v>0</v>
      </c>
      <c r="T1718" s="22" t="n">
        <f aca="false">IF(DAY(B1718)=1,Assumptions!B43*G1718,0)</f>
        <v>0</v>
      </c>
      <c r="U1718" s="22" t="n">
        <f aca="false">SUM(O1718:T1718)</f>
        <v>0</v>
      </c>
      <c r="V1718" s="22" t="n">
        <f aca="false">N1718-U1718</f>
        <v>22500</v>
      </c>
      <c r="W1718" s="22" t="n">
        <f aca="false">W1717+V1718</f>
        <v>485982.869858574</v>
      </c>
      <c r="X1718" s="23" t="str">
        <f aca="false">IF(W1718&gt;=0,"YES","No")</f>
        <v>YES</v>
      </c>
    </row>
    <row r="1719" customFormat="false" ht="15" hidden="false" customHeight="false" outlineLevel="0" collapsed="false">
      <c r="A1719" s="16" t="n">
        <v>1718</v>
      </c>
      <c r="B1719" s="17" t="n">
        <f aca="false">B1718+1</f>
        <v>47740</v>
      </c>
      <c r="C1719" s="18" t="n">
        <f aca="false">MIN(ROUNDUP(A1719/365,0),5)</f>
        <v>5</v>
      </c>
      <c r="D1719" s="18" t="n">
        <f aca="false">DATEDIF(Assumptions!B5,B1719,"m")+1</f>
        <v>57</v>
      </c>
      <c r="E1719" s="18" t="str">
        <f aca="false">TEXT(B1719,"ddd")</f>
        <v>Sat</v>
      </c>
      <c r="F1719" s="19" t="n">
        <f aca="false">IF(WEEKDAY(B1719,2)&gt;=6,Assumptions!B34,Assumptions!B35)</f>
        <v>0.6</v>
      </c>
      <c r="G1719" s="20" t="n">
        <f aca="false">IF(D1719&gt;=13,(1+Assumptions!B46)^(D1719-12),1)</f>
        <v>1.14430550152086</v>
      </c>
      <c r="H1719" s="21" t="n">
        <f aca="false">H1718*(1+IF(C1719=1,Assumptions!B22,Assumptions!B23))</f>
        <v>25.9802364068464</v>
      </c>
      <c r="I1719" s="16" t="n">
        <f aca="false">ROUND(H1719*F1719,0)</f>
        <v>16</v>
      </c>
      <c r="J1719" s="22" t="n">
        <f aca="false">I1719*Assumptions!B24</f>
        <v>9600</v>
      </c>
      <c r="K1719" s="21" t="n">
        <f aca="false">K1718*(1+Assumptions!B30)</f>
        <v>23.0338718284208</v>
      </c>
      <c r="L1719" s="16" t="n">
        <f aca="false">ROUND(K1719*F1719,0)</f>
        <v>14</v>
      </c>
      <c r="M1719" s="22" t="n">
        <f aca="false">L1719*Assumptions!B31</f>
        <v>4200</v>
      </c>
      <c r="N1719" s="22" t="n">
        <f aca="false">J1719+M1719</f>
        <v>13800</v>
      </c>
      <c r="O1719" s="22" t="n">
        <f aca="false">IF(DAY(B1719)=1,Assumptions!B38*G1719,0)</f>
        <v>0</v>
      </c>
      <c r="P1719" s="22" t="n">
        <f aca="false">IF(DAY(B1719)=1,Assumptions!B39*G1719,0)</f>
        <v>0</v>
      </c>
      <c r="Q1719" s="22" t="n">
        <f aca="false">IF(DAY(B1719)=1,Assumptions!B40*G1719,0)</f>
        <v>0</v>
      </c>
      <c r="R1719" s="22" t="n">
        <f aca="false">IF(DAY(B1719)=1,Assumptions!B41*G1719,0)</f>
        <v>0</v>
      </c>
      <c r="S1719" s="22" t="n">
        <f aca="false">IF(AND(DAY(B1719)=1,D1719&gt;=13),Assumptions!B42*G1719,0)</f>
        <v>0</v>
      </c>
      <c r="T1719" s="22" t="n">
        <f aca="false">IF(DAY(B1719)=1,Assumptions!B43*G1719,0)</f>
        <v>0</v>
      </c>
      <c r="U1719" s="22" t="n">
        <f aca="false">SUM(O1719:T1719)</f>
        <v>0</v>
      </c>
      <c r="V1719" s="22" t="n">
        <f aca="false">N1719-U1719</f>
        <v>13800</v>
      </c>
      <c r="W1719" s="22" t="n">
        <f aca="false">W1718+V1719</f>
        <v>499782.869858574</v>
      </c>
      <c r="X1719" s="23" t="str">
        <f aca="false">IF(W1719&gt;=0,"YES","No")</f>
        <v>YES</v>
      </c>
    </row>
    <row r="1720" customFormat="false" ht="15" hidden="false" customHeight="false" outlineLevel="0" collapsed="false">
      <c r="A1720" s="16" t="n">
        <v>1719</v>
      </c>
      <c r="B1720" s="17" t="n">
        <f aca="false">B1719+1</f>
        <v>47741</v>
      </c>
      <c r="C1720" s="18" t="n">
        <f aca="false">MIN(ROUNDUP(A1720/365,0),5)</f>
        <v>5</v>
      </c>
      <c r="D1720" s="18" t="n">
        <f aca="false">DATEDIF(Assumptions!B5,B1720,"m")+1</f>
        <v>57</v>
      </c>
      <c r="E1720" s="18" t="str">
        <f aca="false">TEXT(B1720,"ddd")</f>
        <v>Sun</v>
      </c>
      <c r="F1720" s="19" t="n">
        <f aca="false">IF(WEEKDAY(B1720,2)&gt;=6,Assumptions!B34,Assumptions!B35)</f>
        <v>0.6</v>
      </c>
      <c r="G1720" s="20" t="n">
        <f aca="false">IF(D1720&gt;=13,(1+Assumptions!B46)^(D1720-12),1)</f>
        <v>1.14430550152086</v>
      </c>
      <c r="H1720" s="21" t="n">
        <f aca="false">H1719*(1+IF(C1720=1,Assumptions!B22,Assumptions!B23))</f>
        <v>25.984493572538</v>
      </c>
      <c r="I1720" s="16" t="n">
        <f aca="false">ROUND(H1720*F1720,0)</f>
        <v>16</v>
      </c>
      <c r="J1720" s="22" t="n">
        <f aca="false">I1720*Assumptions!B24</f>
        <v>9600</v>
      </c>
      <c r="K1720" s="21" t="n">
        <f aca="false">K1719*(1+Assumptions!B30)</f>
        <v>23.0414024496287</v>
      </c>
      <c r="L1720" s="16" t="n">
        <f aca="false">ROUND(K1720*F1720,0)</f>
        <v>14</v>
      </c>
      <c r="M1720" s="22" t="n">
        <f aca="false">L1720*Assumptions!B31</f>
        <v>4200</v>
      </c>
      <c r="N1720" s="22" t="n">
        <f aca="false">J1720+M1720</f>
        <v>13800</v>
      </c>
      <c r="O1720" s="22" t="n">
        <f aca="false">IF(DAY(B1720)=1,Assumptions!B38*G1720,0)</f>
        <v>0</v>
      </c>
      <c r="P1720" s="22" t="n">
        <f aca="false">IF(DAY(B1720)=1,Assumptions!B39*G1720,0)</f>
        <v>0</v>
      </c>
      <c r="Q1720" s="22" t="n">
        <f aca="false">IF(DAY(B1720)=1,Assumptions!B40*G1720,0)</f>
        <v>0</v>
      </c>
      <c r="R1720" s="22" t="n">
        <f aca="false">IF(DAY(B1720)=1,Assumptions!B41*G1720,0)</f>
        <v>0</v>
      </c>
      <c r="S1720" s="22" t="n">
        <f aca="false">IF(AND(DAY(B1720)=1,D1720&gt;=13),Assumptions!B42*G1720,0)</f>
        <v>0</v>
      </c>
      <c r="T1720" s="22" t="n">
        <f aca="false">IF(DAY(B1720)=1,Assumptions!B43*G1720,0)</f>
        <v>0</v>
      </c>
      <c r="U1720" s="22" t="n">
        <f aca="false">SUM(O1720:T1720)</f>
        <v>0</v>
      </c>
      <c r="V1720" s="22" t="n">
        <f aca="false">N1720-U1720</f>
        <v>13800</v>
      </c>
      <c r="W1720" s="22" t="n">
        <f aca="false">W1719+V1720</f>
        <v>513582.869858574</v>
      </c>
      <c r="X1720" s="23" t="str">
        <f aca="false">IF(W1720&gt;=0,"YES","No")</f>
        <v>YES</v>
      </c>
    </row>
    <row r="1721" customFormat="false" ht="15" hidden="false" customHeight="false" outlineLevel="0" collapsed="false">
      <c r="A1721" s="16" t="n">
        <v>1720</v>
      </c>
      <c r="B1721" s="17" t="n">
        <f aca="false">B1720+1</f>
        <v>47742</v>
      </c>
      <c r="C1721" s="18" t="n">
        <f aca="false">MIN(ROUNDUP(A1721/365,0),5)</f>
        <v>5</v>
      </c>
      <c r="D1721" s="18" t="n">
        <f aca="false">DATEDIF(Assumptions!B5,B1721,"m")+1</f>
        <v>57</v>
      </c>
      <c r="E1721" s="18" t="str">
        <f aca="false">TEXT(B1721,"ddd")</f>
        <v>Mon</v>
      </c>
      <c r="F1721" s="19" t="n">
        <f aca="false">IF(WEEKDAY(B1721,2)&gt;=6,Assumptions!B34,Assumptions!B35)</f>
        <v>1</v>
      </c>
      <c r="G1721" s="20" t="n">
        <f aca="false">IF(D1721&gt;=13,(1+Assumptions!B46)^(D1721-12),1)</f>
        <v>1.14430550152086</v>
      </c>
      <c r="H1721" s="21" t="n">
        <f aca="false">H1720*(1+IF(C1721=1,Assumptions!B22,Assumptions!B23))</f>
        <v>25.9887514358159</v>
      </c>
      <c r="I1721" s="16" t="n">
        <f aca="false">ROUND(H1721*F1721,0)</f>
        <v>26</v>
      </c>
      <c r="J1721" s="22" t="n">
        <f aca="false">I1721*Assumptions!B24</f>
        <v>15600</v>
      </c>
      <c r="K1721" s="21" t="n">
        <f aca="false">K1720*(1+Assumptions!B30)</f>
        <v>23.048935532874</v>
      </c>
      <c r="L1721" s="16" t="n">
        <f aca="false">ROUND(K1721*F1721,0)</f>
        <v>23</v>
      </c>
      <c r="M1721" s="22" t="n">
        <f aca="false">L1721*Assumptions!B31</f>
        <v>6900</v>
      </c>
      <c r="N1721" s="22" t="n">
        <f aca="false">J1721+M1721</f>
        <v>22500</v>
      </c>
      <c r="O1721" s="22" t="n">
        <f aca="false">IF(DAY(B1721)=1,Assumptions!B38*G1721,0)</f>
        <v>0</v>
      </c>
      <c r="P1721" s="22" t="n">
        <f aca="false">IF(DAY(B1721)=1,Assumptions!B39*G1721,0)</f>
        <v>0</v>
      </c>
      <c r="Q1721" s="22" t="n">
        <f aca="false">IF(DAY(B1721)=1,Assumptions!B40*G1721,0)</f>
        <v>0</v>
      </c>
      <c r="R1721" s="22" t="n">
        <f aca="false">IF(DAY(B1721)=1,Assumptions!B41*G1721,0)</f>
        <v>0</v>
      </c>
      <c r="S1721" s="22" t="n">
        <f aca="false">IF(AND(DAY(B1721)=1,D1721&gt;=13),Assumptions!B42*G1721,0)</f>
        <v>0</v>
      </c>
      <c r="T1721" s="22" t="n">
        <f aca="false">IF(DAY(B1721)=1,Assumptions!B43*G1721,0)</f>
        <v>0</v>
      </c>
      <c r="U1721" s="22" t="n">
        <f aca="false">SUM(O1721:T1721)</f>
        <v>0</v>
      </c>
      <c r="V1721" s="22" t="n">
        <f aca="false">N1721-U1721</f>
        <v>22500</v>
      </c>
      <c r="W1721" s="22" t="n">
        <f aca="false">W1720+V1721</f>
        <v>536082.869858574</v>
      </c>
      <c r="X1721" s="23" t="str">
        <f aca="false">IF(W1721&gt;=0,"YES","No")</f>
        <v>YES</v>
      </c>
    </row>
    <row r="1722" customFormat="false" ht="15" hidden="false" customHeight="false" outlineLevel="0" collapsed="false">
      <c r="A1722" s="16" t="n">
        <v>1721</v>
      </c>
      <c r="B1722" s="17" t="n">
        <f aca="false">B1721+1</f>
        <v>47743</v>
      </c>
      <c r="C1722" s="18" t="n">
        <f aca="false">MIN(ROUNDUP(A1722/365,0),5)</f>
        <v>5</v>
      </c>
      <c r="D1722" s="18" t="n">
        <f aca="false">DATEDIF(Assumptions!B5,B1722,"m")+1</f>
        <v>57</v>
      </c>
      <c r="E1722" s="18" t="str">
        <f aca="false">TEXT(B1722,"ddd")</f>
        <v>Tue</v>
      </c>
      <c r="F1722" s="19" t="n">
        <f aca="false">IF(WEEKDAY(B1722,2)&gt;=6,Assumptions!B34,Assumptions!B35)</f>
        <v>1</v>
      </c>
      <c r="G1722" s="20" t="n">
        <f aca="false">IF(D1722&gt;=13,(1+Assumptions!B46)^(D1722-12),1)</f>
        <v>1.14430550152086</v>
      </c>
      <c r="H1722" s="21" t="n">
        <f aca="false">H1721*(1+IF(C1722=1,Assumptions!B22,Assumptions!B23))</f>
        <v>25.9930099967946</v>
      </c>
      <c r="I1722" s="16" t="n">
        <f aca="false">ROUND(H1722*F1722,0)</f>
        <v>26</v>
      </c>
      <c r="J1722" s="22" t="n">
        <f aca="false">I1722*Assumptions!B24</f>
        <v>15600</v>
      </c>
      <c r="K1722" s="21" t="n">
        <f aca="false">K1721*(1+Assumptions!B30)</f>
        <v>23.0564710789618</v>
      </c>
      <c r="L1722" s="16" t="n">
        <f aca="false">ROUND(K1722*F1722,0)</f>
        <v>23</v>
      </c>
      <c r="M1722" s="22" t="n">
        <f aca="false">L1722*Assumptions!B31</f>
        <v>6900</v>
      </c>
      <c r="N1722" s="22" t="n">
        <f aca="false">J1722+M1722</f>
        <v>22500</v>
      </c>
      <c r="O1722" s="22" t="n">
        <f aca="false">IF(DAY(B1722)=1,Assumptions!B38*G1722,0)</f>
        <v>0</v>
      </c>
      <c r="P1722" s="22" t="n">
        <f aca="false">IF(DAY(B1722)=1,Assumptions!B39*G1722,0)</f>
        <v>0</v>
      </c>
      <c r="Q1722" s="22" t="n">
        <f aca="false">IF(DAY(B1722)=1,Assumptions!B40*G1722,0)</f>
        <v>0</v>
      </c>
      <c r="R1722" s="22" t="n">
        <f aca="false">IF(DAY(B1722)=1,Assumptions!B41*G1722,0)</f>
        <v>0</v>
      </c>
      <c r="S1722" s="22" t="n">
        <f aca="false">IF(AND(DAY(B1722)=1,D1722&gt;=13),Assumptions!B42*G1722,0)</f>
        <v>0</v>
      </c>
      <c r="T1722" s="22" t="n">
        <f aca="false">IF(DAY(B1722)=1,Assumptions!B43*G1722,0)</f>
        <v>0</v>
      </c>
      <c r="U1722" s="22" t="n">
        <f aca="false">SUM(O1722:T1722)</f>
        <v>0</v>
      </c>
      <c r="V1722" s="22" t="n">
        <f aca="false">N1722-U1722</f>
        <v>22500</v>
      </c>
      <c r="W1722" s="22" t="n">
        <f aca="false">W1721+V1722</f>
        <v>558582.869858574</v>
      </c>
      <c r="X1722" s="23" t="str">
        <f aca="false">IF(W1722&gt;=0,"YES","No")</f>
        <v>YES</v>
      </c>
    </row>
    <row r="1723" customFormat="false" ht="15" hidden="false" customHeight="false" outlineLevel="0" collapsed="false">
      <c r="A1723" s="16" t="n">
        <v>1722</v>
      </c>
      <c r="B1723" s="17" t="n">
        <f aca="false">B1722+1</f>
        <v>47744</v>
      </c>
      <c r="C1723" s="18" t="n">
        <f aca="false">MIN(ROUNDUP(A1723/365,0),5)</f>
        <v>5</v>
      </c>
      <c r="D1723" s="18" t="n">
        <f aca="false">DATEDIF(Assumptions!B5,B1723,"m")+1</f>
        <v>57</v>
      </c>
      <c r="E1723" s="18" t="str">
        <f aca="false">TEXT(B1723,"ddd")</f>
        <v>Wed</v>
      </c>
      <c r="F1723" s="19" t="n">
        <f aca="false">IF(WEEKDAY(B1723,2)&gt;=6,Assumptions!B34,Assumptions!B35)</f>
        <v>1</v>
      </c>
      <c r="G1723" s="20" t="n">
        <f aca="false">IF(D1723&gt;=13,(1+Assumptions!B46)^(D1723-12),1)</f>
        <v>1.14430550152086</v>
      </c>
      <c r="H1723" s="21" t="n">
        <f aca="false">H1722*(1+IF(C1723=1,Assumptions!B22,Assumptions!B23))</f>
        <v>25.9972692555883</v>
      </c>
      <c r="I1723" s="16" t="n">
        <f aca="false">ROUND(H1723*F1723,0)</f>
        <v>26</v>
      </c>
      <c r="J1723" s="22" t="n">
        <f aca="false">I1723*Assumptions!B24</f>
        <v>15600</v>
      </c>
      <c r="K1723" s="21" t="n">
        <f aca="false">K1722*(1+Assumptions!B30)</f>
        <v>23.0640090886972</v>
      </c>
      <c r="L1723" s="16" t="n">
        <f aca="false">ROUND(K1723*F1723,0)</f>
        <v>23</v>
      </c>
      <c r="M1723" s="22" t="n">
        <f aca="false">L1723*Assumptions!B31</f>
        <v>6900</v>
      </c>
      <c r="N1723" s="22" t="n">
        <f aca="false">J1723+M1723</f>
        <v>22500</v>
      </c>
      <c r="O1723" s="22" t="n">
        <f aca="false">IF(DAY(B1723)=1,Assumptions!B38*G1723,0)</f>
        <v>0</v>
      </c>
      <c r="P1723" s="22" t="n">
        <f aca="false">IF(DAY(B1723)=1,Assumptions!B39*G1723,0)</f>
        <v>0</v>
      </c>
      <c r="Q1723" s="22" t="n">
        <f aca="false">IF(DAY(B1723)=1,Assumptions!B40*G1723,0)</f>
        <v>0</v>
      </c>
      <c r="R1723" s="22" t="n">
        <f aca="false">IF(DAY(B1723)=1,Assumptions!B41*G1723,0)</f>
        <v>0</v>
      </c>
      <c r="S1723" s="22" t="n">
        <f aca="false">IF(AND(DAY(B1723)=1,D1723&gt;=13),Assumptions!B42*G1723,0)</f>
        <v>0</v>
      </c>
      <c r="T1723" s="22" t="n">
        <f aca="false">IF(DAY(B1723)=1,Assumptions!B43*G1723,0)</f>
        <v>0</v>
      </c>
      <c r="U1723" s="22" t="n">
        <f aca="false">SUM(O1723:T1723)</f>
        <v>0</v>
      </c>
      <c r="V1723" s="22" t="n">
        <f aca="false">N1723-U1723</f>
        <v>22500</v>
      </c>
      <c r="W1723" s="22" t="n">
        <f aca="false">W1722+V1723</f>
        <v>581082.869858574</v>
      </c>
      <c r="X1723" s="23" t="str">
        <f aca="false">IF(W1723&gt;=0,"YES","No")</f>
        <v>YES</v>
      </c>
    </row>
    <row r="1724" customFormat="false" ht="15" hidden="false" customHeight="false" outlineLevel="0" collapsed="false">
      <c r="A1724" s="16" t="n">
        <v>1723</v>
      </c>
      <c r="B1724" s="17" t="n">
        <f aca="false">B1723+1</f>
        <v>47745</v>
      </c>
      <c r="C1724" s="18" t="n">
        <f aca="false">MIN(ROUNDUP(A1724/365,0),5)</f>
        <v>5</v>
      </c>
      <c r="D1724" s="18" t="n">
        <f aca="false">DATEDIF(Assumptions!B5,B1724,"m")+1</f>
        <v>57</v>
      </c>
      <c r="E1724" s="18" t="str">
        <f aca="false">TEXT(B1724,"ddd")</f>
        <v>Thu</v>
      </c>
      <c r="F1724" s="19" t="n">
        <f aca="false">IF(WEEKDAY(B1724,2)&gt;=6,Assumptions!B34,Assumptions!B35)</f>
        <v>1</v>
      </c>
      <c r="G1724" s="20" t="n">
        <f aca="false">IF(D1724&gt;=13,(1+Assumptions!B46)^(D1724-12),1)</f>
        <v>1.14430550152086</v>
      </c>
      <c r="H1724" s="21" t="n">
        <f aca="false">H1723*(1+IF(C1724=1,Assumptions!B22,Assumptions!B23))</f>
        <v>26.0015292123114</v>
      </c>
      <c r="I1724" s="16" t="n">
        <f aca="false">ROUND(H1724*F1724,0)</f>
        <v>26</v>
      </c>
      <c r="J1724" s="22" t="n">
        <f aca="false">I1724*Assumptions!B24</f>
        <v>15600</v>
      </c>
      <c r="K1724" s="21" t="n">
        <f aca="false">K1723*(1+Assumptions!B30)</f>
        <v>23.0715495628856</v>
      </c>
      <c r="L1724" s="16" t="n">
        <f aca="false">ROUND(K1724*F1724,0)</f>
        <v>23</v>
      </c>
      <c r="M1724" s="22" t="n">
        <f aca="false">L1724*Assumptions!B31</f>
        <v>6900</v>
      </c>
      <c r="N1724" s="22" t="n">
        <f aca="false">J1724+M1724</f>
        <v>22500</v>
      </c>
      <c r="O1724" s="22" t="n">
        <f aca="false">IF(DAY(B1724)=1,Assumptions!B38*G1724,0)</f>
        <v>0</v>
      </c>
      <c r="P1724" s="22" t="n">
        <f aca="false">IF(DAY(B1724)=1,Assumptions!B39*G1724,0)</f>
        <v>0</v>
      </c>
      <c r="Q1724" s="22" t="n">
        <f aca="false">IF(DAY(B1724)=1,Assumptions!B40*G1724,0)</f>
        <v>0</v>
      </c>
      <c r="R1724" s="22" t="n">
        <f aca="false">IF(DAY(B1724)=1,Assumptions!B41*G1724,0)</f>
        <v>0</v>
      </c>
      <c r="S1724" s="22" t="n">
        <f aca="false">IF(AND(DAY(B1724)=1,D1724&gt;=13),Assumptions!B42*G1724,0)</f>
        <v>0</v>
      </c>
      <c r="T1724" s="22" t="n">
        <f aca="false">IF(DAY(B1724)=1,Assumptions!B43*G1724,0)</f>
        <v>0</v>
      </c>
      <c r="U1724" s="22" t="n">
        <f aca="false">SUM(O1724:T1724)</f>
        <v>0</v>
      </c>
      <c r="V1724" s="22" t="n">
        <f aca="false">N1724-U1724</f>
        <v>22500</v>
      </c>
      <c r="W1724" s="22" t="n">
        <f aca="false">W1723+V1724</f>
        <v>603582.869858574</v>
      </c>
      <c r="X1724" s="23" t="str">
        <f aca="false">IF(W1724&gt;=0,"YES","No")</f>
        <v>YES</v>
      </c>
    </row>
    <row r="1725" customFormat="false" ht="15" hidden="false" customHeight="false" outlineLevel="0" collapsed="false">
      <c r="A1725" s="16" t="n">
        <v>1724</v>
      </c>
      <c r="B1725" s="17" t="n">
        <f aca="false">B1724+1</f>
        <v>47746</v>
      </c>
      <c r="C1725" s="18" t="n">
        <f aca="false">MIN(ROUNDUP(A1725/365,0),5)</f>
        <v>5</v>
      </c>
      <c r="D1725" s="18" t="n">
        <f aca="false">DATEDIF(Assumptions!B5,B1725,"m")+1</f>
        <v>57</v>
      </c>
      <c r="E1725" s="18" t="str">
        <f aca="false">TEXT(B1725,"ddd")</f>
        <v>Fri</v>
      </c>
      <c r="F1725" s="19" t="n">
        <f aca="false">IF(WEEKDAY(B1725,2)&gt;=6,Assumptions!B34,Assumptions!B35)</f>
        <v>1</v>
      </c>
      <c r="G1725" s="20" t="n">
        <f aca="false">IF(D1725&gt;=13,(1+Assumptions!B46)^(D1725-12),1)</f>
        <v>1.14430550152086</v>
      </c>
      <c r="H1725" s="21" t="n">
        <f aca="false">H1724*(1+IF(C1725=1,Assumptions!B22,Assumptions!B23))</f>
        <v>26.0057898670783</v>
      </c>
      <c r="I1725" s="16" t="n">
        <f aca="false">ROUND(H1725*F1725,0)</f>
        <v>26</v>
      </c>
      <c r="J1725" s="22" t="n">
        <f aca="false">I1725*Assumptions!B24</f>
        <v>15600</v>
      </c>
      <c r="K1725" s="21" t="n">
        <f aca="false">K1724*(1+Assumptions!B30)</f>
        <v>23.0790925023328</v>
      </c>
      <c r="L1725" s="16" t="n">
        <f aca="false">ROUND(K1725*F1725,0)</f>
        <v>23</v>
      </c>
      <c r="M1725" s="22" t="n">
        <f aca="false">L1725*Assumptions!B31</f>
        <v>6900</v>
      </c>
      <c r="N1725" s="22" t="n">
        <f aca="false">J1725+M1725</f>
        <v>22500</v>
      </c>
      <c r="O1725" s="22" t="n">
        <f aca="false">IF(DAY(B1725)=1,Assumptions!B38*G1725,0)</f>
        <v>0</v>
      </c>
      <c r="P1725" s="22" t="n">
        <f aca="false">IF(DAY(B1725)=1,Assumptions!B39*G1725,0)</f>
        <v>0</v>
      </c>
      <c r="Q1725" s="22" t="n">
        <f aca="false">IF(DAY(B1725)=1,Assumptions!B40*G1725,0)</f>
        <v>0</v>
      </c>
      <c r="R1725" s="22" t="n">
        <f aca="false">IF(DAY(B1725)=1,Assumptions!B41*G1725,0)</f>
        <v>0</v>
      </c>
      <c r="S1725" s="22" t="n">
        <f aca="false">IF(AND(DAY(B1725)=1,D1725&gt;=13),Assumptions!B42*G1725,0)</f>
        <v>0</v>
      </c>
      <c r="T1725" s="22" t="n">
        <f aca="false">IF(DAY(B1725)=1,Assumptions!B43*G1725,0)</f>
        <v>0</v>
      </c>
      <c r="U1725" s="22" t="n">
        <f aca="false">SUM(O1725:T1725)</f>
        <v>0</v>
      </c>
      <c r="V1725" s="22" t="n">
        <f aca="false">N1725-U1725</f>
        <v>22500</v>
      </c>
      <c r="W1725" s="22" t="n">
        <f aca="false">W1724+V1725</f>
        <v>626082.869858574</v>
      </c>
      <c r="X1725" s="23" t="str">
        <f aca="false">IF(W1725&gt;=0,"YES","No")</f>
        <v>YES</v>
      </c>
    </row>
    <row r="1726" customFormat="false" ht="15" hidden="false" customHeight="false" outlineLevel="0" collapsed="false">
      <c r="A1726" s="16" t="n">
        <v>1725</v>
      </c>
      <c r="B1726" s="17" t="n">
        <f aca="false">B1725+1</f>
        <v>47747</v>
      </c>
      <c r="C1726" s="18" t="n">
        <f aca="false">MIN(ROUNDUP(A1726/365,0),5)</f>
        <v>5</v>
      </c>
      <c r="D1726" s="18" t="n">
        <f aca="false">DATEDIF(Assumptions!B5,B1726,"m")+1</f>
        <v>57</v>
      </c>
      <c r="E1726" s="18" t="str">
        <f aca="false">TEXT(B1726,"ddd")</f>
        <v>Sat</v>
      </c>
      <c r="F1726" s="19" t="n">
        <f aca="false">IF(WEEKDAY(B1726,2)&gt;=6,Assumptions!B34,Assumptions!B35)</f>
        <v>0.6</v>
      </c>
      <c r="G1726" s="20" t="n">
        <f aca="false">IF(D1726&gt;=13,(1+Assumptions!B46)^(D1726-12),1)</f>
        <v>1.14430550152086</v>
      </c>
      <c r="H1726" s="21" t="n">
        <f aca="false">H1725*(1+IF(C1726=1,Assumptions!B22,Assumptions!B23))</f>
        <v>26.0100512200032</v>
      </c>
      <c r="I1726" s="16" t="n">
        <f aca="false">ROUND(H1726*F1726,0)</f>
        <v>16</v>
      </c>
      <c r="J1726" s="22" t="n">
        <f aca="false">I1726*Assumptions!B24</f>
        <v>9600</v>
      </c>
      <c r="K1726" s="21" t="n">
        <f aca="false">K1725*(1+Assumptions!B30)</f>
        <v>23.0866379078448</v>
      </c>
      <c r="L1726" s="16" t="n">
        <f aca="false">ROUND(K1726*F1726,0)</f>
        <v>14</v>
      </c>
      <c r="M1726" s="22" t="n">
        <f aca="false">L1726*Assumptions!B31</f>
        <v>4200</v>
      </c>
      <c r="N1726" s="22" t="n">
        <f aca="false">J1726+M1726</f>
        <v>13800</v>
      </c>
      <c r="O1726" s="22" t="n">
        <f aca="false">IF(DAY(B1726)=1,Assumptions!B38*G1726,0)</f>
        <v>0</v>
      </c>
      <c r="P1726" s="22" t="n">
        <f aca="false">IF(DAY(B1726)=1,Assumptions!B39*G1726,0)</f>
        <v>0</v>
      </c>
      <c r="Q1726" s="22" t="n">
        <f aca="false">IF(DAY(B1726)=1,Assumptions!B40*G1726,0)</f>
        <v>0</v>
      </c>
      <c r="R1726" s="22" t="n">
        <f aca="false">IF(DAY(B1726)=1,Assumptions!B41*G1726,0)</f>
        <v>0</v>
      </c>
      <c r="S1726" s="22" t="n">
        <f aca="false">IF(AND(DAY(B1726)=1,D1726&gt;=13),Assumptions!B42*G1726,0)</f>
        <v>0</v>
      </c>
      <c r="T1726" s="22" t="n">
        <f aca="false">IF(DAY(B1726)=1,Assumptions!B43*G1726,0)</f>
        <v>0</v>
      </c>
      <c r="U1726" s="22" t="n">
        <f aca="false">SUM(O1726:T1726)</f>
        <v>0</v>
      </c>
      <c r="V1726" s="22" t="n">
        <f aca="false">N1726-U1726</f>
        <v>13800</v>
      </c>
      <c r="W1726" s="22" t="n">
        <f aca="false">W1725+V1726</f>
        <v>639882.869858574</v>
      </c>
      <c r="X1726" s="23" t="str">
        <f aca="false">IF(W1726&gt;=0,"YES","No")</f>
        <v>YES</v>
      </c>
    </row>
    <row r="1727" customFormat="false" ht="15" hidden="false" customHeight="false" outlineLevel="0" collapsed="false">
      <c r="A1727" s="16" t="n">
        <v>1726</v>
      </c>
      <c r="B1727" s="17" t="n">
        <f aca="false">B1726+1</f>
        <v>47748</v>
      </c>
      <c r="C1727" s="18" t="n">
        <f aca="false">MIN(ROUNDUP(A1727/365,0),5)</f>
        <v>5</v>
      </c>
      <c r="D1727" s="18" t="n">
        <f aca="false">DATEDIF(Assumptions!B5,B1727,"m")+1</f>
        <v>57</v>
      </c>
      <c r="E1727" s="18" t="str">
        <f aca="false">TEXT(B1727,"ddd")</f>
        <v>Sun</v>
      </c>
      <c r="F1727" s="19" t="n">
        <f aca="false">IF(WEEKDAY(B1727,2)&gt;=6,Assumptions!B34,Assumptions!B35)</f>
        <v>0.6</v>
      </c>
      <c r="G1727" s="20" t="n">
        <f aca="false">IF(D1727&gt;=13,(1+Assumptions!B46)^(D1727-12),1)</f>
        <v>1.14430550152086</v>
      </c>
      <c r="H1727" s="21" t="n">
        <f aca="false">H1726*(1+IF(C1727=1,Assumptions!B22,Assumptions!B23))</f>
        <v>26.0143132712008</v>
      </c>
      <c r="I1727" s="16" t="n">
        <f aca="false">ROUND(H1727*F1727,0)</f>
        <v>16</v>
      </c>
      <c r="J1727" s="22" t="n">
        <f aca="false">I1727*Assumptions!B24</f>
        <v>9600</v>
      </c>
      <c r="K1727" s="21" t="n">
        <f aca="false">K1726*(1+Assumptions!B30)</f>
        <v>23.0941857802277</v>
      </c>
      <c r="L1727" s="16" t="n">
        <f aca="false">ROUND(K1727*F1727,0)</f>
        <v>14</v>
      </c>
      <c r="M1727" s="22" t="n">
        <f aca="false">L1727*Assumptions!B31</f>
        <v>4200</v>
      </c>
      <c r="N1727" s="22" t="n">
        <f aca="false">J1727+M1727</f>
        <v>13800</v>
      </c>
      <c r="O1727" s="22" t="n">
        <f aca="false">IF(DAY(B1727)=1,Assumptions!B38*G1727,0)</f>
        <v>0</v>
      </c>
      <c r="P1727" s="22" t="n">
        <f aca="false">IF(DAY(B1727)=1,Assumptions!B39*G1727,0)</f>
        <v>0</v>
      </c>
      <c r="Q1727" s="22" t="n">
        <f aca="false">IF(DAY(B1727)=1,Assumptions!B40*G1727,0)</f>
        <v>0</v>
      </c>
      <c r="R1727" s="22" t="n">
        <f aca="false">IF(DAY(B1727)=1,Assumptions!B41*G1727,0)</f>
        <v>0</v>
      </c>
      <c r="S1727" s="22" t="n">
        <f aca="false">IF(AND(DAY(B1727)=1,D1727&gt;=13),Assumptions!B42*G1727,0)</f>
        <v>0</v>
      </c>
      <c r="T1727" s="22" t="n">
        <f aca="false">IF(DAY(B1727)=1,Assumptions!B43*G1727,0)</f>
        <v>0</v>
      </c>
      <c r="U1727" s="22" t="n">
        <f aca="false">SUM(O1727:T1727)</f>
        <v>0</v>
      </c>
      <c r="V1727" s="22" t="n">
        <f aca="false">N1727-U1727</f>
        <v>13800</v>
      </c>
      <c r="W1727" s="22" t="n">
        <f aca="false">W1726+V1727</f>
        <v>653682.869858574</v>
      </c>
      <c r="X1727" s="23" t="str">
        <f aca="false">IF(W1727&gt;=0,"YES","No")</f>
        <v>YES</v>
      </c>
    </row>
    <row r="1728" customFormat="false" ht="15" hidden="false" customHeight="false" outlineLevel="0" collapsed="false">
      <c r="A1728" s="16" t="n">
        <v>1727</v>
      </c>
      <c r="B1728" s="17" t="n">
        <f aca="false">B1727+1</f>
        <v>47749</v>
      </c>
      <c r="C1728" s="18" t="n">
        <f aca="false">MIN(ROUNDUP(A1728/365,0),5)</f>
        <v>5</v>
      </c>
      <c r="D1728" s="18" t="n">
        <f aca="false">DATEDIF(Assumptions!B5,B1728,"m")+1</f>
        <v>57</v>
      </c>
      <c r="E1728" s="18" t="str">
        <f aca="false">TEXT(B1728,"ddd")</f>
        <v>Mon</v>
      </c>
      <c r="F1728" s="19" t="n">
        <f aca="false">IF(WEEKDAY(B1728,2)&gt;=6,Assumptions!B34,Assumptions!B35)</f>
        <v>1</v>
      </c>
      <c r="G1728" s="20" t="n">
        <f aca="false">IF(D1728&gt;=13,(1+Assumptions!B46)^(D1728-12),1)</f>
        <v>1.14430550152086</v>
      </c>
      <c r="H1728" s="21" t="n">
        <f aca="false">H1727*(1+IF(C1728=1,Assumptions!B22,Assumptions!B23))</f>
        <v>26.0185760207852</v>
      </c>
      <c r="I1728" s="16" t="n">
        <f aca="false">ROUND(H1728*F1728,0)</f>
        <v>26</v>
      </c>
      <c r="J1728" s="22" t="n">
        <f aca="false">I1728*Assumptions!B24</f>
        <v>15600</v>
      </c>
      <c r="K1728" s="21" t="n">
        <f aca="false">K1727*(1+Assumptions!B30)</f>
        <v>23.1017361202883</v>
      </c>
      <c r="L1728" s="16" t="n">
        <f aca="false">ROUND(K1728*F1728,0)</f>
        <v>23</v>
      </c>
      <c r="M1728" s="22" t="n">
        <f aca="false">L1728*Assumptions!B31</f>
        <v>6900</v>
      </c>
      <c r="N1728" s="22" t="n">
        <f aca="false">J1728+M1728</f>
        <v>22500</v>
      </c>
      <c r="O1728" s="22" t="n">
        <f aca="false">IF(DAY(B1728)=1,Assumptions!B38*G1728,0)</f>
        <v>0</v>
      </c>
      <c r="P1728" s="22" t="n">
        <f aca="false">IF(DAY(B1728)=1,Assumptions!B39*G1728,0)</f>
        <v>0</v>
      </c>
      <c r="Q1728" s="22" t="n">
        <f aca="false">IF(DAY(B1728)=1,Assumptions!B40*G1728,0)</f>
        <v>0</v>
      </c>
      <c r="R1728" s="22" t="n">
        <f aca="false">IF(DAY(B1728)=1,Assumptions!B41*G1728,0)</f>
        <v>0</v>
      </c>
      <c r="S1728" s="22" t="n">
        <f aca="false">IF(AND(DAY(B1728)=1,D1728&gt;=13),Assumptions!B42*G1728,0)</f>
        <v>0</v>
      </c>
      <c r="T1728" s="22" t="n">
        <f aca="false">IF(DAY(B1728)=1,Assumptions!B43*G1728,0)</f>
        <v>0</v>
      </c>
      <c r="U1728" s="22" t="n">
        <f aca="false">SUM(O1728:T1728)</f>
        <v>0</v>
      </c>
      <c r="V1728" s="22" t="n">
        <f aca="false">N1728-U1728</f>
        <v>22500</v>
      </c>
      <c r="W1728" s="22" t="n">
        <f aca="false">W1727+V1728</f>
        <v>676182.869858574</v>
      </c>
      <c r="X1728" s="23" t="str">
        <f aca="false">IF(W1728&gt;=0,"YES","No")</f>
        <v>YES</v>
      </c>
    </row>
    <row r="1729" customFormat="false" ht="15" hidden="false" customHeight="false" outlineLevel="0" collapsed="false">
      <c r="A1729" s="16" t="n">
        <v>1728</v>
      </c>
      <c r="B1729" s="17" t="n">
        <f aca="false">B1728+1</f>
        <v>47750</v>
      </c>
      <c r="C1729" s="18" t="n">
        <f aca="false">MIN(ROUNDUP(A1729/365,0),5)</f>
        <v>5</v>
      </c>
      <c r="D1729" s="18" t="n">
        <f aca="false">DATEDIF(Assumptions!B5,B1729,"m")+1</f>
        <v>57</v>
      </c>
      <c r="E1729" s="18" t="str">
        <f aca="false">TEXT(B1729,"ddd")</f>
        <v>Tue</v>
      </c>
      <c r="F1729" s="19" t="n">
        <f aca="false">IF(WEEKDAY(B1729,2)&gt;=6,Assumptions!B34,Assumptions!B35)</f>
        <v>1</v>
      </c>
      <c r="G1729" s="20" t="n">
        <f aca="false">IF(D1729&gt;=13,(1+Assumptions!B46)^(D1729-12),1)</f>
        <v>1.14430550152086</v>
      </c>
      <c r="H1729" s="21" t="n">
        <f aca="false">H1728*(1+IF(C1729=1,Assumptions!B22,Assumptions!B23))</f>
        <v>26.0228394688711</v>
      </c>
      <c r="I1729" s="16" t="n">
        <f aca="false">ROUND(H1729*F1729,0)</f>
        <v>26</v>
      </c>
      <c r="J1729" s="22" t="n">
        <f aca="false">I1729*Assumptions!B24</f>
        <v>15600</v>
      </c>
      <c r="K1729" s="21" t="n">
        <f aca="false">K1728*(1+Assumptions!B30)</f>
        <v>23.1092889288331</v>
      </c>
      <c r="L1729" s="16" t="n">
        <f aca="false">ROUND(K1729*F1729,0)</f>
        <v>23</v>
      </c>
      <c r="M1729" s="22" t="n">
        <f aca="false">L1729*Assumptions!B31</f>
        <v>6900</v>
      </c>
      <c r="N1729" s="22" t="n">
        <f aca="false">J1729+M1729</f>
        <v>22500</v>
      </c>
      <c r="O1729" s="22" t="n">
        <f aca="false">IF(DAY(B1729)=1,Assumptions!B38*G1729,0)</f>
        <v>0</v>
      </c>
      <c r="P1729" s="22" t="n">
        <f aca="false">IF(DAY(B1729)=1,Assumptions!B39*G1729,0)</f>
        <v>0</v>
      </c>
      <c r="Q1729" s="22" t="n">
        <f aca="false">IF(DAY(B1729)=1,Assumptions!B40*G1729,0)</f>
        <v>0</v>
      </c>
      <c r="R1729" s="22" t="n">
        <f aca="false">IF(DAY(B1729)=1,Assumptions!B41*G1729,0)</f>
        <v>0</v>
      </c>
      <c r="S1729" s="22" t="n">
        <f aca="false">IF(AND(DAY(B1729)=1,D1729&gt;=13),Assumptions!B42*G1729,0)</f>
        <v>0</v>
      </c>
      <c r="T1729" s="22" t="n">
        <f aca="false">IF(DAY(B1729)=1,Assumptions!B43*G1729,0)</f>
        <v>0</v>
      </c>
      <c r="U1729" s="22" t="n">
        <f aca="false">SUM(O1729:T1729)</f>
        <v>0</v>
      </c>
      <c r="V1729" s="22" t="n">
        <f aca="false">N1729-U1729</f>
        <v>22500</v>
      </c>
      <c r="W1729" s="22" t="n">
        <f aca="false">W1728+V1729</f>
        <v>698682.869858574</v>
      </c>
      <c r="X1729" s="23" t="str">
        <f aca="false">IF(W1729&gt;=0,"YES","No")</f>
        <v>YES</v>
      </c>
    </row>
    <row r="1730" customFormat="false" ht="15" hidden="false" customHeight="false" outlineLevel="0" collapsed="false">
      <c r="A1730" s="16" t="n">
        <v>1729</v>
      </c>
      <c r="B1730" s="17" t="n">
        <f aca="false">B1729+1</f>
        <v>47751</v>
      </c>
      <c r="C1730" s="18" t="n">
        <f aca="false">MIN(ROUNDUP(A1730/365,0),5)</f>
        <v>5</v>
      </c>
      <c r="D1730" s="18" t="n">
        <f aca="false">DATEDIF(Assumptions!B5,B1730,"m")+1</f>
        <v>57</v>
      </c>
      <c r="E1730" s="18" t="str">
        <f aca="false">TEXT(B1730,"ddd")</f>
        <v>Wed</v>
      </c>
      <c r="F1730" s="19" t="n">
        <f aca="false">IF(WEEKDAY(B1730,2)&gt;=6,Assumptions!B34,Assumptions!B35)</f>
        <v>1</v>
      </c>
      <c r="G1730" s="20" t="n">
        <f aca="false">IF(D1730&gt;=13,(1+Assumptions!B46)^(D1730-12),1)</f>
        <v>1.14430550152086</v>
      </c>
      <c r="H1730" s="21" t="n">
        <f aca="false">H1729*(1+IF(C1730=1,Assumptions!B22,Assumptions!B23))</f>
        <v>26.0271036155728</v>
      </c>
      <c r="I1730" s="16" t="n">
        <f aca="false">ROUND(H1730*F1730,0)</f>
        <v>26</v>
      </c>
      <c r="J1730" s="22" t="n">
        <f aca="false">I1730*Assumptions!B24</f>
        <v>15600</v>
      </c>
      <c r="K1730" s="21" t="n">
        <f aca="false">K1729*(1+Assumptions!B30)</f>
        <v>23.1168442066692</v>
      </c>
      <c r="L1730" s="16" t="n">
        <f aca="false">ROUND(K1730*F1730,0)</f>
        <v>23</v>
      </c>
      <c r="M1730" s="22" t="n">
        <f aca="false">L1730*Assumptions!B31</f>
        <v>6900</v>
      </c>
      <c r="N1730" s="22" t="n">
        <f aca="false">J1730+M1730</f>
        <v>22500</v>
      </c>
      <c r="O1730" s="22" t="n">
        <f aca="false">IF(DAY(B1730)=1,Assumptions!B38*G1730,0)</f>
        <v>0</v>
      </c>
      <c r="P1730" s="22" t="n">
        <f aca="false">IF(DAY(B1730)=1,Assumptions!B39*G1730,0)</f>
        <v>0</v>
      </c>
      <c r="Q1730" s="22" t="n">
        <f aca="false">IF(DAY(B1730)=1,Assumptions!B40*G1730,0)</f>
        <v>0</v>
      </c>
      <c r="R1730" s="22" t="n">
        <f aca="false">IF(DAY(B1730)=1,Assumptions!B41*G1730,0)</f>
        <v>0</v>
      </c>
      <c r="S1730" s="22" t="n">
        <f aca="false">IF(AND(DAY(B1730)=1,D1730&gt;=13),Assumptions!B42*G1730,0)</f>
        <v>0</v>
      </c>
      <c r="T1730" s="22" t="n">
        <f aca="false">IF(DAY(B1730)=1,Assumptions!B43*G1730,0)</f>
        <v>0</v>
      </c>
      <c r="U1730" s="22" t="n">
        <f aca="false">SUM(O1730:T1730)</f>
        <v>0</v>
      </c>
      <c r="V1730" s="22" t="n">
        <f aca="false">N1730-U1730</f>
        <v>22500</v>
      </c>
      <c r="W1730" s="22" t="n">
        <f aca="false">W1729+V1730</f>
        <v>721182.869858574</v>
      </c>
      <c r="X1730" s="23" t="str">
        <f aca="false">IF(W1730&gt;=0,"YES","No")</f>
        <v>YES</v>
      </c>
    </row>
    <row r="1731" customFormat="false" ht="15" hidden="false" customHeight="false" outlineLevel="0" collapsed="false">
      <c r="A1731" s="16" t="n">
        <v>1730</v>
      </c>
      <c r="B1731" s="17" t="n">
        <f aca="false">B1730+1</f>
        <v>47752</v>
      </c>
      <c r="C1731" s="18" t="n">
        <f aca="false">MIN(ROUNDUP(A1731/365,0),5)</f>
        <v>5</v>
      </c>
      <c r="D1731" s="18" t="n">
        <f aca="false">DATEDIF(Assumptions!B5,B1731,"m")+1</f>
        <v>57</v>
      </c>
      <c r="E1731" s="18" t="str">
        <f aca="false">TEXT(B1731,"ddd")</f>
        <v>Thu</v>
      </c>
      <c r="F1731" s="19" t="n">
        <f aca="false">IF(WEEKDAY(B1731,2)&gt;=6,Assumptions!B34,Assumptions!B35)</f>
        <v>1</v>
      </c>
      <c r="G1731" s="20" t="n">
        <f aca="false">IF(D1731&gt;=13,(1+Assumptions!B46)^(D1731-12),1)</f>
        <v>1.14430550152086</v>
      </c>
      <c r="H1731" s="21" t="n">
        <f aca="false">H1730*(1+IF(C1731=1,Assumptions!B22,Assumptions!B23))</f>
        <v>26.0313684610048</v>
      </c>
      <c r="I1731" s="16" t="n">
        <f aca="false">ROUND(H1731*F1731,0)</f>
        <v>26</v>
      </c>
      <c r="J1731" s="22" t="n">
        <f aca="false">I1731*Assumptions!B24</f>
        <v>15600</v>
      </c>
      <c r="K1731" s="21" t="n">
        <f aca="false">K1730*(1+Assumptions!B30)</f>
        <v>23.124401954604</v>
      </c>
      <c r="L1731" s="16" t="n">
        <f aca="false">ROUND(K1731*F1731,0)</f>
        <v>23</v>
      </c>
      <c r="M1731" s="22" t="n">
        <f aca="false">L1731*Assumptions!B31</f>
        <v>6900</v>
      </c>
      <c r="N1731" s="22" t="n">
        <f aca="false">J1731+M1731</f>
        <v>22500</v>
      </c>
      <c r="O1731" s="22" t="n">
        <f aca="false">IF(DAY(B1731)=1,Assumptions!B38*G1731,0)</f>
        <v>0</v>
      </c>
      <c r="P1731" s="22" t="n">
        <f aca="false">IF(DAY(B1731)=1,Assumptions!B39*G1731,0)</f>
        <v>0</v>
      </c>
      <c r="Q1731" s="22" t="n">
        <f aca="false">IF(DAY(B1731)=1,Assumptions!B40*G1731,0)</f>
        <v>0</v>
      </c>
      <c r="R1731" s="22" t="n">
        <f aca="false">IF(DAY(B1731)=1,Assumptions!B41*G1731,0)</f>
        <v>0</v>
      </c>
      <c r="S1731" s="22" t="n">
        <f aca="false">IF(AND(DAY(B1731)=1,D1731&gt;=13),Assumptions!B42*G1731,0)</f>
        <v>0</v>
      </c>
      <c r="T1731" s="22" t="n">
        <f aca="false">IF(DAY(B1731)=1,Assumptions!B43*G1731,0)</f>
        <v>0</v>
      </c>
      <c r="U1731" s="22" t="n">
        <f aca="false">SUM(O1731:T1731)</f>
        <v>0</v>
      </c>
      <c r="V1731" s="22" t="n">
        <f aca="false">N1731-U1731</f>
        <v>22500</v>
      </c>
      <c r="W1731" s="22" t="n">
        <f aca="false">W1730+V1731</f>
        <v>743682.869858574</v>
      </c>
      <c r="X1731" s="23" t="str">
        <f aca="false">IF(W1731&gt;=0,"YES","No")</f>
        <v>YES</v>
      </c>
    </row>
    <row r="1732" customFormat="false" ht="15" hidden="false" customHeight="false" outlineLevel="0" collapsed="false">
      <c r="A1732" s="16" t="n">
        <v>1731</v>
      </c>
      <c r="B1732" s="17" t="n">
        <f aca="false">B1731+1</f>
        <v>47753</v>
      </c>
      <c r="C1732" s="18" t="n">
        <f aca="false">MIN(ROUNDUP(A1732/365,0),5)</f>
        <v>5</v>
      </c>
      <c r="D1732" s="18" t="n">
        <f aca="false">DATEDIF(Assumptions!B5,B1732,"m")+1</f>
        <v>57</v>
      </c>
      <c r="E1732" s="18" t="str">
        <f aca="false">TEXT(B1732,"ddd")</f>
        <v>Fri</v>
      </c>
      <c r="F1732" s="19" t="n">
        <f aca="false">IF(WEEKDAY(B1732,2)&gt;=6,Assumptions!B34,Assumptions!B35)</f>
        <v>1</v>
      </c>
      <c r="G1732" s="20" t="n">
        <f aca="false">IF(D1732&gt;=13,(1+Assumptions!B46)^(D1732-12),1)</f>
        <v>1.14430550152086</v>
      </c>
      <c r="H1732" s="21" t="n">
        <f aca="false">H1731*(1+IF(C1732=1,Assumptions!B22,Assumptions!B23))</f>
        <v>26.0356340052817</v>
      </c>
      <c r="I1732" s="16" t="n">
        <f aca="false">ROUND(H1732*F1732,0)</f>
        <v>26</v>
      </c>
      <c r="J1732" s="22" t="n">
        <f aca="false">I1732*Assumptions!B24</f>
        <v>15600</v>
      </c>
      <c r="K1732" s="21" t="n">
        <f aca="false">K1731*(1+Assumptions!B30)</f>
        <v>23.131962173445</v>
      </c>
      <c r="L1732" s="16" t="n">
        <f aca="false">ROUND(K1732*F1732,0)</f>
        <v>23</v>
      </c>
      <c r="M1732" s="22" t="n">
        <f aca="false">L1732*Assumptions!B31</f>
        <v>6900</v>
      </c>
      <c r="N1732" s="22" t="n">
        <f aca="false">J1732+M1732</f>
        <v>22500</v>
      </c>
      <c r="O1732" s="22" t="n">
        <f aca="false">IF(DAY(B1732)=1,Assumptions!B38*G1732,0)</f>
        <v>0</v>
      </c>
      <c r="P1732" s="22" t="n">
        <f aca="false">IF(DAY(B1732)=1,Assumptions!B39*G1732,0)</f>
        <v>0</v>
      </c>
      <c r="Q1732" s="22" t="n">
        <f aca="false">IF(DAY(B1732)=1,Assumptions!B40*G1732,0)</f>
        <v>0</v>
      </c>
      <c r="R1732" s="22" t="n">
        <f aca="false">IF(DAY(B1732)=1,Assumptions!B41*G1732,0)</f>
        <v>0</v>
      </c>
      <c r="S1732" s="22" t="n">
        <f aca="false">IF(AND(DAY(B1732)=1,D1732&gt;=13),Assumptions!B42*G1732,0)</f>
        <v>0</v>
      </c>
      <c r="T1732" s="22" t="n">
        <f aca="false">IF(DAY(B1732)=1,Assumptions!B43*G1732,0)</f>
        <v>0</v>
      </c>
      <c r="U1732" s="22" t="n">
        <f aca="false">SUM(O1732:T1732)</f>
        <v>0</v>
      </c>
      <c r="V1732" s="22" t="n">
        <f aca="false">N1732-U1732</f>
        <v>22500</v>
      </c>
      <c r="W1732" s="22" t="n">
        <f aca="false">W1731+V1732</f>
        <v>766182.869858574</v>
      </c>
      <c r="X1732" s="23" t="str">
        <f aca="false">IF(W1732&gt;=0,"YES","No")</f>
        <v>YES</v>
      </c>
    </row>
    <row r="1733" customFormat="false" ht="15" hidden="false" customHeight="false" outlineLevel="0" collapsed="false">
      <c r="A1733" s="16" t="n">
        <v>1732</v>
      </c>
      <c r="B1733" s="17" t="n">
        <f aca="false">B1732+1</f>
        <v>47754</v>
      </c>
      <c r="C1733" s="18" t="n">
        <f aca="false">MIN(ROUNDUP(A1733/365,0),5)</f>
        <v>5</v>
      </c>
      <c r="D1733" s="18" t="n">
        <f aca="false">DATEDIF(Assumptions!B5,B1733,"m")+1</f>
        <v>57</v>
      </c>
      <c r="E1733" s="18" t="str">
        <f aca="false">TEXT(B1733,"ddd")</f>
        <v>Sat</v>
      </c>
      <c r="F1733" s="19" t="n">
        <f aca="false">IF(WEEKDAY(B1733,2)&gt;=6,Assumptions!B34,Assumptions!B35)</f>
        <v>0.6</v>
      </c>
      <c r="G1733" s="20" t="n">
        <f aca="false">IF(D1733&gt;=13,(1+Assumptions!B46)^(D1733-12),1)</f>
        <v>1.14430550152086</v>
      </c>
      <c r="H1733" s="21" t="n">
        <f aca="false">H1732*(1+IF(C1733=1,Assumptions!B22,Assumptions!B23))</f>
        <v>26.0399002485179</v>
      </c>
      <c r="I1733" s="16" t="n">
        <f aca="false">ROUND(H1733*F1733,0)</f>
        <v>16</v>
      </c>
      <c r="J1733" s="22" t="n">
        <f aca="false">I1733*Assumptions!B24</f>
        <v>9600</v>
      </c>
      <c r="K1733" s="21" t="n">
        <f aca="false">K1732*(1+Assumptions!B30)</f>
        <v>23.1395248640001</v>
      </c>
      <c r="L1733" s="16" t="n">
        <f aca="false">ROUND(K1733*F1733,0)</f>
        <v>14</v>
      </c>
      <c r="M1733" s="22" t="n">
        <f aca="false">L1733*Assumptions!B31</f>
        <v>4200</v>
      </c>
      <c r="N1733" s="22" t="n">
        <f aca="false">J1733+M1733</f>
        <v>13800</v>
      </c>
      <c r="O1733" s="22" t="n">
        <f aca="false">IF(DAY(B1733)=1,Assumptions!B38*G1733,0)</f>
        <v>0</v>
      </c>
      <c r="P1733" s="22" t="n">
        <f aca="false">IF(DAY(B1733)=1,Assumptions!B39*G1733,0)</f>
        <v>0</v>
      </c>
      <c r="Q1733" s="22" t="n">
        <f aca="false">IF(DAY(B1733)=1,Assumptions!B40*G1733,0)</f>
        <v>0</v>
      </c>
      <c r="R1733" s="22" t="n">
        <f aca="false">IF(DAY(B1733)=1,Assumptions!B41*G1733,0)</f>
        <v>0</v>
      </c>
      <c r="S1733" s="22" t="n">
        <f aca="false">IF(AND(DAY(B1733)=1,D1733&gt;=13),Assumptions!B42*G1733,0)</f>
        <v>0</v>
      </c>
      <c r="T1733" s="22" t="n">
        <f aca="false">IF(DAY(B1733)=1,Assumptions!B43*G1733,0)</f>
        <v>0</v>
      </c>
      <c r="U1733" s="22" t="n">
        <f aca="false">SUM(O1733:T1733)</f>
        <v>0</v>
      </c>
      <c r="V1733" s="22" t="n">
        <f aca="false">N1733-U1733</f>
        <v>13800</v>
      </c>
      <c r="W1733" s="22" t="n">
        <f aca="false">W1732+V1733</f>
        <v>779982.869858574</v>
      </c>
      <c r="X1733" s="23" t="str">
        <f aca="false">IF(W1733&gt;=0,"YES","No")</f>
        <v>YES</v>
      </c>
    </row>
    <row r="1734" customFormat="false" ht="15" hidden="false" customHeight="false" outlineLevel="0" collapsed="false">
      <c r="A1734" s="16" t="n">
        <v>1733</v>
      </c>
      <c r="B1734" s="17" t="n">
        <f aca="false">B1733+1</f>
        <v>47755</v>
      </c>
      <c r="C1734" s="18" t="n">
        <f aca="false">MIN(ROUNDUP(A1734/365,0),5)</f>
        <v>5</v>
      </c>
      <c r="D1734" s="18" t="n">
        <f aca="false">DATEDIF(Assumptions!B5,B1734,"m")+1</f>
        <v>57</v>
      </c>
      <c r="E1734" s="18" t="str">
        <f aca="false">TEXT(B1734,"ddd")</f>
        <v>Sun</v>
      </c>
      <c r="F1734" s="19" t="n">
        <f aca="false">IF(WEEKDAY(B1734,2)&gt;=6,Assumptions!B34,Assumptions!B35)</f>
        <v>0.6</v>
      </c>
      <c r="G1734" s="20" t="n">
        <f aca="false">IF(D1734&gt;=13,(1+Assumptions!B46)^(D1734-12),1)</f>
        <v>1.14430550152086</v>
      </c>
      <c r="H1734" s="21" t="n">
        <f aca="false">H1733*(1+IF(C1734=1,Assumptions!B22,Assumptions!B23))</f>
        <v>26.0441671908279</v>
      </c>
      <c r="I1734" s="16" t="n">
        <f aca="false">ROUND(H1734*F1734,0)</f>
        <v>16</v>
      </c>
      <c r="J1734" s="22" t="n">
        <f aca="false">I1734*Assumptions!B24</f>
        <v>9600</v>
      </c>
      <c r="K1734" s="21" t="n">
        <f aca="false">K1733*(1+Assumptions!B30)</f>
        <v>23.1470900270772</v>
      </c>
      <c r="L1734" s="16" t="n">
        <f aca="false">ROUND(K1734*F1734,0)</f>
        <v>14</v>
      </c>
      <c r="M1734" s="22" t="n">
        <f aca="false">L1734*Assumptions!B31</f>
        <v>4200</v>
      </c>
      <c r="N1734" s="22" t="n">
        <f aca="false">J1734+M1734</f>
        <v>13800</v>
      </c>
      <c r="O1734" s="22" t="n">
        <f aca="false">IF(DAY(B1734)=1,Assumptions!B38*G1734,0)</f>
        <v>0</v>
      </c>
      <c r="P1734" s="22" t="n">
        <f aca="false">IF(DAY(B1734)=1,Assumptions!B39*G1734,0)</f>
        <v>0</v>
      </c>
      <c r="Q1734" s="22" t="n">
        <f aca="false">IF(DAY(B1734)=1,Assumptions!B40*G1734,0)</f>
        <v>0</v>
      </c>
      <c r="R1734" s="22" t="n">
        <f aca="false">IF(DAY(B1734)=1,Assumptions!B41*G1734,0)</f>
        <v>0</v>
      </c>
      <c r="S1734" s="22" t="n">
        <f aca="false">IF(AND(DAY(B1734)=1,D1734&gt;=13),Assumptions!B42*G1734,0)</f>
        <v>0</v>
      </c>
      <c r="T1734" s="22" t="n">
        <f aca="false">IF(DAY(B1734)=1,Assumptions!B43*G1734,0)</f>
        <v>0</v>
      </c>
      <c r="U1734" s="22" t="n">
        <f aca="false">SUM(O1734:T1734)</f>
        <v>0</v>
      </c>
      <c r="V1734" s="22" t="n">
        <f aca="false">N1734-U1734</f>
        <v>13800</v>
      </c>
      <c r="W1734" s="22" t="n">
        <f aca="false">W1733+V1734</f>
        <v>793782.869858574</v>
      </c>
      <c r="X1734" s="23" t="str">
        <f aca="false">IF(W1734&gt;=0,"YES","No")</f>
        <v>YES</v>
      </c>
    </row>
    <row r="1735" customFormat="false" ht="15" hidden="false" customHeight="false" outlineLevel="0" collapsed="false">
      <c r="A1735" s="16" t="n">
        <v>1734</v>
      </c>
      <c r="B1735" s="17" t="n">
        <f aca="false">B1734+1</f>
        <v>47756</v>
      </c>
      <c r="C1735" s="18" t="n">
        <f aca="false">MIN(ROUNDUP(A1735/365,0),5)</f>
        <v>5</v>
      </c>
      <c r="D1735" s="18" t="n">
        <f aca="false">DATEDIF(Assumptions!B5,B1735,"m")+1</f>
        <v>57</v>
      </c>
      <c r="E1735" s="18" t="str">
        <f aca="false">TEXT(B1735,"ddd")</f>
        <v>Mon</v>
      </c>
      <c r="F1735" s="19" t="n">
        <f aca="false">IF(WEEKDAY(B1735,2)&gt;=6,Assumptions!B34,Assumptions!B35)</f>
        <v>1</v>
      </c>
      <c r="G1735" s="20" t="n">
        <f aca="false">IF(D1735&gt;=13,(1+Assumptions!B46)^(D1735-12),1)</f>
        <v>1.14430550152086</v>
      </c>
      <c r="H1735" s="21" t="n">
        <f aca="false">H1734*(1+IF(C1735=1,Assumptions!B22,Assumptions!B23))</f>
        <v>26.0484348323264</v>
      </c>
      <c r="I1735" s="16" t="n">
        <f aca="false">ROUND(H1735*F1735,0)</f>
        <v>26</v>
      </c>
      <c r="J1735" s="22" t="n">
        <f aca="false">I1735*Assumptions!B24</f>
        <v>15600</v>
      </c>
      <c r="K1735" s="21" t="n">
        <f aca="false">K1734*(1+Assumptions!B30)</f>
        <v>23.1546576634849</v>
      </c>
      <c r="L1735" s="16" t="n">
        <f aca="false">ROUND(K1735*F1735,0)</f>
        <v>23</v>
      </c>
      <c r="M1735" s="22" t="n">
        <f aca="false">L1735*Assumptions!B31</f>
        <v>6900</v>
      </c>
      <c r="N1735" s="22" t="n">
        <f aca="false">J1735+M1735</f>
        <v>22500</v>
      </c>
      <c r="O1735" s="22" t="n">
        <f aca="false">IF(DAY(B1735)=1,Assumptions!B38*G1735,0)</f>
        <v>0</v>
      </c>
      <c r="P1735" s="22" t="n">
        <f aca="false">IF(DAY(B1735)=1,Assumptions!B39*G1735,0)</f>
        <v>0</v>
      </c>
      <c r="Q1735" s="22" t="n">
        <f aca="false">IF(DAY(B1735)=1,Assumptions!B40*G1735,0)</f>
        <v>0</v>
      </c>
      <c r="R1735" s="22" t="n">
        <f aca="false">IF(DAY(B1735)=1,Assumptions!B41*G1735,0)</f>
        <v>0</v>
      </c>
      <c r="S1735" s="22" t="n">
        <f aca="false">IF(AND(DAY(B1735)=1,D1735&gt;=13),Assumptions!B42*G1735,0)</f>
        <v>0</v>
      </c>
      <c r="T1735" s="22" t="n">
        <f aca="false">IF(DAY(B1735)=1,Assumptions!B43*G1735,0)</f>
        <v>0</v>
      </c>
      <c r="U1735" s="22" t="n">
        <f aca="false">SUM(O1735:T1735)</f>
        <v>0</v>
      </c>
      <c r="V1735" s="22" t="n">
        <f aca="false">N1735-U1735</f>
        <v>22500</v>
      </c>
      <c r="W1735" s="22" t="n">
        <f aca="false">W1734+V1735</f>
        <v>816282.869858574</v>
      </c>
      <c r="X1735" s="23" t="str">
        <f aca="false">IF(W1735&gt;=0,"YES","No")</f>
        <v>YES</v>
      </c>
    </row>
    <row r="1736" customFormat="false" ht="15" hidden="false" customHeight="false" outlineLevel="0" collapsed="false">
      <c r="A1736" s="16" t="n">
        <v>1735</v>
      </c>
      <c r="B1736" s="17" t="n">
        <f aca="false">B1735+1</f>
        <v>47757</v>
      </c>
      <c r="C1736" s="18" t="n">
        <f aca="false">MIN(ROUNDUP(A1736/365,0),5)</f>
        <v>5</v>
      </c>
      <c r="D1736" s="18" t="n">
        <f aca="false">DATEDIF(Assumptions!B5,B1736,"m")+1</f>
        <v>58</v>
      </c>
      <c r="E1736" s="18" t="str">
        <f aca="false">TEXT(B1736,"ddd")</f>
        <v>Tue</v>
      </c>
      <c r="F1736" s="19" t="n">
        <f aca="false">IF(WEEKDAY(B1736,2)&gt;=6,Assumptions!B34,Assumptions!B35)</f>
        <v>1</v>
      </c>
      <c r="G1736" s="20" t="n">
        <f aca="false">IF(D1736&gt;=13,(1+Assumptions!B46)^(D1736-12),1)</f>
        <v>1.14773841802542</v>
      </c>
      <c r="H1736" s="21" t="n">
        <f aca="false">H1735*(1+IF(C1736=1,Assumptions!B22,Assumptions!B23))</f>
        <v>26.0527031731279</v>
      </c>
      <c r="I1736" s="16" t="n">
        <f aca="false">ROUND(H1736*F1736,0)</f>
        <v>26</v>
      </c>
      <c r="J1736" s="22" t="n">
        <f aca="false">I1736*Assumptions!B24</f>
        <v>15600</v>
      </c>
      <c r="K1736" s="21" t="n">
        <f aca="false">K1735*(1+Assumptions!B30)</f>
        <v>23.1622277740317</v>
      </c>
      <c r="L1736" s="16" t="n">
        <f aca="false">ROUND(K1736*F1736,0)</f>
        <v>23</v>
      </c>
      <c r="M1736" s="22" t="n">
        <f aca="false">L1736*Assumptions!B31</f>
        <v>6900</v>
      </c>
      <c r="N1736" s="22" t="n">
        <f aca="false">J1736+M1736</f>
        <v>22500</v>
      </c>
      <c r="O1736" s="22" t="n">
        <f aca="false">IF(DAY(B1736)=1,Assumptions!B38*G1736,0)</f>
        <v>172160.762703813</v>
      </c>
      <c r="P1736" s="22" t="n">
        <f aca="false">IF(DAY(B1736)=1,Assumptions!B39*G1736,0)</f>
        <v>45909.5367210168</v>
      </c>
      <c r="Q1736" s="22" t="n">
        <f aca="false">IF(DAY(B1736)=1,Assumptions!B40*G1736,0)</f>
        <v>34432.1525407626</v>
      </c>
      <c r="R1736" s="22" t="n">
        <f aca="false">IF(DAY(B1736)=1,Assumptions!B41*G1736,0)</f>
        <v>22954.7683605084</v>
      </c>
      <c r="S1736" s="22" t="n">
        <f aca="false">IF(AND(DAY(B1736)=1,D1736&gt;=13),Assumptions!B42*G1736,0)</f>
        <v>172160.762703813</v>
      </c>
      <c r="T1736" s="22" t="n">
        <f aca="false">IF(DAY(B1736)=1,Assumptions!B43*G1736,0)</f>
        <v>22954.7683605084</v>
      </c>
      <c r="U1736" s="22" t="n">
        <f aca="false">SUM(O1736:T1736)</f>
        <v>470572.751390422</v>
      </c>
      <c r="V1736" s="22" t="n">
        <f aca="false">N1736-U1736</f>
        <v>-448072.751390422</v>
      </c>
      <c r="W1736" s="22" t="n">
        <f aca="false">W1735+V1736</f>
        <v>368210.118468152</v>
      </c>
      <c r="X1736" s="23" t="str">
        <f aca="false">IF(W1736&gt;=0,"YES","No")</f>
        <v>YES</v>
      </c>
    </row>
    <row r="1737" customFormat="false" ht="15" hidden="false" customHeight="false" outlineLevel="0" collapsed="false">
      <c r="A1737" s="16" t="n">
        <v>1736</v>
      </c>
      <c r="B1737" s="17" t="n">
        <f aca="false">B1736+1</f>
        <v>47758</v>
      </c>
      <c r="C1737" s="18" t="n">
        <f aca="false">MIN(ROUNDUP(A1737/365,0),5)</f>
        <v>5</v>
      </c>
      <c r="D1737" s="18" t="n">
        <f aca="false">DATEDIF(Assumptions!B5,B1737,"m")+1</f>
        <v>58</v>
      </c>
      <c r="E1737" s="18" t="str">
        <f aca="false">TEXT(B1737,"ddd")</f>
        <v>Wed</v>
      </c>
      <c r="F1737" s="19" t="n">
        <f aca="false">IF(WEEKDAY(B1737,2)&gt;=6,Assumptions!B34,Assumptions!B35)</f>
        <v>1</v>
      </c>
      <c r="G1737" s="20" t="n">
        <f aca="false">IF(D1737&gt;=13,(1+Assumptions!B46)^(D1737-12),1)</f>
        <v>1.14773841802542</v>
      </c>
      <c r="H1737" s="21" t="n">
        <f aca="false">H1736*(1+IF(C1737=1,Assumptions!B22,Assumptions!B23))</f>
        <v>26.0569722133469</v>
      </c>
      <c r="I1737" s="16" t="n">
        <f aca="false">ROUND(H1737*F1737,0)</f>
        <v>26</v>
      </c>
      <c r="J1737" s="22" t="n">
        <f aca="false">I1737*Assumptions!B24</f>
        <v>15600</v>
      </c>
      <c r="K1737" s="21" t="n">
        <f aca="false">K1736*(1+Assumptions!B30)</f>
        <v>23.1698003595264</v>
      </c>
      <c r="L1737" s="16" t="n">
        <f aca="false">ROUND(K1737*F1737,0)</f>
        <v>23</v>
      </c>
      <c r="M1737" s="22" t="n">
        <f aca="false">L1737*Assumptions!B31</f>
        <v>6900</v>
      </c>
      <c r="N1737" s="22" t="n">
        <f aca="false">J1737+M1737</f>
        <v>22500</v>
      </c>
      <c r="O1737" s="22" t="n">
        <f aca="false">IF(DAY(B1737)=1,Assumptions!B38*G1737,0)</f>
        <v>0</v>
      </c>
      <c r="P1737" s="22" t="n">
        <f aca="false">IF(DAY(B1737)=1,Assumptions!B39*G1737,0)</f>
        <v>0</v>
      </c>
      <c r="Q1737" s="22" t="n">
        <f aca="false">IF(DAY(B1737)=1,Assumptions!B40*G1737,0)</f>
        <v>0</v>
      </c>
      <c r="R1737" s="22" t="n">
        <f aca="false">IF(DAY(B1737)=1,Assumptions!B41*G1737,0)</f>
        <v>0</v>
      </c>
      <c r="S1737" s="22" t="n">
        <f aca="false">IF(AND(DAY(B1737)=1,D1737&gt;=13),Assumptions!B42*G1737,0)</f>
        <v>0</v>
      </c>
      <c r="T1737" s="22" t="n">
        <f aca="false">IF(DAY(B1737)=1,Assumptions!B43*G1737,0)</f>
        <v>0</v>
      </c>
      <c r="U1737" s="22" t="n">
        <f aca="false">SUM(O1737:T1737)</f>
        <v>0</v>
      </c>
      <c r="V1737" s="22" t="n">
        <f aca="false">N1737-U1737</f>
        <v>22500</v>
      </c>
      <c r="W1737" s="22" t="n">
        <f aca="false">W1736+V1737</f>
        <v>390710.118468152</v>
      </c>
      <c r="X1737" s="23" t="str">
        <f aca="false">IF(W1737&gt;=0,"YES","No")</f>
        <v>YES</v>
      </c>
    </row>
    <row r="1738" customFormat="false" ht="15" hidden="false" customHeight="false" outlineLevel="0" collapsed="false">
      <c r="A1738" s="16" t="n">
        <v>1737</v>
      </c>
      <c r="B1738" s="17" t="n">
        <f aca="false">B1737+1</f>
        <v>47759</v>
      </c>
      <c r="C1738" s="18" t="n">
        <f aca="false">MIN(ROUNDUP(A1738/365,0),5)</f>
        <v>5</v>
      </c>
      <c r="D1738" s="18" t="n">
        <f aca="false">DATEDIF(Assumptions!B5,B1738,"m")+1</f>
        <v>58</v>
      </c>
      <c r="E1738" s="18" t="str">
        <f aca="false">TEXT(B1738,"ddd")</f>
        <v>Thu</v>
      </c>
      <c r="F1738" s="19" t="n">
        <f aca="false">IF(WEEKDAY(B1738,2)&gt;=6,Assumptions!B34,Assumptions!B35)</f>
        <v>1</v>
      </c>
      <c r="G1738" s="20" t="n">
        <f aca="false">IF(D1738&gt;=13,(1+Assumptions!B46)^(D1738-12),1)</f>
        <v>1.14773841802542</v>
      </c>
      <c r="H1738" s="21" t="n">
        <f aca="false">H1737*(1+IF(C1738=1,Assumptions!B22,Assumptions!B23))</f>
        <v>26.0612419530981</v>
      </c>
      <c r="I1738" s="16" t="n">
        <f aca="false">ROUND(H1738*F1738,0)</f>
        <v>26</v>
      </c>
      <c r="J1738" s="22" t="n">
        <f aca="false">I1738*Assumptions!B24</f>
        <v>15600</v>
      </c>
      <c r="K1738" s="21" t="n">
        <f aca="false">K1737*(1+Assumptions!B30)</f>
        <v>23.1773754207784</v>
      </c>
      <c r="L1738" s="16" t="n">
        <f aca="false">ROUND(K1738*F1738,0)</f>
        <v>23</v>
      </c>
      <c r="M1738" s="22" t="n">
        <f aca="false">L1738*Assumptions!B31</f>
        <v>6900</v>
      </c>
      <c r="N1738" s="22" t="n">
        <f aca="false">J1738+M1738</f>
        <v>22500</v>
      </c>
      <c r="O1738" s="22" t="n">
        <f aca="false">IF(DAY(B1738)=1,Assumptions!B38*G1738,0)</f>
        <v>0</v>
      </c>
      <c r="P1738" s="22" t="n">
        <f aca="false">IF(DAY(B1738)=1,Assumptions!B39*G1738,0)</f>
        <v>0</v>
      </c>
      <c r="Q1738" s="22" t="n">
        <f aca="false">IF(DAY(B1738)=1,Assumptions!B40*G1738,0)</f>
        <v>0</v>
      </c>
      <c r="R1738" s="22" t="n">
        <f aca="false">IF(DAY(B1738)=1,Assumptions!B41*G1738,0)</f>
        <v>0</v>
      </c>
      <c r="S1738" s="22" t="n">
        <f aca="false">IF(AND(DAY(B1738)=1,D1738&gt;=13),Assumptions!B42*G1738,0)</f>
        <v>0</v>
      </c>
      <c r="T1738" s="22" t="n">
        <f aca="false">IF(DAY(B1738)=1,Assumptions!B43*G1738,0)</f>
        <v>0</v>
      </c>
      <c r="U1738" s="22" t="n">
        <f aca="false">SUM(O1738:T1738)</f>
        <v>0</v>
      </c>
      <c r="V1738" s="22" t="n">
        <f aca="false">N1738-U1738</f>
        <v>22500</v>
      </c>
      <c r="W1738" s="22" t="n">
        <f aca="false">W1737+V1738</f>
        <v>413210.118468152</v>
      </c>
      <c r="X1738" s="23" t="str">
        <f aca="false">IF(W1738&gt;=0,"YES","No")</f>
        <v>YES</v>
      </c>
    </row>
    <row r="1739" customFormat="false" ht="15" hidden="false" customHeight="false" outlineLevel="0" collapsed="false">
      <c r="A1739" s="16" t="n">
        <v>1738</v>
      </c>
      <c r="B1739" s="17" t="n">
        <f aca="false">B1738+1</f>
        <v>47760</v>
      </c>
      <c r="C1739" s="18" t="n">
        <f aca="false">MIN(ROUNDUP(A1739/365,0),5)</f>
        <v>5</v>
      </c>
      <c r="D1739" s="18" t="n">
        <f aca="false">DATEDIF(Assumptions!B5,B1739,"m")+1</f>
        <v>58</v>
      </c>
      <c r="E1739" s="18" t="str">
        <f aca="false">TEXT(B1739,"ddd")</f>
        <v>Fri</v>
      </c>
      <c r="F1739" s="19" t="n">
        <f aca="false">IF(WEEKDAY(B1739,2)&gt;=6,Assumptions!B34,Assumptions!B35)</f>
        <v>1</v>
      </c>
      <c r="G1739" s="20" t="n">
        <f aca="false">IF(D1739&gt;=13,(1+Assumptions!B46)^(D1739-12),1)</f>
        <v>1.14773841802542</v>
      </c>
      <c r="H1739" s="21" t="n">
        <f aca="false">H1738*(1+IF(C1739=1,Assumptions!B22,Assumptions!B23))</f>
        <v>26.0655123924962</v>
      </c>
      <c r="I1739" s="16" t="n">
        <f aca="false">ROUND(H1739*F1739,0)</f>
        <v>26</v>
      </c>
      <c r="J1739" s="22" t="n">
        <f aca="false">I1739*Assumptions!B24</f>
        <v>15600</v>
      </c>
      <c r="K1739" s="21" t="n">
        <f aca="false">K1738*(1+Assumptions!B30)</f>
        <v>23.1849529585969</v>
      </c>
      <c r="L1739" s="16" t="n">
        <f aca="false">ROUND(K1739*F1739,0)</f>
        <v>23</v>
      </c>
      <c r="M1739" s="22" t="n">
        <f aca="false">L1739*Assumptions!B31</f>
        <v>6900</v>
      </c>
      <c r="N1739" s="22" t="n">
        <f aca="false">J1739+M1739</f>
        <v>22500</v>
      </c>
      <c r="O1739" s="22" t="n">
        <f aca="false">IF(DAY(B1739)=1,Assumptions!B38*G1739,0)</f>
        <v>0</v>
      </c>
      <c r="P1739" s="22" t="n">
        <f aca="false">IF(DAY(B1739)=1,Assumptions!B39*G1739,0)</f>
        <v>0</v>
      </c>
      <c r="Q1739" s="22" t="n">
        <f aca="false">IF(DAY(B1739)=1,Assumptions!B40*G1739,0)</f>
        <v>0</v>
      </c>
      <c r="R1739" s="22" t="n">
        <f aca="false">IF(DAY(B1739)=1,Assumptions!B41*G1739,0)</f>
        <v>0</v>
      </c>
      <c r="S1739" s="22" t="n">
        <f aca="false">IF(AND(DAY(B1739)=1,D1739&gt;=13),Assumptions!B42*G1739,0)</f>
        <v>0</v>
      </c>
      <c r="T1739" s="22" t="n">
        <f aca="false">IF(DAY(B1739)=1,Assumptions!B43*G1739,0)</f>
        <v>0</v>
      </c>
      <c r="U1739" s="22" t="n">
        <f aca="false">SUM(O1739:T1739)</f>
        <v>0</v>
      </c>
      <c r="V1739" s="22" t="n">
        <f aca="false">N1739-U1739</f>
        <v>22500</v>
      </c>
      <c r="W1739" s="22" t="n">
        <f aca="false">W1738+V1739</f>
        <v>435710.118468152</v>
      </c>
      <c r="X1739" s="23" t="str">
        <f aca="false">IF(W1739&gt;=0,"YES","No")</f>
        <v>YES</v>
      </c>
    </row>
    <row r="1740" customFormat="false" ht="15" hidden="false" customHeight="false" outlineLevel="0" collapsed="false">
      <c r="A1740" s="16" t="n">
        <v>1739</v>
      </c>
      <c r="B1740" s="17" t="n">
        <f aca="false">B1739+1</f>
        <v>47761</v>
      </c>
      <c r="C1740" s="18" t="n">
        <f aca="false">MIN(ROUNDUP(A1740/365,0),5)</f>
        <v>5</v>
      </c>
      <c r="D1740" s="18" t="n">
        <f aca="false">DATEDIF(Assumptions!B5,B1740,"m")+1</f>
        <v>58</v>
      </c>
      <c r="E1740" s="18" t="str">
        <f aca="false">TEXT(B1740,"ddd")</f>
        <v>Sat</v>
      </c>
      <c r="F1740" s="19" t="n">
        <f aca="false">IF(WEEKDAY(B1740,2)&gt;=6,Assumptions!B34,Assumptions!B35)</f>
        <v>0.6</v>
      </c>
      <c r="G1740" s="20" t="n">
        <f aca="false">IF(D1740&gt;=13,(1+Assumptions!B46)^(D1740-12),1)</f>
        <v>1.14773841802542</v>
      </c>
      <c r="H1740" s="21" t="n">
        <f aca="false">H1739*(1+IF(C1740=1,Assumptions!B22,Assumptions!B23))</f>
        <v>26.0697835316557</v>
      </c>
      <c r="I1740" s="16" t="n">
        <f aca="false">ROUND(H1740*F1740,0)</f>
        <v>16</v>
      </c>
      <c r="J1740" s="22" t="n">
        <f aca="false">I1740*Assumptions!B24</f>
        <v>9600</v>
      </c>
      <c r="K1740" s="21" t="n">
        <f aca="false">K1739*(1+Assumptions!B30)</f>
        <v>23.1925329737916</v>
      </c>
      <c r="L1740" s="16" t="n">
        <f aca="false">ROUND(K1740*F1740,0)</f>
        <v>14</v>
      </c>
      <c r="M1740" s="22" t="n">
        <f aca="false">L1740*Assumptions!B31</f>
        <v>4200</v>
      </c>
      <c r="N1740" s="22" t="n">
        <f aca="false">J1740+M1740</f>
        <v>13800</v>
      </c>
      <c r="O1740" s="22" t="n">
        <f aca="false">IF(DAY(B1740)=1,Assumptions!B38*G1740,0)</f>
        <v>0</v>
      </c>
      <c r="P1740" s="22" t="n">
        <f aca="false">IF(DAY(B1740)=1,Assumptions!B39*G1740,0)</f>
        <v>0</v>
      </c>
      <c r="Q1740" s="22" t="n">
        <f aca="false">IF(DAY(B1740)=1,Assumptions!B40*G1740,0)</f>
        <v>0</v>
      </c>
      <c r="R1740" s="22" t="n">
        <f aca="false">IF(DAY(B1740)=1,Assumptions!B41*G1740,0)</f>
        <v>0</v>
      </c>
      <c r="S1740" s="22" t="n">
        <f aca="false">IF(AND(DAY(B1740)=1,D1740&gt;=13),Assumptions!B42*G1740,0)</f>
        <v>0</v>
      </c>
      <c r="T1740" s="22" t="n">
        <f aca="false">IF(DAY(B1740)=1,Assumptions!B43*G1740,0)</f>
        <v>0</v>
      </c>
      <c r="U1740" s="22" t="n">
        <f aca="false">SUM(O1740:T1740)</f>
        <v>0</v>
      </c>
      <c r="V1740" s="22" t="n">
        <f aca="false">N1740-U1740</f>
        <v>13800</v>
      </c>
      <c r="W1740" s="22" t="n">
        <f aca="false">W1739+V1740</f>
        <v>449510.118468152</v>
      </c>
      <c r="X1740" s="23" t="str">
        <f aca="false">IF(W1740&gt;=0,"YES","No")</f>
        <v>YES</v>
      </c>
    </row>
    <row r="1741" customFormat="false" ht="15" hidden="false" customHeight="false" outlineLevel="0" collapsed="false">
      <c r="A1741" s="16" t="n">
        <v>1740</v>
      </c>
      <c r="B1741" s="17" t="n">
        <f aca="false">B1740+1</f>
        <v>47762</v>
      </c>
      <c r="C1741" s="18" t="n">
        <f aca="false">MIN(ROUNDUP(A1741/365,0),5)</f>
        <v>5</v>
      </c>
      <c r="D1741" s="18" t="n">
        <f aca="false">DATEDIF(Assumptions!B5,B1741,"m")+1</f>
        <v>58</v>
      </c>
      <c r="E1741" s="18" t="str">
        <f aca="false">TEXT(B1741,"ddd")</f>
        <v>Sun</v>
      </c>
      <c r="F1741" s="19" t="n">
        <f aca="false">IF(WEEKDAY(B1741,2)&gt;=6,Assumptions!B34,Assumptions!B35)</f>
        <v>0.6</v>
      </c>
      <c r="G1741" s="20" t="n">
        <f aca="false">IF(D1741&gt;=13,(1+Assumptions!B46)^(D1741-12),1)</f>
        <v>1.14773841802542</v>
      </c>
      <c r="H1741" s="21" t="n">
        <f aca="false">H1740*(1+IF(C1741=1,Assumptions!B22,Assumptions!B23))</f>
        <v>26.0740553706913</v>
      </c>
      <c r="I1741" s="16" t="n">
        <f aca="false">ROUND(H1741*F1741,0)</f>
        <v>16</v>
      </c>
      <c r="J1741" s="22" t="n">
        <f aca="false">I1741*Assumptions!B24</f>
        <v>9600</v>
      </c>
      <c r="K1741" s="21" t="n">
        <f aca="false">K1740*(1+Assumptions!B30)</f>
        <v>23.2001154671726</v>
      </c>
      <c r="L1741" s="16" t="n">
        <f aca="false">ROUND(K1741*F1741,0)</f>
        <v>14</v>
      </c>
      <c r="M1741" s="22" t="n">
        <f aca="false">L1741*Assumptions!B31</f>
        <v>4200</v>
      </c>
      <c r="N1741" s="22" t="n">
        <f aca="false">J1741+M1741</f>
        <v>13800</v>
      </c>
      <c r="O1741" s="22" t="n">
        <f aca="false">IF(DAY(B1741)=1,Assumptions!B38*G1741,0)</f>
        <v>0</v>
      </c>
      <c r="P1741" s="22" t="n">
        <f aca="false">IF(DAY(B1741)=1,Assumptions!B39*G1741,0)</f>
        <v>0</v>
      </c>
      <c r="Q1741" s="22" t="n">
        <f aca="false">IF(DAY(B1741)=1,Assumptions!B40*G1741,0)</f>
        <v>0</v>
      </c>
      <c r="R1741" s="22" t="n">
        <f aca="false">IF(DAY(B1741)=1,Assumptions!B41*G1741,0)</f>
        <v>0</v>
      </c>
      <c r="S1741" s="22" t="n">
        <f aca="false">IF(AND(DAY(B1741)=1,D1741&gt;=13),Assumptions!B42*G1741,0)</f>
        <v>0</v>
      </c>
      <c r="T1741" s="22" t="n">
        <f aca="false">IF(DAY(B1741)=1,Assumptions!B43*G1741,0)</f>
        <v>0</v>
      </c>
      <c r="U1741" s="22" t="n">
        <f aca="false">SUM(O1741:T1741)</f>
        <v>0</v>
      </c>
      <c r="V1741" s="22" t="n">
        <f aca="false">N1741-U1741</f>
        <v>13800</v>
      </c>
      <c r="W1741" s="22" t="n">
        <f aca="false">W1740+V1741</f>
        <v>463310.118468152</v>
      </c>
      <c r="X1741" s="23" t="str">
        <f aca="false">IF(W1741&gt;=0,"YES","No")</f>
        <v>YES</v>
      </c>
    </row>
    <row r="1742" customFormat="false" ht="15" hidden="false" customHeight="false" outlineLevel="0" collapsed="false">
      <c r="A1742" s="16" t="n">
        <v>1741</v>
      </c>
      <c r="B1742" s="17" t="n">
        <f aca="false">B1741+1</f>
        <v>47763</v>
      </c>
      <c r="C1742" s="18" t="n">
        <f aca="false">MIN(ROUNDUP(A1742/365,0),5)</f>
        <v>5</v>
      </c>
      <c r="D1742" s="18" t="n">
        <f aca="false">DATEDIF(Assumptions!B5,B1742,"m")+1</f>
        <v>58</v>
      </c>
      <c r="E1742" s="18" t="str">
        <f aca="false">TEXT(B1742,"ddd")</f>
        <v>Mon</v>
      </c>
      <c r="F1742" s="19" t="n">
        <f aca="false">IF(WEEKDAY(B1742,2)&gt;=6,Assumptions!B34,Assumptions!B35)</f>
        <v>1</v>
      </c>
      <c r="G1742" s="20" t="n">
        <f aca="false">IF(D1742&gt;=13,(1+Assumptions!B46)^(D1742-12),1)</f>
        <v>1.14773841802542</v>
      </c>
      <c r="H1742" s="21" t="n">
        <f aca="false">H1741*(1+IF(C1742=1,Assumptions!B22,Assumptions!B23))</f>
        <v>26.0783279097177</v>
      </c>
      <c r="I1742" s="16" t="n">
        <f aca="false">ROUND(H1742*F1742,0)</f>
        <v>26</v>
      </c>
      <c r="J1742" s="22" t="n">
        <f aca="false">I1742*Assumptions!B24</f>
        <v>15600</v>
      </c>
      <c r="K1742" s="21" t="n">
        <f aca="false">K1741*(1+Assumptions!B30)</f>
        <v>23.2077004395499</v>
      </c>
      <c r="L1742" s="16" t="n">
        <f aca="false">ROUND(K1742*F1742,0)</f>
        <v>23</v>
      </c>
      <c r="M1742" s="22" t="n">
        <f aca="false">L1742*Assumptions!B31</f>
        <v>6900</v>
      </c>
      <c r="N1742" s="22" t="n">
        <f aca="false">J1742+M1742</f>
        <v>22500</v>
      </c>
      <c r="O1742" s="22" t="n">
        <f aca="false">IF(DAY(B1742)=1,Assumptions!B38*G1742,0)</f>
        <v>0</v>
      </c>
      <c r="P1742" s="22" t="n">
        <f aca="false">IF(DAY(B1742)=1,Assumptions!B39*G1742,0)</f>
        <v>0</v>
      </c>
      <c r="Q1742" s="22" t="n">
        <f aca="false">IF(DAY(B1742)=1,Assumptions!B40*G1742,0)</f>
        <v>0</v>
      </c>
      <c r="R1742" s="22" t="n">
        <f aca="false">IF(DAY(B1742)=1,Assumptions!B41*G1742,0)</f>
        <v>0</v>
      </c>
      <c r="S1742" s="22" t="n">
        <f aca="false">IF(AND(DAY(B1742)=1,D1742&gt;=13),Assumptions!B42*G1742,0)</f>
        <v>0</v>
      </c>
      <c r="T1742" s="22" t="n">
        <f aca="false">IF(DAY(B1742)=1,Assumptions!B43*G1742,0)</f>
        <v>0</v>
      </c>
      <c r="U1742" s="22" t="n">
        <f aca="false">SUM(O1742:T1742)</f>
        <v>0</v>
      </c>
      <c r="V1742" s="22" t="n">
        <f aca="false">N1742-U1742</f>
        <v>22500</v>
      </c>
      <c r="W1742" s="22" t="n">
        <f aca="false">W1741+V1742</f>
        <v>485810.118468152</v>
      </c>
      <c r="X1742" s="23" t="str">
        <f aca="false">IF(W1742&gt;=0,"YES","No")</f>
        <v>YES</v>
      </c>
    </row>
    <row r="1743" customFormat="false" ht="15" hidden="false" customHeight="false" outlineLevel="0" collapsed="false">
      <c r="A1743" s="16" t="n">
        <v>1742</v>
      </c>
      <c r="B1743" s="17" t="n">
        <f aca="false">B1742+1</f>
        <v>47764</v>
      </c>
      <c r="C1743" s="18" t="n">
        <f aca="false">MIN(ROUNDUP(A1743/365,0),5)</f>
        <v>5</v>
      </c>
      <c r="D1743" s="18" t="n">
        <f aca="false">DATEDIF(Assumptions!B5,B1743,"m")+1</f>
        <v>58</v>
      </c>
      <c r="E1743" s="18" t="str">
        <f aca="false">TEXT(B1743,"ddd")</f>
        <v>Tue</v>
      </c>
      <c r="F1743" s="19" t="n">
        <f aca="false">IF(WEEKDAY(B1743,2)&gt;=6,Assumptions!B34,Assumptions!B35)</f>
        <v>1</v>
      </c>
      <c r="G1743" s="20" t="n">
        <f aca="false">IF(D1743&gt;=13,(1+Assumptions!B46)^(D1743-12),1)</f>
        <v>1.14773841802542</v>
      </c>
      <c r="H1743" s="21" t="n">
        <f aca="false">H1742*(1+IF(C1743=1,Assumptions!B22,Assumptions!B23))</f>
        <v>26.0826011488496</v>
      </c>
      <c r="I1743" s="16" t="n">
        <f aca="false">ROUND(H1743*F1743,0)</f>
        <v>26</v>
      </c>
      <c r="J1743" s="22" t="n">
        <f aca="false">I1743*Assumptions!B24</f>
        <v>15600</v>
      </c>
      <c r="K1743" s="21" t="n">
        <f aca="false">K1742*(1+Assumptions!B30)</f>
        <v>23.2152878917341</v>
      </c>
      <c r="L1743" s="16" t="n">
        <f aca="false">ROUND(K1743*F1743,0)</f>
        <v>23</v>
      </c>
      <c r="M1743" s="22" t="n">
        <f aca="false">L1743*Assumptions!B31</f>
        <v>6900</v>
      </c>
      <c r="N1743" s="22" t="n">
        <f aca="false">J1743+M1743</f>
        <v>22500</v>
      </c>
      <c r="O1743" s="22" t="n">
        <f aca="false">IF(DAY(B1743)=1,Assumptions!B38*G1743,0)</f>
        <v>0</v>
      </c>
      <c r="P1743" s="22" t="n">
        <f aca="false">IF(DAY(B1743)=1,Assumptions!B39*G1743,0)</f>
        <v>0</v>
      </c>
      <c r="Q1743" s="22" t="n">
        <f aca="false">IF(DAY(B1743)=1,Assumptions!B40*G1743,0)</f>
        <v>0</v>
      </c>
      <c r="R1743" s="22" t="n">
        <f aca="false">IF(DAY(B1743)=1,Assumptions!B41*G1743,0)</f>
        <v>0</v>
      </c>
      <c r="S1743" s="22" t="n">
        <f aca="false">IF(AND(DAY(B1743)=1,D1743&gt;=13),Assumptions!B42*G1743,0)</f>
        <v>0</v>
      </c>
      <c r="T1743" s="22" t="n">
        <f aca="false">IF(DAY(B1743)=1,Assumptions!B43*G1743,0)</f>
        <v>0</v>
      </c>
      <c r="U1743" s="22" t="n">
        <f aca="false">SUM(O1743:T1743)</f>
        <v>0</v>
      </c>
      <c r="V1743" s="22" t="n">
        <f aca="false">N1743-U1743</f>
        <v>22500</v>
      </c>
      <c r="W1743" s="22" t="n">
        <f aca="false">W1742+V1743</f>
        <v>508310.118468152</v>
      </c>
      <c r="X1743" s="23" t="str">
        <f aca="false">IF(W1743&gt;=0,"YES","No")</f>
        <v>YES</v>
      </c>
    </row>
    <row r="1744" customFormat="false" ht="15" hidden="false" customHeight="false" outlineLevel="0" collapsed="false">
      <c r="A1744" s="16" t="n">
        <v>1743</v>
      </c>
      <c r="B1744" s="17" t="n">
        <f aca="false">B1743+1</f>
        <v>47765</v>
      </c>
      <c r="C1744" s="18" t="n">
        <f aca="false">MIN(ROUNDUP(A1744/365,0),5)</f>
        <v>5</v>
      </c>
      <c r="D1744" s="18" t="n">
        <f aca="false">DATEDIF(Assumptions!B5,B1744,"m")+1</f>
        <v>58</v>
      </c>
      <c r="E1744" s="18" t="str">
        <f aca="false">TEXT(B1744,"ddd")</f>
        <v>Wed</v>
      </c>
      <c r="F1744" s="19" t="n">
        <f aca="false">IF(WEEKDAY(B1744,2)&gt;=6,Assumptions!B34,Assumptions!B35)</f>
        <v>1</v>
      </c>
      <c r="G1744" s="20" t="n">
        <f aca="false">IF(D1744&gt;=13,(1+Assumptions!B46)^(D1744-12),1)</f>
        <v>1.14773841802542</v>
      </c>
      <c r="H1744" s="21" t="n">
        <f aca="false">H1743*(1+IF(C1744=1,Assumptions!B22,Assumptions!B23))</f>
        <v>26.0868750882018</v>
      </c>
      <c r="I1744" s="16" t="n">
        <f aca="false">ROUND(H1744*F1744,0)</f>
        <v>26</v>
      </c>
      <c r="J1744" s="22" t="n">
        <f aca="false">I1744*Assumptions!B24</f>
        <v>15600</v>
      </c>
      <c r="K1744" s="21" t="n">
        <f aca="false">K1743*(1+Assumptions!B30)</f>
        <v>23.222877824536</v>
      </c>
      <c r="L1744" s="16" t="n">
        <f aca="false">ROUND(K1744*F1744,0)</f>
        <v>23</v>
      </c>
      <c r="M1744" s="22" t="n">
        <f aca="false">L1744*Assumptions!B31</f>
        <v>6900</v>
      </c>
      <c r="N1744" s="22" t="n">
        <f aca="false">J1744+M1744</f>
        <v>22500</v>
      </c>
      <c r="O1744" s="22" t="n">
        <f aca="false">IF(DAY(B1744)=1,Assumptions!B38*G1744,0)</f>
        <v>0</v>
      </c>
      <c r="P1744" s="22" t="n">
        <f aca="false">IF(DAY(B1744)=1,Assumptions!B39*G1744,0)</f>
        <v>0</v>
      </c>
      <c r="Q1744" s="22" t="n">
        <f aca="false">IF(DAY(B1744)=1,Assumptions!B40*G1744,0)</f>
        <v>0</v>
      </c>
      <c r="R1744" s="22" t="n">
        <f aca="false">IF(DAY(B1744)=1,Assumptions!B41*G1744,0)</f>
        <v>0</v>
      </c>
      <c r="S1744" s="22" t="n">
        <f aca="false">IF(AND(DAY(B1744)=1,D1744&gt;=13),Assumptions!B42*G1744,0)</f>
        <v>0</v>
      </c>
      <c r="T1744" s="22" t="n">
        <f aca="false">IF(DAY(B1744)=1,Assumptions!B43*G1744,0)</f>
        <v>0</v>
      </c>
      <c r="U1744" s="22" t="n">
        <f aca="false">SUM(O1744:T1744)</f>
        <v>0</v>
      </c>
      <c r="V1744" s="22" t="n">
        <f aca="false">N1744-U1744</f>
        <v>22500</v>
      </c>
      <c r="W1744" s="22" t="n">
        <f aca="false">W1743+V1744</f>
        <v>530810.118468152</v>
      </c>
      <c r="X1744" s="23" t="str">
        <f aca="false">IF(W1744&gt;=0,"YES","No")</f>
        <v>YES</v>
      </c>
    </row>
    <row r="1745" customFormat="false" ht="15" hidden="false" customHeight="false" outlineLevel="0" collapsed="false">
      <c r="A1745" s="16" t="n">
        <v>1744</v>
      </c>
      <c r="B1745" s="17" t="n">
        <f aca="false">B1744+1</f>
        <v>47766</v>
      </c>
      <c r="C1745" s="18" t="n">
        <f aca="false">MIN(ROUNDUP(A1745/365,0),5)</f>
        <v>5</v>
      </c>
      <c r="D1745" s="18" t="n">
        <f aca="false">DATEDIF(Assumptions!B5,B1745,"m")+1</f>
        <v>58</v>
      </c>
      <c r="E1745" s="18" t="str">
        <f aca="false">TEXT(B1745,"ddd")</f>
        <v>Thu</v>
      </c>
      <c r="F1745" s="19" t="n">
        <f aca="false">IF(WEEKDAY(B1745,2)&gt;=6,Assumptions!B34,Assumptions!B35)</f>
        <v>1</v>
      </c>
      <c r="G1745" s="20" t="n">
        <f aca="false">IF(D1745&gt;=13,(1+Assumptions!B46)^(D1745-12),1)</f>
        <v>1.14773841802542</v>
      </c>
      <c r="H1745" s="21" t="n">
        <f aca="false">H1744*(1+IF(C1745=1,Assumptions!B22,Assumptions!B23))</f>
        <v>26.0911497278889</v>
      </c>
      <c r="I1745" s="16" t="n">
        <f aca="false">ROUND(H1745*F1745,0)</f>
        <v>26</v>
      </c>
      <c r="J1745" s="22" t="n">
        <f aca="false">I1745*Assumptions!B24</f>
        <v>15600</v>
      </c>
      <c r="K1745" s="21" t="n">
        <f aca="false">K1744*(1+Assumptions!B30)</f>
        <v>23.2304702387665</v>
      </c>
      <c r="L1745" s="16" t="n">
        <f aca="false">ROUND(K1745*F1745,0)</f>
        <v>23</v>
      </c>
      <c r="M1745" s="22" t="n">
        <f aca="false">L1745*Assumptions!B31</f>
        <v>6900</v>
      </c>
      <c r="N1745" s="22" t="n">
        <f aca="false">J1745+M1745</f>
        <v>22500</v>
      </c>
      <c r="O1745" s="22" t="n">
        <f aca="false">IF(DAY(B1745)=1,Assumptions!B38*G1745,0)</f>
        <v>0</v>
      </c>
      <c r="P1745" s="22" t="n">
        <f aca="false">IF(DAY(B1745)=1,Assumptions!B39*G1745,0)</f>
        <v>0</v>
      </c>
      <c r="Q1745" s="22" t="n">
        <f aca="false">IF(DAY(B1745)=1,Assumptions!B40*G1745,0)</f>
        <v>0</v>
      </c>
      <c r="R1745" s="22" t="n">
        <f aca="false">IF(DAY(B1745)=1,Assumptions!B41*G1745,0)</f>
        <v>0</v>
      </c>
      <c r="S1745" s="22" t="n">
        <f aca="false">IF(AND(DAY(B1745)=1,D1745&gt;=13),Assumptions!B42*G1745,0)</f>
        <v>0</v>
      </c>
      <c r="T1745" s="22" t="n">
        <f aca="false">IF(DAY(B1745)=1,Assumptions!B43*G1745,0)</f>
        <v>0</v>
      </c>
      <c r="U1745" s="22" t="n">
        <f aca="false">SUM(O1745:T1745)</f>
        <v>0</v>
      </c>
      <c r="V1745" s="22" t="n">
        <f aca="false">N1745-U1745</f>
        <v>22500</v>
      </c>
      <c r="W1745" s="22" t="n">
        <f aca="false">W1744+V1745</f>
        <v>553310.118468152</v>
      </c>
      <c r="X1745" s="23" t="str">
        <f aca="false">IF(W1745&gt;=0,"YES","No")</f>
        <v>YES</v>
      </c>
    </row>
    <row r="1746" customFormat="false" ht="15" hidden="false" customHeight="false" outlineLevel="0" collapsed="false">
      <c r="A1746" s="16" t="n">
        <v>1745</v>
      </c>
      <c r="B1746" s="17" t="n">
        <f aca="false">B1745+1</f>
        <v>47767</v>
      </c>
      <c r="C1746" s="18" t="n">
        <f aca="false">MIN(ROUNDUP(A1746/365,0),5)</f>
        <v>5</v>
      </c>
      <c r="D1746" s="18" t="n">
        <f aca="false">DATEDIF(Assumptions!B5,B1746,"m")+1</f>
        <v>58</v>
      </c>
      <c r="E1746" s="18" t="str">
        <f aca="false">TEXT(B1746,"ddd")</f>
        <v>Fri</v>
      </c>
      <c r="F1746" s="19" t="n">
        <f aca="false">IF(WEEKDAY(B1746,2)&gt;=6,Assumptions!B34,Assumptions!B35)</f>
        <v>1</v>
      </c>
      <c r="G1746" s="20" t="n">
        <f aca="false">IF(D1746&gt;=13,(1+Assumptions!B46)^(D1746-12),1)</f>
        <v>1.14773841802542</v>
      </c>
      <c r="H1746" s="21" t="n">
        <f aca="false">H1745*(1+IF(C1746=1,Assumptions!B22,Assumptions!B23))</f>
        <v>26.0954250680258</v>
      </c>
      <c r="I1746" s="16" t="n">
        <f aca="false">ROUND(H1746*F1746,0)</f>
        <v>26</v>
      </c>
      <c r="J1746" s="22" t="n">
        <f aca="false">I1746*Assumptions!B24</f>
        <v>15600</v>
      </c>
      <c r="K1746" s="21" t="n">
        <f aca="false">K1745*(1+Assumptions!B30)</f>
        <v>23.2380651352368</v>
      </c>
      <c r="L1746" s="16" t="n">
        <f aca="false">ROUND(K1746*F1746,0)</f>
        <v>23</v>
      </c>
      <c r="M1746" s="22" t="n">
        <f aca="false">L1746*Assumptions!B31</f>
        <v>6900</v>
      </c>
      <c r="N1746" s="22" t="n">
        <f aca="false">J1746+M1746</f>
        <v>22500</v>
      </c>
      <c r="O1746" s="22" t="n">
        <f aca="false">IF(DAY(B1746)=1,Assumptions!B38*G1746,0)</f>
        <v>0</v>
      </c>
      <c r="P1746" s="22" t="n">
        <f aca="false">IF(DAY(B1746)=1,Assumptions!B39*G1746,0)</f>
        <v>0</v>
      </c>
      <c r="Q1746" s="22" t="n">
        <f aca="false">IF(DAY(B1746)=1,Assumptions!B40*G1746,0)</f>
        <v>0</v>
      </c>
      <c r="R1746" s="22" t="n">
        <f aca="false">IF(DAY(B1746)=1,Assumptions!B41*G1746,0)</f>
        <v>0</v>
      </c>
      <c r="S1746" s="22" t="n">
        <f aca="false">IF(AND(DAY(B1746)=1,D1746&gt;=13),Assumptions!B42*G1746,0)</f>
        <v>0</v>
      </c>
      <c r="T1746" s="22" t="n">
        <f aca="false">IF(DAY(B1746)=1,Assumptions!B43*G1746,0)</f>
        <v>0</v>
      </c>
      <c r="U1746" s="22" t="n">
        <f aca="false">SUM(O1746:T1746)</f>
        <v>0</v>
      </c>
      <c r="V1746" s="22" t="n">
        <f aca="false">N1746-U1746</f>
        <v>22500</v>
      </c>
      <c r="W1746" s="22" t="n">
        <f aca="false">W1745+V1746</f>
        <v>575810.118468152</v>
      </c>
      <c r="X1746" s="23" t="str">
        <f aca="false">IF(W1746&gt;=0,"YES","No")</f>
        <v>YES</v>
      </c>
    </row>
    <row r="1747" customFormat="false" ht="15" hidden="false" customHeight="false" outlineLevel="0" collapsed="false">
      <c r="A1747" s="16" t="n">
        <v>1746</v>
      </c>
      <c r="B1747" s="17" t="n">
        <f aca="false">B1746+1</f>
        <v>47768</v>
      </c>
      <c r="C1747" s="18" t="n">
        <f aca="false">MIN(ROUNDUP(A1747/365,0),5)</f>
        <v>5</v>
      </c>
      <c r="D1747" s="18" t="n">
        <f aca="false">DATEDIF(Assumptions!B5,B1747,"m")+1</f>
        <v>58</v>
      </c>
      <c r="E1747" s="18" t="str">
        <f aca="false">TEXT(B1747,"ddd")</f>
        <v>Sat</v>
      </c>
      <c r="F1747" s="19" t="n">
        <f aca="false">IF(WEEKDAY(B1747,2)&gt;=6,Assumptions!B34,Assumptions!B35)</f>
        <v>0.6</v>
      </c>
      <c r="G1747" s="20" t="n">
        <f aca="false">IF(D1747&gt;=13,(1+Assumptions!B46)^(D1747-12),1)</f>
        <v>1.14773841802542</v>
      </c>
      <c r="H1747" s="21" t="n">
        <f aca="false">H1746*(1+IF(C1747=1,Assumptions!B22,Assumptions!B23))</f>
        <v>26.0997011087271</v>
      </c>
      <c r="I1747" s="16" t="n">
        <f aca="false">ROUND(H1747*F1747,0)</f>
        <v>16</v>
      </c>
      <c r="J1747" s="22" t="n">
        <f aca="false">I1747*Assumptions!B24</f>
        <v>9600</v>
      </c>
      <c r="K1747" s="21" t="n">
        <f aca="false">K1746*(1+Assumptions!B30)</f>
        <v>23.2456625147586</v>
      </c>
      <c r="L1747" s="16" t="n">
        <f aca="false">ROUND(K1747*F1747,0)</f>
        <v>14</v>
      </c>
      <c r="M1747" s="22" t="n">
        <f aca="false">L1747*Assumptions!B31</f>
        <v>4200</v>
      </c>
      <c r="N1747" s="22" t="n">
        <f aca="false">J1747+M1747</f>
        <v>13800</v>
      </c>
      <c r="O1747" s="22" t="n">
        <f aca="false">IF(DAY(B1747)=1,Assumptions!B38*G1747,0)</f>
        <v>0</v>
      </c>
      <c r="P1747" s="22" t="n">
        <f aca="false">IF(DAY(B1747)=1,Assumptions!B39*G1747,0)</f>
        <v>0</v>
      </c>
      <c r="Q1747" s="22" t="n">
        <f aca="false">IF(DAY(B1747)=1,Assumptions!B40*G1747,0)</f>
        <v>0</v>
      </c>
      <c r="R1747" s="22" t="n">
        <f aca="false">IF(DAY(B1747)=1,Assumptions!B41*G1747,0)</f>
        <v>0</v>
      </c>
      <c r="S1747" s="22" t="n">
        <f aca="false">IF(AND(DAY(B1747)=1,D1747&gt;=13),Assumptions!B42*G1747,0)</f>
        <v>0</v>
      </c>
      <c r="T1747" s="22" t="n">
        <f aca="false">IF(DAY(B1747)=1,Assumptions!B43*G1747,0)</f>
        <v>0</v>
      </c>
      <c r="U1747" s="22" t="n">
        <f aca="false">SUM(O1747:T1747)</f>
        <v>0</v>
      </c>
      <c r="V1747" s="22" t="n">
        <f aca="false">N1747-U1747</f>
        <v>13800</v>
      </c>
      <c r="W1747" s="22" t="n">
        <f aca="false">W1746+V1747</f>
        <v>589610.118468152</v>
      </c>
      <c r="X1747" s="23" t="str">
        <f aca="false">IF(W1747&gt;=0,"YES","No")</f>
        <v>YES</v>
      </c>
    </row>
    <row r="1748" customFormat="false" ht="15" hidden="false" customHeight="false" outlineLevel="0" collapsed="false">
      <c r="A1748" s="16" t="n">
        <v>1747</v>
      </c>
      <c r="B1748" s="17" t="n">
        <f aca="false">B1747+1</f>
        <v>47769</v>
      </c>
      <c r="C1748" s="18" t="n">
        <f aca="false">MIN(ROUNDUP(A1748/365,0),5)</f>
        <v>5</v>
      </c>
      <c r="D1748" s="18" t="n">
        <f aca="false">DATEDIF(Assumptions!B5,B1748,"m")+1</f>
        <v>58</v>
      </c>
      <c r="E1748" s="18" t="str">
        <f aca="false">TEXT(B1748,"ddd")</f>
        <v>Sun</v>
      </c>
      <c r="F1748" s="19" t="n">
        <f aca="false">IF(WEEKDAY(B1748,2)&gt;=6,Assumptions!B34,Assumptions!B35)</f>
        <v>0.6</v>
      </c>
      <c r="G1748" s="20" t="n">
        <f aca="false">IF(D1748&gt;=13,(1+Assumptions!B46)^(D1748-12),1)</f>
        <v>1.14773841802542</v>
      </c>
      <c r="H1748" s="21" t="n">
        <f aca="false">H1747*(1+IF(C1748=1,Assumptions!B22,Assumptions!B23))</f>
        <v>26.1039778501078</v>
      </c>
      <c r="I1748" s="16" t="n">
        <f aca="false">ROUND(H1748*F1748,0)</f>
        <v>16</v>
      </c>
      <c r="J1748" s="22" t="n">
        <f aca="false">I1748*Assumptions!B24</f>
        <v>9600</v>
      </c>
      <c r="K1748" s="21" t="n">
        <f aca="false">K1747*(1+Assumptions!B30)</f>
        <v>23.2532623781437</v>
      </c>
      <c r="L1748" s="16" t="n">
        <f aca="false">ROUND(K1748*F1748,0)</f>
        <v>14</v>
      </c>
      <c r="M1748" s="22" t="n">
        <f aca="false">L1748*Assumptions!B31</f>
        <v>4200</v>
      </c>
      <c r="N1748" s="22" t="n">
        <f aca="false">J1748+M1748</f>
        <v>13800</v>
      </c>
      <c r="O1748" s="22" t="n">
        <f aca="false">IF(DAY(B1748)=1,Assumptions!B38*G1748,0)</f>
        <v>0</v>
      </c>
      <c r="P1748" s="22" t="n">
        <f aca="false">IF(DAY(B1748)=1,Assumptions!B39*G1748,0)</f>
        <v>0</v>
      </c>
      <c r="Q1748" s="22" t="n">
        <f aca="false">IF(DAY(B1748)=1,Assumptions!B40*G1748,0)</f>
        <v>0</v>
      </c>
      <c r="R1748" s="22" t="n">
        <f aca="false">IF(DAY(B1748)=1,Assumptions!B41*G1748,0)</f>
        <v>0</v>
      </c>
      <c r="S1748" s="22" t="n">
        <f aca="false">IF(AND(DAY(B1748)=1,D1748&gt;=13),Assumptions!B42*G1748,0)</f>
        <v>0</v>
      </c>
      <c r="T1748" s="22" t="n">
        <f aca="false">IF(DAY(B1748)=1,Assumptions!B43*G1748,0)</f>
        <v>0</v>
      </c>
      <c r="U1748" s="22" t="n">
        <f aca="false">SUM(O1748:T1748)</f>
        <v>0</v>
      </c>
      <c r="V1748" s="22" t="n">
        <f aca="false">N1748-U1748</f>
        <v>13800</v>
      </c>
      <c r="W1748" s="22" t="n">
        <f aca="false">W1747+V1748</f>
        <v>603410.118468152</v>
      </c>
      <c r="X1748" s="23" t="str">
        <f aca="false">IF(W1748&gt;=0,"YES","No")</f>
        <v>YES</v>
      </c>
    </row>
    <row r="1749" customFormat="false" ht="15" hidden="false" customHeight="false" outlineLevel="0" collapsed="false">
      <c r="A1749" s="16" t="n">
        <v>1748</v>
      </c>
      <c r="B1749" s="17" t="n">
        <f aca="false">B1748+1</f>
        <v>47770</v>
      </c>
      <c r="C1749" s="18" t="n">
        <f aca="false">MIN(ROUNDUP(A1749/365,0),5)</f>
        <v>5</v>
      </c>
      <c r="D1749" s="18" t="n">
        <f aca="false">DATEDIF(Assumptions!B5,B1749,"m")+1</f>
        <v>58</v>
      </c>
      <c r="E1749" s="18" t="str">
        <f aca="false">TEXT(B1749,"ddd")</f>
        <v>Mon</v>
      </c>
      <c r="F1749" s="19" t="n">
        <f aca="false">IF(WEEKDAY(B1749,2)&gt;=6,Assumptions!B34,Assumptions!B35)</f>
        <v>1</v>
      </c>
      <c r="G1749" s="20" t="n">
        <f aca="false">IF(D1749&gt;=13,(1+Assumptions!B46)^(D1749-12),1)</f>
        <v>1.14773841802542</v>
      </c>
      <c r="H1749" s="21" t="n">
        <f aca="false">H1748*(1+IF(C1749=1,Assumptions!B22,Assumptions!B23))</f>
        <v>26.1082552922825</v>
      </c>
      <c r="I1749" s="16" t="n">
        <f aca="false">ROUND(H1749*F1749,0)</f>
        <v>26</v>
      </c>
      <c r="J1749" s="22" t="n">
        <f aca="false">I1749*Assumptions!B24</f>
        <v>15600</v>
      </c>
      <c r="K1749" s="21" t="n">
        <f aca="false">K1748*(1+Assumptions!B30)</f>
        <v>23.260864726204</v>
      </c>
      <c r="L1749" s="16" t="n">
        <f aca="false">ROUND(K1749*F1749,0)</f>
        <v>23</v>
      </c>
      <c r="M1749" s="22" t="n">
        <f aca="false">L1749*Assumptions!B31</f>
        <v>6900</v>
      </c>
      <c r="N1749" s="22" t="n">
        <f aca="false">J1749+M1749</f>
        <v>22500</v>
      </c>
      <c r="O1749" s="22" t="n">
        <f aca="false">IF(DAY(B1749)=1,Assumptions!B38*G1749,0)</f>
        <v>0</v>
      </c>
      <c r="P1749" s="22" t="n">
        <f aca="false">IF(DAY(B1749)=1,Assumptions!B39*G1749,0)</f>
        <v>0</v>
      </c>
      <c r="Q1749" s="22" t="n">
        <f aca="false">IF(DAY(B1749)=1,Assumptions!B40*G1749,0)</f>
        <v>0</v>
      </c>
      <c r="R1749" s="22" t="n">
        <f aca="false">IF(DAY(B1749)=1,Assumptions!B41*G1749,0)</f>
        <v>0</v>
      </c>
      <c r="S1749" s="22" t="n">
        <f aca="false">IF(AND(DAY(B1749)=1,D1749&gt;=13),Assumptions!B42*G1749,0)</f>
        <v>0</v>
      </c>
      <c r="T1749" s="22" t="n">
        <f aca="false">IF(DAY(B1749)=1,Assumptions!B43*G1749,0)</f>
        <v>0</v>
      </c>
      <c r="U1749" s="22" t="n">
        <f aca="false">SUM(O1749:T1749)</f>
        <v>0</v>
      </c>
      <c r="V1749" s="22" t="n">
        <f aca="false">N1749-U1749</f>
        <v>22500</v>
      </c>
      <c r="W1749" s="22" t="n">
        <f aca="false">W1748+V1749</f>
        <v>625910.118468152</v>
      </c>
      <c r="X1749" s="23" t="str">
        <f aca="false">IF(W1749&gt;=0,"YES","No")</f>
        <v>YES</v>
      </c>
    </row>
    <row r="1750" customFormat="false" ht="15" hidden="false" customHeight="false" outlineLevel="0" collapsed="false">
      <c r="A1750" s="16" t="n">
        <v>1749</v>
      </c>
      <c r="B1750" s="17" t="n">
        <f aca="false">B1749+1</f>
        <v>47771</v>
      </c>
      <c r="C1750" s="18" t="n">
        <f aca="false">MIN(ROUNDUP(A1750/365,0),5)</f>
        <v>5</v>
      </c>
      <c r="D1750" s="18" t="n">
        <f aca="false">DATEDIF(Assumptions!B5,B1750,"m")+1</f>
        <v>58</v>
      </c>
      <c r="E1750" s="18" t="str">
        <f aca="false">TEXT(B1750,"ddd")</f>
        <v>Tue</v>
      </c>
      <c r="F1750" s="19" t="n">
        <f aca="false">IF(WEEKDAY(B1750,2)&gt;=6,Assumptions!B34,Assumptions!B35)</f>
        <v>1</v>
      </c>
      <c r="G1750" s="20" t="n">
        <f aca="false">IF(D1750&gt;=13,(1+Assumptions!B46)^(D1750-12),1)</f>
        <v>1.14773841802542</v>
      </c>
      <c r="H1750" s="21" t="n">
        <f aca="false">H1749*(1+IF(C1750=1,Assumptions!B22,Assumptions!B23))</f>
        <v>26.1125334353662</v>
      </c>
      <c r="I1750" s="16" t="n">
        <f aca="false">ROUND(H1750*F1750,0)</f>
        <v>26</v>
      </c>
      <c r="J1750" s="22" t="n">
        <f aca="false">I1750*Assumptions!B24</f>
        <v>15600</v>
      </c>
      <c r="K1750" s="21" t="n">
        <f aca="false">K1749*(1+Assumptions!B30)</f>
        <v>23.268469559752</v>
      </c>
      <c r="L1750" s="16" t="n">
        <f aca="false">ROUND(K1750*F1750,0)</f>
        <v>23</v>
      </c>
      <c r="M1750" s="22" t="n">
        <f aca="false">L1750*Assumptions!B31</f>
        <v>6900</v>
      </c>
      <c r="N1750" s="22" t="n">
        <f aca="false">J1750+M1750</f>
        <v>22500</v>
      </c>
      <c r="O1750" s="22" t="n">
        <f aca="false">IF(DAY(B1750)=1,Assumptions!B38*G1750,0)</f>
        <v>0</v>
      </c>
      <c r="P1750" s="22" t="n">
        <f aca="false">IF(DAY(B1750)=1,Assumptions!B39*G1750,0)</f>
        <v>0</v>
      </c>
      <c r="Q1750" s="22" t="n">
        <f aca="false">IF(DAY(B1750)=1,Assumptions!B40*G1750,0)</f>
        <v>0</v>
      </c>
      <c r="R1750" s="22" t="n">
        <f aca="false">IF(DAY(B1750)=1,Assumptions!B41*G1750,0)</f>
        <v>0</v>
      </c>
      <c r="S1750" s="22" t="n">
        <f aca="false">IF(AND(DAY(B1750)=1,D1750&gt;=13),Assumptions!B42*G1750,0)</f>
        <v>0</v>
      </c>
      <c r="T1750" s="22" t="n">
        <f aca="false">IF(DAY(B1750)=1,Assumptions!B43*G1750,0)</f>
        <v>0</v>
      </c>
      <c r="U1750" s="22" t="n">
        <f aca="false">SUM(O1750:T1750)</f>
        <v>0</v>
      </c>
      <c r="V1750" s="22" t="n">
        <f aca="false">N1750-U1750</f>
        <v>22500</v>
      </c>
      <c r="W1750" s="22" t="n">
        <f aca="false">W1749+V1750</f>
        <v>648410.118468152</v>
      </c>
      <c r="X1750" s="23" t="str">
        <f aca="false">IF(W1750&gt;=0,"YES","No")</f>
        <v>YES</v>
      </c>
    </row>
    <row r="1751" customFormat="false" ht="15" hidden="false" customHeight="false" outlineLevel="0" collapsed="false">
      <c r="A1751" s="16" t="n">
        <v>1750</v>
      </c>
      <c r="B1751" s="17" t="n">
        <f aca="false">B1750+1</f>
        <v>47772</v>
      </c>
      <c r="C1751" s="18" t="n">
        <f aca="false">MIN(ROUNDUP(A1751/365,0),5)</f>
        <v>5</v>
      </c>
      <c r="D1751" s="18" t="n">
        <f aca="false">DATEDIF(Assumptions!B5,B1751,"m")+1</f>
        <v>58</v>
      </c>
      <c r="E1751" s="18" t="str">
        <f aca="false">TEXT(B1751,"ddd")</f>
        <v>Wed</v>
      </c>
      <c r="F1751" s="19" t="n">
        <f aca="false">IF(WEEKDAY(B1751,2)&gt;=6,Assumptions!B34,Assumptions!B35)</f>
        <v>1</v>
      </c>
      <c r="G1751" s="20" t="n">
        <f aca="false">IF(D1751&gt;=13,(1+Assumptions!B46)^(D1751-12),1)</f>
        <v>1.14773841802542</v>
      </c>
      <c r="H1751" s="21" t="n">
        <f aca="false">H1750*(1+IF(C1751=1,Assumptions!B22,Assumptions!B23))</f>
        <v>26.1168122794737</v>
      </c>
      <c r="I1751" s="16" t="n">
        <f aca="false">ROUND(H1751*F1751,0)</f>
        <v>26</v>
      </c>
      <c r="J1751" s="22" t="n">
        <f aca="false">I1751*Assumptions!B24</f>
        <v>15600</v>
      </c>
      <c r="K1751" s="21" t="n">
        <f aca="false">K1750*(1+Assumptions!B30)</f>
        <v>23.2760768796002</v>
      </c>
      <c r="L1751" s="16" t="n">
        <f aca="false">ROUND(K1751*F1751,0)</f>
        <v>23</v>
      </c>
      <c r="M1751" s="22" t="n">
        <f aca="false">L1751*Assumptions!B31</f>
        <v>6900</v>
      </c>
      <c r="N1751" s="22" t="n">
        <f aca="false">J1751+M1751</f>
        <v>22500</v>
      </c>
      <c r="O1751" s="22" t="n">
        <f aca="false">IF(DAY(B1751)=1,Assumptions!B38*G1751,0)</f>
        <v>0</v>
      </c>
      <c r="P1751" s="22" t="n">
        <f aca="false">IF(DAY(B1751)=1,Assumptions!B39*G1751,0)</f>
        <v>0</v>
      </c>
      <c r="Q1751" s="22" t="n">
        <f aca="false">IF(DAY(B1751)=1,Assumptions!B40*G1751,0)</f>
        <v>0</v>
      </c>
      <c r="R1751" s="22" t="n">
        <f aca="false">IF(DAY(B1751)=1,Assumptions!B41*G1751,0)</f>
        <v>0</v>
      </c>
      <c r="S1751" s="22" t="n">
        <f aca="false">IF(AND(DAY(B1751)=1,D1751&gt;=13),Assumptions!B42*G1751,0)</f>
        <v>0</v>
      </c>
      <c r="T1751" s="22" t="n">
        <f aca="false">IF(DAY(B1751)=1,Assumptions!B43*G1751,0)</f>
        <v>0</v>
      </c>
      <c r="U1751" s="22" t="n">
        <f aca="false">SUM(O1751:T1751)</f>
        <v>0</v>
      </c>
      <c r="V1751" s="22" t="n">
        <f aca="false">N1751-U1751</f>
        <v>22500</v>
      </c>
      <c r="W1751" s="22" t="n">
        <f aca="false">W1750+V1751</f>
        <v>670910.118468152</v>
      </c>
      <c r="X1751" s="23" t="str">
        <f aca="false">IF(W1751&gt;=0,"YES","No")</f>
        <v>YES</v>
      </c>
    </row>
    <row r="1752" customFormat="false" ht="15" hidden="false" customHeight="false" outlineLevel="0" collapsed="false">
      <c r="A1752" s="16" t="n">
        <v>1751</v>
      </c>
      <c r="B1752" s="17" t="n">
        <f aca="false">B1751+1</f>
        <v>47773</v>
      </c>
      <c r="C1752" s="18" t="n">
        <f aca="false">MIN(ROUNDUP(A1752/365,0),5)</f>
        <v>5</v>
      </c>
      <c r="D1752" s="18" t="n">
        <f aca="false">DATEDIF(Assumptions!B5,B1752,"m")+1</f>
        <v>58</v>
      </c>
      <c r="E1752" s="18" t="str">
        <f aca="false">TEXT(B1752,"ddd")</f>
        <v>Thu</v>
      </c>
      <c r="F1752" s="19" t="n">
        <f aca="false">IF(WEEKDAY(B1752,2)&gt;=6,Assumptions!B34,Assumptions!B35)</f>
        <v>1</v>
      </c>
      <c r="G1752" s="20" t="n">
        <f aca="false">IF(D1752&gt;=13,(1+Assumptions!B46)^(D1752-12),1)</f>
        <v>1.14773841802542</v>
      </c>
      <c r="H1752" s="21" t="n">
        <f aca="false">H1751*(1+IF(C1752=1,Assumptions!B22,Assumptions!B23))</f>
        <v>26.1210918247199</v>
      </c>
      <c r="I1752" s="16" t="n">
        <f aca="false">ROUND(H1752*F1752,0)</f>
        <v>26</v>
      </c>
      <c r="J1752" s="22" t="n">
        <f aca="false">I1752*Assumptions!B24</f>
        <v>15600</v>
      </c>
      <c r="K1752" s="21" t="n">
        <f aca="false">K1751*(1+Assumptions!B30)</f>
        <v>23.2836866865615</v>
      </c>
      <c r="L1752" s="16" t="n">
        <f aca="false">ROUND(K1752*F1752,0)</f>
        <v>23</v>
      </c>
      <c r="M1752" s="22" t="n">
        <f aca="false">L1752*Assumptions!B31</f>
        <v>6900</v>
      </c>
      <c r="N1752" s="22" t="n">
        <f aca="false">J1752+M1752</f>
        <v>22500</v>
      </c>
      <c r="O1752" s="22" t="n">
        <f aca="false">IF(DAY(B1752)=1,Assumptions!B38*G1752,0)</f>
        <v>0</v>
      </c>
      <c r="P1752" s="22" t="n">
        <f aca="false">IF(DAY(B1752)=1,Assumptions!B39*G1752,0)</f>
        <v>0</v>
      </c>
      <c r="Q1752" s="22" t="n">
        <f aca="false">IF(DAY(B1752)=1,Assumptions!B40*G1752,0)</f>
        <v>0</v>
      </c>
      <c r="R1752" s="22" t="n">
        <f aca="false">IF(DAY(B1752)=1,Assumptions!B41*G1752,0)</f>
        <v>0</v>
      </c>
      <c r="S1752" s="22" t="n">
        <f aca="false">IF(AND(DAY(B1752)=1,D1752&gt;=13),Assumptions!B42*G1752,0)</f>
        <v>0</v>
      </c>
      <c r="T1752" s="22" t="n">
        <f aca="false">IF(DAY(B1752)=1,Assumptions!B43*G1752,0)</f>
        <v>0</v>
      </c>
      <c r="U1752" s="22" t="n">
        <f aca="false">SUM(O1752:T1752)</f>
        <v>0</v>
      </c>
      <c r="V1752" s="22" t="n">
        <f aca="false">N1752-U1752</f>
        <v>22500</v>
      </c>
      <c r="W1752" s="22" t="n">
        <f aca="false">W1751+V1752</f>
        <v>693410.118468152</v>
      </c>
      <c r="X1752" s="23" t="str">
        <f aca="false">IF(W1752&gt;=0,"YES","No")</f>
        <v>YES</v>
      </c>
    </row>
    <row r="1753" customFormat="false" ht="15" hidden="false" customHeight="false" outlineLevel="0" collapsed="false">
      <c r="A1753" s="16" t="n">
        <v>1752</v>
      </c>
      <c r="B1753" s="17" t="n">
        <f aca="false">B1752+1</f>
        <v>47774</v>
      </c>
      <c r="C1753" s="18" t="n">
        <f aca="false">MIN(ROUNDUP(A1753/365,0),5)</f>
        <v>5</v>
      </c>
      <c r="D1753" s="18" t="n">
        <f aca="false">DATEDIF(Assumptions!B5,B1753,"m")+1</f>
        <v>58</v>
      </c>
      <c r="E1753" s="18" t="str">
        <f aca="false">TEXT(B1753,"ddd")</f>
        <v>Fri</v>
      </c>
      <c r="F1753" s="19" t="n">
        <f aca="false">IF(WEEKDAY(B1753,2)&gt;=6,Assumptions!B34,Assumptions!B35)</f>
        <v>1</v>
      </c>
      <c r="G1753" s="20" t="n">
        <f aca="false">IF(D1753&gt;=13,(1+Assumptions!B46)^(D1753-12),1)</f>
        <v>1.14773841802542</v>
      </c>
      <c r="H1753" s="21" t="n">
        <f aca="false">H1752*(1+IF(C1753=1,Assumptions!B22,Assumptions!B23))</f>
        <v>26.1253720712196</v>
      </c>
      <c r="I1753" s="16" t="n">
        <f aca="false">ROUND(H1753*F1753,0)</f>
        <v>26</v>
      </c>
      <c r="J1753" s="22" t="n">
        <f aca="false">I1753*Assumptions!B24</f>
        <v>15600</v>
      </c>
      <c r="K1753" s="21" t="n">
        <f aca="false">K1752*(1+Assumptions!B30)</f>
        <v>23.291298981449</v>
      </c>
      <c r="L1753" s="16" t="n">
        <f aca="false">ROUND(K1753*F1753,0)</f>
        <v>23</v>
      </c>
      <c r="M1753" s="22" t="n">
        <f aca="false">L1753*Assumptions!B31</f>
        <v>6900</v>
      </c>
      <c r="N1753" s="22" t="n">
        <f aca="false">J1753+M1753</f>
        <v>22500</v>
      </c>
      <c r="O1753" s="22" t="n">
        <f aca="false">IF(DAY(B1753)=1,Assumptions!B38*G1753,0)</f>
        <v>0</v>
      </c>
      <c r="P1753" s="22" t="n">
        <f aca="false">IF(DAY(B1753)=1,Assumptions!B39*G1753,0)</f>
        <v>0</v>
      </c>
      <c r="Q1753" s="22" t="n">
        <f aca="false">IF(DAY(B1753)=1,Assumptions!B40*G1753,0)</f>
        <v>0</v>
      </c>
      <c r="R1753" s="22" t="n">
        <f aca="false">IF(DAY(B1753)=1,Assumptions!B41*G1753,0)</f>
        <v>0</v>
      </c>
      <c r="S1753" s="22" t="n">
        <f aca="false">IF(AND(DAY(B1753)=1,D1753&gt;=13),Assumptions!B42*G1753,0)</f>
        <v>0</v>
      </c>
      <c r="T1753" s="22" t="n">
        <f aca="false">IF(DAY(B1753)=1,Assumptions!B43*G1753,0)</f>
        <v>0</v>
      </c>
      <c r="U1753" s="22" t="n">
        <f aca="false">SUM(O1753:T1753)</f>
        <v>0</v>
      </c>
      <c r="V1753" s="22" t="n">
        <f aca="false">N1753-U1753</f>
        <v>22500</v>
      </c>
      <c r="W1753" s="22" t="n">
        <f aca="false">W1752+V1753</f>
        <v>715910.118468152</v>
      </c>
      <c r="X1753" s="23" t="str">
        <f aca="false">IF(W1753&gt;=0,"YES","No")</f>
        <v>YES</v>
      </c>
    </row>
    <row r="1754" customFormat="false" ht="15" hidden="false" customHeight="false" outlineLevel="0" collapsed="false">
      <c r="A1754" s="16" t="n">
        <v>1753</v>
      </c>
      <c r="B1754" s="17" t="n">
        <f aca="false">B1753+1</f>
        <v>47775</v>
      </c>
      <c r="C1754" s="18" t="n">
        <f aca="false">MIN(ROUNDUP(A1754/365,0),5)</f>
        <v>5</v>
      </c>
      <c r="D1754" s="18" t="n">
        <f aca="false">DATEDIF(Assumptions!B5,B1754,"m")+1</f>
        <v>58</v>
      </c>
      <c r="E1754" s="18" t="str">
        <f aca="false">TEXT(B1754,"ddd")</f>
        <v>Sat</v>
      </c>
      <c r="F1754" s="19" t="n">
        <f aca="false">IF(WEEKDAY(B1754,2)&gt;=6,Assumptions!B34,Assumptions!B35)</f>
        <v>0.6</v>
      </c>
      <c r="G1754" s="20" t="n">
        <f aca="false">IF(D1754&gt;=13,(1+Assumptions!B46)^(D1754-12),1)</f>
        <v>1.14773841802542</v>
      </c>
      <c r="H1754" s="21" t="n">
        <f aca="false">H1753*(1+IF(C1754=1,Assumptions!B22,Assumptions!B23))</f>
        <v>26.1296530190878</v>
      </c>
      <c r="I1754" s="16" t="n">
        <f aca="false">ROUND(H1754*F1754,0)</f>
        <v>16</v>
      </c>
      <c r="J1754" s="22" t="n">
        <f aca="false">I1754*Assumptions!B24</f>
        <v>9600</v>
      </c>
      <c r="K1754" s="21" t="n">
        <f aca="false">K1753*(1+Assumptions!B30)</f>
        <v>23.2989137650761</v>
      </c>
      <c r="L1754" s="16" t="n">
        <f aca="false">ROUND(K1754*F1754,0)</f>
        <v>14</v>
      </c>
      <c r="M1754" s="22" t="n">
        <f aca="false">L1754*Assumptions!B31</f>
        <v>4200</v>
      </c>
      <c r="N1754" s="22" t="n">
        <f aca="false">J1754+M1754</f>
        <v>13800</v>
      </c>
      <c r="O1754" s="22" t="n">
        <f aca="false">IF(DAY(B1754)=1,Assumptions!B38*G1754,0)</f>
        <v>0</v>
      </c>
      <c r="P1754" s="22" t="n">
        <f aca="false">IF(DAY(B1754)=1,Assumptions!B39*G1754,0)</f>
        <v>0</v>
      </c>
      <c r="Q1754" s="22" t="n">
        <f aca="false">IF(DAY(B1754)=1,Assumptions!B40*G1754,0)</f>
        <v>0</v>
      </c>
      <c r="R1754" s="22" t="n">
        <f aca="false">IF(DAY(B1754)=1,Assumptions!B41*G1754,0)</f>
        <v>0</v>
      </c>
      <c r="S1754" s="22" t="n">
        <f aca="false">IF(AND(DAY(B1754)=1,D1754&gt;=13),Assumptions!B42*G1754,0)</f>
        <v>0</v>
      </c>
      <c r="T1754" s="22" t="n">
        <f aca="false">IF(DAY(B1754)=1,Assumptions!B43*G1754,0)</f>
        <v>0</v>
      </c>
      <c r="U1754" s="22" t="n">
        <f aca="false">SUM(O1754:T1754)</f>
        <v>0</v>
      </c>
      <c r="V1754" s="22" t="n">
        <f aca="false">N1754-U1754</f>
        <v>13800</v>
      </c>
      <c r="W1754" s="22" t="n">
        <f aca="false">W1753+V1754</f>
        <v>729710.118468152</v>
      </c>
      <c r="X1754" s="23" t="str">
        <f aca="false">IF(W1754&gt;=0,"YES","No")</f>
        <v>YES</v>
      </c>
    </row>
    <row r="1755" customFormat="false" ht="15" hidden="false" customHeight="false" outlineLevel="0" collapsed="false">
      <c r="A1755" s="16" t="n">
        <v>1754</v>
      </c>
      <c r="B1755" s="17" t="n">
        <f aca="false">B1754+1</f>
        <v>47776</v>
      </c>
      <c r="C1755" s="18" t="n">
        <f aca="false">MIN(ROUNDUP(A1755/365,0),5)</f>
        <v>5</v>
      </c>
      <c r="D1755" s="18" t="n">
        <f aca="false">DATEDIF(Assumptions!B5,B1755,"m")+1</f>
        <v>58</v>
      </c>
      <c r="E1755" s="18" t="str">
        <f aca="false">TEXT(B1755,"ddd")</f>
        <v>Sun</v>
      </c>
      <c r="F1755" s="19" t="n">
        <f aca="false">IF(WEEKDAY(B1755,2)&gt;=6,Assumptions!B34,Assumptions!B35)</f>
        <v>0.6</v>
      </c>
      <c r="G1755" s="20" t="n">
        <f aca="false">IF(D1755&gt;=13,(1+Assumptions!B46)^(D1755-12),1)</f>
        <v>1.14773841802542</v>
      </c>
      <c r="H1755" s="21" t="n">
        <f aca="false">H1754*(1+IF(C1755=1,Assumptions!B22,Assumptions!B23))</f>
        <v>26.1339346684393</v>
      </c>
      <c r="I1755" s="16" t="n">
        <f aca="false">ROUND(H1755*F1755,0)</f>
        <v>16</v>
      </c>
      <c r="J1755" s="22" t="n">
        <f aca="false">I1755*Assumptions!B24</f>
        <v>9600</v>
      </c>
      <c r="K1755" s="21" t="n">
        <f aca="false">K1754*(1+Assumptions!B30)</f>
        <v>23.3065310382565</v>
      </c>
      <c r="L1755" s="16" t="n">
        <f aca="false">ROUND(K1755*F1755,0)</f>
        <v>14</v>
      </c>
      <c r="M1755" s="22" t="n">
        <f aca="false">L1755*Assumptions!B31</f>
        <v>4200</v>
      </c>
      <c r="N1755" s="22" t="n">
        <f aca="false">J1755+M1755</f>
        <v>13800</v>
      </c>
      <c r="O1755" s="22" t="n">
        <f aca="false">IF(DAY(B1755)=1,Assumptions!B38*G1755,0)</f>
        <v>0</v>
      </c>
      <c r="P1755" s="22" t="n">
        <f aca="false">IF(DAY(B1755)=1,Assumptions!B39*G1755,0)</f>
        <v>0</v>
      </c>
      <c r="Q1755" s="22" t="n">
        <f aca="false">IF(DAY(B1755)=1,Assumptions!B40*G1755,0)</f>
        <v>0</v>
      </c>
      <c r="R1755" s="22" t="n">
        <f aca="false">IF(DAY(B1755)=1,Assumptions!B41*G1755,0)</f>
        <v>0</v>
      </c>
      <c r="S1755" s="22" t="n">
        <f aca="false">IF(AND(DAY(B1755)=1,D1755&gt;=13),Assumptions!B42*G1755,0)</f>
        <v>0</v>
      </c>
      <c r="T1755" s="22" t="n">
        <f aca="false">IF(DAY(B1755)=1,Assumptions!B43*G1755,0)</f>
        <v>0</v>
      </c>
      <c r="U1755" s="22" t="n">
        <f aca="false">SUM(O1755:T1755)</f>
        <v>0</v>
      </c>
      <c r="V1755" s="22" t="n">
        <f aca="false">N1755-U1755</f>
        <v>13800</v>
      </c>
      <c r="W1755" s="22" t="n">
        <f aca="false">W1754+V1755</f>
        <v>743510.118468152</v>
      </c>
      <c r="X1755" s="23" t="str">
        <f aca="false">IF(W1755&gt;=0,"YES","No")</f>
        <v>YES</v>
      </c>
    </row>
    <row r="1756" customFormat="false" ht="15" hidden="false" customHeight="false" outlineLevel="0" collapsed="false">
      <c r="A1756" s="16" t="n">
        <v>1755</v>
      </c>
      <c r="B1756" s="17" t="n">
        <f aca="false">B1755+1</f>
        <v>47777</v>
      </c>
      <c r="C1756" s="18" t="n">
        <f aca="false">MIN(ROUNDUP(A1756/365,0),5)</f>
        <v>5</v>
      </c>
      <c r="D1756" s="18" t="n">
        <f aca="false">DATEDIF(Assumptions!B5,B1756,"m")+1</f>
        <v>58</v>
      </c>
      <c r="E1756" s="18" t="str">
        <f aca="false">TEXT(B1756,"ddd")</f>
        <v>Mon</v>
      </c>
      <c r="F1756" s="19" t="n">
        <f aca="false">IF(WEEKDAY(B1756,2)&gt;=6,Assumptions!B34,Assumptions!B35)</f>
        <v>1</v>
      </c>
      <c r="G1756" s="20" t="n">
        <f aca="false">IF(D1756&gt;=13,(1+Assumptions!B46)^(D1756-12),1)</f>
        <v>1.14773841802542</v>
      </c>
      <c r="H1756" s="21" t="n">
        <f aca="false">H1755*(1+IF(C1756=1,Assumptions!B22,Assumptions!B23))</f>
        <v>26.1382170193893</v>
      </c>
      <c r="I1756" s="16" t="n">
        <f aca="false">ROUND(H1756*F1756,0)</f>
        <v>26</v>
      </c>
      <c r="J1756" s="22" t="n">
        <f aca="false">I1756*Assumptions!B24</f>
        <v>15600</v>
      </c>
      <c r="K1756" s="21" t="n">
        <f aca="false">K1755*(1+Assumptions!B30)</f>
        <v>23.3141508018041</v>
      </c>
      <c r="L1756" s="16" t="n">
        <f aca="false">ROUND(K1756*F1756,0)</f>
        <v>23</v>
      </c>
      <c r="M1756" s="22" t="n">
        <f aca="false">L1756*Assumptions!B31</f>
        <v>6900</v>
      </c>
      <c r="N1756" s="22" t="n">
        <f aca="false">J1756+M1756</f>
        <v>22500</v>
      </c>
      <c r="O1756" s="22" t="n">
        <f aca="false">IF(DAY(B1756)=1,Assumptions!B38*G1756,0)</f>
        <v>0</v>
      </c>
      <c r="P1756" s="22" t="n">
        <f aca="false">IF(DAY(B1756)=1,Assumptions!B39*G1756,0)</f>
        <v>0</v>
      </c>
      <c r="Q1756" s="22" t="n">
        <f aca="false">IF(DAY(B1756)=1,Assumptions!B40*G1756,0)</f>
        <v>0</v>
      </c>
      <c r="R1756" s="22" t="n">
        <f aca="false">IF(DAY(B1756)=1,Assumptions!B41*G1756,0)</f>
        <v>0</v>
      </c>
      <c r="S1756" s="22" t="n">
        <f aca="false">IF(AND(DAY(B1756)=1,D1756&gt;=13),Assumptions!B42*G1756,0)</f>
        <v>0</v>
      </c>
      <c r="T1756" s="22" t="n">
        <f aca="false">IF(DAY(B1756)=1,Assumptions!B43*G1756,0)</f>
        <v>0</v>
      </c>
      <c r="U1756" s="22" t="n">
        <f aca="false">SUM(O1756:T1756)</f>
        <v>0</v>
      </c>
      <c r="V1756" s="22" t="n">
        <f aca="false">N1756-U1756</f>
        <v>22500</v>
      </c>
      <c r="W1756" s="22" t="n">
        <f aca="false">W1755+V1756</f>
        <v>766010.118468152</v>
      </c>
      <c r="X1756" s="23" t="str">
        <f aca="false">IF(W1756&gt;=0,"YES","No")</f>
        <v>YES</v>
      </c>
    </row>
    <row r="1757" customFormat="false" ht="15" hidden="false" customHeight="false" outlineLevel="0" collapsed="false">
      <c r="A1757" s="16" t="n">
        <v>1756</v>
      </c>
      <c r="B1757" s="17" t="n">
        <f aca="false">B1756+1</f>
        <v>47778</v>
      </c>
      <c r="C1757" s="18" t="n">
        <f aca="false">MIN(ROUNDUP(A1757/365,0),5)</f>
        <v>5</v>
      </c>
      <c r="D1757" s="18" t="n">
        <f aca="false">DATEDIF(Assumptions!B5,B1757,"m")+1</f>
        <v>58</v>
      </c>
      <c r="E1757" s="18" t="str">
        <f aca="false">TEXT(B1757,"ddd")</f>
        <v>Tue</v>
      </c>
      <c r="F1757" s="19" t="n">
        <f aca="false">IF(WEEKDAY(B1757,2)&gt;=6,Assumptions!B34,Assumptions!B35)</f>
        <v>1</v>
      </c>
      <c r="G1757" s="20" t="n">
        <f aca="false">IF(D1757&gt;=13,(1+Assumptions!B46)^(D1757-12),1)</f>
        <v>1.14773841802542</v>
      </c>
      <c r="H1757" s="21" t="n">
        <f aca="false">H1756*(1+IF(C1757=1,Assumptions!B22,Assumptions!B23))</f>
        <v>26.1425000720525</v>
      </c>
      <c r="I1757" s="16" t="n">
        <f aca="false">ROUND(H1757*F1757,0)</f>
        <v>26</v>
      </c>
      <c r="J1757" s="22" t="n">
        <f aca="false">I1757*Assumptions!B24</f>
        <v>15600</v>
      </c>
      <c r="K1757" s="21" t="n">
        <f aca="false">K1756*(1+Assumptions!B30)</f>
        <v>23.3217730565331</v>
      </c>
      <c r="L1757" s="16" t="n">
        <f aca="false">ROUND(K1757*F1757,0)</f>
        <v>23</v>
      </c>
      <c r="M1757" s="22" t="n">
        <f aca="false">L1757*Assumptions!B31</f>
        <v>6900</v>
      </c>
      <c r="N1757" s="22" t="n">
        <f aca="false">J1757+M1757</f>
        <v>22500</v>
      </c>
      <c r="O1757" s="22" t="n">
        <f aca="false">IF(DAY(B1757)=1,Assumptions!B38*G1757,0)</f>
        <v>0</v>
      </c>
      <c r="P1757" s="22" t="n">
        <f aca="false">IF(DAY(B1757)=1,Assumptions!B39*G1757,0)</f>
        <v>0</v>
      </c>
      <c r="Q1757" s="22" t="n">
        <f aca="false">IF(DAY(B1757)=1,Assumptions!B40*G1757,0)</f>
        <v>0</v>
      </c>
      <c r="R1757" s="22" t="n">
        <f aca="false">IF(DAY(B1757)=1,Assumptions!B41*G1757,0)</f>
        <v>0</v>
      </c>
      <c r="S1757" s="22" t="n">
        <f aca="false">IF(AND(DAY(B1757)=1,D1757&gt;=13),Assumptions!B42*G1757,0)</f>
        <v>0</v>
      </c>
      <c r="T1757" s="22" t="n">
        <f aca="false">IF(DAY(B1757)=1,Assumptions!B43*G1757,0)</f>
        <v>0</v>
      </c>
      <c r="U1757" s="22" t="n">
        <f aca="false">SUM(O1757:T1757)</f>
        <v>0</v>
      </c>
      <c r="V1757" s="22" t="n">
        <f aca="false">N1757-U1757</f>
        <v>22500</v>
      </c>
      <c r="W1757" s="22" t="n">
        <f aca="false">W1756+V1757</f>
        <v>788510.118468152</v>
      </c>
      <c r="X1757" s="23" t="str">
        <f aca="false">IF(W1757&gt;=0,"YES","No")</f>
        <v>YES</v>
      </c>
    </row>
    <row r="1758" customFormat="false" ht="15" hidden="false" customHeight="false" outlineLevel="0" collapsed="false">
      <c r="A1758" s="16" t="n">
        <v>1757</v>
      </c>
      <c r="B1758" s="17" t="n">
        <f aca="false">B1757+1</f>
        <v>47779</v>
      </c>
      <c r="C1758" s="18" t="n">
        <f aca="false">MIN(ROUNDUP(A1758/365,0),5)</f>
        <v>5</v>
      </c>
      <c r="D1758" s="18" t="n">
        <f aca="false">DATEDIF(Assumptions!B5,B1758,"m")+1</f>
        <v>58</v>
      </c>
      <c r="E1758" s="18" t="str">
        <f aca="false">TEXT(B1758,"ddd")</f>
        <v>Wed</v>
      </c>
      <c r="F1758" s="19" t="n">
        <f aca="false">IF(WEEKDAY(B1758,2)&gt;=6,Assumptions!B34,Assumptions!B35)</f>
        <v>1</v>
      </c>
      <c r="G1758" s="20" t="n">
        <f aca="false">IF(D1758&gt;=13,(1+Assumptions!B46)^(D1758-12),1)</f>
        <v>1.14773841802542</v>
      </c>
      <c r="H1758" s="21" t="n">
        <f aca="false">H1757*(1+IF(C1758=1,Assumptions!B22,Assumptions!B23))</f>
        <v>26.146783826544</v>
      </c>
      <c r="I1758" s="16" t="n">
        <f aca="false">ROUND(H1758*F1758,0)</f>
        <v>26</v>
      </c>
      <c r="J1758" s="22" t="n">
        <f aca="false">I1758*Assumptions!B24</f>
        <v>15600</v>
      </c>
      <c r="K1758" s="21" t="n">
        <f aca="false">K1757*(1+Assumptions!B30)</f>
        <v>23.3293978032579</v>
      </c>
      <c r="L1758" s="16" t="n">
        <f aca="false">ROUND(K1758*F1758,0)</f>
        <v>23</v>
      </c>
      <c r="M1758" s="22" t="n">
        <f aca="false">L1758*Assumptions!B31</f>
        <v>6900</v>
      </c>
      <c r="N1758" s="22" t="n">
        <f aca="false">J1758+M1758</f>
        <v>22500</v>
      </c>
      <c r="O1758" s="22" t="n">
        <f aca="false">IF(DAY(B1758)=1,Assumptions!B38*G1758,0)</f>
        <v>0</v>
      </c>
      <c r="P1758" s="22" t="n">
        <f aca="false">IF(DAY(B1758)=1,Assumptions!B39*G1758,0)</f>
        <v>0</v>
      </c>
      <c r="Q1758" s="22" t="n">
        <f aca="false">IF(DAY(B1758)=1,Assumptions!B40*G1758,0)</f>
        <v>0</v>
      </c>
      <c r="R1758" s="22" t="n">
        <f aca="false">IF(DAY(B1758)=1,Assumptions!B41*G1758,0)</f>
        <v>0</v>
      </c>
      <c r="S1758" s="22" t="n">
        <f aca="false">IF(AND(DAY(B1758)=1,D1758&gt;=13),Assumptions!B42*G1758,0)</f>
        <v>0</v>
      </c>
      <c r="T1758" s="22" t="n">
        <f aca="false">IF(DAY(B1758)=1,Assumptions!B43*G1758,0)</f>
        <v>0</v>
      </c>
      <c r="U1758" s="22" t="n">
        <f aca="false">SUM(O1758:T1758)</f>
        <v>0</v>
      </c>
      <c r="V1758" s="22" t="n">
        <f aca="false">N1758-U1758</f>
        <v>22500</v>
      </c>
      <c r="W1758" s="22" t="n">
        <f aca="false">W1757+V1758</f>
        <v>811010.118468152</v>
      </c>
      <c r="X1758" s="23" t="str">
        <f aca="false">IF(W1758&gt;=0,"YES","No")</f>
        <v>YES</v>
      </c>
    </row>
    <row r="1759" customFormat="false" ht="15" hidden="false" customHeight="false" outlineLevel="0" collapsed="false">
      <c r="A1759" s="16" t="n">
        <v>1758</v>
      </c>
      <c r="B1759" s="17" t="n">
        <f aca="false">B1758+1</f>
        <v>47780</v>
      </c>
      <c r="C1759" s="18" t="n">
        <f aca="false">MIN(ROUNDUP(A1759/365,0),5)</f>
        <v>5</v>
      </c>
      <c r="D1759" s="18" t="n">
        <f aca="false">DATEDIF(Assumptions!B5,B1759,"m")+1</f>
        <v>58</v>
      </c>
      <c r="E1759" s="18" t="str">
        <f aca="false">TEXT(B1759,"ddd")</f>
        <v>Thu</v>
      </c>
      <c r="F1759" s="19" t="n">
        <f aca="false">IF(WEEKDAY(B1759,2)&gt;=6,Assumptions!B34,Assumptions!B35)</f>
        <v>1</v>
      </c>
      <c r="G1759" s="20" t="n">
        <f aca="false">IF(D1759&gt;=13,(1+Assumptions!B46)^(D1759-12),1)</f>
        <v>1.14773841802542</v>
      </c>
      <c r="H1759" s="21" t="n">
        <f aca="false">H1758*(1+IF(C1759=1,Assumptions!B22,Assumptions!B23))</f>
        <v>26.1510682829788</v>
      </c>
      <c r="I1759" s="16" t="n">
        <f aca="false">ROUND(H1759*F1759,0)</f>
        <v>26</v>
      </c>
      <c r="J1759" s="22" t="n">
        <f aca="false">I1759*Assumptions!B24</f>
        <v>15600</v>
      </c>
      <c r="K1759" s="21" t="n">
        <f aca="false">K1758*(1+Assumptions!B30)</f>
        <v>23.3370250427934</v>
      </c>
      <c r="L1759" s="16" t="n">
        <f aca="false">ROUND(K1759*F1759,0)</f>
        <v>23</v>
      </c>
      <c r="M1759" s="22" t="n">
        <f aca="false">L1759*Assumptions!B31</f>
        <v>6900</v>
      </c>
      <c r="N1759" s="22" t="n">
        <f aca="false">J1759+M1759</f>
        <v>22500</v>
      </c>
      <c r="O1759" s="22" t="n">
        <f aca="false">IF(DAY(B1759)=1,Assumptions!B38*G1759,0)</f>
        <v>0</v>
      </c>
      <c r="P1759" s="22" t="n">
        <f aca="false">IF(DAY(B1759)=1,Assumptions!B39*G1759,0)</f>
        <v>0</v>
      </c>
      <c r="Q1759" s="22" t="n">
        <f aca="false">IF(DAY(B1759)=1,Assumptions!B40*G1759,0)</f>
        <v>0</v>
      </c>
      <c r="R1759" s="22" t="n">
        <f aca="false">IF(DAY(B1759)=1,Assumptions!B41*G1759,0)</f>
        <v>0</v>
      </c>
      <c r="S1759" s="22" t="n">
        <f aca="false">IF(AND(DAY(B1759)=1,D1759&gt;=13),Assumptions!B42*G1759,0)</f>
        <v>0</v>
      </c>
      <c r="T1759" s="22" t="n">
        <f aca="false">IF(DAY(B1759)=1,Assumptions!B43*G1759,0)</f>
        <v>0</v>
      </c>
      <c r="U1759" s="22" t="n">
        <f aca="false">SUM(O1759:T1759)</f>
        <v>0</v>
      </c>
      <c r="V1759" s="22" t="n">
        <f aca="false">N1759-U1759</f>
        <v>22500</v>
      </c>
      <c r="W1759" s="22" t="n">
        <f aca="false">W1758+V1759</f>
        <v>833510.118468152</v>
      </c>
      <c r="X1759" s="23" t="str">
        <f aca="false">IF(W1759&gt;=0,"YES","No")</f>
        <v>YES</v>
      </c>
    </row>
    <row r="1760" customFormat="false" ht="15" hidden="false" customHeight="false" outlineLevel="0" collapsed="false">
      <c r="A1760" s="16" t="n">
        <v>1759</v>
      </c>
      <c r="B1760" s="17" t="n">
        <f aca="false">B1759+1</f>
        <v>47781</v>
      </c>
      <c r="C1760" s="18" t="n">
        <f aca="false">MIN(ROUNDUP(A1760/365,0),5)</f>
        <v>5</v>
      </c>
      <c r="D1760" s="18" t="n">
        <f aca="false">DATEDIF(Assumptions!B5,B1760,"m")+1</f>
        <v>58</v>
      </c>
      <c r="E1760" s="18" t="str">
        <f aca="false">TEXT(B1760,"ddd")</f>
        <v>Fri</v>
      </c>
      <c r="F1760" s="19" t="n">
        <f aca="false">IF(WEEKDAY(B1760,2)&gt;=6,Assumptions!B34,Assumptions!B35)</f>
        <v>1</v>
      </c>
      <c r="G1760" s="20" t="n">
        <f aca="false">IF(D1760&gt;=13,(1+Assumptions!B46)^(D1760-12),1)</f>
        <v>1.14773841802542</v>
      </c>
      <c r="H1760" s="21" t="n">
        <f aca="false">H1759*(1+IF(C1760=1,Assumptions!B22,Assumptions!B23))</f>
        <v>26.1553534414719</v>
      </c>
      <c r="I1760" s="16" t="n">
        <f aca="false">ROUND(H1760*F1760,0)</f>
        <v>26</v>
      </c>
      <c r="J1760" s="22" t="n">
        <f aca="false">I1760*Assumptions!B24</f>
        <v>15600</v>
      </c>
      <c r="K1760" s="21" t="n">
        <f aca="false">K1759*(1+Assumptions!B30)</f>
        <v>23.3446547759544</v>
      </c>
      <c r="L1760" s="16" t="n">
        <f aca="false">ROUND(K1760*F1760,0)</f>
        <v>23</v>
      </c>
      <c r="M1760" s="22" t="n">
        <f aca="false">L1760*Assumptions!B31</f>
        <v>6900</v>
      </c>
      <c r="N1760" s="22" t="n">
        <f aca="false">J1760+M1760</f>
        <v>22500</v>
      </c>
      <c r="O1760" s="22" t="n">
        <f aca="false">IF(DAY(B1760)=1,Assumptions!B38*G1760,0)</f>
        <v>0</v>
      </c>
      <c r="P1760" s="22" t="n">
        <f aca="false">IF(DAY(B1760)=1,Assumptions!B39*G1760,0)</f>
        <v>0</v>
      </c>
      <c r="Q1760" s="22" t="n">
        <f aca="false">IF(DAY(B1760)=1,Assumptions!B40*G1760,0)</f>
        <v>0</v>
      </c>
      <c r="R1760" s="22" t="n">
        <f aca="false">IF(DAY(B1760)=1,Assumptions!B41*G1760,0)</f>
        <v>0</v>
      </c>
      <c r="S1760" s="22" t="n">
        <f aca="false">IF(AND(DAY(B1760)=1,D1760&gt;=13),Assumptions!B42*G1760,0)</f>
        <v>0</v>
      </c>
      <c r="T1760" s="22" t="n">
        <f aca="false">IF(DAY(B1760)=1,Assumptions!B43*G1760,0)</f>
        <v>0</v>
      </c>
      <c r="U1760" s="22" t="n">
        <f aca="false">SUM(O1760:T1760)</f>
        <v>0</v>
      </c>
      <c r="V1760" s="22" t="n">
        <f aca="false">N1760-U1760</f>
        <v>22500</v>
      </c>
      <c r="W1760" s="22" t="n">
        <f aca="false">W1759+V1760</f>
        <v>856010.118468152</v>
      </c>
      <c r="X1760" s="23" t="str">
        <f aca="false">IF(W1760&gt;=0,"YES","No")</f>
        <v>YES</v>
      </c>
    </row>
    <row r="1761" customFormat="false" ht="15" hidden="false" customHeight="false" outlineLevel="0" collapsed="false">
      <c r="A1761" s="16" t="n">
        <v>1760</v>
      </c>
      <c r="B1761" s="17" t="n">
        <f aca="false">B1760+1</f>
        <v>47782</v>
      </c>
      <c r="C1761" s="18" t="n">
        <f aca="false">MIN(ROUNDUP(A1761/365,0),5)</f>
        <v>5</v>
      </c>
      <c r="D1761" s="18" t="n">
        <f aca="false">DATEDIF(Assumptions!B5,B1761,"m")+1</f>
        <v>58</v>
      </c>
      <c r="E1761" s="18" t="str">
        <f aca="false">TEXT(B1761,"ddd")</f>
        <v>Sat</v>
      </c>
      <c r="F1761" s="19" t="n">
        <f aca="false">IF(WEEKDAY(B1761,2)&gt;=6,Assumptions!B34,Assumptions!B35)</f>
        <v>0.6</v>
      </c>
      <c r="G1761" s="20" t="n">
        <f aca="false">IF(D1761&gt;=13,(1+Assumptions!B46)^(D1761-12),1)</f>
        <v>1.14773841802542</v>
      </c>
      <c r="H1761" s="21" t="n">
        <f aca="false">H1760*(1+IF(C1761=1,Assumptions!B22,Assumptions!B23))</f>
        <v>26.1596393021384</v>
      </c>
      <c r="I1761" s="16" t="n">
        <f aca="false">ROUND(H1761*F1761,0)</f>
        <v>16</v>
      </c>
      <c r="J1761" s="22" t="n">
        <f aca="false">I1761*Assumptions!B24</f>
        <v>9600</v>
      </c>
      <c r="K1761" s="21" t="n">
        <f aca="false">K1760*(1+Assumptions!B30)</f>
        <v>23.3522870035562</v>
      </c>
      <c r="L1761" s="16" t="n">
        <f aca="false">ROUND(K1761*F1761,0)</f>
        <v>14</v>
      </c>
      <c r="M1761" s="22" t="n">
        <f aca="false">L1761*Assumptions!B31</f>
        <v>4200</v>
      </c>
      <c r="N1761" s="22" t="n">
        <f aca="false">J1761+M1761</f>
        <v>13800</v>
      </c>
      <c r="O1761" s="22" t="n">
        <f aca="false">IF(DAY(B1761)=1,Assumptions!B38*G1761,0)</f>
        <v>0</v>
      </c>
      <c r="P1761" s="22" t="n">
        <f aca="false">IF(DAY(B1761)=1,Assumptions!B39*G1761,0)</f>
        <v>0</v>
      </c>
      <c r="Q1761" s="22" t="n">
        <f aca="false">IF(DAY(B1761)=1,Assumptions!B40*G1761,0)</f>
        <v>0</v>
      </c>
      <c r="R1761" s="22" t="n">
        <f aca="false">IF(DAY(B1761)=1,Assumptions!B41*G1761,0)</f>
        <v>0</v>
      </c>
      <c r="S1761" s="22" t="n">
        <f aca="false">IF(AND(DAY(B1761)=1,D1761&gt;=13),Assumptions!B42*G1761,0)</f>
        <v>0</v>
      </c>
      <c r="T1761" s="22" t="n">
        <f aca="false">IF(DAY(B1761)=1,Assumptions!B43*G1761,0)</f>
        <v>0</v>
      </c>
      <c r="U1761" s="22" t="n">
        <f aca="false">SUM(O1761:T1761)</f>
        <v>0</v>
      </c>
      <c r="V1761" s="22" t="n">
        <f aca="false">N1761-U1761</f>
        <v>13800</v>
      </c>
      <c r="W1761" s="22" t="n">
        <f aca="false">W1760+V1761</f>
        <v>869810.118468152</v>
      </c>
      <c r="X1761" s="23" t="str">
        <f aca="false">IF(W1761&gt;=0,"YES","No")</f>
        <v>YES</v>
      </c>
    </row>
    <row r="1762" customFormat="false" ht="15" hidden="false" customHeight="false" outlineLevel="0" collapsed="false">
      <c r="A1762" s="16" t="n">
        <v>1761</v>
      </c>
      <c r="B1762" s="17" t="n">
        <f aca="false">B1761+1</f>
        <v>47783</v>
      </c>
      <c r="C1762" s="18" t="n">
        <f aca="false">MIN(ROUNDUP(A1762/365,0),5)</f>
        <v>5</v>
      </c>
      <c r="D1762" s="18" t="n">
        <f aca="false">DATEDIF(Assumptions!B5,B1762,"m")+1</f>
        <v>58</v>
      </c>
      <c r="E1762" s="18" t="str">
        <f aca="false">TEXT(B1762,"ddd")</f>
        <v>Sun</v>
      </c>
      <c r="F1762" s="19" t="n">
        <f aca="false">IF(WEEKDAY(B1762,2)&gt;=6,Assumptions!B34,Assumptions!B35)</f>
        <v>0.6</v>
      </c>
      <c r="G1762" s="20" t="n">
        <f aca="false">IF(D1762&gt;=13,(1+Assumptions!B46)^(D1762-12),1)</f>
        <v>1.14773841802542</v>
      </c>
      <c r="H1762" s="21" t="n">
        <f aca="false">H1761*(1+IF(C1762=1,Assumptions!B22,Assumptions!B23))</f>
        <v>26.1639258650933</v>
      </c>
      <c r="I1762" s="16" t="n">
        <f aca="false">ROUND(H1762*F1762,0)</f>
        <v>16</v>
      </c>
      <c r="J1762" s="22" t="n">
        <f aca="false">I1762*Assumptions!B24</f>
        <v>9600</v>
      </c>
      <c r="K1762" s="21" t="n">
        <f aca="false">K1761*(1+Assumptions!B30)</f>
        <v>23.3599217264144</v>
      </c>
      <c r="L1762" s="16" t="n">
        <f aca="false">ROUND(K1762*F1762,0)</f>
        <v>14</v>
      </c>
      <c r="M1762" s="22" t="n">
        <f aca="false">L1762*Assumptions!B31</f>
        <v>4200</v>
      </c>
      <c r="N1762" s="22" t="n">
        <f aca="false">J1762+M1762</f>
        <v>13800</v>
      </c>
      <c r="O1762" s="22" t="n">
        <f aca="false">IF(DAY(B1762)=1,Assumptions!B38*G1762,0)</f>
        <v>0</v>
      </c>
      <c r="P1762" s="22" t="n">
        <f aca="false">IF(DAY(B1762)=1,Assumptions!B39*G1762,0)</f>
        <v>0</v>
      </c>
      <c r="Q1762" s="22" t="n">
        <f aca="false">IF(DAY(B1762)=1,Assumptions!B40*G1762,0)</f>
        <v>0</v>
      </c>
      <c r="R1762" s="22" t="n">
        <f aca="false">IF(DAY(B1762)=1,Assumptions!B41*G1762,0)</f>
        <v>0</v>
      </c>
      <c r="S1762" s="22" t="n">
        <f aca="false">IF(AND(DAY(B1762)=1,D1762&gt;=13),Assumptions!B42*G1762,0)</f>
        <v>0</v>
      </c>
      <c r="T1762" s="22" t="n">
        <f aca="false">IF(DAY(B1762)=1,Assumptions!B43*G1762,0)</f>
        <v>0</v>
      </c>
      <c r="U1762" s="22" t="n">
        <f aca="false">SUM(O1762:T1762)</f>
        <v>0</v>
      </c>
      <c r="V1762" s="22" t="n">
        <f aca="false">N1762-U1762</f>
        <v>13800</v>
      </c>
      <c r="W1762" s="22" t="n">
        <f aca="false">W1761+V1762</f>
        <v>883610.118468152</v>
      </c>
      <c r="X1762" s="23" t="str">
        <f aca="false">IF(W1762&gt;=0,"YES","No")</f>
        <v>YES</v>
      </c>
    </row>
    <row r="1763" customFormat="false" ht="15" hidden="false" customHeight="false" outlineLevel="0" collapsed="false">
      <c r="A1763" s="16" t="n">
        <v>1762</v>
      </c>
      <c r="B1763" s="17" t="n">
        <f aca="false">B1762+1</f>
        <v>47784</v>
      </c>
      <c r="C1763" s="18" t="n">
        <f aca="false">MIN(ROUNDUP(A1763/365,0),5)</f>
        <v>5</v>
      </c>
      <c r="D1763" s="18" t="n">
        <f aca="false">DATEDIF(Assumptions!B5,B1763,"m")+1</f>
        <v>58</v>
      </c>
      <c r="E1763" s="18" t="str">
        <f aca="false">TEXT(B1763,"ddd")</f>
        <v>Mon</v>
      </c>
      <c r="F1763" s="19" t="n">
        <f aca="false">IF(WEEKDAY(B1763,2)&gt;=6,Assumptions!B34,Assumptions!B35)</f>
        <v>1</v>
      </c>
      <c r="G1763" s="20" t="n">
        <f aca="false">IF(D1763&gt;=13,(1+Assumptions!B46)^(D1763-12),1)</f>
        <v>1.14773841802542</v>
      </c>
      <c r="H1763" s="21" t="n">
        <f aca="false">H1762*(1+IF(C1763=1,Assumptions!B22,Assumptions!B23))</f>
        <v>26.1682131304516</v>
      </c>
      <c r="I1763" s="16" t="n">
        <f aca="false">ROUND(H1763*F1763,0)</f>
        <v>26</v>
      </c>
      <c r="J1763" s="22" t="n">
        <f aca="false">I1763*Assumptions!B24</f>
        <v>15600</v>
      </c>
      <c r="K1763" s="21" t="n">
        <f aca="false">K1762*(1+Assumptions!B30)</f>
        <v>23.3675589453447</v>
      </c>
      <c r="L1763" s="16" t="n">
        <f aca="false">ROUND(K1763*F1763,0)</f>
        <v>23</v>
      </c>
      <c r="M1763" s="22" t="n">
        <f aca="false">L1763*Assumptions!B31</f>
        <v>6900</v>
      </c>
      <c r="N1763" s="22" t="n">
        <f aca="false">J1763+M1763</f>
        <v>22500</v>
      </c>
      <c r="O1763" s="22" t="n">
        <f aca="false">IF(DAY(B1763)=1,Assumptions!B38*G1763,0)</f>
        <v>0</v>
      </c>
      <c r="P1763" s="22" t="n">
        <f aca="false">IF(DAY(B1763)=1,Assumptions!B39*G1763,0)</f>
        <v>0</v>
      </c>
      <c r="Q1763" s="22" t="n">
        <f aca="false">IF(DAY(B1763)=1,Assumptions!B40*G1763,0)</f>
        <v>0</v>
      </c>
      <c r="R1763" s="22" t="n">
        <f aca="false">IF(DAY(B1763)=1,Assumptions!B41*G1763,0)</f>
        <v>0</v>
      </c>
      <c r="S1763" s="22" t="n">
        <f aca="false">IF(AND(DAY(B1763)=1,D1763&gt;=13),Assumptions!B42*G1763,0)</f>
        <v>0</v>
      </c>
      <c r="T1763" s="22" t="n">
        <f aca="false">IF(DAY(B1763)=1,Assumptions!B43*G1763,0)</f>
        <v>0</v>
      </c>
      <c r="U1763" s="22" t="n">
        <f aca="false">SUM(O1763:T1763)</f>
        <v>0</v>
      </c>
      <c r="V1763" s="22" t="n">
        <f aca="false">N1763-U1763</f>
        <v>22500</v>
      </c>
      <c r="W1763" s="22" t="n">
        <f aca="false">W1762+V1763</f>
        <v>906110.118468152</v>
      </c>
      <c r="X1763" s="23" t="str">
        <f aca="false">IF(W1763&gt;=0,"YES","No")</f>
        <v>YES</v>
      </c>
    </row>
    <row r="1764" customFormat="false" ht="15" hidden="false" customHeight="false" outlineLevel="0" collapsed="false">
      <c r="A1764" s="16" t="n">
        <v>1763</v>
      </c>
      <c r="B1764" s="17" t="n">
        <f aca="false">B1763+1</f>
        <v>47785</v>
      </c>
      <c r="C1764" s="18" t="n">
        <f aca="false">MIN(ROUNDUP(A1764/365,0),5)</f>
        <v>5</v>
      </c>
      <c r="D1764" s="18" t="n">
        <f aca="false">DATEDIF(Assumptions!B5,B1764,"m")+1</f>
        <v>58</v>
      </c>
      <c r="E1764" s="18" t="str">
        <f aca="false">TEXT(B1764,"ddd")</f>
        <v>Tue</v>
      </c>
      <c r="F1764" s="19" t="n">
        <f aca="false">IF(WEEKDAY(B1764,2)&gt;=6,Assumptions!B34,Assumptions!B35)</f>
        <v>1</v>
      </c>
      <c r="G1764" s="20" t="n">
        <f aca="false">IF(D1764&gt;=13,(1+Assumptions!B46)^(D1764-12),1)</f>
        <v>1.14773841802542</v>
      </c>
      <c r="H1764" s="21" t="n">
        <f aca="false">H1763*(1+IF(C1764=1,Assumptions!B22,Assumptions!B23))</f>
        <v>26.1725010983286</v>
      </c>
      <c r="I1764" s="16" t="n">
        <f aca="false">ROUND(H1764*F1764,0)</f>
        <v>26</v>
      </c>
      <c r="J1764" s="22" t="n">
        <f aca="false">I1764*Assumptions!B24</f>
        <v>15600</v>
      </c>
      <c r="K1764" s="21" t="n">
        <f aca="false">K1763*(1+Assumptions!B30)</f>
        <v>23.3751986611633</v>
      </c>
      <c r="L1764" s="16" t="n">
        <f aca="false">ROUND(K1764*F1764,0)</f>
        <v>23</v>
      </c>
      <c r="M1764" s="22" t="n">
        <f aca="false">L1764*Assumptions!B31</f>
        <v>6900</v>
      </c>
      <c r="N1764" s="22" t="n">
        <f aca="false">J1764+M1764</f>
        <v>22500</v>
      </c>
      <c r="O1764" s="22" t="n">
        <f aca="false">IF(DAY(B1764)=1,Assumptions!B38*G1764,0)</f>
        <v>0</v>
      </c>
      <c r="P1764" s="22" t="n">
        <f aca="false">IF(DAY(B1764)=1,Assumptions!B39*G1764,0)</f>
        <v>0</v>
      </c>
      <c r="Q1764" s="22" t="n">
        <f aca="false">IF(DAY(B1764)=1,Assumptions!B40*G1764,0)</f>
        <v>0</v>
      </c>
      <c r="R1764" s="22" t="n">
        <f aca="false">IF(DAY(B1764)=1,Assumptions!B41*G1764,0)</f>
        <v>0</v>
      </c>
      <c r="S1764" s="22" t="n">
        <f aca="false">IF(AND(DAY(B1764)=1,D1764&gt;=13),Assumptions!B42*G1764,0)</f>
        <v>0</v>
      </c>
      <c r="T1764" s="22" t="n">
        <f aca="false">IF(DAY(B1764)=1,Assumptions!B43*G1764,0)</f>
        <v>0</v>
      </c>
      <c r="U1764" s="22" t="n">
        <f aca="false">SUM(O1764:T1764)</f>
        <v>0</v>
      </c>
      <c r="V1764" s="22" t="n">
        <f aca="false">N1764-U1764</f>
        <v>22500</v>
      </c>
      <c r="W1764" s="22" t="n">
        <f aca="false">W1763+V1764</f>
        <v>928610.118468152</v>
      </c>
      <c r="X1764" s="23" t="str">
        <f aca="false">IF(W1764&gt;=0,"YES","No")</f>
        <v>YES</v>
      </c>
    </row>
    <row r="1765" customFormat="false" ht="15" hidden="false" customHeight="false" outlineLevel="0" collapsed="false">
      <c r="A1765" s="16" t="n">
        <v>1764</v>
      </c>
      <c r="B1765" s="17" t="n">
        <f aca="false">B1764+1</f>
        <v>47786</v>
      </c>
      <c r="C1765" s="18" t="n">
        <f aca="false">MIN(ROUNDUP(A1765/365,0),5)</f>
        <v>5</v>
      </c>
      <c r="D1765" s="18" t="n">
        <f aca="false">DATEDIF(Assumptions!B5,B1765,"m")+1</f>
        <v>58</v>
      </c>
      <c r="E1765" s="18" t="str">
        <f aca="false">TEXT(B1765,"ddd")</f>
        <v>Wed</v>
      </c>
      <c r="F1765" s="19" t="n">
        <f aca="false">IF(WEEKDAY(B1765,2)&gt;=6,Assumptions!B34,Assumptions!B35)</f>
        <v>1</v>
      </c>
      <c r="G1765" s="20" t="n">
        <f aca="false">IF(D1765&gt;=13,(1+Assumptions!B46)^(D1765-12),1)</f>
        <v>1.14773841802542</v>
      </c>
      <c r="H1765" s="21" t="n">
        <f aca="false">H1764*(1+IF(C1765=1,Assumptions!B22,Assumptions!B23))</f>
        <v>26.1767897688393</v>
      </c>
      <c r="I1765" s="16" t="n">
        <f aca="false">ROUND(H1765*F1765,0)</f>
        <v>26</v>
      </c>
      <c r="J1765" s="22" t="n">
        <f aca="false">I1765*Assumptions!B24</f>
        <v>15600</v>
      </c>
      <c r="K1765" s="21" t="n">
        <f aca="false">K1764*(1+Assumptions!B30)</f>
        <v>23.3828408746863</v>
      </c>
      <c r="L1765" s="16" t="n">
        <f aca="false">ROUND(K1765*F1765,0)</f>
        <v>23</v>
      </c>
      <c r="M1765" s="22" t="n">
        <f aca="false">L1765*Assumptions!B31</f>
        <v>6900</v>
      </c>
      <c r="N1765" s="22" t="n">
        <f aca="false">J1765+M1765</f>
        <v>22500</v>
      </c>
      <c r="O1765" s="22" t="n">
        <f aca="false">IF(DAY(B1765)=1,Assumptions!B38*G1765,0)</f>
        <v>0</v>
      </c>
      <c r="P1765" s="22" t="n">
        <f aca="false">IF(DAY(B1765)=1,Assumptions!B39*G1765,0)</f>
        <v>0</v>
      </c>
      <c r="Q1765" s="22" t="n">
        <f aca="false">IF(DAY(B1765)=1,Assumptions!B40*G1765,0)</f>
        <v>0</v>
      </c>
      <c r="R1765" s="22" t="n">
        <f aca="false">IF(DAY(B1765)=1,Assumptions!B41*G1765,0)</f>
        <v>0</v>
      </c>
      <c r="S1765" s="22" t="n">
        <f aca="false">IF(AND(DAY(B1765)=1,D1765&gt;=13),Assumptions!B42*G1765,0)</f>
        <v>0</v>
      </c>
      <c r="T1765" s="22" t="n">
        <f aca="false">IF(DAY(B1765)=1,Assumptions!B43*G1765,0)</f>
        <v>0</v>
      </c>
      <c r="U1765" s="22" t="n">
        <f aca="false">SUM(O1765:T1765)</f>
        <v>0</v>
      </c>
      <c r="V1765" s="22" t="n">
        <f aca="false">N1765-U1765</f>
        <v>22500</v>
      </c>
      <c r="W1765" s="22" t="n">
        <f aca="false">W1764+V1765</f>
        <v>951110.118468152</v>
      </c>
      <c r="X1765" s="23" t="str">
        <f aca="false">IF(W1765&gt;=0,"YES","No")</f>
        <v>YES</v>
      </c>
    </row>
    <row r="1766" customFormat="false" ht="15" hidden="false" customHeight="false" outlineLevel="0" collapsed="false">
      <c r="A1766" s="16" t="n">
        <v>1765</v>
      </c>
      <c r="B1766" s="17" t="n">
        <f aca="false">B1765+1</f>
        <v>47787</v>
      </c>
      <c r="C1766" s="18" t="n">
        <f aca="false">MIN(ROUNDUP(A1766/365,0),5)</f>
        <v>5</v>
      </c>
      <c r="D1766" s="18" t="n">
        <f aca="false">DATEDIF(Assumptions!B5,B1766,"m")+1</f>
        <v>58</v>
      </c>
      <c r="E1766" s="18" t="str">
        <f aca="false">TEXT(B1766,"ddd")</f>
        <v>Thu</v>
      </c>
      <c r="F1766" s="19" t="n">
        <f aca="false">IF(WEEKDAY(B1766,2)&gt;=6,Assumptions!B34,Assumptions!B35)</f>
        <v>1</v>
      </c>
      <c r="G1766" s="20" t="n">
        <f aca="false">IF(D1766&gt;=13,(1+Assumptions!B46)^(D1766-12),1)</f>
        <v>1.14773841802542</v>
      </c>
      <c r="H1766" s="21" t="n">
        <f aca="false">H1765*(1+IF(C1766=1,Assumptions!B22,Assumptions!B23))</f>
        <v>26.1810791420988</v>
      </c>
      <c r="I1766" s="16" t="n">
        <f aca="false">ROUND(H1766*F1766,0)</f>
        <v>26</v>
      </c>
      <c r="J1766" s="22" t="n">
        <f aca="false">I1766*Assumptions!B24</f>
        <v>15600</v>
      </c>
      <c r="K1766" s="21" t="n">
        <f aca="false">K1765*(1+Assumptions!B30)</f>
        <v>23.3904855867305</v>
      </c>
      <c r="L1766" s="16" t="n">
        <f aca="false">ROUND(K1766*F1766,0)</f>
        <v>23</v>
      </c>
      <c r="M1766" s="22" t="n">
        <f aca="false">L1766*Assumptions!B31</f>
        <v>6900</v>
      </c>
      <c r="N1766" s="22" t="n">
        <f aca="false">J1766+M1766</f>
        <v>22500</v>
      </c>
      <c r="O1766" s="22" t="n">
        <f aca="false">IF(DAY(B1766)=1,Assumptions!B38*G1766,0)</f>
        <v>0</v>
      </c>
      <c r="P1766" s="22" t="n">
        <f aca="false">IF(DAY(B1766)=1,Assumptions!B39*G1766,0)</f>
        <v>0</v>
      </c>
      <c r="Q1766" s="22" t="n">
        <f aca="false">IF(DAY(B1766)=1,Assumptions!B40*G1766,0)</f>
        <v>0</v>
      </c>
      <c r="R1766" s="22" t="n">
        <f aca="false">IF(DAY(B1766)=1,Assumptions!B41*G1766,0)</f>
        <v>0</v>
      </c>
      <c r="S1766" s="22" t="n">
        <f aca="false">IF(AND(DAY(B1766)=1,D1766&gt;=13),Assumptions!B42*G1766,0)</f>
        <v>0</v>
      </c>
      <c r="T1766" s="22" t="n">
        <f aca="false">IF(DAY(B1766)=1,Assumptions!B43*G1766,0)</f>
        <v>0</v>
      </c>
      <c r="U1766" s="22" t="n">
        <f aca="false">SUM(O1766:T1766)</f>
        <v>0</v>
      </c>
      <c r="V1766" s="22" t="n">
        <f aca="false">N1766-U1766</f>
        <v>22500</v>
      </c>
      <c r="W1766" s="22" t="n">
        <f aca="false">W1765+V1766</f>
        <v>973610.118468152</v>
      </c>
      <c r="X1766" s="23" t="str">
        <f aca="false">IF(W1766&gt;=0,"YES","No")</f>
        <v>YES</v>
      </c>
    </row>
    <row r="1767" customFormat="false" ht="15" hidden="false" customHeight="false" outlineLevel="0" collapsed="false">
      <c r="A1767" s="16" t="n">
        <v>1766</v>
      </c>
      <c r="B1767" s="17" t="n">
        <f aca="false">B1766+1</f>
        <v>47788</v>
      </c>
      <c r="C1767" s="18" t="n">
        <f aca="false">MIN(ROUNDUP(A1767/365,0),5)</f>
        <v>5</v>
      </c>
      <c r="D1767" s="18" t="n">
        <f aca="false">DATEDIF(Assumptions!B5,B1767,"m")+1</f>
        <v>59</v>
      </c>
      <c r="E1767" s="18" t="str">
        <f aca="false">TEXT(B1767,"ddd")</f>
        <v>Fri</v>
      </c>
      <c r="F1767" s="19" t="n">
        <f aca="false">IF(WEEKDAY(B1767,2)&gt;=6,Assumptions!B34,Assumptions!B35)</f>
        <v>1</v>
      </c>
      <c r="G1767" s="20" t="n">
        <f aca="false">IF(D1767&gt;=13,(1+Assumptions!B46)^(D1767-12),1)</f>
        <v>1.1511816332795</v>
      </c>
      <c r="H1767" s="21" t="n">
        <f aca="false">H1766*(1+IF(C1767=1,Assumptions!B22,Assumptions!B23))</f>
        <v>26.1853692182223</v>
      </c>
      <c r="I1767" s="16" t="n">
        <f aca="false">ROUND(H1767*F1767,0)</f>
        <v>26</v>
      </c>
      <c r="J1767" s="22" t="n">
        <f aca="false">I1767*Assumptions!B24</f>
        <v>15600</v>
      </c>
      <c r="K1767" s="21" t="n">
        <f aca="false">K1766*(1+Assumptions!B30)</f>
        <v>23.3981327981127</v>
      </c>
      <c r="L1767" s="16" t="n">
        <f aca="false">ROUND(K1767*F1767,0)</f>
        <v>23</v>
      </c>
      <c r="M1767" s="22" t="n">
        <f aca="false">L1767*Assumptions!B31</f>
        <v>6900</v>
      </c>
      <c r="N1767" s="22" t="n">
        <f aca="false">J1767+M1767</f>
        <v>22500</v>
      </c>
      <c r="O1767" s="22" t="n">
        <f aca="false">IF(DAY(B1767)=1,Assumptions!B38*G1767,0)</f>
        <v>172677.244991924</v>
      </c>
      <c r="P1767" s="22" t="n">
        <f aca="false">IF(DAY(B1767)=1,Assumptions!B39*G1767,0)</f>
        <v>46047.2653311798</v>
      </c>
      <c r="Q1767" s="22" t="n">
        <f aca="false">IF(DAY(B1767)=1,Assumptions!B40*G1767,0)</f>
        <v>34535.4489983849</v>
      </c>
      <c r="R1767" s="22" t="n">
        <f aca="false">IF(DAY(B1767)=1,Assumptions!B41*G1767,0)</f>
        <v>23023.6326655899</v>
      </c>
      <c r="S1767" s="22" t="n">
        <f aca="false">IF(AND(DAY(B1767)=1,D1767&gt;=13),Assumptions!B42*G1767,0)</f>
        <v>172677.244991924</v>
      </c>
      <c r="T1767" s="22" t="n">
        <f aca="false">IF(DAY(B1767)=1,Assumptions!B43*G1767,0)</f>
        <v>23023.6326655899</v>
      </c>
      <c r="U1767" s="22" t="n">
        <f aca="false">SUM(O1767:T1767)</f>
        <v>471984.469644593</v>
      </c>
      <c r="V1767" s="22" t="n">
        <f aca="false">N1767-U1767</f>
        <v>-449484.469644593</v>
      </c>
      <c r="W1767" s="22" t="n">
        <f aca="false">W1766+V1767</f>
        <v>524125.648823558</v>
      </c>
      <c r="X1767" s="23" t="str">
        <f aca="false">IF(W1767&gt;=0,"YES","No")</f>
        <v>YES</v>
      </c>
    </row>
    <row r="1768" customFormat="false" ht="15" hidden="false" customHeight="false" outlineLevel="0" collapsed="false">
      <c r="A1768" s="16" t="n">
        <v>1767</v>
      </c>
      <c r="B1768" s="17" t="n">
        <f aca="false">B1767+1</f>
        <v>47789</v>
      </c>
      <c r="C1768" s="18" t="n">
        <f aca="false">MIN(ROUNDUP(A1768/365,0),5)</f>
        <v>5</v>
      </c>
      <c r="D1768" s="18" t="n">
        <f aca="false">DATEDIF(Assumptions!B5,B1768,"m")+1</f>
        <v>59</v>
      </c>
      <c r="E1768" s="18" t="str">
        <f aca="false">TEXT(B1768,"ddd")</f>
        <v>Sat</v>
      </c>
      <c r="F1768" s="19" t="n">
        <f aca="false">IF(WEEKDAY(B1768,2)&gt;=6,Assumptions!B34,Assumptions!B35)</f>
        <v>0.6</v>
      </c>
      <c r="G1768" s="20" t="n">
        <f aca="false">IF(D1768&gt;=13,(1+Assumptions!B46)^(D1768-12),1)</f>
        <v>1.1511816332795</v>
      </c>
      <c r="H1768" s="21" t="n">
        <f aca="false">H1767*(1+IF(C1768=1,Assumptions!B22,Assumptions!B23))</f>
        <v>26.1896599973249</v>
      </c>
      <c r="I1768" s="16" t="n">
        <f aca="false">ROUND(H1768*F1768,0)</f>
        <v>16</v>
      </c>
      <c r="J1768" s="22" t="n">
        <f aca="false">I1768*Assumptions!B24</f>
        <v>9600</v>
      </c>
      <c r="K1768" s="21" t="n">
        <f aca="false">K1767*(1+Assumptions!B30)</f>
        <v>23.40578250965</v>
      </c>
      <c r="L1768" s="16" t="n">
        <f aca="false">ROUND(K1768*F1768,0)</f>
        <v>14</v>
      </c>
      <c r="M1768" s="22" t="n">
        <f aca="false">L1768*Assumptions!B31</f>
        <v>4200</v>
      </c>
      <c r="N1768" s="22" t="n">
        <f aca="false">J1768+M1768</f>
        <v>13800</v>
      </c>
      <c r="O1768" s="22" t="n">
        <f aca="false">IF(DAY(B1768)=1,Assumptions!B38*G1768,0)</f>
        <v>0</v>
      </c>
      <c r="P1768" s="22" t="n">
        <f aca="false">IF(DAY(B1768)=1,Assumptions!B39*G1768,0)</f>
        <v>0</v>
      </c>
      <c r="Q1768" s="22" t="n">
        <f aca="false">IF(DAY(B1768)=1,Assumptions!B40*G1768,0)</f>
        <v>0</v>
      </c>
      <c r="R1768" s="22" t="n">
        <f aca="false">IF(DAY(B1768)=1,Assumptions!B41*G1768,0)</f>
        <v>0</v>
      </c>
      <c r="S1768" s="22" t="n">
        <f aca="false">IF(AND(DAY(B1768)=1,D1768&gt;=13),Assumptions!B42*G1768,0)</f>
        <v>0</v>
      </c>
      <c r="T1768" s="22" t="n">
        <f aca="false">IF(DAY(B1768)=1,Assumptions!B43*G1768,0)</f>
        <v>0</v>
      </c>
      <c r="U1768" s="22" t="n">
        <f aca="false">SUM(O1768:T1768)</f>
        <v>0</v>
      </c>
      <c r="V1768" s="22" t="n">
        <f aca="false">N1768-U1768</f>
        <v>13800</v>
      </c>
      <c r="W1768" s="22" t="n">
        <f aca="false">W1767+V1768</f>
        <v>537925.648823558</v>
      </c>
      <c r="X1768" s="23" t="str">
        <f aca="false">IF(W1768&gt;=0,"YES","No")</f>
        <v>YES</v>
      </c>
    </row>
    <row r="1769" customFormat="false" ht="15" hidden="false" customHeight="false" outlineLevel="0" collapsed="false">
      <c r="A1769" s="16" t="n">
        <v>1768</v>
      </c>
      <c r="B1769" s="17" t="n">
        <f aca="false">B1768+1</f>
        <v>47790</v>
      </c>
      <c r="C1769" s="18" t="n">
        <f aca="false">MIN(ROUNDUP(A1769/365,0),5)</f>
        <v>5</v>
      </c>
      <c r="D1769" s="18" t="n">
        <f aca="false">DATEDIF(Assumptions!B5,B1769,"m")+1</f>
        <v>59</v>
      </c>
      <c r="E1769" s="18" t="str">
        <f aca="false">TEXT(B1769,"ddd")</f>
        <v>Sun</v>
      </c>
      <c r="F1769" s="19" t="n">
        <f aca="false">IF(WEEKDAY(B1769,2)&gt;=6,Assumptions!B34,Assumptions!B35)</f>
        <v>0.6</v>
      </c>
      <c r="G1769" s="20" t="n">
        <f aca="false">IF(D1769&gt;=13,(1+Assumptions!B46)^(D1769-12),1)</f>
        <v>1.1511816332795</v>
      </c>
      <c r="H1769" s="21" t="n">
        <f aca="false">H1768*(1+IF(C1769=1,Assumptions!B22,Assumptions!B23))</f>
        <v>26.1939514795219</v>
      </c>
      <c r="I1769" s="16" t="n">
        <f aca="false">ROUND(H1769*F1769,0)</f>
        <v>16</v>
      </c>
      <c r="J1769" s="22" t="n">
        <f aca="false">I1769*Assumptions!B24</f>
        <v>9600</v>
      </c>
      <c r="K1769" s="21" t="n">
        <f aca="false">K1768*(1+Assumptions!B30)</f>
        <v>23.4134347221597</v>
      </c>
      <c r="L1769" s="16" t="n">
        <f aca="false">ROUND(K1769*F1769,0)</f>
        <v>14</v>
      </c>
      <c r="M1769" s="22" t="n">
        <f aca="false">L1769*Assumptions!B31</f>
        <v>4200</v>
      </c>
      <c r="N1769" s="22" t="n">
        <f aca="false">J1769+M1769</f>
        <v>13800</v>
      </c>
      <c r="O1769" s="22" t="n">
        <f aca="false">IF(DAY(B1769)=1,Assumptions!B38*G1769,0)</f>
        <v>0</v>
      </c>
      <c r="P1769" s="22" t="n">
        <f aca="false">IF(DAY(B1769)=1,Assumptions!B39*G1769,0)</f>
        <v>0</v>
      </c>
      <c r="Q1769" s="22" t="n">
        <f aca="false">IF(DAY(B1769)=1,Assumptions!B40*G1769,0)</f>
        <v>0</v>
      </c>
      <c r="R1769" s="22" t="n">
        <f aca="false">IF(DAY(B1769)=1,Assumptions!B41*G1769,0)</f>
        <v>0</v>
      </c>
      <c r="S1769" s="22" t="n">
        <f aca="false">IF(AND(DAY(B1769)=1,D1769&gt;=13),Assumptions!B42*G1769,0)</f>
        <v>0</v>
      </c>
      <c r="T1769" s="22" t="n">
        <f aca="false">IF(DAY(B1769)=1,Assumptions!B43*G1769,0)</f>
        <v>0</v>
      </c>
      <c r="U1769" s="22" t="n">
        <f aca="false">SUM(O1769:T1769)</f>
        <v>0</v>
      </c>
      <c r="V1769" s="22" t="n">
        <f aca="false">N1769-U1769</f>
        <v>13800</v>
      </c>
      <c r="W1769" s="22" t="n">
        <f aca="false">W1768+V1769</f>
        <v>551725.648823558</v>
      </c>
      <c r="X1769" s="23" t="str">
        <f aca="false">IF(W1769&gt;=0,"YES","No")</f>
        <v>YES</v>
      </c>
    </row>
    <row r="1770" customFormat="false" ht="15" hidden="false" customHeight="false" outlineLevel="0" collapsed="false">
      <c r="A1770" s="16" t="n">
        <v>1769</v>
      </c>
      <c r="B1770" s="17" t="n">
        <f aca="false">B1769+1</f>
        <v>47791</v>
      </c>
      <c r="C1770" s="18" t="n">
        <f aca="false">MIN(ROUNDUP(A1770/365,0),5)</f>
        <v>5</v>
      </c>
      <c r="D1770" s="18" t="n">
        <f aca="false">DATEDIF(Assumptions!B5,B1770,"m")+1</f>
        <v>59</v>
      </c>
      <c r="E1770" s="18" t="str">
        <f aca="false">TEXT(B1770,"ddd")</f>
        <v>Mon</v>
      </c>
      <c r="F1770" s="19" t="n">
        <f aca="false">IF(WEEKDAY(B1770,2)&gt;=6,Assumptions!B34,Assumptions!B35)</f>
        <v>1</v>
      </c>
      <c r="G1770" s="20" t="n">
        <f aca="false">IF(D1770&gt;=13,(1+Assumptions!B46)^(D1770-12),1)</f>
        <v>1.1511816332795</v>
      </c>
      <c r="H1770" s="21" t="n">
        <f aca="false">H1769*(1+IF(C1770=1,Assumptions!B22,Assumptions!B23))</f>
        <v>26.1982436649285</v>
      </c>
      <c r="I1770" s="16" t="n">
        <f aca="false">ROUND(H1770*F1770,0)</f>
        <v>26</v>
      </c>
      <c r="J1770" s="22" t="n">
        <f aca="false">I1770*Assumptions!B24</f>
        <v>15600</v>
      </c>
      <c r="K1770" s="21" t="n">
        <f aca="false">K1769*(1+Assumptions!B30)</f>
        <v>23.4210894364596</v>
      </c>
      <c r="L1770" s="16" t="n">
        <f aca="false">ROUND(K1770*F1770,0)</f>
        <v>23</v>
      </c>
      <c r="M1770" s="22" t="n">
        <f aca="false">L1770*Assumptions!B31</f>
        <v>6900</v>
      </c>
      <c r="N1770" s="22" t="n">
        <f aca="false">J1770+M1770</f>
        <v>22500</v>
      </c>
      <c r="O1770" s="22" t="n">
        <f aca="false">IF(DAY(B1770)=1,Assumptions!B38*G1770,0)</f>
        <v>0</v>
      </c>
      <c r="P1770" s="22" t="n">
        <f aca="false">IF(DAY(B1770)=1,Assumptions!B39*G1770,0)</f>
        <v>0</v>
      </c>
      <c r="Q1770" s="22" t="n">
        <f aca="false">IF(DAY(B1770)=1,Assumptions!B40*G1770,0)</f>
        <v>0</v>
      </c>
      <c r="R1770" s="22" t="n">
        <f aca="false">IF(DAY(B1770)=1,Assumptions!B41*G1770,0)</f>
        <v>0</v>
      </c>
      <c r="S1770" s="22" t="n">
        <f aca="false">IF(AND(DAY(B1770)=1,D1770&gt;=13),Assumptions!B42*G1770,0)</f>
        <v>0</v>
      </c>
      <c r="T1770" s="22" t="n">
        <f aca="false">IF(DAY(B1770)=1,Assumptions!B43*G1770,0)</f>
        <v>0</v>
      </c>
      <c r="U1770" s="22" t="n">
        <f aca="false">SUM(O1770:T1770)</f>
        <v>0</v>
      </c>
      <c r="V1770" s="22" t="n">
        <f aca="false">N1770-U1770</f>
        <v>22500</v>
      </c>
      <c r="W1770" s="22" t="n">
        <f aca="false">W1769+V1770</f>
        <v>574225.648823558</v>
      </c>
      <c r="X1770" s="23" t="str">
        <f aca="false">IF(W1770&gt;=0,"YES","No")</f>
        <v>YES</v>
      </c>
    </row>
    <row r="1771" customFormat="false" ht="15" hidden="false" customHeight="false" outlineLevel="0" collapsed="false">
      <c r="A1771" s="16" t="n">
        <v>1770</v>
      </c>
      <c r="B1771" s="17" t="n">
        <f aca="false">B1770+1</f>
        <v>47792</v>
      </c>
      <c r="C1771" s="18" t="n">
        <f aca="false">MIN(ROUNDUP(A1771/365,0),5)</f>
        <v>5</v>
      </c>
      <c r="D1771" s="18" t="n">
        <f aca="false">DATEDIF(Assumptions!B5,B1771,"m")+1</f>
        <v>59</v>
      </c>
      <c r="E1771" s="18" t="str">
        <f aca="false">TEXT(B1771,"ddd")</f>
        <v>Tue</v>
      </c>
      <c r="F1771" s="19" t="n">
        <f aca="false">IF(WEEKDAY(B1771,2)&gt;=6,Assumptions!B34,Assumptions!B35)</f>
        <v>1</v>
      </c>
      <c r="G1771" s="20" t="n">
        <f aca="false">IF(D1771&gt;=13,(1+Assumptions!B46)^(D1771-12),1)</f>
        <v>1.1511816332795</v>
      </c>
      <c r="H1771" s="21" t="n">
        <f aca="false">H1770*(1+IF(C1771=1,Assumptions!B22,Assumptions!B23))</f>
        <v>26.2025365536599</v>
      </c>
      <c r="I1771" s="16" t="n">
        <f aca="false">ROUND(H1771*F1771,0)</f>
        <v>26</v>
      </c>
      <c r="J1771" s="22" t="n">
        <f aca="false">I1771*Assumptions!B24</f>
        <v>15600</v>
      </c>
      <c r="K1771" s="21" t="n">
        <f aca="false">K1770*(1+Assumptions!B30)</f>
        <v>23.4287466533677</v>
      </c>
      <c r="L1771" s="16" t="n">
        <f aca="false">ROUND(K1771*F1771,0)</f>
        <v>23</v>
      </c>
      <c r="M1771" s="22" t="n">
        <f aca="false">L1771*Assumptions!B31</f>
        <v>6900</v>
      </c>
      <c r="N1771" s="22" t="n">
        <f aca="false">J1771+M1771</f>
        <v>22500</v>
      </c>
      <c r="O1771" s="22" t="n">
        <f aca="false">IF(DAY(B1771)=1,Assumptions!B38*G1771,0)</f>
        <v>0</v>
      </c>
      <c r="P1771" s="22" t="n">
        <f aca="false">IF(DAY(B1771)=1,Assumptions!B39*G1771,0)</f>
        <v>0</v>
      </c>
      <c r="Q1771" s="22" t="n">
        <f aca="false">IF(DAY(B1771)=1,Assumptions!B40*G1771,0)</f>
        <v>0</v>
      </c>
      <c r="R1771" s="22" t="n">
        <f aca="false">IF(DAY(B1771)=1,Assumptions!B41*G1771,0)</f>
        <v>0</v>
      </c>
      <c r="S1771" s="22" t="n">
        <f aca="false">IF(AND(DAY(B1771)=1,D1771&gt;=13),Assumptions!B42*G1771,0)</f>
        <v>0</v>
      </c>
      <c r="T1771" s="22" t="n">
        <f aca="false">IF(DAY(B1771)=1,Assumptions!B43*G1771,0)</f>
        <v>0</v>
      </c>
      <c r="U1771" s="22" t="n">
        <f aca="false">SUM(O1771:T1771)</f>
        <v>0</v>
      </c>
      <c r="V1771" s="22" t="n">
        <f aca="false">N1771-U1771</f>
        <v>22500</v>
      </c>
      <c r="W1771" s="22" t="n">
        <f aca="false">W1770+V1771</f>
        <v>596725.648823558</v>
      </c>
      <c r="X1771" s="23" t="str">
        <f aca="false">IF(W1771&gt;=0,"YES","No")</f>
        <v>YES</v>
      </c>
    </row>
    <row r="1772" customFormat="false" ht="15" hidden="false" customHeight="false" outlineLevel="0" collapsed="false">
      <c r="A1772" s="16" t="n">
        <v>1771</v>
      </c>
      <c r="B1772" s="17" t="n">
        <f aca="false">B1771+1</f>
        <v>47793</v>
      </c>
      <c r="C1772" s="18" t="n">
        <f aca="false">MIN(ROUNDUP(A1772/365,0),5)</f>
        <v>5</v>
      </c>
      <c r="D1772" s="18" t="n">
        <f aca="false">DATEDIF(Assumptions!B5,B1772,"m")+1</f>
        <v>59</v>
      </c>
      <c r="E1772" s="18" t="str">
        <f aca="false">TEXT(B1772,"ddd")</f>
        <v>Wed</v>
      </c>
      <c r="F1772" s="19" t="n">
        <f aca="false">IF(WEEKDAY(B1772,2)&gt;=6,Assumptions!B34,Assumptions!B35)</f>
        <v>1</v>
      </c>
      <c r="G1772" s="20" t="n">
        <f aca="false">IF(D1772&gt;=13,(1+Assumptions!B46)^(D1772-12),1)</f>
        <v>1.1511816332795</v>
      </c>
      <c r="H1772" s="21" t="n">
        <f aca="false">H1771*(1+IF(C1772=1,Assumptions!B22,Assumptions!B23))</f>
        <v>26.2068301458313</v>
      </c>
      <c r="I1772" s="16" t="n">
        <f aca="false">ROUND(H1772*F1772,0)</f>
        <v>26</v>
      </c>
      <c r="J1772" s="22" t="n">
        <f aca="false">I1772*Assumptions!B24</f>
        <v>15600</v>
      </c>
      <c r="K1772" s="21" t="n">
        <f aca="false">K1771*(1+Assumptions!B30)</f>
        <v>23.4364063737019</v>
      </c>
      <c r="L1772" s="16" t="n">
        <f aca="false">ROUND(K1772*F1772,0)</f>
        <v>23</v>
      </c>
      <c r="M1772" s="22" t="n">
        <f aca="false">L1772*Assumptions!B31</f>
        <v>6900</v>
      </c>
      <c r="N1772" s="22" t="n">
        <f aca="false">J1772+M1772</f>
        <v>22500</v>
      </c>
      <c r="O1772" s="22" t="n">
        <f aca="false">IF(DAY(B1772)=1,Assumptions!B38*G1772,0)</f>
        <v>0</v>
      </c>
      <c r="P1772" s="22" t="n">
        <f aca="false">IF(DAY(B1772)=1,Assumptions!B39*G1772,0)</f>
        <v>0</v>
      </c>
      <c r="Q1772" s="22" t="n">
        <f aca="false">IF(DAY(B1772)=1,Assumptions!B40*G1772,0)</f>
        <v>0</v>
      </c>
      <c r="R1772" s="22" t="n">
        <f aca="false">IF(DAY(B1772)=1,Assumptions!B41*G1772,0)</f>
        <v>0</v>
      </c>
      <c r="S1772" s="22" t="n">
        <f aca="false">IF(AND(DAY(B1772)=1,D1772&gt;=13),Assumptions!B42*G1772,0)</f>
        <v>0</v>
      </c>
      <c r="T1772" s="22" t="n">
        <f aca="false">IF(DAY(B1772)=1,Assumptions!B43*G1772,0)</f>
        <v>0</v>
      </c>
      <c r="U1772" s="22" t="n">
        <f aca="false">SUM(O1772:T1772)</f>
        <v>0</v>
      </c>
      <c r="V1772" s="22" t="n">
        <f aca="false">N1772-U1772</f>
        <v>22500</v>
      </c>
      <c r="W1772" s="22" t="n">
        <f aca="false">W1771+V1772</f>
        <v>619225.648823558</v>
      </c>
      <c r="X1772" s="23" t="str">
        <f aca="false">IF(W1772&gt;=0,"YES","No")</f>
        <v>YES</v>
      </c>
    </row>
    <row r="1773" customFormat="false" ht="15" hidden="false" customHeight="false" outlineLevel="0" collapsed="false">
      <c r="A1773" s="16" t="n">
        <v>1772</v>
      </c>
      <c r="B1773" s="17" t="n">
        <f aca="false">B1772+1</f>
        <v>47794</v>
      </c>
      <c r="C1773" s="18" t="n">
        <f aca="false">MIN(ROUNDUP(A1773/365,0),5)</f>
        <v>5</v>
      </c>
      <c r="D1773" s="18" t="n">
        <f aca="false">DATEDIF(Assumptions!B5,B1773,"m")+1</f>
        <v>59</v>
      </c>
      <c r="E1773" s="18" t="str">
        <f aca="false">TEXT(B1773,"ddd")</f>
        <v>Thu</v>
      </c>
      <c r="F1773" s="19" t="n">
        <f aca="false">IF(WEEKDAY(B1773,2)&gt;=6,Assumptions!B34,Assumptions!B35)</f>
        <v>1</v>
      </c>
      <c r="G1773" s="20" t="n">
        <f aca="false">IF(D1773&gt;=13,(1+Assumptions!B46)^(D1773-12),1)</f>
        <v>1.1511816332795</v>
      </c>
      <c r="H1773" s="21" t="n">
        <f aca="false">H1772*(1+IF(C1773=1,Assumptions!B22,Assumptions!B23))</f>
        <v>26.211124441558</v>
      </c>
      <c r="I1773" s="16" t="n">
        <f aca="false">ROUND(H1773*F1773,0)</f>
        <v>26</v>
      </c>
      <c r="J1773" s="22" t="n">
        <f aca="false">I1773*Assumptions!B24</f>
        <v>15600</v>
      </c>
      <c r="K1773" s="21" t="n">
        <f aca="false">K1772*(1+Assumptions!B30)</f>
        <v>23.444068598281</v>
      </c>
      <c r="L1773" s="16" t="n">
        <f aca="false">ROUND(K1773*F1773,0)</f>
        <v>23</v>
      </c>
      <c r="M1773" s="22" t="n">
        <f aca="false">L1773*Assumptions!B31</f>
        <v>6900</v>
      </c>
      <c r="N1773" s="22" t="n">
        <f aca="false">J1773+M1773</f>
        <v>22500</v>
      </c>
      <c r="O1773" s="22" t="n">
        <f aca="false">IF(DAY(B1773)=1,Assumptions!B38*G1773,0)</f>
        <v>0</v>
      </c>
      <c r="P1773" s="22" t="n">
        <f aca="false">IF(DAY(B1773)=1,Assumptions!B39*G1773,0)</f>
        <v>0</v>
      </c>
      <c r="Q1773" s="22" t="n">
        <f aca="false">IF(DAY(B1773)=1,Assumptions!B40*G1773,0)</f>
        <v>0</v>
      </c>
      <c r="R1773" s="22" t="n">
        <f aca="false">IF(DAY(B1773)=1,Assumptions!B41*G1773,0)</f>
        <v>0</v>
      </c>
      <c r="S1773" s="22" t="n">
        <f aca="false">IF(AND(DAY(B1773)=1,D1773&gt;=13),Assumptions!B42*G1773,0)</f>
        <v>0</v>
      </c>
      <c r="T1773" s="22" t="n">
        <f aca="false">IF(DAY(B1773)=1,Assumptions!B43*G1773,0)</f>
        <v>0</v>
      </c>
      <c r="U1773" s="22" t="n">
        <f aca="false">SUM(O1773:T1773)</f>
        <v>0</v>
      </c>
      <c r="V1773" s="22" t="n">
        <f aca="false">N1773-U1773</f>
        <v>22500</v>
      </c>
      <c r="W1773" s="22" t="n">
        <f aca="false">W1772+V1773</f>
        <v>641725.648823558</v>
      </c>
      <c r="X1773" s="23" t="str">
        <f aca="false">IF(W1773&gt;=0,"YES","No")</f>
        <v>YES</v>
      </c>
    </row>
    <row r="1774" customFormat="false" ht="15" hidden="false" customHeight="false" outlineLevel="0" collapsed="false">
      <c r="A1774" s="16" t="n">
        <v>1773</v>
      </c>
      <c r="B1774" s="17" t="n">
        <f aca="false">B1773+1</f>
        <v>47795</v>
      </c>
      <c r="C1774" s="18" t="n">
        <f aca="false">MIN(ROUNDUP(A1774/365,0),5)</f>
        <v>5</v>
      </c>
      <c r="D1774" s="18" t="n">
        <f aca="false">DATEDIF(Assumptions!B5,B1774,"m")+1</f>
        <v>59</v>
      </c>
      <c r="E1774" s="18" t="str">
        <f aca="false">TEXT(B1774,"ddd")</f>
        <v>Fri</v>
      </c>
      <c r="F1774" s="19" t="n">
        <f aca="false">IF(WEEKDAY(B1774,2)&gt;=6,Assumptions!B34,Assumptions!B35)</f>
        <v>1</v>
      </c>
      <c r="G1774" s="20" t="n">
        <f aca="false">IF(D1774&gt;=13,(1+Assumptions!B46)^(D1774-12),1)</f>
        <v>1.1511816332795</v>
      </c>
      <c r="H1774" s="21" t="n">
        <f aca="false">H1773*(1+IF(C1774=1,Assumptions!B22,Assumptions!B23))</f>
        <v>26.2154194409554</v>
      </c>
      <c r="I1774" s="16" t="n">
        <f aca="false">ROUND(H1774*F1774,0)</f>
        <v>26</v>
      </c>
      <c r="J1774" s="22" t="n">
        <f aca="false">I1774*Assumptions!B24</f>
        <v>15600</v>
      </c>
      <c r="K1774" s="21" t="n">
        <f aca="false">K1773*(1+Assumptions!B30)</f>
        <v>23.4517333279235</v>
      </c>
      <c r="L1774" s="16" t="n">
        <f aca="false">ROUND(K1774*F1774,0)</f>
        <v>23</v>
      </c>
      <c r="M1774" s="22" t="n">
        <f aca="false">L1774*Assumptions!B31</f>
        <v>6900</v>
      </c>
      <c r="N1774" s="22" t="n">
        <f aca="false">J1774+M1774</f>
        <v>22500</v>
      </c>
      <c r="O1774" s="22" t="n">
        <f aca="false">IF(DAY(B1774)=1,Assumptions!B38*G1774,0)</f>
        <v>0</v>
      </c>
      <c r="P1774" s="22" t="n">
        <f aca="false">IF(DAY(B1774)=1,Assumptions!B39*G1774,0)</f>
        <v>0</v>
      </c>
      <c r="Q1774" s="22" t="n">
        <f aca="false">IF(DAY(B1774)=1,Assumptions!B40*G1774,0)</f>
        <v>0</v>
      </c>
      <c r="R1774" s="22" t="n">
        <f aca="false">IF(DAY(B1774)=1,Assumptions!B41*G1774,0)</f>
        <v>0</v>
      </c>
      <c r="S1774" s="22" t="n">
        <f aca="false">IF(AND(DAY(B1774)=1,D1774&gt;=13),Assumptions!B42*G1774,0)</f>
        <v>0</v>
      </c>
      <c r="T1774" s="22" t="n">
        <f aca="false">IF(DAY(B1774)=1,Assumptions!B43*G1774,0)</f>
        <v>0</v>
      </c>
      <c r="U1774" s="22" t="n">
        <f aca="false">SUM(O1774:T1774)</f>
        <v>0</v>
      </c>
      <c r="V1774" s="22" t="n">
        <f aca="false">N1774-U1774</f>
        <v>22500</v>
      </c>
      <c r="W1774" s="22" t="n">
        <f aca="false">W1773+V1774</f>
        <v>664225.648823558</v>
      </c>
      <c r="X1774" s="23" t="str">
        <f aca="false">IF(W1774&gt;=0,"YES","No")</f>
        <v>YES</v>
      </c>
    </row>
    <row r="1775" customFormat="false" ht="15" hidden="false" customHeight="false" outlineLevel="0" collapsed="false">
      <c r="A1775" s="16" t="n">
        <v>1774</v>
      </c>
      <c r="B1775" s="17" t="n">
        <f aca="false">B1774+1</f>
        <v>47796</v>
      </c>
      <c r="C1775" s="18" t="n">
        <f aca="false">MIN(ROUNDUP(A1775/365,0),5)</f>
        <v>5</v>
      </c>
      <c r="D1775" s="18" t="n">
        <f aca="false">DATEDIF(Assumptions!B5,B1775,"m")+1</f>
        <v>59</v>
      </c>
      <c r="E1775" s="18" t="str">
        <f aca="false">TEXT(B1775,"ddd")</f>
        <v>Sat</v>
      </c>
      <c r="F1775" s="19" t="n">
        <f aca="false">IF(WEEKDAY(B1775,2)&gt;=6,Assumptions!B34,Assumptions!B35)</f>
        <v>0.6</v>
      </c>
      <c r="G1775" s="20" t="n">
        <f aca="false">IF(D1775&gt;=13,(1+Assumptions!B46)^(D1775-12),1)</f>
        <v>1.1511816332795</v>
      </c>
      <c r="H1775" s="21" t="n">
        <f aca="false">H1774*(1+IF(C1775=1,Assumptions!B22,Assumptions!B23))</f>
        <v>26.2197151441386</v>
      </c>
      <c r="I1775" s="16" t="n">
        <f aca="false">ROUND(H1775*F1775,0)</f>
        <v>16</v>
      </c>
      <c r="J1775" s="22" t="n">
        <f aca="false">I1775*Assumptions!B24</f>
        <v>9600</v>
      </c>
      <c r="K1775" s="21" t="n">
        <f aca="false">K1774*(1+Assumptions!B30)</f>
        <v>23.4594005634484</v>
      </c>
      <c r="L1775" s="16" t="n">
        <f aca="false">ROUND(K1775*F1775,0)</f>
        <v>14</v>
      </c>
      <c r="M1775" s="22" t="n">
        <f aca="false">L1775*Assumptions!B31</f>
        <v>4200</v>
      </c>
      <c r="N1775" s="22" t="n">
        <f aca="false">J1775+M1775</f>
        <v>13800</v>
      </c>
      <c r="O1775" s="22" t="n">
        <f aca="false">IF(DAY(B1775)=1,Assumptions!B38*G1775,0)</f>
        <v>0</v>
      </c>
      <c r="P1775" s="22" t="n">
        <f aca="false">IF(DAY(B1775)=1,Assumptions!B39*G1775,0)</f>
        <v>0</v>
      </c>
      <c r="Q1775" s="22" t="n">
        <f aca="false">IF(DAY(B1775)=1,Assumptions!B40*G1775,0)</f>
        <v>0</v>
      </c>
      <c r="R1775" s="22" t="n">
        <f aca="false">IF(DAY(B1775)=1,Assumptions!B41*G1775,0)</f>
        <v>0</v>
      </c>
      <c r="S1775" s="22" t="n">
        <f aca="false">IF(AND(DAY(B1775)=1,D1775&gt;=13),Assumptions!B42*G1775,0)</f>
        <v>0</v>
      </c>
      <c r="T1775" s="22" t="n">
        <f aca="false">IF(DAY(B1775)=1,Assumptions!B43*G1775,0)</f>
        <v>0</v>
      </c>
      <c r="U1775" s="22" t="n">
        <f aca="false">SUM(O1775:T1775)</f>
        <v>0</v>
      </c>
      <c r="V1775" s="22" t="n">
        <f aca="false">N1775-U1775</f>
        <v>13800</v>
      </c>
      <c r="W1775" s="22" t="n">
        <f aca="false">W1774+V1775</f>
        <v>678025.648823558</v>
      </c>
      <c r="X1775" s="23" t="str">
        <f aca="false">IF(W1775&gt;=0,"YES","No")</f>
        <v>YES</v>
      </c>
    </row>
    <row r="1776" customFormat="false" ht="15" hidden="false" customHeight="false" outlineLevel="0" collapsed="false">
      <c r="A1776" s="16" t="n">
        <v>1775</v>
      </c>
      <c r="B1776" s="17" t="n">
        <f aca="false">B1775+1</f>
        <v>47797</v>
      </c>
      <c r="C1776" s="18" t="n">
        <f aca="false">MIN(ROUNDUP(A1776/365,0),5)</f>
        <v>5</v>
      </c>
      <c r="D1776" s="18" t="n">
        <f aca="false">DATEDIF(Assumptions!B5,B1776,"m")+1</f>
        <v>59</v>
      </c>
      <c r="E1776" s="18" t="str">
        <f aca="false">TEXT(B1776,"ddd")</f>
        <v>Sun</v>
      </c>
      <c r="F1776" s="19" t="n">
        <f aca="false">IF(WEEKDAY(B1776,2)&gt;=6,Assumptions!B34,Assumptions!B35)</f>
        <v>0.6</v>
      </c>
      <c r="G1776" s="20" t="n">
        <f aca="false">IF(D1776&gt;=13,(1+Assumptions!B46)^(D1776-12),1)</f>
        <v>1.1511816332795</v>
      </c>
      <c r="H1776" s="21" t="n">
        <f aca="false">H1775*(1+IF(C1776=1,Assumptions!B22,Assumptions!B23))</f>
        <v>26.224011551223</v>
      </c>
      <c r="I1776" s="16" t="n">
        <f aca="false">ROUND(H1776*F1776,0)</f>
        <v>16</v>
      </c>
      <c r="J1776" s="22" t="n">
        <f aca="false">I1776*Assumptions!B24</f>
        <v>9600</v>
      </c>
      <c r="K1776" s="21" t="n">
        <f aca="false">K1775*(1+Assumptions!B30)</f>
        <v>23.4670703056751</v>
      </c>
      <c r="L1776" s="16" t="n">
        <f aca="false">ROUND(K1776*F1776,0)</f>
        <v>14</v>
      </c>
      <c r="M1776" s="22" t="n">
        <f aca="false">L1776*Assumptions!B31</f>
        <v>4200</v>
      </c>
      <c r="N1776" s="22" t="n">
        <f aca="false">J1776+M1776</f>
        <v>13800</v>
      </c>
      <c r="O1776" s="22" t="n">
        <f aca="false">IF(DAY(B1776)=1,Assumptions!B38*G1776,0)</f>
        <v>0</v>
      </c>
      <c r="P1776" s="22" t="n">
        <f aca="false">IF(DAY(B1776)=1,Assumptions!B39*G1776,0)</f>
        <v>0</v>
      </c>
      <c r="Q1776" s="22" t="n">
        <f aca="false">IF(DAY(B1776)=1,Assumptions!B40*G1776,0)</f>
        <v>0</v>
      </c>
      <c r="R1776" s="22" t="n">
        <f aca="false">IF(DAY(B1776)=1,Assumptions!B41*G1776,0)</f>
        <v>0</v>
      </c>
      <c r="S1776" s="22" t="n">
        <f aca="false">IF(AND(DAY(B1776)=1,D1776&gt;=13),Assumptions!B42*G1776,0)</f>
        <v>0</v>
      </c>
      <c r="T1776" s="22" t="n">
        <f aca="false">IF(DAY(B1776)=1,Assumptions!B43*G1776,0)</f>
        <v>0</v>
      </c>
      <c r="U1776" s="22" t="n">
        <f aca="false">SUM(O1776:T1776)</f>
        <v>0</v>
      </c>
      <c r="V1776" s="22" t="n">
        <f aca="false">N1776-U1776</f>
        <v>13800</v>
      </c>
      <c r="W1776" s="22" t="n">
        <f aca="false">W1775+V1776</f>
        <v>691825.648823558</v>
      </c>
      <c r="X1776" s="23" t="str">
        <f aca="false">IF(W1776&gt;=0,"YES","No")</f>
        <v>YES</v>
      </c>
    </row>
    <row r="1777" customFormat="false" ht="15" hidden="false" customHeight="false" outlineLevel="0" collapsed="false">
      <c r="A1777" s="16" t="n">
        <v>1776</v>
      </c>
      <c r="B1777" s="17" t="n">
        <f aca="false">B1776+1</f>
        <v>47798</v>
      </c>
      <c r="C1777" s="18" t="n">
        <f aca="false">MIN(ROUNDUP(A1777/365,0),5)</f>
        <v>5</v>
      </c>
      <c r="D1777" s="18" t="n">
        <f aca="false">DATEDIF(Assumptions!B5,B1777,"m")+1</f>
        <v>59</v>
      </c>
      <c r="E1777" s="18" t="str">
        <f aca="false">TEXT(B1777,"ddd")</f>
        <v>Mon</v>
      </c>
      <c r="F1777" s="19" t="n">
        <f aca="false">IF(WEEKDAY(B1777,2)&gt;=6,Assumptions!B34,Assumptions!B35)</f>
        <v>1</v>
      </c>
      <c r="G1777" s="20" t="n">
        <f aca="false">IF(D1777&gt;=13,(1+Assumptions!B46)^(D1777-12),1)</f>
        <v>1.1511816332795</v>
      </c>
      <c r="H1777" s="21" t="n">
        <f aca="false">H1776*(1+IF(C1777=1,Assumptions!B22,Assumptions!B23))</f>
        <v>26.2283086623241</v>
      </c>
      <c r="I1777" s="16" t="n">
        <f aca="false">ROUND(H1777*F1777,0)</f>
        <v>26</v>
      </c>
      <c r="J1777" s="22" t="n">
        <f aca="false">I1777*Assumptions!B24</f>
        <v>15600</v>
      </c>
      <c r="K1777" s="21" t="n">
        <f aca="false">K1776*(1+Assumptions!B30)</f>
        <v>23.4747425554231</v>
      </c>
      <c r="L1777" s="16" t="n">
        <f aca="false">ROUND(K1777*F1777,0)</f>
        <v>23</v>
      </c>
      <c r="M1777" s="22" t="n">
        <f aca="false">L1777*Assumptions!B31</f>
        <v>6900</v>
      </c>
      <c r="N1777" s="22" t="n">
        <f aca="false">J1777+M1777</f>
        <v>22500</v>
      </c>
      <c r="O1777" s="22" t="n">
        <f aca="false">IF(DAY(B1777)=1,Assumptions!B38*G1777,0)</f>
        <v>0</v>
      </c>
      <c r="P1777" s="22" t="n">
        <f aca="false">IF(DAY(B1777)=1,Assumptions!B39*G1777,0)</f>
        <v>0</v>
      </c>
      <c r="Q1777" s="22" t="n">
        <f aca="false">IF(DAY(B1777)=1,Assumptions!B40*G1777,0)</f>
        <v>0</v>
      </c>
      <c r="R1777" s="22" t="n">
        <f aca="false">IF(DAY(B1777)=1,Assumptions!B41*G1777,0)</f>
        <v>0</v>
      </c>
      <c r="S1777" s="22" t="n">
        <f aca="false">IF(AND(DAY(B1777)=1,D1777&gt;=13),Assumptions!B42*G1777,0)</f>
        <v>0</v>
      </c>
      <c r="T1777" s="22" t="n">
        <f aca="false">IF(DAY(B1777)=1,Assumptions!B43*G1777,0)</f>
        <v>0</v>
      </c>
      <c r="U1777" s="22" t="n">
        <f aca="false">SUM(O1777:T1777)</f>
        <v>0</v>
      </c>
      <c r="V1777" s="22" t="n">
        <f aca="false">N1777-U1777</f>
        <v>22500</v>
      </c>
      <c r="W1777" s="22" t="n">
        <f aca="false">W1776+V1777</f>
        <v>714325.648823558</v>
      </c>
      <c r="X1777" s="23" t="str">
        <f aca="false">IF(W1777&gt;=0,"YES","No")</f>
        <v>YES</v>
      </c>
    </row>
    <row r="1778" customFormat="false" ht="15" hidden="false" customHeight="false" outlineLevel="0" collapsed="false">
      <c r="A1778" s="16" t="n">
        <v>1777</v>
      </c>
      <c r="B1778" s="17" t="n">
        <f aca="false">B1777+1</f>
        <v>47799</v>
      </c>
      <c r="C1778" s="18" t="n">
        <f aca="false">MIN(ROUNDUP(A1778/365,0),5)</f>
        <v>5</v>
      </c>
      <c r="D1778" s="18" t="n">
        <f aca="false">DATEDIF(Assumptions!B5,B1778,"m")+1</f>
        <v>59</v>
      </c>
      <c r="E1778" s="18" t="str">
        <f aca="false">TEXT(B1778,"ddd")</f>
        <v>Tue</v>
      </c>
      <c r="F1778" s="19" t="n">
        <f aca="false">IF(WEEKDAY(B1778,2)&gt;=6,Assumptions!B34,Assumptions!B35)</f>
        <v>1</v>
      </c>
      <c r="G1778" s="20" t="n">
        <f aca="false">IF(D1778&gt;=13,(1+Assumptions!B46)^(D1778-12),1)</f>
        <v>1.1511816332795</v>
      </c>
      <c r="H1778" s="21" t="n">
        <f aca="false">H1777*(1+IF(C1778=1,Assumptions!B22,Assumptions!B23))</f>
        <v>26.232606477557</v>
      </c>
      <c r="I1778" s="16" t="n">
        <f aca="false">ROUND(H1778*F1778,0)</f>
        <v>26</v>
      </c>
      <c r="J1778" s="22" t="n">
        <f aca="false">I1778*Assumptions!B24</f>
        <v>15600</v>
      </c>
      <c r="K1778" s="21" t="n">
        <f aca="false">K1777*(1+Assumptions!B30)</f>
        <v>23.4824173135121</v>
      </c>
      <c r="L1778" s="16" t="n">
        <f aca="false">ROUND(K1778*F1778,0)</f>
        <v>23</v>
      </c>
      <c r="M1778" s="22" t="n">
        <f aca="false">L1778*Assumptions!B31</f>
        <v>6900</v>
      </c>
      <c r="N1778" s="22" t="n">
        <f aca="false">J1778+M1778</f>
        <v>22500</v>
      </c>
      <c r="O1778" s="22" t="n">
        <f aca="false">IF(DAY(B1778)=1,Assumptions!B38*G1778,0)</f>
        <v>0</v>
      </c>
      <c r="P1778" s="22" t="n">
        <f aca="false">IF(DAY(B1778)=1,Assumptions!B39*G1778,0)</f>
        <v>0</v>
      </c>
      <c r="Q1778" s="22" t="n">
        <f aca="false">IF(DAY(B1778)=1,Assumptions!B40*G1778,0)</f>
        <v>0</v>
      </c>
      <c r="R1778" s="22" t="n">
        <f aca="false">IF(DAY(B1778)=1,Assumptions!B41*G1778,0)</f>
        <v>0</v>
      </c>
      <c r="S1778" s="22" t="n">
        <f aca="false">IF(AND(DAY(B1778)=1,D1778&gt;=13),Assumptions!B42*G1778,0)</f>
        <v>0</v>
      </c>
      <c r="T1778" s="22" t="n">
        <f aca="false">IF(DAY(B1778)=1,Assumptions!B43*G1778,0)</f>
        <v>0</v>
      </c>
      <c r="U1778" s="22" t="n">
        <f aca="false">SUM(O1778:T1778)</f>
        <v>0</v>
      </c>
      <c r="V1778" s="22" t="n">
        <f aca="false">N1778-U1778</f>
        <v>22500</v>
      </c>
      <c r="W1778" s="22" t="n">
        <f aca="false">W1777+V1778</f>
        <v>736825.648823558</v>
      </c>
      <c r="X1778" s="23" t="str">
        <f aca="false">IF(W1778&gt;=0,"YES","No")</f>
        <v>YES</v>
      </c>
    </row>
    <row r="1779" customFormat="false" ht="15" hidden="false" customHeight="false" outlineLevel="0" collapsed="false">
      <c r="A1779" s="16" t="n">
        <v>1778</v>
      </c>
      <c r="B1779" s="17" t="n">
        <f aca="false">B1778+1</f>
        <v>47800</v>
      </c>
      <c r="C1779" s="18" t="n">
        <f aca="false">MIN(ROUNDUP(A1779/365,0),5)</f>
        <v>5</v>
      </c>
      <c r="D1779" s="18" t="n">
        <f aca="false">DATEDIF(Assumptions!B5,B1779,"m")+1</f>
        <v>59</v>
      </c>
      <c r="E1779" s="18" t="str">
        <f aca="false">TEXT(B1779,"ddd")</f>
        <v>Wed</v>
      </c>
      <c r="F1779" s="19" t="n">
        <f aca="false">IF(WEEKDAY(B1779,2)&gt;=6,Assumptions!B34,Assumptions!B35)</f>
        <v>1</v>
      </c>
      <c r="G1779" s="20" t="n">
        <f aca="false">IF(D1779&gt;=13,(1+Assumptions!B46)^(D1779-12),1)</f>
        <v>1.1511816332795</v>
      </c>
      <c r="H1779" s="21" t="n">
        <f aca="false">H1778*(1+IF(C1779=1,Assumptions!B22,Assumptions!B23))</f>
        <v>26.2369049970373</v>
      </c>
      <c r="I1779" s="16" t="n">
        <f aca="false">ROUND(H1779*F1779,0)</f>
        <v>26</v>
      </c>
      <c r="J1779" s="22" t="n">
        <f aca="false">I1779*Assumptions!B24</f>
        <v>15600</v>
      </c>
      <c r="K1779" s="21" t="n">
        <f aca="false">K1778*(1+Assumptions!B30)</f>
        <v>23.4900945807623</v>
      </c>
      <c r="L1779" s="16" t="n">
        <f aca="false">ROUND(K1779*F1779,0)</f>
        <v>23</v>
      </c>
      <c r="M1779" s="22" t="n">
        <f aca="false">L1779*Assumptions!B31</f>
        <v>6900</v>
      </c>
      <c r="N1779" s="22" t="n">
        <f aca="false">J1779+M1779</f>
        <v>22500</v>
      </c>
      <c r="O1779" s="22" t="n">
        <f aca="false">IF(DAY(B1779)=1,Assumptions!B38*G1779,0)</f>
        <v>0</v>
      </c>
      <c r="P1779" s="22" t="n">
        <f aca="false">IF(DAY(B1779)=1,Assumptions!B39*G1779,0)</f>
        <v>0</v>
      </c>
      <c r="Q1779" s="22" t="n">
        <f aca="false">IF(DAY(B1779)=1,Assumptions!B40*G1779,0)</f>
        <v>0</v>
      </c>
      <c r="R1779" s="22" t="n">
        <f aca="false">IF(DAY(B1779)=1,Assumptions!B41*G1779,0)</f>
        <v>0</v>
      </c>
      <c r="S1779" s="22" t="n">
        <f aca="false">IF(AND(DAY(B1779)=1,D1779&gt;=13),Assumptions!B42*G1779,0)</f>
        <v>0</v>
      </c>
      <c r="T1779" s="22" t="n">
        <f aca="false">IF(DAY(B1779)=1,Assumptions!B43*G1779,0)</f>
        <v>0</v>
      </c>
      <c r="U1779" s="22" t="n">
        <f aca="false">SUM(O1779:T1779)</f>
        <v>0</v>
      </c>
      <c r="V1779" s="22" t="n">
        <f aca="false">N1779-U1779</f>
        <v>22500</v>
      </c>
      <c r="W1779" s="22" t="n">
        <f aca="false">W1778+V1779</f>
        <v>759325.648823558</v>
      </c>
      <c r="X1779" s="23" t="str">
        <f aca="false">IF(W1779&gt;=0,"YES","No")</f>
        <v>YES</v>
      </c>
    </row>
    <row r="1780" customFormat="false" ht="15" hidden="false" customHeight="false" outlineLevel="0" collapsed="false">
      <c r="A1780" s="16" t="n">
        <v>1779</v>
      </c>
      <c r="B1780" s="17" t="n">
        <f aca="false">B1779+1</f>
        <v>47801</v>
      </c>
      <c r="C1780" s="18" t="n">
        <f aca="false">MIN(ROUNDUP(A1780/365,0),5)</f>
        <v>5</v>
      </c>
      <c r="D1780" s="18" t="n">
        <f aca="false">DATEDIF(Assumptions!B5,B1780,"m")+1</f>
        <v>59</v>
      </c>
      <c r="E1780" s="18" t="str">
        <f aca="false">TEXT(B1780,"ddd")</f>
        <v>Thu</v>
      </c>
      <c r="F1780" s="19" t="n">
        <f aca="false">IF(WEEKDAY(B1780,2)&gt;=6,Assumptions!B34,Assumptions!B35)</f>
        <v>1</v>
      </c>
      <c r="G1780" s="20" t="n">
        <f aca="false">IF(D1780&gt;=13,(1+Assumptions!B46)^(D1780-12),1)</f>
        <v>1.1511816332795</v>
      </c>
      <c r="H1780" s="21" t="n">
        <f aca="false">H1779*(1+IF(C1780=1,Assumptions!B22,Assumptions!B23))</f>
        <v>26.2412042208802</v>
      </c>
      <c r="I1780" s="16" t="n">
        <f aca="false">ROUND(H1780*F1780,0)</f>
        <v>26</v>
      </c>
      <c r="J1780" s="22" t="n">
        <f aca="false">I1780*Assumptions!B24</f>
        <v>15600</v>
      </c>
      <c r="K1780" s="21" t="n">
        <f aca="false">K1779*(1+Assumptions!B30)</f>
        <v>23.4977743579939</v>
      </c>
      <c r="L1780" s="16" t="n">
        <f aca="false">ROUND(K1780*F1780,0)</f>
        <v>23</v>
      </c>
      <c r="M1780" s="22" t="n">
        <f aca="false">L1780*Assumptions!B31</f>
        <v>6900</v>
      </c>
      <c r="N1780" s="22" t="n">
        <f aca="false">J1780+M1780</f>
        <v>22500</v>
      </c>
      <c r="O1780" s="22" t="n">
        <f aca="false">IF(DAY(B1780)=1,Assumptions!B38*G1780,0)</f>
        <v>0</v>
      </c>
      <c r="P1780" s="22" t="n">
        <f aca="false">IF(DAY(B1780)=1,Assumptions!B39*G1780,0)</f>
        <v>0</v>
      </c>
      <c r="Q1780" s="22" t="n">
        <f aca="false">IF(DAY(B1780)=1,Assumptions!B40*G1780,0)</f>
        <v>0</v>
      </c>
      <c r="R1780" s="22" t="n">
        <f aca="false">IF(DAY(B1780)=1,Assumptions!B41*G1780,0)</f>
        <v>0</v>
      </c>
      <c r="S1780" s="22" t="n">
        <f aca="false">IF(AND(DAY(B1780)=1,D1780&gt;=13),Assumptions!B42*G1780,0)</f>
        <v>0</v>
      </c>
      <c r="T1780" s="22" t="n">
        <f aca="false">IF(DAY(B1780)=1,Assumptions!B43*G1780,0)</f>
        <v>0</v>
      </c>
      <c r="U1780" s="22" t="n">
        <f aca="false">SUM(O1780:T1780)</f>
        <v>0</v>
      </c>
      <c r="V1780" s="22" t="n">
        <f aca="false">N1780-U1780</f>
        <v>22500</v>
      </c>
      <c r="W1780" s="22" t="n">
        <f aca="false">W1779+V1780</f>
        <v>781825.648823558</v>
      </c>
      <c r="X1780" s="23" t="str">
        <f aca="false">IF(W1780&gt;=0,"YES","No")</f>
        <v>YES</v>
      </c>
    </row>
    <row r="1781" customFormat="false" ht="15" hidden="false" customHeight="false" outlineLevel="0" collapsed="false">
      <c r="A1781" s="16" t="n">
        <v>1780</v>
      </c>
      <c r="B1781" s="17" t="n">
        <f aca="false">B1780+1</f>
        <v>47802</v>
      </c>
      <c r="C1781" s="18" t="n">
        <f aca="false">MIN(ROUNDUP(A1781/365,0),5)</f>
        <v>5</v>
      </c>
      <c r="D1781" s="18" t="n">
        <f aca="false">DATEDIF(Assumptions!B5,B1781,"m")+1</f>
        <v>59</v>
      </c>
      <c r="E1781" s="18" t="str">
        <f aca="false">TEXT(B1781,"ddd")</f>
        <v>Fri</v>
      </c>
      <c r="F1781" s="19" t="n">
        <f aca="false">IF(WEEKDAY(B1781,2)&gt;=6,Assumptions!B34,Assumptions!B35)</f>
        <v>1</v>
      </c>
      <c r="G1781" s="20" t="n">
        <f aca="false">IF(D1781&gt;=13,(1+Assumptions!B46)^(D1781-12),1)</f>
        <v>1.1511816332795</v>
      </c>
      <c r="H1781" s="21" t="n">
        <f aca="false">H1780*(1+IF(C1781=1,Assumptions!B22,Assumptions!B23))</f>
        <v>26.2455041492013</v>
      </c>
      <c r="I1781" s="16" t="n">
        <f aca="false">ROUND(H1781*F1781,0)</f>
        <v>26</v>
      </c>
      <c r="J1781" s="22" t="n">
        <f aca="false">I1781*Assumptions!B24</f>
        <v>15600</v>
      </c>
      <c r="K1781" s="21" t="n">
        <f aca="false">K1780*(1+Assumptions!B30)</f>
        <v>23.5054566460277</v>
      </c>
      <c r="L1781" s="16" t="n">
        <f aca="false">ROUND(K1781*F1781,0)</f>
        <v>24</v>
      </c>
      <c r="M1781" s="22" t="n">
        <f aca="false">L1781*Assumptions!B31</f>
        <v>7200</v>
      </c>
      <c r="N1781" s="22" t="n">
        <f aca="false">J1781+M1781</f>
        <v>22800</v>
      </c>
      <c r="O1781" s="22" t="n">
        <f aca="false">IF(DAY(B1781)=1,Assumptions!B38*G1781,0)</f>
        <v>0</v>
      </c>
      <c r="P1781" s="22" t="n">
        <f aca="false">IF(DAY(B1781)=1,Assumptions!B39*G1781,0)</f>
        <v>0</v>
      </c>
      <c r="Q1781" s="22" t="n">
        <f aca="false">IF(DAY(B1781)=1,Assumptions!B40*G1781,0)</f>
        <v>0</v>
      </c>
      <c r="R1781" s="22" t="n">
        <f aca="false">IF(DAY(B1781)=1,Assumptions!B41*G1781,0)</f>
        <v>0</v>
      </c>
      <c r="S1781" s="22" t="n">
        <f aca="false">IF(AND(DAY(B1781)=1,D1781&gt;=13),Assumptions!B42*G1781,0)</f>
        <v>0</v>
      </c>
      <c r="T1781" s="22" t="n">
        <f aca="false">IF(DAY(B1781)=1,Assumptions!B43*G1781,0)</f>
        <v>0</v>
      </c>
      <c r="U1781" s="22" t="n">
        <f aca="false">SUM(O1781:T1781)</f>
        <v>0</v>
      </c>
      <c r="V1781" s="22" t="n">
        <f aca="false">N1781-U1781</f>
        <v>22800</v>
      </c>
      <c r="W1781" s="22" t="n">
        <f aca="false">W1780+V1781</f>
        <v>804625.648823558</v>
      </c>
      <c r="X1781" s="23" t="str">
        <f aca="false">IF(W1781&gt;=0,"YES","No")</f>
        <v>YES</v>
      </c>
    </row>
    <row r="1782" customFormat="false" ht="15" hidden="false" customHeight="false" outlineLevel="0" collapsed="false">
      <c r="A1782" s="16" t="n">
        <v>1781</v>
      </c>
      <c r="B1782" s="17" t="n">
        <f aca="false">B1781+1</f>
        <v>47803</v>
      </c>
      <c r="C1782" s="18" t="n">
        <f aca="false">MIN(ROUNDUP(A1782/365,0),5)</f>
        <v>5</v>
      </c>
      <c r="D1782" s="18" t="n">
        <f aca="false">DATEDIF(Assumptions!B5,B1782,"m")+1</f>
        <v>59</v>
      </c>
      <c r="E1782" s="18" t="str">
        <f aca="false">TEXT(B1782,"ddd")</f>
        <v>Sat</v>
      </c>
      <c r="F1782" s="19" t="n">
        <f aca="false">IF(WEEKDAY(B1782,2)&gt;=6,Assumptions!B34,Assumptions!B35)</f>
        <v>0.6</v>
      </c>
      <c r="G1782" s="20" t="n">
        <f aca="false">IF(D1782&gt;=13,(1+Assumptions!B46)^(D1782-12),1)</f>
        <v>1.1511816332795</v>
      </c>
      <c r="H1782" s="21" t="n">
        <f aca="false">H1781*(1+IF(C1782=1,Assumptions!B22,Assumptions!B23))</f>
        <v>26.249804782116</v>
      </c>
      <c r="I1782" s="16" t="n">
        <f aca="false">ROUND(H1782*F1782,0)</f>
        <v>16</v>
      </c>
      <c r="J1782" s="22" t="n">
        <f aca="false">I1782*Assumptions!B24</f>
        <v>9600</v>
      </c>
      <c r="K1782" s="21" t="n">
        <f aca="false">K1781*(1+Assumptions!B30)</f>
        <v>23.5131414456843</v>
      </c>
      <c r="L1782" s="16" t="n">
        <f aca="false">ROUND(K1782*F1782,0)</f>
        <v>14</v>
      </c>
      <c r="M1782" s="22" t="n">
        <f aca="false">L1782*Assumptions!B31</f>
        <v>4200</v>
      </c>
      <c r="N1782" s="22" t="n">
        <f aca="false">J1782+M1782</f>
        <v>13800</v>
      </c>
      <c r="O1782" s="22" t="n">
        <f aca="false">IF(DAY(B1782)=1,Assumptions!B38*G1782,0)</f>
        <v>0</v>
      </c>
      <c r="P1782" s="22" t="n">
        <f aca="false">IF(DAY(B1782)=1,Assumptions!B39*G1782,0)</f>
        <v>0</v>
      </c>
      <c r="Q1782" s="22" t="n">
        <f aca="false">IF(DAY(B1782)=1,Assumptions!B40*G1782,0)</f>
        <v>0</v>
      </c>
      <c r="R1782" s="22" t="n">
        <f aca="false">IF(DAY(B1782)=1,Assumptions!B41*G1782,0)</f>
        <v>0</v>
      </c>
      <c r="S1782" s="22" t="n">
        <f aca="false">IF(AND(DAY(B1782)=1,D1782&gt;=13),Assumptions!B42*G1782,0)</f>
        <v>0</v>
      </c>
      <c r="T1782" s="22" t="n">
        <f aca="false">IF(DAY(B1782)=1,Assumptions!B43*G1782,0)</f>
        <v>0</v>
      </c>
      <c r="U1782" s="22" t="n">
        <f aca="false">SUM(O1782:T1782)</f>
        <v>0</v>
      </c>
      <c r="V1782" s="22" t="n">
        <f aca="false">N1782-U1782</f>
        <v>13800</v>
      </c>
      <c r="W1782" s="22" t="n">
        <f aca="false">W1781+V1782</f>
        <v>818425.648823558</v>
      </c>
      <c r="X1782" s="23" t="str">
        <f aca="false">IF(W1782&gt;=0,"YES","No")</f>
        <v>YES</v>
      </c>
    </row>
    <row r="1783" customFormat="false" ht="15" hidden="false" customHeight="false" outlineLevel="0" collapsed="false">
      <c r="A1783" s="16" t="n">
        <v>1782</v>
      </c>
      <c r="B1783" s="17" t="n">
        <f aca="false">B1782+1</f>
        <v>47804</v>
      </c>
      <c r="C1783" s="18" t="n">
        <f aca="false">MIN(ROUNDUP(A1783/365,0),5)</f>
        <v>5</v>
      </c>
      <c r="D1783" s="18" t="n">
        <f aca="false">DATEDIF(Assumptions!B5,B1783,"m")+1</f>
        <v>59</v>
      </c>
      <c r="E1783" s="18" t="str">
        <f aca="false">TEXT(B1783,"ddd")</f>
        <v>Sun</v>
      </c>
      <c r="F1783" s="19" t="n">
        <f aca="false">IF(WEEKDAY(B1783,2)&gt;=6,Assumptions!B34,Assumptions!B35)</f>
        <v>0.6</v>
      </c>
      <c r="G1783" s="20" t="n">
        <f aca="false">IF(D1783&gt;=13,(1+Assumptions!B46)^(D1783-12),1)</f>
        <v>1.1511816332795</v>
      </c>
      <c r="H1783" s="21" t="n">
        <f aca="false">H1782*(1+IF(C1783=1,Assumptions!B22,Assumptions!B23))</f>
        <v>26.2541061197396</v>
      </c>
      <c r="I1783" s="16" t="n">
        <f aca="false">ROUND(H1783*F1783,0)</f>
        <v>16</v>
      </c>
      <c r="J1783" s="22" t="n">
        <f aca="false">I1783*Assumptions!B24</f>
        <v>9600</v>
      </c>
      <c r="K1783" s="21" t="n">
        <f aca="false">K1782*(1+Assumptions!B30)</f>
        <v>23.5208287577851</v>
      </c>
      <c r="L1783" s="16" t="n">
        <f aca="false">ROUND(K1783*F1783,0)</f>
        <v>14</v>
      </c>
      <c r="M1783" s="22" t="n">
        <f aca="false">L1783*Assumptions!B31</f>
        <v>4200</v>
      </c>
      <c r="N1783" s="22" t="n">
        <f aca="false">J1783+M1783</f>
        <v>13800</v>
      </c>
      <c r="O1783" s="22" t="n">
        <f aca="false">IF(DAY(B1783)=1,Assumptions!B38*G1783,0)</f>
        <v>0</v>
      </c>
      <c r="P1783" s="22" t="n">
        <f aca="false">IF(DAY(B1783)=1,Assumptions!B39*G1783,0)</f>
        <v>0</v>
      </c>
      <c r="Q1783" s="22" t="n">
        <f aca="false">IF(DAY(B1783)=1,Assumptions!B40*G1783,0)</f>
        <v>0</v>
      </c>
      <c r="R1783" s="22" t="n">
        <f aca="false">IF(DAY(B1783)=1,Assumptions!B41*G1783,0)</f>
        <v>0</v>
      </c>
      <c r="S1783" s="22" t="n">
        <f aca="false">IF(AND(DAY(B1783)=1,D1783&gt;=13),Assumptions!B42*G1783,0)</f>
        <v>0</v>
      </c>
      <c r="T1783" s="22" t="n">
        <f aca="false">IF(DAY(B1783)=1,Assumptions!B43*G1783,0)</f>
        <v>0</v>
      </c>
      <c r="U1783" s="22" t="n">
        <f aca="false">SUM(O1783:T1783)</f>
        <v>0</v>
      </c>
      <c r="V1783" s="22" t="n">
        <f aca="false">N1783-U1783</f>
        <v>13800</v>
      </c>
      <c r="W1783" s="22" t="n">
        <f aca="false">W1782+V1783</f>
        <v>832225.648823558</v>
      </c>
      <c r="X1783" s="23" t="str">
        <f aca="false">IF(W1783&gt;=0,"YES","No")</f>
        <v>YES</v>
      </c>
    </row>
    <row r="1784" customFormat="false" ht="15" hidden="false" customHeight="false" outlineLevel="0" collapsed="false">
      <c r="A1784" s="16" t="n">
        <v>1783</v>
      </c>
      <c r="B1784" s="17" t="n">
        <f aca="false">B1783+1</f>
        <v>47805</v>
      </c>
      <c r="C1784" s="18" t="n">
        <f aca="false">MIN(ROUNDUP(A1784/365,0),5)</f>
        <v>5</v>
      </c>
      <c r="D1784" s="18" t="n">
        <f aca="false">DATEDIF(Assumptions!B5,B1784,"m")+1</f>
        <v>59</v>
      </c>
      <c r="E1784" s="18" t="str">
        <f aca="false">TEXT(B1784,"ddd")</f>
        <v>Mon</v>
      </c>
      <c r="F1784" s="19" t="n">
        <f aca="false">IF(WEEKDAY(B1784,2)&gt;=6,Assumptions!B34,Assumptions!B35)</f>
        <v>1</v>
      </c>
      <c r="G1784" s="20" t="n">
        <f aca="false">IF(D1784&gt;=13,(1+Assumptions!B46)^(D1784-12),1)</f>
        <v>1.1511816332795</v>
      </c>
      <c r="H1784" s="21" t="n">
        <f aca="false">H1783*(1+IF(C1784=1,Assumptions!B22,Assumptions!B23))</f>
        <v>26.2584081621878</v>
      </c>
      <c r="I1784" s="16" t="n">
        <f aca="false">ROUND(H1784*F1784,0)</f>
        <v>26</v>
      </c>
      <c r="J1784" s="22" t="n">
        <f aca="false">I1784*Assumptions!B24</f>
        <v>15600</v>
      </c>
      <c r="K1784" s="21" t="n">
        <f aca="false">K1783*(1+Assumptions!B30)</f>
        <v>23.5285185831514</v>
      </c>
      <c r="L1784" s="16" t="n">
        <f aca="false">ROUND(K1784*F1784,0)</f>
        <v>24</v>
      </c>
      <c r="M1784" s="22" t="n">
        <f aca="false">L1784*Assumptions!B31</f>
        <v>7200</v>
      </c>
      <c r="N1784" s="22" t="n">
        <f aca="false">J1784+M1784</f>
        <v>22800</v>
      </c>
      <c r="O1784" s="22" t="n">
        <f aca="false">IF(DAY(B1784)=1,Assumptions!B38*G1784,0)</f>
        <v>0</v>
      </c>
      <c r="P1784" s="22" t="n">
        <f aca="false">IF(DAY(B1784)=1,Assumptions!B39*G1784,0)</f>
        <v>0</v>
      </c>
      <c r="Q1784" s="22" t="n">
        <f aca="false">IF(DAY(B1784)=1,Assumptions!B40*G1784,0)</f>
        <v>0</v>
      </c>
      <c r="R1784" s="22" t="n">
        <f aca="false">IF(DAY(B1784)=1,Assumptions!B41*G1784,0)</f>
        <v>0</v>
      </c>
      <c r="S1784" s="22" t="n">
        <f aca="false">IF(AND(DAY(B1784)=1,D1784&gt;=13),Assumptions!B42*G1784,0)</f>
        <v>0</v>
      </c>
      <c r="T1784" s="22" t="n">
        <f aca="false">IF(DAY(B1784)=1,Assumptions!B43*G1784,0)</f>
        <v>0</v>
      </c>
      <c r="U1784" s="22" t="n">
        <f aca="false">SUM(O1784:T1784)</f>
        <v>0</v>
      </c>
      <c r="V1784" s="22" t="n">
        <f aca="false">N1784-U1784</f>
        <v>22800</v>
      </c>
      <c r="W1784" s="22" t="n">
        <f aca="false">W1783+V1784</f>
        <v>855025.648823558</v>
      </c>
      <c r="X1784" s="23" t="str">
        <f aca="false">IF(W1784&gt;=0,"YES","No")</f>
        <v>YES</v>
      </c>
    </row>
    <row r="1785" customFormat="false" ht="15" hidden="false" customHeight="false" outlineLevel="0" collapsed="false">
      <c r="A1785" s="16" t="n">
        <v>1784</v>
      </c>
      <c r="B1785" s="17" t="n">
        <f aca="false">B1784+1</f>
        <v>47806</v>
      </c>
      <c r="C1785" s="18" t="n">
        <f aca="false">MIN(ROUNDUP(A1785/365,0),5)</f>
        <v>5</v>
      </c>
      <c r="D1785" s="18" t="n">
        <f aca="false">DATEDIF(Assumptions!B5,B1785,"m")+1</f>
        <v>59</v>
      </c>
      <c r="E1785" s="18" t="str">
        <f aca="false">TEXT(B1785,"ddd")</f>
        <v>Tue</v>
      </c>
      <c r="F1785" s="19" t="n">
        <f aca="false">IF(WEEKDAY(B1785,2)&gt;=6,Assumptions!B34,Assumptions!B35)</f>
        <v>1</v>
      </c>
      <c r="G1785" s="20" t="n">
        <f aca="false">IF(D1785&gt;=13,(1+Assumptions!B46)^(D1785-12),1)</f>
        <v>1.1511816332795</v>
      </c>
      <c r="H1785" s="21" t="n">
        <f aca="false">H1784*(1+IF(C1785=1,Assumptions!B22,Assumptions!B23))</f>
        <v>26.2627109095759</v>
      </c>
      <c r="I1785" s="16" t="n">
        <f aca="false">ROUND(H1785*F1785,0)</f>
        <v>26</v>
      </c>
      <c r="J1785" s="22" t="n">
        <f aca="false">I1785*Assumptions!B24</f>
        <v>15600</v>
      </c>
      <c r="K1785" s="21" t="n">
        <f aca="false">K1784*(1+Assumptions!B30)</f>
        <v>23.5362109226049</v>
      </c>
      <c r="L1785" s="16" t="n">
        <f aca="false">ROUND(K1785*F1785,0)</f>
        <v>24</v>
      </c>
      <c r="M1785" s="22" t="n">
        <f aca="false">L1785*Assumptions!B31</f>
        <v>7200</v>
      </c>
      <c r="N1785" s="22" t="n">
        <f aca="false">J1785+M1785</f>
        <v>22800</v>
      </c>
      <c r="O1785" s="22" t="n">
        <f aca="false">IF(DAY(B1785)=1,Assumptions!B38*G1785,0)</f>
        <v>0</v>
      </c>
      <c r="P1785" s="22" t="n">
        <f aca="false">IF(DAY(B1785)=1,Assumptions!B39*G1785,0)</f>
        <v>0</v>
      </c>
      <c r="Q1785" s="22" t="n">
        <f aca="false">IF(DAY(B1785)=1,Assumptions!B40*G1785,0)</f>
        <v>0</v>
      </c>
      <c r="R1785" s="22" t="n">
        <f aca="false">IF(DAY(B1785)=1,Assumptions!B41*G1785,0)</f>
        <v>0</v>
      </c>
      <c r="S1785" s="22" t="n">
        <f aca="false">IF(AND(DAY(B1785)=1,D1785&gt;=13),Assumptions!B42*G1785,0)</f>
        <v>0</v>
      </c>
      <c r="T1785" s="22" t="n">
        <f aca="false">IF(DAY(B1785)=1,Assumptions!B43*G1785,0)</f>
        <v>0</v>
      </c>
      <c r="U1785" s="22" t="n">
        <f aca="false">SUM(O1785:T1785)</f>
        <v>0</v>
      </c>
      <c r="V1785" s="22" t="n">
        <f aca="false">N1785-U1785</f>
        <v>22800</v>
      </c>
      <c r="W1785" s="22" t="n">
        <f aca="false">W1784+V1785</f>
        <v>877825.648823558</v>
      </c>
      <c r="X1785" s="23" t="str">
        <f aca="false">IF(W1785&gt;=0,"YES","No")</f>
        <v>YES</v>
      </c>
    </row>
    <row r="1786" customFormat="false" ht="15" hidden="false" customHeight="false" outlineLevel="0" collapsed="false">
      <c r="A1786" s="16" t="n">
        <v>1785</v>
      </c>
      <c r="B1786" s="17" t="n">
        <f aca="false">B1785+1</f>
        <v>47807</v>
      </c>
      <c r="C1786" s="18" t="n">
        <f aca="false">MIN(ROUNDUP(A1786/365,0),5)</f>
        <v>5</v>
      </c>
      <c r="D1786" s="18" t="n">
        <f aca="false">DATEDIF(Assumptions!B5,B1786,"m")+1</f>
        <v>59</v>
      </c>
      <c r="E1786" s="18" t="str">
        <f aca="false">TEXT(B1786,"ddd")</f>
        <v>Wed</v>
      </c>
      <c r="F1786" s="19" t="n">
        <f aca="false">IF(WEEKDAY(B1786,2)&gt;=6,Assumptions!B34,Assumptions!B35)</f>
        <v>1</v>
      </c>
      <c r="G1786" s="20" t="n">
        <f aca="false">IF(D1786&gt;=13,(1+Assumptions!B46)^(D1786-12),1)</f>
        <v>1.1511816332795</v>
      </c>
      <c r="H1786" s="21" t="n">
        <f aca="false">H1785*(1+IF(C1786=1,Assumptions!B22,Assumptions!B23))</f>
        <v>26.2670143620196</v>
      </c>
      <c r="I1786" s="16" t="n">
        <f aca="false">ROUND(H1786*F1786,0)</f>
        <v>26</v>
      </c>
      <c r="J1786" s="22" t="n">
        <f aca="false">I1786*Assumptions!B24</f>
        <v>15600</v>
      </c>
      <c r="K1786" s="21" t="n">
        <f aca="false">K1785*(1+Assumptions!B30)</f>
        <v>23.5439057769675</v>
      </c>
      <c r="L1786" s="16" t="n">
        <f aca="false">ROUND(K1786*F1786,0)</f>
        <v>24</v>
      </c>
      <c r="M1786" s="22" t="n">
        <f aca="false">L1786*Assumptions!B31</f>
        <v>7200</v>
      </c>
      <c r="N1786" s="22" t="n">
        <f aca="false">J1786+M1786</f>
        <v>22800</v>
      </c>
      <c r="O1786" s="22" t="n">
        <f aca="false">IF(DAY(B1786)=1,Assumptions!B38*G1786,0)</f>
        <v>0</v>
      </c>
      <c r="P1786" s="22" t="n">
        <f aca="false">IF(DAY(B1786)=1,Assumptions!B39*G1786,0)</f>
        <v>0</v>
      </c>
      <c r="Q1786" s="22" t="n">
        <f aca="false">IF(DAY(B1786)=1,Assumptions!B40*G1786,0)</f>
        <v>0</v>
      </c>
      <c r="R1786" s="22" t="n">
        <f aca="false">IF(DAY(B1786)=1,Assumptions!B41*G1786,0)</f>
        <v>0</v>
      </c>
      <c r="S1786" s="22" t="n">
        <f aca="false">IF(AND(DAY(B1786)=1,D1786&gt;=13),Assumptions!B42*G1786,0)</f>
        <v>0</v>
      </c>
      <c r="T1786" s="22" t="n">
        <f aca="false">IF(DAY(B1786)=1,Assumptions!B43*G1786,0)</f>
        <v>0</v>
      </c>
      <c r="U1786" s="22" t="n">
        <f aca="false">SUM(O1786:T1786)</f>
        <v>0</v>
      </c>
      <c r="V1786" s="22" t="n">
        <f aca="false">N1786-U1786</f>
        <v>22800</v>
      </c>
      <c r="W1786" s="22" t="n">
        <f aca="false">W1785+V1786</f>
        <v>900625.648823558</v>
      </c>
      <c r="X1786" s="23" t="str">
        <f aca="false">IF(W1786&gt;=0,"YES","No")</f>
        <v>YES</v>
      </c>
    </row>
    <row r="1787" customFormat="false" ht="15" hidden="false" customHeight="false" outlineLevel="0" collapsed="false">
      <c r="A1787" s="16" t="n">
        <v>1786</v>
      </c>
      <c r="B1787" s="17" t="n">
        <f aca="false">B1786+1</f>
        <v>47808</v>
      </c>
      <c r="C1787" s="18" t="n">
        <f aca="false">MIN(ROUNDUP(A1787/365,0),5)</f>
        <v>5</v>
      </c>
      <c r="D1787" s="18" t="n">
        <f aca="false">DATEDIF(Assumptions!B5,B1787,"m")+1</f>
        <v>59</v>
      </c>
      <c r="E1787" s="18" t="str">
        <f aca="false">TEXT(B1787,"ddd")</f>
        <v>Thu</v>
      </c>
      <c r="F1787" s="19" t="n">
        <f aca="false">IF(WEEKDAY(B1787,2)&gt;=6,Assumptions!B34,Assumptions!B35)</f>
        <v>1</v>
      </c>
      <c r="G1787" s="20" t="n">
        <f aca="false">IF(D1787&gt;=13,(1+Assumptions!B46)^(D1787-12),1)</f>
        <v>1.1511816332795</v>
      </c>
      <c r="H1787" s="21" t="n">
        <f aca="false">H1786*(1+IF(C1787=1,Assumptions!B22,Assumptions!B23))</f>
        <v>26.2713185196343</v>
      </c>
      <c r="I1787" s="16" t="n">
        <f aca="false">ROUND(H1787*F1787,0)</f>
        <v>26</v>
      </c>
      <c r="J1787" s="22" t="n">
        <f aca="false">I1787*Assumptions!B24</f>
        <v>15600</v>
      </c>
      <c r="K1787" s="21" t="n">
        <f aca="false">K1786*(1+Assumptions!B30)</f>
        <v>23.5516031470614</v>
      </c>
      <c r="L1787" s="16" t="n">
        <f aca="false">ROUND(K1787*F1787,0)</f>
        <v>24</v>
      </c>
      <c r="M1787" s="22" t="n">
        <f aca="false">L1787*Assumptions!B31</f>
        <v>7200</v>
      </c>
      <c r="N1787" s="22" t="n">
        <f aca="false">J1787+M1787</f>
        <v>22800</v>
      </c>
      <c r="O1787" s="22" t="n">
        <f aca="false">IF(DAY(B1787)=1,Assumptions!B38*G1787,0)</f>
        <v>0</v>
      </c>
      <c r="P1787" s="22" t="n">
        <f aca="false">IF(DAY(B1787)=1,Assumptions!B39*G1787,0)</f>
        <v>0</v>
      </c>
      <c r="Q1787" s="22" t="n">
        <f aca="false">IF(DAY(B1787)=1,Assumptions!B40*G1787,0)</f>
        <v>0</v>
      </c>
      <c r="R1787" s="22" t="n">
        <f aca="false">IF(DAY(B1787)=1,Assumptions!B41*G1787,0)</f>
        <v>0</v>
      </c>
      <c r="S1787" s="22" t="n">
        <f aca="false">IF(AND(DAY(B1787)=1,D1787&gt;=13),Assumptions!B42*G1787,0)</f>
        <v>0</v>
      </c>
      <c r="T1787" s="22" t="n">
        <f aca="false">IF(DAY(B1787)=1,Assumptions!B43*G1787,0)</f>
        <v>0</v>
      </c>
      <c r="U1787" s="22" t="n">
        <f aca="false">SUM(O1787:T1787)</f>
        <v>0</v>
      </c>
      <c r="V1787" s="22" t="n">
        <f aca="false">N1787-U1787</f>
        <v>22800</v>
      </c>
      <c r="W1787" s="22" t="n">
        <f aca="false">W1786+V1787</f>
        <v>923425.648823558</v>
      </c>
      <c r="X1787" s="23" t="str">
        <f aca="false">IF(W1787&gt;=0,"YES","No")</f>
        <v>YES</v>
      </c>
    </row>
    <row r="1788" customFormat="false" ht="15" hidden="false" customHeight="false" outlineLevel="0" collapsed="false">
      <c r="A1788" s="16" t="n">
        <v>1787</v>
      </c>
      <c r="B1788" s="17" t="n">
        <f aca="false">B1787+1</f>
        <v>47809</v>
      </c>
      <c r="C1788" s="18" t="n">
        <f aca="false">MIN(ROUNDUP(A1788/365,0),5)</f>
        <v>5</v>
      </c>
      <c r="D1788" s="18" t="n">
        <f aca="false">DATEDIF(Assumptions!B5,B1788,"m")+1</f>
        <v>59</v>
      </c>
      <c r="E1788" s="18" t="str">
        <f aca="false">TEXT(B1788,"ddd")</f>
        <v>Fri</v>
      </c>
      <c r="F1788" s="19" t="n">
        <f aca="false">IF(WEEKDAY(B1788,2)&gt;=6,Assumptions!B34,Assumptions!B35)</f>
        <v>1</v>
      </c>
      <c r="G1788" s="20" t="n">
        <f aca="false">IF(D1788&gt;=13,(1+Assumptions!B46)^(D1788-12),1)</f>
        <v>1.1511816332795</v>
      </c>
      <c r="H1788" s="21" t="n">
        <f aca="false">H1787*(1+IF(C1788=1,Assumptions!B22,Assumptions!B23))</f>
        <v>26.2756233825355</v>
      </c>
      <c r="I1788" s="16" t="n">
        <f aca="false">ROUND(H1788*F1788,0)</f>
        <v>26</v>
      </c>
      <c r="J1788" s="22" t="n">
        <f aca="false">I1788*Assumptions!B24</f>
        <v>15600</v>
      </c>
      <c r="K1788" s="21" t="n">
        <f aca="false">K1787*(1+Assumptions!B30)</f>
        <v>23.5593030337092</v>
      </c>
      <c r="L1788" s="16" t="n">
        <f aca="false">ROUND(K1788*F1788,0)</f>
        <v>24</v>
      </c>
      <c r="M1788" s="22" t="n">
        <f aca="false">L1788*Assumptions!B31</f>
        <v>7200</v>
      </c>
      <c r="N1788" s="22" t="n">
        <f aca="false">J1788+M1788</f>
        <v>22800</v>
      </c>
      <c r="O1788" s="22" t="n">
        <f aca="false">IF(DAY(B1788)=1,Assumptions!B38*G1788,0)</f>
        <v>0</v>
      </c>
      <c r="P1788" s="22" t="n">
        <f aca="false">IF(DAY(B1788)=1,Assumptions!B39*G1788,0)</f>
        <v>0</v>
      </c>
      <c r="Q1788" s="22" t="n">
        <f aca="false">IF(DAY(B1788)=1,Assumptions!B40*G1788,0)</f>
        <v>0</v>
      </c>
      <c r="R1788" s="22" t="n">
        <f aca="false">IF(DAY(B1788)=1,Assumptions!B41*G1788,0)</f>
        <v>0</v>
      </c>
      <c r="S1788" s="22" t="n">
        <f aca="false">IF(AND(DAY(B1788)=1,D1788&gt;=13),Assumptions!B42*G1788,0)</f>
        <v>0</v>
      </c>
      <c r="T1788" s="22" t="n">
        <f aca="false">IF(DAY(B1788)=1,Assumptions!B43*G1788,0)</f>
        <v>0</v>
      </c>
      <c r="U1788" s="22" t="n">
        <f aca="false">SUM(O1788:T1788)</f>
        <v>0</v>
      </c>
      <c r="V1788" s="22" t="n">
        <f aca="false">N1788-U1788</f>
        <v>22800</v>
      </c>
      <c r="W1788" s="22" t="n">
        <f aca="false">W1787+V1788</f>
        <v>946225.648823558</v>
      </c>
      <c r="X1788" s="23" t="str">
        <f aca="false">IF(W1788&gt;=0,"YES","No")</f>
        <v>YES</v>
      </c>
    </row>
    <row r="1789" customFormat="false" ht="15" hidden="false" customHeight="false" outlineLevel="0" collapsed="false">
      <c r="A1789" s="16" t="n">
        <v>1788</v>
      </c>
      <c r="B1789" s="17" t="n">
        <f aca="false">B1788+1</f>
        <v>47810</v>
      </c>
      <c r="C1789" s="18" t="n">
        <f aca="false">MIN(ROUNDUP(A1789/365,0),5)</f>
        <v>5</v>
      </c>
      <c r="D1789" s="18" t="n">
        <f aca="false">DATEDIF(Assumptions!B5,B1789,"m")+1</f>
        <v>59</v>
      </c>
      <c r="E1789" s="18" t="str">
        <f aca="false">TEXT(B1789,"ddd")</f>
        <v>Sat</v>
      </c>
      <c r="F1789" s="19" t="n">
        <f aca="false">IF(WEEKDAY(B1789,2)&gt;=6,Assumptions!B34,Assumptions!B35)</f>
        <v>0.6</v>
      </c>
      <c r="G1789" s="20" t="n">
        <f aca="false">IF(D1789&gt;=13,(1+Assumptions!B46)^(D1789-12),1)</f>
        <v>1.1511816332795</v>
      </c>
      <c r="H1789" s="21" t="n">
        <f aca="false">H1788*(1+IF(C1789=1,Assumptions!B22,Assumptions!B23))</f>
        <v>26.2799289508389</v>
      </c>
      <c r="I1789" s="16" t="n">
        <f aca="false">ROUND(H1789*F1789,0)</f>
        <v>16</v>
      </c>
      <c r="J1789" s="22" t="n">
        <f aca="false">I1789*Assumptions!B24</f>
        <v>9600</v>
      </c>
      <c r="K1789" s="21" t="n">
        <f aca="false">K1788*(1+Assumptions!B30)</f>
        <v>23.5670054377336</v>
      </c>
      <c r="L1789" s="16" t="n">
        <f aca="false">ROUND(K1789*F1789,0)</f>
        <v>14</v>
      </c>
      <c r="M1789" s="22" t="n">
        <f aca="false">L1789*Assumptions!B31</f>
        <v>4200</v>
      </c>
      <c r="N1789" s="22" t="n">
        <f aca="false">J1789+M1789</f>
        <v>13800</v>
      </c>
      <c r="O1789" s="22" t="n">
        <f aca="false">IF(DAY(B1789)=1,Assumptions!B38*G1789,0)</f>
        <v>0</v>
      </c>
      <c r="P1789" s="22" t="n">
        <f aca="false">IF(DAY(B1789)=1,Assumptions!B39*G1789,0)</f>
        <v>0</v>
      </c>
      <c r="Q1789" s="22" t="n">
        <f aca="false">IF(DAY(B1789)=1,Assumptions!B40*G1789,0)</f>
        <v>0</v>
      </c>
      <c r="R1789" s="22" t="n">
        <f aca="false">IF(DAY(B1789)=1,Assumptions!B41*G1789,0)</f>
        <v>0</v>
      </c>
      <c r="S1789" s="22" t="n">
        <f aca="false">IF(AND(DAY(B1789)=1,D1789&gt;=13),Assumptions!B42*G1789,0)</f>
        <v>0</v>
      </c>
      <c r="T1789" s="22" t="n">
        <f aca="false">IF(DAY(B1789)=1,Assumptions!B43*G1789,0)</f>
        <v>0</v>
      </c>
      <c r="U1789" s="22" t="n">
        <f aca="false">SUM(O1789:T1789)</f>
        <v>0</v>
      </c>
      <c r="V1789" s="22" t="n">
        <f aca="false">N1789-U1789</f>
        <v>13800</v>
      </c>
      <c r="W1789" s="22" t="n">
        <f aca="false">W1788+V1789</f>
        <v>960025.648823558</v>
      </c>
      <c r="X1789" s="23" t="str">
        <f aca="false">IF(W1789&gt;=0,"YES","No")</f>
        <v>YES</v>
      </c>
    </row>
    <row r="1790" customFormat="false" ht="15" hidden="false" customHeight="false" outlineLevel="0" collapsed="false">
      <c r="A1790" s="16" t="n">
        <v>1789</v>
      </c>
      <c r="B1790" s="17" t="n">
        <f aca="false">B1789+1</f>
        <v>47811</v>
      </c>
      <c r="C1790" s="18" t="n">
        <f aca="false">MIN(ROUNDUP(A1790/365,0),5)</f>
        <v>5</v>
      </c>
      <c r="D1790" s="18" t="n">
        <f aca="false">DATEDIF(Assumptions!B5,B1790,"m")+1</f>
        <v>59</v>
      </c>
      <c r="E1790" s="18" t="str">
        <f aca="false">TEXT(B1790,"ddd")</f>
        <v>Sun</v>
      </c>
      <c r="F1790" s="19" t="n">
        <f aca="false">IF(WEEKDAY(B1790,2)&gt;=6,Assumptions!B34,Assumptions!B35)</f>
        <v>0.6</v>
      </c>
      <c r="G1790" s="20" t="n">
        <f aca="false">IF(D1790&gt;=13,(1+Assumptions!B46)^(D1790-12),1)</f>
        <v>1.1511816332795</v>
      </c>
      <c r="H1790" s="21" t="n">
        <f aca="false">H1789*(1+IF(C1790=1,Assumptions!B22,Assumptions!B23))</f>
        <v>26.2842352246601</v>
      </c>
      <c r="I1790" s="16" t="n">
        <f aca="false">ROUND(H1790*F1790,0)</f>
        <v>16</v>
      </c>
      <c r="J1790" s="22" t="n">
        <f aca="false">I1790*Assumptions!B24</f>
        <v>9600</v>
      </c>
      <c r="K1790" s="21" t="n">
        <f aca="false">K1789*(1+Assumptions!B30)</f>
        <v>23.5747103599576</v>
      </c>
      <c r="L1790" s="16" t="n">
        <f aca="false">ROUND(K1790*F1790,0)</f>
        <v>14</v>
      </c>
      <c r="M1790" s="22" t="n">
        <f aca="false">L1790*Assumptions!B31</f>
        <v>4200</v>
      </c>
      <c r="N1790" s="22" t="n">
        <f aca="false">J1790+M1790</f>
        <v>13800</v>
      </c>
      <c r="O1790" s="22" t="n">
        <f aca="false">IF(DAY(B1790)=1,Assumptions!B38*G1790,0)</f>
        <v>0</v>
      </c>
      <c r="P1790" s="22" t="n">
        <f aca="false">IF(DAY(B1790)=1,Assumptions!B39*G1790,0)</f>
        <v>0</v>
      </c>
      <c r="Q1790" s="22" t="n">
        <f aca="false">IF(DAY(B1790)=1,Assumptions!B40*G1790,0)</f>
        <v>0</v>
      </c>
      <c r="R1790" s="22" t="n">
        <f aca="false">IF(DAY(B1790)=1,Assumptions!B41*G1790,0)</f>
        <v>0</v>
      </c>
      <c r="S1790" s="22" t="n">
        <f aca="false">IF(AND(DAY(B1790)=1,D1790&gt;=13),Assumptions!B42*G1790,0)</f>
        <v>0</v>
      </c>
      <c r="T1790" s="22" t="n">
        <f aca="false">IF(DAY(B1790)=1,Assumptions!B43*G1790,0)</f>
        <v>0</v>
      </c>
      <c r="U1790" s="22" t="n">
        <f aca="false">SUM(O1790:T1790)</f>
        <v>0</v>
      </c>
      <c r="V1790" s="22" t="n">
        <f aca="false">N1790-U1790</f>
        <v>13800</v>
      </c>
      <c r="W1790" s="22" t="n">
        <f aca="false">W1789+V1790</f>
        <v>973825.648823558</v>
      </c>
      <c r="X1790" s="23" t="str">
        <f aca="false">IF(W1790&gt;=0,"YES","No")</f>
        <v>YES</v>
      </c>
    </row>
    <row r="1791" customFormat="false" ht="15" hidden="false" customHeight="false" outlineLevel="0" collapsed="false">
      <c r="A1791" s="16" t="n">
        <v>1790</v>
      </c>
      <c r="B1791" s="17" t="n">
        <f aca="false">B1790+1</f>
        <v>47812</v>
      </c>
      <c r="C1791" s="18" t="n">
        <f aca="false">MIN(ROUNDUP(A1791/365,0),5)</f>
        <v>5</v>
      </c>
      <c r="D1791" s="18" t="n">
        <f aca="false">DATEDIF(Assumptions!B5,B1791,"m")+1</f>
        <v>59</v>
      </c>
      <c r="E1791" s="18" t="str">
        <f aca="false">TEXT(B1791,"ddd")</f>
        <v>Mon</v>
      </c>
      <c r="F1791" s="19" t="n">
        <f aca="false">IF(WEEKDAY(B1791,2)&gt;=6,Assumptions!B34,Assumptions!B35)</f>
        <v>1</v>
      </c>
      <c r="G1791" s="20" t="n">
        <f aca="false">IF(D1791&gt;=13,(1+Assumptions!B46)^(D1791-12),1)</f>
        <v>1.1511816332795</v>
      </c>
      <c r="H1791" s="21" t="n">
        <f aca="false">H1790*(1+IF(C1791=1,Assumptions!B22,Assumptions!B23))</f>
        <v>26.2885422041146</v>
      </c>
      <c r="I1791" s="16" t="n">
        <f aca="false">ROUND(H1791*F1791,0)</f>
        <v>26</v>
      </c>
      <c r="J1791" s="22" t="n">
        <f aca="false">I1791*Assumptions!B24</f>
        <v>15600</v>
      </c>
      <c r="K1791" s="21" t="n">
        <f aca="false">K1790*(1+Assumptions!B30)</f>
        <v>23.5824178012044</v>
      </c>
      <c r="L1791" s="16" t="n">
        <f aca="false">ROUND(K1791*F1791,0)</f>
        <v>24</v>
      </c>
      <c r="M1791" s="22" t="n">
        <f aca="false">L1791*Assumptions!B31</f>
        <v>7200</v>
      </c>
      <c r="N1791" s="22" t="n">
        <f aca="false">J1791+M1791</f>
        <v>22800</v>
      </c>
      <c r="O1791" s="22" t="n">
        <f aca="false">IF(DAY(B1791)=1,Assumptions!B38*G1791,0)</f>
        <v>0</v>
      </c>
      <c r="P1791" s="22" t="n">
        <f aca="false">IF(DAY(B1791)=1,Assumptions!B39*G1791,0)</f>
        <v>0</v>
      </c>
      <c r="Q1791" s="22" t="n">
        <f aca="false">IF(DAY(B1791)=1,Assumptions!B40*G1791,0)</f>
        <v>0</v>
      </c>
      <c r="R1791" s="22" t="n">
        <f aca="false">IF(DAY(B1791)=1,Assumptions!B41*G1791,0)</f>
        <v>0</v>
      </c>
      <c r="S1791" s="22" t="n">
        <f aca="false">IF(AND(DAY(B1791)=1,D1791&gt;=13),Assumptions!B42*G1791,0)</f>
        <v>0</v>
      </c>
      <c r="T1791" s="22" t="n">
        <f aca="false">IF(DAY(B1791)=1,Assumptions!B43*G1791,0)</f>
        <v>0</v>
      </c>
      <c r="U1791" s="22" t="n">
        <f aca="false">SUM(O1791:T1791)</f>
        <v>0</v>
      </c>
      <c r="V1791" s="22" t="n">
        <f aca="false">N1791-U1791</f>
        <v>22800</v>
      </c>
      <c r="W1791" s="22" t="n">
        <f aca="false">W1790+V1791</f>
        <v>996625.648823558</v>
      </c>
      <c r="X1791" s="23" t="str">
        <f aca="false">IF(W1791&gt;=0,"YES","No")</f>
        <v>YES</v>
      </c>
    </row>
    <row r="1792" customFormat="false" ht="15" hidden="false" customHeight="false" outlineLevel="0" collapsed="false">
      <c r="A1792" s="16" t="n">
        <v>1791</v>
      </c>
      <c r="B1792" s="17" t="n">
        <f aca="false">B1791+1</f>
        <v>47813</v>
      </c>
      <c r="C1792" s="18" t="n">
        <f aca="false">MIN(ROUNDUP(A1792/365,0),5)</f>
        <v>5</v>
      </c>
      <c r="D1792" s="18" t="n">
        <f aca="false">DATEDIF(Assumptions!B5,B1792,"m")+1</f>
        <v>59</v>
      </c>
      <c r="E1792" s="18" t="str">
        <f aca="false">TEXT(B1792,"ddd")</f>
        <v>Tue</v>
      </c>
      <c r="F1792" s="19" t="n">
        <f aca="false">IF(WEEKDAY(B1792,2)&gt;=6,Assumptions!B34,Assumptions!B35)</f>
        <v>1</v>
      </c>
      <c r="G1792" s="20" t="n">
        <f aca="false">IF(D1792&gt;=13,(1+Assumptions!B46)^(D1792-12),1)</f>
        <v>1.1511816332795</v>
      </c>
      <c r="H1792" s="21" t="n">
        <f aca="false">H1791*(1+IF(C1792=1,Assumptions!B22,Assumptions!B23))</f>
        <v>26.2928498893181</v>
      </c>
      <c r="I1792" s="16" t="n">
        <f aca="false">ROUND(H1792*F1792,0)</f>
        <v>26</v>
      </c>
      <c r="J1792" s="22" t="n">
        <f aca="false">I1792*Assumptions!B24</f>
        <v>15600</v>
      </c>
      <c r="K1792" s="21" t="n">
        <f aca="false">K1791*(1+Assumptions!B30)</f>
        <v>23.5901277622978</v>
      </c>
      <c r="L1792" s="16" t="n">
        <f aca="false">ROUND(K1792*F1792,0)</f>
        <v>24</v>
      </c>
      <c r="M1792" s="22" t="n">
        <f aca="false">L1792*Assumptions!B31</f>
        <v>7200</v>
      </c>
      <c r="N1792" s="22" t="n">
        <f aca="false">J1792+M1792</f>
        <v>22800</v>
      </c>
      <c r="O1792" s="22" t="n">
        <f aca="false">IF(DAY(B1792)=1,Assumptions!B38*G1792,0)</f>
        <v>0</v>
      </c>
      <c r="P1792" s="22" t="n">
        <f aca="false">IF(DAY(B1792)=1,Assumptions!B39*G1792,0)</f>
        <v>0</v>
      </c>
      <c r="Q1792" s="22" t="n">
        <f aca="false">IF(DAY(B1792)=1,Assumptions!B40*G1792,0)</f>
        <v>0</v>
      </c>
      <c r="R1792" s="22" t="n">
        <f aca="false">IF(DAY(B1792)=1,Assumptions!B41*G1792,0)</f>
        <v>0</v>
      </c>
      <c r="S1792" s="22" t="n">
        <f aca="false">IF(AND(DAY(B1792)=1,D1792&gt;=13),Assumptions!B42*G1792,0)</f>
        <v>0</v>
      </c>
      <c r="T1792" s="22" t="n">
        <f aca="false">IF(DAY(B1792)=1,Assumptions!B43*G1792,0)</f>
        <v>0</v>
      </c>
      <c r="U1792" s="22" t="n">
        <f aca="false">SUM(O1792:T1792)</f>
        <v>0</v>
      </c>
      <c r="V1792" s="22" t="n">
        <f aca="false">N1792-U1792</f>
        <v>22800</v>
      </c>
      <c r="W1792" s="22" t="n">
        <f aca="false">W1791+V1792</f>
        <v>1019425.64882356</v>
      </c>
      <c r="X1792" s="23" t="str">
        <f aca="false">IF(W1792&gt;=0,"YES","No")</f>
        <v>YES</v>
      </c>
    </row>
    <row r="1793" customFormat="false" ht="15" hidden="false" customHeight="false" outlineLevel="0" collapsed="false">
      <c r="A1793" s="16" t="n">
        <v>1792</v>
      </c>
      <c r="B1793" s="17" t="n">
        <f aca="false">B1792+1</f>
        <v>47814</v>
      </c>
      <c r="C1793" s="18" t="n">
        <f aca="false">MIN(ROUNDUP(A1793/365,0),5)</f>
        <v>5</v>
      </c>
      <c r="D1793" s="18" t="n">
        <f aca="false">DATEDIF(Assumptions!B5,B1793,"m")+1</f>
        <v>59</v>
      </c>
      <c r="E1793" s="18" t="str">
        <f aca="false">TEXT(B1793,"ddd")</f>
        <v>Wed</v>
      </c>
      <c r="F1793" s="19" t="n">
        <f aca="false">IF(WEEKDAY(B1793,2)&gt;=6,Assumptions!B34,Assumptions!B35)</f>
        <v>1</v>
      </c>
      <c r="G1793" s="20" t="n">
        <f aca="false">IF(D1793&gt;=13,(1+Assumptions!B46)^(D1793-12),1)</f>
        <v>1.1511816332795</v>
      </c>
      <c r="H1793" s="21" t="n">
        <f aca="false">H1792*(1+IF(C1793=1,Assumptions!B22,Assumptions!B23))</f>
        <v>26.2971582803862</v>
      </c>
      <c r="I1793" s="16" t="n">
        <f aca="false">ROUND(H1793*F1793,0)</f>
        <v>26</v>
      </c>
      <c r="J1793" s="22" t="n">
        <f aca="false">I1793*Assumptions!B24</f>
        <v>15600</v>
      </c>
      <c r="K1793" s="21" t="n">
        <f aca="false">K1792*(1+Assumptions!B30)</f>
        <v>23.5978402440614</v>
      </c>
      <c r="L1793" s="16" t="n">
        <f aca="false">ROUND(K1793*F1793,0)</f>
        <v>24</v>
      </c>
      <c r="M1793" s="22" t="n">
        <f aca="false">L1793*Assumptions!B31</f>
        <v>7200</v>
      </c>
      <c r="N1793" s="22" t="n">
        <f aca="false">J1793+M1793</f>
        <v>22800</v>
      </c>
      <c r="O1793" s="22" t="n">
        <f aca="false">IF(DAY(B1793)=1,Assumptions!B38*G1793,0)</f>
        <v>0</v>
      </c>
      <c r="P1793" s="22" t="n">
        <f aca="false">IF(DAY(B1793)=1,Assumptions!B39*G1793,0)</f>
        <v>0</v>
      </c>
      <c r="Q1793" s="22" t="n">
        <f aca="false">IF(DAY(B1793)=1,Assumptions!B40*G1793,0)</f>
        <v>0</v>
      </c>
      <c r="R1793" s="22" t="n">
        <f aca="false">IF(DAY(B1793)=1,Assumptions!B41*G1793,0)</f>
        <v>0</v>
      </c>
      <c r="S1793" s="22" t="n">
        <f aca="false">IF(AND(DAY(B1793)=1,D1793&gt;=13),Assumptions!B42*G1793,0)</f>
        <v>0</v>
      </c>
      <c r="T1793" s="22" t="n">
        <f aca="false">IF(DAY(B1793)=1,Assumptions!B43*G1793,0)</f>
        <v>0</v>
      </c>
      <c r="U1793" s="22" t="n">
        <f aca="false">SUM(O1793:T1793)</f>
        <v>0</v>
      </c>
      <c r="V1793" s="22" t="n">
        <f aca="false">N1793-U1793</f>
        <v>22800</v>
      </c>
      <c r="W1793" s="22" t="n">
        <f aca="false">W1792+V1793</f>
        <v>1042225.64882356</v>
      </c>
      <c r="X1793" s="23" t="str">
        <f aca="false">IF(W1793&gt;=0,"YES","No")</f>
        <v>YES</v>
      </c>
    </row>
    <row r="1794" customFormat="false" ht="15" hidden="false" customHeight="false" outlineLevel="0" collapsed="false">
      <c r="A1794" s="16" t="n">
        <v>1793</v>
      </c>
      <c r="B1794" s="17" t="n">
        <f aca="false">B1793+1</f>
        <v>47815</v>
      </c>
      <c r="C1794" s="18" t="n">
        <f aca="false">MIN(ROUNDUP(A1794/365,0),5)</f>
        <v>5</v>
      </c>
      <c r="D1794" s="18" t="n">
        <f aca="false">DATEDIF(Assumptions!B5,B1794,"m")+1</f>
        <v>59</v>
      </c>
      <c r="E1794" s="18" t="str">
        <f aca="false">TEXT(B1794,"ddd")</f>
        <v>Thu</v>
      </c>
      <c r="F1794" s="19" t="n">
        <f aca="false">IF(WEEKDAY(B1794,2)&gt;=6,Assumptions!B34,Assumptions!B35)</f>
        <v>1</v>
      </c>
      <c r="G1794" s="20" t="n">
        <f aca="false">IF(D1794&gt;=13,(1+Assumptions!B46)^(D1794-12),1)</f>
        <v>1.1511816332795</v>
      </c>
      <c r="H1794" s="21" t="n">
        <f aca="false">H1793*(1+IF(C1794=1,Assumptions!B22,Assumptions!B23))</f>
        <v>26.3014673774345</v>
      </c>
      <c r="I1794" s="16" t="n">
        <f aca="false">ROUND(H1794*F1794,0)</f>
        <v>26</v>
      </c>
      <c r="J1794" s="22" t="n">
        <f aca="false">I1794*Assumptions!B24</f>
        <v>15600</v>
      </c>
      <c r="K1794" s="21" t="n">
        <f aca="false">K1793*(1+Assumptions!B30)</f>
        <v>23.6055552473195</v>
      </c>
      <c r="L1794" s="16" t="n">
        <f aca="false">ROUND(K1794*F1794,0)</f>
        <v>24</v>
      </c>
      <c r="M1794" s="22" t="n">
        <f aca="false">L1794*Assumptions!B31</f>
        <v>7200</v>
      </c>
      <c r="N1794" s="22" t="n">
        <f aca="false">J1794+M1794</f>
        <v>22800</v>
      </c>
      <c r="O1794" s="22" t="n">
        <f aca="false">IF(DAY(B1794)=1,Assumptions!B38*G1794,0)</f>
        <v>0</v>
      </c>
      <c r="P1794" s="22" t="n">
        <f aca="false">IF(DAY(B1794)=1,Assumptions!B39*G1794,0)</f>
        <v>0</v>
      </c>
      <c r="Q1794" s="22" t="n">
        <f aca="false">IF(DAY(B1794)=1,Assumptions!B40*G1794,0)</f>
        <v>0</v>
      </c>
      <c r="R1794" s="22" t="n">
        <f aca="false">IF(DAY(B1794)=1,Assumptions!B41*G1794,0)</f>
        <v>0</v>
      </c>
      <c r="S1794" s="22" t="n">
        <f aca="false">IF(AND(DAY(B1794)=1,D1794&gt;=13),Assumptions!B42*G1794,0)</f>
        <v>0</v>
      </c>
      <c r="T1794" s="22" t="n">
        <f aca="false">IF(DAY(B1794)=1,Assumptions!B43*G1794,0)</f>
        <v>0</v>
      </c>
      <c r="U1794" s="22" t="n">
        <f aca="false">SUM(O1794:T1794)</f>
        <v>0</v>
      </c>
      <c r="V1794" s="22" t="n">
        <f aca="false">N1794-U1794</f>
        <v>22800</v>
      </c>
      <c r="W1794" s="22" t="n">
        <f aca="false">W1793+V1794</f>
        <v>1065025.64882356</v>
      </c>
      <c r="X1794" s="23" t="str">
        <f aca="false">IF(W1794&gt;=0,"YES","No")</f>
        <v>YES</v>
      </c>
    </row>
    <row r="1795" customFormat="false" ht="15" hidden="false" customHeight="false" outlineLevel="0" collapsed="false">
      <c r="A1795" s="16" t="n">
        <v>1794</v>
      </c>
      <c r="B1795" s="17" t="n">
        <f aca="false">B1794+1</f>
        <v>47816</v>
      </c>
      <c r="C1795" s="18" t="n">
        <f aca="false">MIN(ROUNDUP(A1795/365,0),5)</f>
        <v>5</v>
      </c>
      <c r="D1795" s="18" t="n">
        <f aca="false">DATEDIF(Assumptions!B5,B1795,"m")+1</f>
        <v>59</v>
      </c>
      <c r="E1795" s="18" t="str">
        <f aca="false">TEXT(B1795,"ddd")</f>
        <v>Fri</v>
      </c>
      <c r="F1795" s="19" t="n">
        <f aca="false">IF(WEEKDAY(B1795,2)&gt;=6,Assumptions!B34,Assumptions!B35)</f>
        <v>1</v>
      </c>
      <c r="G1795" s="20" t="n">
        <f aca="false">IF(D1795&gt;=13,(1+Assumptions!B46)^(D1795-12),1)</f>
        <v>1.1511816332795</v>
      </c>
      <c r="H1795" s="21" t="n">
        <f aca="false">H1794*(1+IF(C1795=1,Assumptions!B22,Assumptions!B23))</f>
        <v>26.3057771805789</v>
      </c>
      <c r="I1795" s="16" t="n">
        <f aca="false">ROUND(H1795*F1795,0)</f>
        <v>26</v>
      </c>
      <c r="J1795" s="22" t="n">
        <f aca="false">I1795*Assumptions!B24</f>
        <v>15600</v>
      </c>
      <c r="K1795" s="21" t="n">
        <f aca="false">K1794*(1+Assumptions!B30)</f>
        <v>23.6132727728963</v>
      </c>
      <c r="L1795" s="16" t="n">
        <f aca="false">ROUND(K1795*F1795,0)</f>
        <v>24</v>
      </c>
      <c r="M1795" s="22" t="n">
        <f aca="false">L1795*Assumptions!B31</f>
        <v>7200</v>
      </c>
      <c r="N1795" s="22" t="n">
        <f aca="false">J1795+M1795</f>
        <v>22800</v>
      </c>
      <c r="O1795" s="22" t="n">
        <f aca="false">IF(DAY(B1795)=1,Assumptions!B38*G1795,0)</f>
        <v>0</v>
      </c>
      <c r="P1795" s="22" t="n">
        <f aca="false">IF(DAY(B1795)=1,Assumptions!B39*G1795,0)</f>
        <v>0</v>
      </c>
      <c r="Q1795" s="22" t="n">
        <f aca="false">IF(DAY(B1795)=1,Assumptions!B40*G1795,0)</f>
        <v>0</v>
      </c>
      <c r="R1795" s="22" t="n">
        <f aca="false">IF(DAY(B1795)=1,Assumptions!B41*G1795,0)</f>
        <v>0</v>
      </c>
      <c r="S1795" s="22" t="n">
        <f aca="false">IF(AND(DAY(B1795)=1,D1795&gt;=13),Assumptions!B42*G1795,0)</f>
        <v>0</v>
      </c>
      <c r="T1795" s="22" t="n">
        <f aca="false">IF(DAY(B1795)=1,Assumptions!B43*G1795,0)</f>
        <v>0</v>
      </c>
      <c r="U1795" s="22" t="n">
        <f aca="false">SUM(O1795:T1795)</f>
        <v>0</v>
      </c>
      <c r="V1795" s="22" t="n">
        <f aca="false">N1795-U1795</f>
        <v>22800</v>
      </c>
      <c r="W1795" s="22" t="n">
        <f aca="false">W1794+V1795</f>
        <v>1087825.64882356</v>
      </c>
      <c r="X1795" s="23" t="str">
        <f aca="false">IF(W1795&gt;=0,"YES","No")</f>
        <v>YES</v>
      </c>
    </row>
    <row r="1796" customFormat="false" ht="15" hidden="false" customHeight="false" outlineLevel="0" collapsed="false">
      <c r="A1796" s="16" t="n">
        <v>1795</v>
      </c>
      <c r="B1796" s="17" t="n">
        <f aca="false">B1795+1</f>
        <v>47817</v>
      </c>
      <c r="C1796" s="18" t="n">
        <f aca="false">MIN(ROUNDUP(A1796/365,0),5)</f>
        <v>5</v>
      </c>
      <c r="D1796" s="18" t="n">
        <f aca="false">DATEDIF(Assumptions!B5,B1796,"m")+1</f>
        <v>59</v>
      </c>
      <c r="E1796" s="18" t="str">
        <f aca="false">TEXT(B1796,"ddd")</f>
        <v>Sat</v>
      </c>
      <c r="F1796" s="19" t="n">
        <f aca="false">IF(WEEKDAY(B1796,2)&gt;=6,Assumptions!B34,Assumptions!B35)</f>
        <v>0.6</v>
      </c>
      <c r="G1796" s="20" t="n">
        <f aca="false">IF(D1796&gt;=13,(1+Assumptions!B46)^(D1796-12),1)</f>
        <v>1.1511816332795</v>
      </c>
      <c r="H1796" s="21" t="n">
        <f aca="false">H1795*(1+IF(C1796=1,Assumptions!B22,Assumptions!B23))</f>
        <v>26.3100876899349</v>
      </c>
      <c r="I1796" s="16" t="n">
        <f aca="false">ROUND(H1796*F1796,0)</f>
        <v>16</v>
      </c>
      <c r="J1796" s="22" t="n">
        <f aca="false">I1796*Assumptions!B24</f>
        <v>9600</v>
      </c>
      <c r="K1796" s="21" t="n">
        <f aca="false">K1795*(1+Assumptions!B30)</f>
        <v>23.6209928216165</v>
      </c>
      <c r="L1796" s="16" t="n">
        <f aca="false">ROUND(K1796*F1796,0)</f>
        <v>14</v>
      </c>
      <c r="M1796" s="22" t="n">
        <f aca="false">L1796*Assumptions!B31</f>
        <v>4200</v>
      </c>
      <c r="N1796" s="22" t="n">
        <f aca="false">J1796+M1796</f>
        <v>13800</v>
      </c>
      <c r="O1796" s="22" t="n">
        <f aca="false">IF(DAY(B1796)=1,Assumptions!B38*G1796,0)</f>
        <v>0</v>
      </c>
      <c r="P1796" s="22" t="n">
        <f aca="false">IF(DAY(B1796)=1,Assumptions!B39*G1796,0)</f>
        <v>0</v>
      </c>
      <c r="Q1796" s="22" t="n">
        <f aca="false">IF(DAY(B1796)=1,Assumptions!B40*G1796,0)</f>
        <v>0</v>
      </c>
      <c r="R1796" s="22" t="n">
        <f aca="false">IF(DAY(B1796)=1,Assumptions!B41*G1796,0)</f>
        <v>0</v>
      </c>
      <c r="S1796" s="22" t="n">
        <f aca="false">IF(AND(DAY(B1796)=1,D1796&gt;=13),Assumptions!B42*G1796,0)</f>
        <v>0</v>
      </c>
      <c r="T1796" s="22" t="n">
        <f aca="false">IF(DAY(B1796)=1,Assumptions!B43*G1796,0)</f>
        <v>0</v>
      </c>
      <c r="U1796" s="22" t="n">
        <f aca="false">SUM(O1796:T1796)</f>
        <v>0</v>
      </c>
      <c r="V1796" s="22" t="n">
        <f aca="false">N1796-U1796</f>
        <v>13800</v>
      </c>
      <c r="W1796" s="22" t="n">
        <f aca="false">W1795+V1796</f>
        <v>1101625.64882356</v>
      </c>
      <c r="X1796" s="23" t="str">
        <f aca="false">IF(W1796&gt;=0,"YES","No")</f>
        <v>YES</v>
      </c>
    </row>
    <row r="1797" customFormat="false" ht="15" hidden="false" customHeight="false" outlineLevel="0" collapsed="false">
      <c r="A1797" s="16" t="n">
        <v>1796</v>
      </c>
      <c r="B1797" s="17" t="n">
        <f aca="false">B1796+1</f>
        <v>47818</v>
      </c>
      <c r="C1797" s="18" t="n">
        <f aca="false">MIN(ROUNDUP(A1797/365,0),5)</f>
        <v>5</v>
      </c>
      <c r="D1797" s="18" t="n">
        <f aca="false">DATEDIF(Assumptions!B5,B1797,"m")+1</f>
        <v>60</v>
      </c>
      <c r="E1797" s="18" t="str">
        <f aca="false">TEXT(B1797,"ddd")</f>
        <v>Sun</v>
      </c>
      <c r="F1797" s="19" t="n">
        <f aca="false">IF(WEEKDAY(B1797,2)&gt;=6,Assumptions!B34,Assumptions!B35)</f>
        <v>0.6</v>
      </c>
      <c r="G1797" s="20" t="n">
        <f aca="false">IF(D1797&gt;=13,(1+Assumptions!B46)^(D1797-12),1)</f>
        <v>1.15463517817933</v>
      </c>
      <c r="H1797" s="21" t="n">
        <f aca="false">H1796*(1+IF(C1797=1,Assumptions!B22,Assumptions!B23))</f>
        <v>26.3143989056183</v>
      </c>
      <c r="I1797" s="16" t="n">
        <f aca="false">ROUND(H1797*F1797,0)</f>
        <v>16</v>
      </c>
      <c r="J1797" s="22" t="n">
        <f aca="false">I1797*Assumptions!B24</f>
        <v>9600</v>
      </c>
      <c r="K1797" s="21" t="n">
        <f aca="false">K1796*(1+Assumptions!B30)</f>
        <v>23.628715394305</v>
      </c>
      <c r="L1797" s="16" t="n">
        <f aca="false">ROUND(K1797*F1797,0)</f>
        <v>14</v>
      </c>
      <c r="M1797" s="22" t="n">
        <f aca="false">L1797*Assumptions!B31</f>
        <v>4200</v>
      </c>
      <c r="N1797" s="22" t="n">
        <f aca="false">J1797+M1797</f>
        <v>13800</v>
      </c>
      <c r="O1797" s="22" t="n">
        <f aca="false">IF(DAY(B1797)=1,Assumptions!B38*G1797,0)</f>
        <v>173195.2767269</v>
      </c>
      <c r="P1797" s="22" t="n">
        <f aca="false">IF(DAY(B1797)=1,Assumptions!B39*G1797,0)</f>
        <v>46185.4071271734</v>
      </c>
      <c r="Q1797" s="22" t="n">
        <f aca="false">IF(DAY(B1797)=1,Assumptions!B40*G1797,0)</f>
        <v>34639.05534538</v>
      </c>
      <c r="R1797" s="22" t="n">
        <f aca="false">IF(DAY(B1797)=1,Assumptions!B41*G1797,0)</f>
        <v>23092.7035635867</v>
      </c>
      <c r="S1797" s="22" t="n">
        <f aca="false">IF(AND(DAY(B1797)=1,D1797&gt;=13),Assumptions!B42*G1797,0)</f>
        <v>173195.2767269</v>
      </c>
      <c r="T1797" s="22" t="n">
        <f aca="false">IF(DAY(B1797)=1,Assumptions!B43*G1797,0)</f>
        <v>23092.7035635867</v>
      </c>
      <c r="U1797" s="22" t="n">
        <f aca="false">SUM(O1797:T1797)</f>
        <v>473400.423053527</v>
      </c>
      <c r="V1797" s="22" t="n">
        <f aca="false">N1797-U1797</f>
        <v>-459600.423053527</v>
      </c>
      <c r="W1797" s="22" t="n">
        <f aca="false">W1796+V1797</f>
        <v>642025.225770031</v>
      </c>
      <c r="X1797" s="23" t="str">
        <f aca="false">IF(W1797&gt;=0,"YES","No")</f>
        <v>YES</v>
      </c>
    </row>
    <row r="1798" customFormat="false" ht="15" hidden="false" customHeight="false" outlineLevel="0" collapsed="false">
      <c r="A1798" s="16" t="n">
        <v>1797</v>
      </c>
      <c r="B1798" s="17" t="n">
        <f aca="false">B1797+1</f>
        <v>47819</v>
      </c>
      <c r="C1798" s="18" t="n">
        <f aca="false">MIN(ROUNDUP(A1798/365,0),5)</f>
        <v>5</v>
      </c>
      <c r="D1798" s="18" t="n">
        <f aca="false">DATEDIF(Assumptions!B5,B1798,"m")+1</f>
        <v>60</v>
      </c>
      <c r="E1798" s="18" t="str">
        <f aca="false">TEXT(B1798,"ddd")</f>
        <v>Mon</v>
      </c>
      <c r="F1798" s="19" t="n">
        <f aca="false">IF(WEEKDAY(B1798,2)&gt;=6,Assumptions!B34,Assumptions!B35)</f>
        <v>1</v>
      </c>
      <c r="G1798" s="20" t="n">
        <f aca="false">IF(D1798&gt;=13,(1+Assumptions!B46)^(D1798-12),1)</f>
        <v>1.15463517817933</v>
      </c>
      <c r="H1798" s="21" t="n">
        <f aca="false">H1797*(1+IF(C1798=1,Assumptions!B22,Assumptions!B23))</f>
        <v>26.3187108277448</v>
      </c>
      <c r="I1798" s="16" t="n">
        <f aca="false">ROUND(H1798*F1798,0)</f>
        <v>26</v>
      </c>
      <c r="J1798" s="22" t="n">
        <f aca="false">I1798*Assumptions!B24</f>
        <v>15600</v>
      </c>
      <c r="K1798" s="21" t="n">
        <f aca="false">K1797*(1+Assumptions!B30)</f>
        <v>23.6364404917871</v>
      </c>
      <c r="L1798" s="16" t="n">
        <f aca="false">ROUND(K1798*F1798,0)</f>
        <v>24</v>
      </c>
      <c r="M1798" s="22" t="n">
        <f aca="false">L1798*Assumptions!B31</f>
        <v>7200</v>
      </c>
      <c r="N1798" s="22" t="n">
        <f aca="false">J1798+M1798</f>
        <v>22800</v>
      </c>
      <c r="O1798" s="22" t="n">
        <f aca="false">IF(DAY(B1798)=1,Assumptions!B38*G1798,0)</f>
        <v>0</v>
      </c>
      <c r="P1798" s="22" t="n">
        <f aca="false">IF(DAY(B1798)=1,Assumptions!B39*G1798,0)</f>
        <v>0</v>
      </c>
      <c r="Q1798" s="22" t="n">
        <f aca="false">IF(DAY(B1798)=1,Assumptions!B40*G1798,0)</f>
        <v>0</v>
      </c>
      <c r="R1798" s="22" t="n">
        <f aca="false">IF(DAY(B1798)=1,Assumptions!B41*G1798,0)</f>
        <v>0</v>
      </c>
      <c r="S1798" s="22" t="n">
        <f aca="false">IF(AND(DAY(B1798)=1,D1798&gt;=13),Assumptions!B42*G1798,0)</f>
        <v>0</v>
      </c>
      <c r="T1798" s="22" t="n">
        <f aca="false">IF(DAY(B1798)=1,Assumptions!B43*G1798,0)</f>
        <v>0</v>
      </c>
      <c r="U1798" s="22" t="n">
        <f aca="false">SUM(O1798:T1798)</f>
        <v>0</v>
      </c>
      <c r="V1798" s="22" t="n">
        <f aca="false">N1798-U1798</f>
        <v>22800</v>
      </c>
      <c r="W1798" s="22" t="n">
        <f aca="false">W1797+V1798</f>
        <v>664825.225770031</v>
      </c>
      <c r="X1798" s="23" t="str">
        <f aca="false">IF(W1798&gt;=0,"YES","No")</f>
        <v>YES</v>
      </c>
    </row>
    <row r="1799" customFormat="false" ht="15" hidden="false" customHeight="false" outlineLevel="0" collapsed="false">
      <c r="A1799" s="16" t="n">
        <v>1798</v>
      </c>
      <c r="B1799" s="17" t="n">
        <f aca="false">B1798+1</f>
        <v>47820</v>
      </c>
      <c r="C1799" s="18" t="n">
        <f aca="false">MIN(ROUNDUP(A1799/365,0),5)</f>
        <v>5</v>
      </c>
      <c r="D1799" s="18" t="n">
        <f aca="false">DATEDIF(Assumptions!B5,B1799,"m")+1</f>
        <v>60</v>
      </c>
      <c r="E1799" s="18" t="str">
        <f aca="false">TEXT(B1799,"ddd")</f>
        <v>Tue</v>
      </c>
      <c r="F1799" s="19" t="n">
        <f aca="false">IF(WEEKDAY(B1799,2)&gt;=6,Assumptions!B34,Assumptions!B35)</f>
        <v>1</v>
      </c>
      <c r="G1799" s="20" t="n">
        <f aca="false">IF(D1799&gt;=13,(1+Assumptions!B46)^(D1799-12),1)</f>
        <v>1.15463517817933</v>
      </c>
      <c r="H1799" s="21" t="n">
        <f aca="false">H1798*(1+IF(C1799=1,Assumptions!B22,Assumptions!B23))</f>
        <v>26.3230234564302</v>
      </c>
      <c r="I1799" s="16" t="n">
        <f aca="false">ROUND(H1799*F1799,0)</f>
        <v>26</v>
      </c>
      <c r="J1799" s="22" t="n">
        <f aca="false">I1799*Assumptions!B24</f>
        <v>15600</v>
      </c>
      <c r="K1799" s="21" t="n">
        <f aca="false">K1798*(1+Assumptions!B30)</f>
        <v>23.644168114888</v>
      </c>
      <c r="L1799" s="16" t="n">
        <f aca="false">ROUND(K1799*F1799,0)</f>
        <v>24</v>
      </c>
      <c r="M1799" s="22" t="n">
        <f aca="false">L1799*Assumptions!B31</f>
        <v>7200</v>
      </c>
      <c r="N1799" s="22" t="n">
        <f aca="false">J1799+M1799</f>
        <v>22800</v>
      </c>
      <c r="O1799" s="22" t="n">
        <f aca="false">IF(DAY(B1799)=1,Assumptions!B38*G1799,0)</f>
        <v>0</v>
      </c>
      <c r="P1799" s="22" t="n">
        <f aca="false">IF(DAY(B1799)=1,Assumptions!B39*G1799,0)</f>
        <v>0</v>
      </c>
      <c r="Q1799" s="22" t="n">
        <f aca="false">IF(DAY(B1799)=1,Assumptions!B40*G1799,0)</f>
        <v>0</v>
      </c>
      <c r="R1799" s="22" t="n">
        <f aca="false">IF(DAY(B1799)=1,Assumptions!B41*G1799,0)</f>
        <v>0</v>
      </c>
      <c r="S1799" s="22" t="n">
        <f aca="false">IF(AND(DAY(B1799)=1,D1799&gt;=13),Assumptions!B42*G1799,0)</f>
        <v>0</v>
      </c>
      <c r="T1799" s="22" t="n">
        <f aca="false">IF(DAY(B1799)=1,Assumptions!B43*G1799,0)</f>
        <v>0</v>
      </c>
      <c r="U1799" s="22" t="n">
        <f aca="false">SUM(O1799:T1799)</f>
        <v>0</v>
      </c>
      <c r="V1799" s="22" t="n">
        <f aca="false">N1799-U1799</f>
        <v>22800</v>
      </c>
      <c r="W1799" s="22" t="n">
        <f aca="false">W1798+V1799</f>
        <v>687625.225770031</v>
      </c>
      <c r="X1799" s="23" t="str">
        <f aca="false">IF(W1799&gt;=0,"YES","No")</f>
        <v>YES</v>
      </c>
    </row>
    <row r="1800" customFormat="false" ht="15" hidden="false" customHeight="false" outlineLevel="0" collapsed="false">
      <c r="A1800" s="16" t="n">
        <v>1799</v>
      </c>
      <c r="B1800" s="17" t="n">
        <f aca="false">B1799+1</f>
        <v>47821</v>
      </c>
      <c r="C1800" s="18" t="n">
        <f aca="false">MIN(ROUNDUP(A1800/365,0),5)</f>
        <v>5</v>
      </c>
      <c r="D1800" s="18" t="n">
        <f aca="false">DATEDIF(Assumptions!B5,B1800,"m")+1</f>
        <v>60</v>
      </c>
      <c r="E1800" s="18" t="str">
        <f aca="false">TEXT(B1800,"ddd")</f>
        <v>Wed</v>
      </c>
      <c r="F1800" s="19" t="n">
        <f aca="false">IF(WEEKDAY(B1800,2)&gt;=6,Assumptions!B34,Assumptions!B35)</f>
        <v>1</v>
      </c>
      <c r="G1800" s="20" t="n">
        <f aca="false">IF(D1800&gt;=13,(1+Assumptions!B46)^(D1800-12),1)</f>
        <v>1.15463517817933</v>
      </c>
      <c r="H1800" s="21" t="n">
        <f aca="false">H1799*(1+IF(C1800=1,Assumptions!B22,Assumptions!B23))</f>
        <v>26.3273367917903</v>
      </c>
      <c r="I1800" s="16" t="n">
        <f aca="false">ROUND(H1800*F1800,0)</f>
        <v>26</v>
      </c>
      <c r="J1800" s="22" t="n">
        <f aca="false">I1800*Assumptions!B24</f>
        <v>15600</v>
      </c>
      <c r="K1800" s="21" t="n">
        <f aca="false">K1799*(1+Assumptions!B30)</f>
        <v>23.6518982644336</v>
      </c>
      <c r="L1800" s="16" t="n">
        <f aca="false">ROUND(K1800*F1800,0)</f>
        <v>24</v>
      </c>
      <c r="M1800" s="22" t="n">
        <f aca="false">L1800*Assumptions!B31</f>
        <v>7200</v>
      </c>
      <c r="N1800" s="22" t="n">
        <f aca="false">J1800+M1800</f>
        <v>22800</v>
      </c>
      <c r="O1800" s="22" t="n">
        <f aca="false">IF(DAY(B1800)=1,Assumptions!B38*G1800,0)</f>
        <v>0</v>
      </c>
      <c r="P1800" s="22" t="n">
        <f aca="false">IF(DAY(B1800)=1,Assumptions!B39*G1800,0)</f>
        <v>0</v>
      </c>
      <c r="Q1800" s="22" t="n">
        <f aca="false">IF(DAY(B1800)=1,Assumptions!B40*G1800,0)</f>
        <v>0</v>
      </c>
      <c r="R1800" s="22" t="n">
        <f aca="false">IF(DAY(B1800)=1,Assumptions!B41*G1800,0)</f>
        <v>0</v>
      </c>
      <c r="S1800" s="22" t="n">
        <f aca="false">IF(AND(DAY(B1800)=1,D1800&gt;=13),Assumptions!B42*G1800,0)</f>
        <v>0</v>
      </c>
      <c r="T1800" s="22" t="n">
        <f aca="false">IF(DAY(B1800)=1,Assumptions!B43*G1800,0)</f>
        <v>0</v>
      </c>
      <c r="U1800" s="22" t="n">
        <f aca="false">SUM(O1800:T1800)</f>
        <v>0</v>
      </c>
      <c r="V1800" s="22" t="n">
        <f aca="false">N1800-U1800</f>
        <v>22800</v>
      </c>
      <c r="W1800" s="22" t="n">
        <f aca="false">W1799+V1800</f>
        <v>710425.225770031</v>
      </c>
      <c r="X1800" s="23" t="str">
        <f aca="false">IF(W1800&gt;=0,"YES","No")</f>
        <v>YES</v>
      </c>
    </row>
    <row r="1801" customFormat="false" ht="15" hidden="false" customHeight="false" outlineLevel="0" collapsed="false">
      <c r="A1801" s="16" t="n">
        <v>1800</v>
      </c>
      <c r="B1801" s="17" t="n">
        <f aca="false">B1800+1</f>
        <v>47822</v>
      </c>
      <c r="C1801" s="18" t="n">
        <f aca="false">MIN(ROUNDUP(A1801/365,0),5)</f>
        <v>5</v>
      </c>
      <c r="D1801" s="18" t="n">
        <f aca="false">DATEDIF(Assumptions!B5,B1801,"m")+1</f>
        <v>60</v>
      </c>
      <c r="E1801" s="18" t="str">
        <f aca="false">TEXT(B1801,"ddd")</f>
        <v>Thu</v>
      </c>
      <c r="F1801" s="19" t="n">
        <f aca="false">IF(WEEKDAY(B1801,2)&gt;=6,Assumptions!B34,Assumptions!B35)</f>
        <v>1</v>
      </c>
      <c r="G1801" s="20" t="n">
        <f aca="false">IF(D1801&gt;=13,(1+Assumptions!B46)^(D1801-12),1)</f>
        <v>1.15463517817933</v>
      </c>
      <c r="H1801" s="21" t="n">
        <f aca="false">H1800*(1+IF(C1801=1,Assumptions!B22,Assumptions!B23))</f>
        <v>26.3316508339408</v>
      </c>
      <c r="I1801" s="16" t="n">
        <f aca="false">ROUND(H1801*F1801,0)</f>
        <v>26</v>
      </c>
      <c r="J1801" s="22" t="n">
        <f aca="false">I1801*Assumptions!B24</f>
        <v>15600</v>
      </c>
      <c r="K1801" s="21" t="n">
        <f aca="false">K1800*(1+Assumptions!B30)</f>
        <v>23.6596309412499</v>
      </c>
      <c r="L1801" s="16" t="n">
        <f aca="false">ROUND(K1801*F1801,0)</f>
        <v>24</v>
      </c>
      <c r="M1801" s="22" t="n">
        <f aca="false">L1801*Assumptions!B31</f>
        <v>7200</v>
      </c>
      <c r="N1801" s="22" t="n">
        <f aca="false">J1801+M1801</f>
        <v>22800</v>
      </c>
      <c r="O1801" s="22" t="n">
        <f aca="false">IF(DAY(B1801)=1,Assumptions!B38*G1801,0)</f>
        <v>0</v>
      </c>
      <c r="P1801" s="22" t="n">
        <f aca="false">IF(DAY(B1801)=1,Assumptions!B39*G1801,0)</f>
        <v>0</v>
      </c>
      <c r="Q1801" s="22" t="n">
        <f aca="false">IF(DAY(B1801)=1,Assumptions!B40*G1801,0)</f>
        <v>0</v>
      </c>
      <c r="R1801" s="22" t="n">
        <f aca="false">IF(DAY(B1801)=1,Assumptions!B41*G1801,0)</f>
        <v>0</v>
      </c>
      <c r="S1801" s="22" t="n">
        <f aca="false">IF(AND(DAY(B1801)=1,D1801&gt;=13),Assumptions!B42*G1801,0)</f>
        <v>0</v>
      </c>
      <c r="T1801" s="22" t="n">
        <f aca="false">IF(DAY(B1801)=1,Assumptions!B43*G1801,0)</f>
        <v>0</v>
      </c>
      <c r="U1801" s="22" t="n">
        <f aca="false">SUM(O1801:T1801)</f>
        <v>0</v>
      </c>
      <c r="V1801" s="22" t="n">
        <f aca="false">N1801-U1801</f>
        <v>22800</v>
      </c>
      <c r="W1801" s="22" t="n">
        <f aca="false">W1800+V1801</f>
        <v>733225.225770031</v>
      </c>
      <c r="X1801" s="23" t="str">
        <f aca="false">IF(W1801&gt;=0,"YES","No")</f>
        <v>YES</v>
      </c>
    </row>
    <row r="1802" customFormat="false" ht="15" hidden="false" customHeight="false" outlineLevel="0" collapsed="false">
      <c r="A1802" s="16" t="n">
        <v>1801</v>
      </c>
      <c r="B1802" s="17" t="n">
        <f aca="false">B1801+1</f>
        <v>47823</v>
      </c>
      <c r="C1802" s="18" t="n">
        <f aca="false">MIN(ROUNDUP(A1802/365,0),5)</f>
        <v>5</v>
      </c>
      <c r="D1802" s="18" t="n">
        <f aca="false">DATEDIF(Assumptions!B5,B1802,"m")+1</f>
        <v>60</v>
      </c>
      <c r="E1802" s="18" t="str">
        <f aca="false">TEXT(B1802,"ddd")</f>
        <v>Fri</v>
      </c>
      <c r="F1802" s="19" t="n">
        <f aca="false">IF(WEEKDAY(B1802,2)&gt;=6,Assumptions!B34,Assumptions!B35)</f>
        <v>1</v>
      </c>
      <c r="G1802" s="20" t="n">
        <f aca="false">IF(D1802&gt;=13,(1+Assumptions!B46)^(D1802-12),1)</f>
        <v>1.15463517817933</v>
      </c>
      <c r="H1802" s="21" t="n">
        <f aca="false">H1801*(1+IF(C1802=1,Assumptions!B22,Assumptions!B23))</f>
        <v>26.3359655829976</v>
      </c>
      <c r="I1802" s="16" t="n">
        <f aca="false">ROUND(H1802*F1802,0)</f>
        <v>26</v>
      </c>
      <c r="J1802" s="22" t="n">
        <f aca="false">I1802*Assumptions!B24</f>
        <v>15600</v>
      </c>
      <c r="K1802" s="21" t="n">
        <f aca="false">K1801*(1+Assumptions!B30)</f>
        <v>23.6673661461631</v>
      </c>
      <c r="L1802" s="16" t="n">
        <f aca="false">ROUND(K1802*F1802,0)</f>
        <v>24</v>
      </c>
      <c r="M1802" s="22" t="n">
        <f aca="false">L1802*Assumptions!B31</f>
        <v>7200</v>
      </c>
      <c r="N1802" s="22" t="n">
        <f aca="false">J1802+M1802</f>
        <v>22800</v>
      </c>
      <c r="O1802" s="22" t="n">
        <f aca="false">IF(DAY(B1802)=1,Assumptions!B38*G1802,0)</f>
        <v>0</v>
      </c>
      <c r="P1802" s="22" t="n">
        <f aca="false">IF(DAY(B1802)=1,Assumptions!B39*G1802,0)</f>
        <v>0</v>
      </c>
      <c r="Q1802" s="22" t="n">
        <f aca="false">IF(DAY(B1802)=1,Assumptions!B40*G1802,0)</f>
        <v>0</v>
      </c>
      <c r="R1802" s="22" t="n">
        <f aca="false">IF(DAY(B1802)=1,Assumptions!B41*G1802,0)</f>
        <v>0</v>
      </c>
      <c r="S1802" s="22" t="n">
        <f aca="false">IF(AND(DAY(B1802)=1,D1802&gt;=13),Assumptions!B42*G1802,0)</f>
        <v>0</v>
      </c>
      <c r="T1802" s="22" t="n">
        <f aca="false">IF(DAY(B1802)=1,Assumptions!B43*G1802,0)</f>
        <v>0</v>
      </c>
      <c r="U1802" s="22" t="n">
        <f aca="false">SUM(O1802:T1802)</f>
        <v>0</v>
      </c>
      <c r="V1802" s="22" t="n">
        <f aca="false">N1802-U1802</f>
        <v>22800</v>
      </c>
      <c r="W1802" s="22" t="n">
        <f aca="false">W1801+V1802</f>
        <v>756025.225770031</v>
      </c>
      <c r="X1802" s="23" t="str">
        <f aca="false">IF(W1802&gt;=0,"YES","No")</f>
        <v>YES</v>
      </c>
    </row>
    <row r="1803" customFormat="false" ht="15" hidden="false" customHeight="false" outlineLevel="0" collapsed="false">
      <c r="A1803" s="16" t="n">
        <v>1802</v>
      </c>
      <c r="B1803" s="17" t="n">
        <f aca="false">B1802+1</f>
        <v>47824</v>
      </c>
      <c r="C1803" s="18" t="n">
        <f aca="false">MIN(ROUNDUP(A1803/365,0),5)</f>
        <v>5</v>
      </c>
      <c r="D1803" s="18" t="n">
        <f aca="false">DATEDIF(Assumptions!B5,B1803,"m")+1</f>
        <v>60</v>
      </c>
      <c r="E1803" s="18" t="str">
        <f aca="false">TEXT(B1803,"ddd")</f>
        <v>Sat</v>
      </c>
      <c r="F1803" s="19" t="n">
        <f aca="false">IF(WEEKDAY(B1803,2)&gt;=6,Assumptions!B34,Assumptions!B35)</f>
        <v>0.6</v>
      </c>
      <c r="G1803" s="20" t="n">
        <f aca="false">IF(D1803&gt;=13,(1+Assumptions!B46)^(D1803-12),1)</f>
        <v>1.15463517817933</v>
      </c>
      <c r="H1803" s="21" t="n">
        <f aca="false">H1802*(1+IF(C1803=1,Assumptions!B22,Assumptions!B23))</f>
        <v>26.3402810390766</v>
      </c>
      <c r="I1803" s="16" t="n">
        <f aca="false">ROUND(H1803*F1803,0)</f>
        <v>16</v>
      </c>
      <c r="J1803" s="22" t="n">
        <f aca="false">I1803*Assumptions!B24</f>
        <v>9600</v>
      </c>
      <c r="K1803" s="21" t="n">
        <f aca="false">K1802*(1+Assumptions!B30)</f>
        <v>23.6751038799996</v>
      </c>
      <c r="L1803" s="16" t="n">
        <f aca="false">ROUND(K1803*F1803,0)</f>
        <v>14</v>
      </c>
      <c r="M1803" s="22" t="n">
        <f aca="false">L1803*Assumptions!B31</f>
        <v>4200</v>
      </c>
      <c r="N1803" s="22" t="n">
        <f aca="false">J1803+M1803</f>
        <v>13800</v>
      </c>
      <c r="O1803" s="22" t="n">
        <f aca="false">IF(DAY(B1803)=1,Assumptions!B38*G1803,0)</f>
        <v>0</v>
      </c>
      <c r="P1803" s="22" t="n">
        <f aca="false">IF(DAY(B1803)=1,Assumptions!B39*G1803,0)</f>
        <v>0</v>
      </c>
      <c r="Q1803" s="22" t="n">
        <f aca="false">IF(DAY(B1803)=1,Assumptions!B40*G1803,0)</f>
        <v>0</v>
      </c>
      <c r="R1803" s="22" t="n">
        <f aca="false">IF(DAY(B1803)=1,Assumptions!B41*G1803,0)</f>
        <v>0</v>
      </c>
      <c r="S1803" s="22" t="n">
        <f aca="false">IF(AND(DAY(B1803)=1,D1803&gt;=13),Assumptions!B42*G1803,0)</f>
        <v>0</v>
      </c>
      <c r="T1803" s="22" t="n">
        <f aca="false">IF(DAY(B1803)=1,Assumptions!B43*G1803,0)</f>
        <v>0</v>
      </c>
      <c r="U1803" s="22" t="n">
        <f aca="false">SUM(O1803:T1803)</f>
        <v>0</v>
      </c>
      <c r="V1803" s="22" t="n">
        <f aca="false">N1803-U1803</f>
        <v>13800</v>
      </c>
      <c r="W1803" s="22" t="n">
        <f aca="false">W1802+V1803</f>
        <v>769825.225770031</v>
      </c>
      <c r="X1803" s="23" t="str">
        <f aca="false">IF(W1803&gt;=0,"YES","No")</f>
        <v>YES</v>
      </c>
    </row>
    <row r="1804" customFormat="false" ht="15" hidden="false" customHeight="false" outlineLevel="0" collapsed="false">
      <c r="A1804" s="16" t="n">
        <v>1803</v>
      </c>
      <c r="B1804" s="17" t="n">
        <f aca="false">B1803+1</f>
        <v>47825</v>
      </c>
      <c r="C1804" s="18" t="n">
        <f aca="false">MIN(ROUNDUP(A1804/365,0),5)</f>
        <v>5</v>
      </c>
      <c r="D1804" s="18" t="n">
        <f aca="false">DATEDIF(Assumptions!B5,B1804,"m")+1</f>
        <v>60</v>
      </c>
      <c r="E1804" s="18" t="str">
        <f aca="false">TEXT(B1804,"ddd")</f>
        <v>Sun</v>
      </c>
      <c r="F1804" s="19" t="n">
        <f aca="false">IF(WEEKDAY(B1804,2)&gt;=6,Assumptions!B34,Assumptions!B35)</f>
        <v>0.6</v>
      </c>
      <c r="G1804" s="20" t="n">
        <f aca="false">IF(D1804&gt;=13,(1+Assumptions!B46)^(D1804-12),1)</f>
        <v>1.15463517817933</v>
      </c>
      <c r="H1804" s="21" t="n">
        <f aca="false">H1803*(1+IF(C1804=1,Assumptions!B22,Assumptions!B23))</f>
        <v>26.3445972022935</v>
      </c>
      <c r="I1804" s="16" t="n">
        <f aca="false">ROUND(H1804*F1804,0)</f>
        <v>16</v>
      </c>
      <c r="J1804" s="22" t="n">
        <f aca="false">I1804*Assumptions!B24</f>
        <v>9600</v>
      </c>
      <c r="K1804" s="21" t="n">
        <f aca="false">K1803*(1+Assumptions!B30)</f>
        <v>23.6828441435865</v>
      </c>
      <c r="L1804" s="16" t="n">
        <f aca="false">ROUND(K1804*F1804,0)</f>
        <v>14</v>
      </c>
      <c r="M1804" s="22" t="n">
        <f aca="false">L1804*Assumptions!B31</f>
        <v>4200</v>
      </c>
      <c r="N1804" s="22" t="n">
        <f aca="false">J1804+M1804</f>
        <v>13800</v>
      </c>
      <c r="O1804" s="22" t="n">
        <f aca="false">IF(DAY(B1804)=1,Assumptions!B38*G1804,0)</f>
        <v>0</v>
      </c>
      <c r="P1804" s="22" t="n">
        <f aca="false">IF(DAY(B1804)=1,Assumptions!B39*G1804,0)</f>
        <v>0</v>
      </c>
      <c r="Q1804" s="22" t="n">
        <f aca="false">IF(DAY(B1804)=1,Assumptions!B40*G1804,0)</f>
        <v>0</v>
      </c>
      <c r="R1804" s="22" t="n">
        <f aca="false">IF(DAY(B1804)=1,Assumptions!B41*G1804,0)</f>
        <v>0</v>
      </c>
      <c r="S1804" s="22" t="n">
        <f aca="false">IF(AND(DAY(B1804)=1,D1804&gt;=13),Assumptions!B42*G1804,0)</f>
        <v>0</v>
      </c>
      <c r="T1804" s="22" t="n">
        <f aca="false">IF(DAY(B1804)=1,Assumptions!B43*G1804,0)</f>
        <v>0</v>
      </c>
      <c r="U1804" s="22" t="n">
        <f aca="false">SUM(O1804:T1804)</f>
        <v>0</v>
      </c>
      <c r="V1804" s="22" t="n">
        <f aca="false">N1804-U1804</f>
        <v>13800</v>
      </c>
      <c r="W1804" s="22" t="n">
        <f aca="false">W1803+V1804</f>
        <v>783625.225770031</v>
      </c>
      <c r="X1804" s="23" t="str">
        <f aca="false">IF(W1804&gt;=0,"YES","No")</f>
        <v>YES</v>
      </c>
    </row>
    <row r="1805" customFormat="false" ht="15" hidden="false" customHeight="false" outlineLevel="0" collapsed="false">
      <c r="A1805" s="16" t="n">
        <v>1804</v>
      </c>
      <c r="B1805" s="17" t="n">
        <f aca="false">B1804+1</f>
        <v>47826</v>
      </c>
      <c r="C1805" s="18" t="n">
        <f aca="false">MIN(ROUNDUP(A1805/365,0),5)</f>
        <v>5</v>
      </c>
      <c r="D1805" s="18" t="n">
        <f aca="false">DATEDIF(Assumptions!B5,B1805,"m")+1</f>
        <v>60</v>
      </c>
      <c r="E1805" s="18" t="str">
        <f aca="false">TEXT(B1805,"ddd")</f>
        <v>Mon</v>
      </c>
      <c r="F1805" s="19" t="n">
        <f aca="false">IF(WEEKDAY(B1805,2)&gt;=6,Assumptions!B34,Assumptions!B35)</f>
        <v>1</v>
      </c>
      <c r="G1805" s="20" t="n">
        <f aca="false">IF(D1805&gt;=13,(1+Assumptions!B46)^(D1805-12),1)</f>
        <v>1.15463517817933</v>
      </c>
      <c r="H1805" s="21" t="n">
        <f aca="false">H1804*(1+IF(C1805=1,Assumptions!B22,Assumptions!B23))</f>
        <v>26.3489140727642</v>
      </c>
      <c r="I1805" s="16" t="n">
        <f aca="false">ROUND(H1805*F1805,0)</f>
        <v>26</v>
      </c>
      <c r="J1805" s="22" t="n">
        <f aca="false">I1805*Assumptions!B24</f>
        <v>15600</v>
      </c>
      <c r="K1805" s="21" t="n">
        <f aca="false">K1804*(1+Assumptions!B30)</f>
        <v>23.6905869377506</v>
      </c>
      <c r="L1805" s="16" t="n">
        <f aca="false">ROUND(K1805*F1805,0)</f>
        <v>24</v>
      </c>
      <c r="M1805" s="22" t="n">
        <f aca="false">L1805*Assumptions!B31</f>
        <v>7200</v>
      </c>
      <c r="N1805" s="22" t="n">
        <f aca="false">J1805+M1805</f>
        <v>22800</v>
      </c>
      <c r="O1805" s="22" t="n">
        <f aca="false">IF(DAY(B1805)=1,Assumptions!B38*G1805,0)</f>
        <v>0</v>
      </c>
      <c r="P1805" s="22" t="n">
        <f aca="false">IF(DAY(B1805)=1,Assumptions!B39*G1805,0)</f>
        <v>0</v>
      </c>
      <c r="Q1805" s="22" t="n">
        <f aca="false">IF(DAY(B1805)=1,Assumptions!B40*G1805,0)</f>
        <v>0</v>
      </c>
      <c r="R1805" s="22" t="n">
        <f aca="false">IF(DAY(B1805)=1,Assumptions!B41*G1805,0)</f>
        <v>0</v>
      </c>
      <c r="S1805" s="22" t="n">
        <f aca="false">IF(AND(DAY(B1805)=1,D1805&gt;=13),Assumptions!B42*G1805,0)</f>
        <v>0</v>
      </c>
      <c r="T1805" s="22" t="n">
        <f aca="false">IF(DAY(B1805)=1,Assumptions!B43*G1805,0)</f>
        <v>0</v>
      </c>
      <c r="U1805" s="22" t="n">
        <f aca="false">SUM(O1805:T1805)</f>
        <v>0</v>
      </c>
      <c r="V1805" s="22" t="n">
        <f aca="false">N1805-U1805</f>
        <v>22800</v>
      </c>
      <c r="W1805" s="22" t="n">
        <f aca="false">W1804+V1805</f>
        <v>806425.225770031</v>
      </c>
      <c r="X1805" s="23" t="str">
        <f aca="false">IF(W1805&gt;=0,"YES","No")</f>
        <v>YES</v>
      </c>
    </row>
    <row r="1806" customFormat="false" ht="15" hidden="false" customHeight="false" outlineLevel="0" collapsed="false">
      <c r="A1806" s="16" t="n">
        <v>1805</v>
      </c>
      <c r="B1806" s="17" t="n">
        <f aca="false">B1805+1</f>
        <v>47827</v>
      </c>
      <c r="C1806" s="18" t="n">
        <f aca="false">MIN(ROUNDUP(A1806/365,0),5)</f>
        <v>5</v>
      </c>
      <c r="D1806" s="18" t="n">
        <f aca="false">DATEDIF(Assumptions!B5,B1806,"m")+1</f>
        <v>60</v>
      </c>
      <c r="E1806" s="18" t="str">
        <f aca="false">TEXT(B1806,"ddd")</f>
        <v>Tue</v>
      </c>
      <c r="F1806" s="19" t="n">
        <f aca="false">IF(WEEKDAY(B1806,2)&gt;=6,Assumptions!B34,Assumptions!B35)</f>
        <v>1</v>
      </c>
      <c r="G1806" s="20" t="n">
        <f aca="false">IF(D1806&gt;=13,(1+Assumptions!B46)^(D1806-12),1)</f>
        <v>1.15463517817933</v>
      </c>
      <c r="H1806" s="21" t="n">
        <f aca="false">H1805*(1+IF(C1806=1,Assumptions!B22,Assumptions!B23))</f>
        <v>26.3532316506047</v>
      </c>
      <c r="I1806" s="16" t="n">
        <f aca="false">ROUND(H1806*F1806,0)</f>
        <v>26</v>
      </c>
      <c r="J1806" s="22" t="n">
        <f aca="false">I1806*Assumptions!B24</f>
        <v>15600</v>
      </c>
      <c r="K1806" s="21" t="n">
        <f aca="false">K1805*(1+Assumptions!B30)</f>
        <v>23.6983322633193</v>
      </c>
      <c r="L1806" s="16" t="n">
        <f aca="false">ROUND(K1806*F1806,0)</f>
        <v>24</v>
      </c>
      <c r="M1806" s="22" t="n">
        <f aca="false">L1806*Assumptions!B31</f>
        <v>7200</v>
      </c>
      <c r="N1806" s="22" t="n">
        <f aca="false">J1806+M1806</f>
        <v>22800</v>
      </c>
      <c r="O1806" s="22" t="n">
        <f aca="false">IF(DAY(B1806)=1,Assumptions!B38*G1806,0)</f>
        <v>0</v>
      </c>
      <c r="P1806" s="22" t="n">
        <f aca="false">IF(DAY(B1806)=1,Assumptions!B39*G1806,0)</f>
        <v>0</v>
      </c>
      <c r="Q1806" s="22" t="n">
        <f aca="false">IF(DAY(B1806)=1,Assumptions!B40*G1806,0)</f>
        <v>0</v>
      </c>
      <c r="R1806" s="22" t="n">
        <f aca="false">IF(DAY(B1806)=1,Assumptions!B41*G1806,0)</f>
        <v>0</v>
      </c>
      <c r="S1806" s="22" t="n">
        <f aca="false">IF(AND(DAY(B1806)=1,D1806&gt;=13),Assumptions!B42*G1806,0)</f>
        <v>0</v>
      </c>
      <c r="T1806" s="22" t="n">
        <f aca="false">IF(DAY(B1806)=1,Assumptions!B43*G1806,0)</f>
        <v>0</v>
      </c>
      <c r="U1806" s="22" t="n">
        <f aca="false">SUM(O1806:T1806)</f>
        <v>0</v>
      </c>
      <c r="V1806" s="22" t="n">
        <f aca="false">N1806-U1806</f>
        <v>22800</v>
      </c>
      <c r="W1806" s="22" t="n">
        <f aca="false">W1805+V1806</f>
        <v>829225.225770031</v>
      </c>
      <c r="X1806" s="23" t="str">
        <f aca="false">IF(W1806&gt;=0,"YES","No")</f>
        <v>YES</v>
      </c>
    </row>
    <row r="1807" customFormat="false" ht="15" hidden="false" customHeight="false" outlineLevel="0" collapsed="false">
      <c r="A1807" s="16" t="n">
        <v>1806</v>
      </c>
      <c r="B1807" s="17" t="n">
        <f aca="false">B1806+1</f>
        <v>47828</v>
      </c>
      <c r="C1807" s="18" t="n">
        <f aca="false">MIN(ROUNDUP(A1807/365,0),5)</f>
        <v>5</v>
      </c>
      <c r="D1807" s="18" t="n">
        <f aca="false">DATEDIF(Assumptions!B5,B1807,"m")+1</f>
        <v>60</v>
      </c>
      <c r="E1807" s="18" t="str">
        <f aca="false">TEXT(B1807,"ddd")</f>
        <v>Wed</v>
      </c>
      <c r="F1807" s="19" t="n">
        <f aca="false">IF(WEEKDAY(B1807,2)&gt;=6,Assumptions!B34,Assumptions!B35)</f>
        <v>1</v>
      </c>
      <c r="G1807" s="20" t="n">
        <f aca="false">IF(D1807&gt;=13,(1+Assumptions!B46)^(D1807-12),1)</f>
        <v>1.15463517817933</v>
      </c>
      <c r="H1807" s="21" t="n">
        <f aca="false">H1806*(1+IF(C1807=1,Assumptions!B22,Assumptions!B23))</f>
        <v>26.3575499359308</v>
      </c>
      <c r="I1807" s="16" t="n">
        <f aca="false">ROUND(H1807*F1807,0)</f>
        <v>26</v>
      </c>
      <c r="J1807" s="22" t="n">
        <f aca="false">I1807*Assumptions!B24</f>
        <v>15600</v>
      </c>
      <c r="K1807" s="21" t="n">
        <f aca="false">K1806*(1+Assumptions!B30)</f>
        <v>23.7060801211203</v>
      </c>
      <c r="L1807" s="16" t="n">
        <f aca="false">ROUND(K1807*F1807,0)</f>
        <v>24</v>
      </c>
      <c r="M1807" s="22" t="n">
        <f aca="false">L1807*Assumptions!B31</f>
        <v>7200</v>
      </c>
      <c r="N1807" s="22" t="n">
        <f aca="false">J1807+M1807</f>
        <v>22800</v>
      </c>
      <c r="O1807" s="22" t="n">
        <f aca="false">IF(DAY(B1807)=1,Assumptions!B38*G1807,0)</f>
        <v>0</v>
      </c>
      <c r="P1807" s="22" t="n">
        <f aca="false">IF(DAY(B1807)=1,Assumptions!B39*G1807,0)</f>
        <v>0</v>
      </c>
      <c r="Q1807" s="22" t="n">
        <f aca="false">IF(DAY(B1807)=1,Assumptions!B40*G1807,0)</f>
        <v>0</v>
      </c>
      <c r="R1807" s="22" t="n">
        <f aca="false">IF(DAY(B1807)=1,Assumptions!B41*G1807,0)</f>
        <v>0</v>
      </c>
      <c r="S1807" s="22" t="n">
        <f aca="false">IF(AND(DAY(B1807)=1,D1807&gt;=13),Assumptions!B42*G1807,0)</f>
        <v>0</v>
      </c>
      <c r="T1807" s="22" t="n">
        <f aca="false">IF(DAY(B1807)=1,Assumptions!B43*G1807,0)</f>
        <v>0</v>
      </c>
      <c r="U1807" s="22" t="n">
        <f aca="false">SUM(O1807:T1807)</f>
        <v>0</v>
      </c>
      <c r="V1807" s="22" t="n">
        <f aca="false">N1807-U1807</f>
        <v>22800</v>
      </c>
      <c r="W1807" s="22" t="n">
        <f aca="false">W1806+V1807</f>
        <v>852025.225770031</v>
      </c>
      <c r="X1807" s="23" t="str">
        <f aca="false">IF(W1807&gt;=0,"YES","No")</f>
        <v>YES</v>
      </c>
    </row>
    <row r="1808" customFormat="false" ht="15" hidden="false" customHeight="false" outlineLevel="0" collapsed="false">
      <c r="A1808" s="16" t="n">
        <v>1807</v>
      </c>
      <c r="B1808" s="17" t="n">
        <f aca="false">B1807+1</f>
        <v>47829</v>
      </c>
      <c r="C1808" s="18" t="n">
        <f aca="false">MIN(ROUNDUP(A1808/365,0),5)</f>
        <v>5</v>
      </c>
      <c r="D1808" s="18" t="n">
        <f aca="false">DATEDIF(Assumptions!B5,B1808,"m")+1</f>
        <v>60</v>
      </c>
      <c r="E1808" s="18" t="str">
        <f aca="false">TEXT(B1808,"ddd")</f>
        <v>Thu</v>
      </c>
      <c r="F1808" s="19" t="n">
        <f aca="false">IF(WEEKDAY(B1808,2)&gt;=6,Assumptions!B34,Assumptions!B35)</f>
        <v>1</v>
      </c>
      <c r="G1808" s="20" t="n">
        <f aca="false">IF(D1808&gt;=13,(1+Assumptions!B46)^(D1808-12),1)</f>
        <v>1.15463517817933</v>
      </c>
      <c r="H1808" s="21" t="n">
        <f aca="false">H1807*(1+IF(C1808=1,Assumptions!B22,Assumptions!B23))</f>
        <v>26.3618689288585</v>
      </c>
      <c r="I1808" s="16" t="n">
        <f aca="false">ROUND(H1808*F1808,0)</f>
        <v>26</v>
      </c>
      <c r="J1808" s="22" t="n">
        <f aca="false">I1808*Assumptions!B24</f>
        <v>15600</v>
      </c>
      <c r="K1808" s="21" t="n">
        <f aca="false">K1807*(1+Assumptions!B30)</f>
        <v>23.7138305119815</v>
      </c>
      <c r="L1808" s="16" t="n">
        <f aca="false">ROUND(K1808*F1808,0)</f>
        <v>24</v>
      </c>
      <c r="M1808" s="22" t="n">
        <f aca="false">L1808*Assumptions!B31</f>
        <v>7200</v>
      </c>
      <c r="N1808" s="22" t="n">
        <f aca="false">J1808+M1808</f>
        <v>22800</v>
      </c>
      <c r="O1808" s="22" t="n">
        <f aca="false">IF(DAY(B1808)=1,Assumptions!B38*G1808,0)</f>
        <v>0</v>
      </c>
      <c r="P1808" s="22" t="n">
        <f aca="false">IF(DAY(B1808)=1,Assumptions!B39*G1808,0)</f>
        <v>0</v>
      </c>
      <c r="Q1808" s="22" t="n">
        <f aca="false">IF(DAY(B1808)=1,Assumptions!B40*G1808,0)</f>
        <v>0</v>
      </c>
      <c r="R1808" s="22" t="n">
        <f aca="false">IF(DAY(B1808)=1,Assumptions!B41*G1808,0)</f>
        <v>0</v>
      </c>
      <c r="S1808" s="22" t="n">
        <f aca="false">IF(AND(DAY(B1808)=1,D1808&gt;=13),Assumptions!B42*G1808,0)</f>
        <v>0</v>
      </c>
      <c r="T1808" s="22" t="n">
        <f aca="false">IF(DAY(B1808)=1,Assumptions!B43*G1808,0)</f>
        <v>0</v>
      </c>
      <c r="U1808" s="22" t="n">
        <f aca="false">SUM(O1808:T1808)</f>
        <v>0</v>
      </c>
      <c r="V1808" s="22" t="n">
        <f aca="false">N1808-U1808</f>
        <v>22800</v>
      </c>
      <c r="W1808" s="22" t="n">
        <f aca="false">W1807+V1808</f>
        <v>874825.225770031</v>
      </c>
      <c r="X1808" s="23" t="str">
        <f aca="false">IF(W1808&gt;=0,"YES","No")</f>
        <v>YES</v>
      </c>
    </row>
    <row r="1809" customFormat="false" ht="15" hidden="false" customHeight="false" outlineLevel="0" collapsed="false">
      <c r="A1809" s="16" t="n">
        <v>1808</v>
      </c>
      <c r="B1809" s="17" t="n">
        <f aca="false">B1808+1</f>
        <v>47830</v>
      </c>
      <c r="C1809" s="18" t="n">
        <f aca="false">MIN(ROUNDUP(A1809/365,0),5)</f>
        <v>5</v>
      </c>
      <c r="D1809" s="18" t="n">
        <f aca="false">DATEDIF(Assumptions!B5,B1809,"m")+1</f>
        <v>60</v>
      </c>
      <c r="E1809" s="18" t="str">
        <f aca="false">TEXT(B1809,"ddd")</f>
        <v>Fri</v>
      </c>
      <c r="F1809" s="19" t="n">
        <f aca="false">IF(WEEKDAY(B1809,2)&gt;=6,Assumptions!B34,Assumptions!B35)</f>
        <v>1</v>
      </c>
      <c r="G1809" s="20" t="n">
        <f aca="false">IF(D1809&gt;=13,(1+Assumptions!B46)^(D1809-12),1)</f>
        <v>1.15463517817933</v>
      </c>
      <c r="H1809" s="21" t="n">
        <f aca="false">H1808*(1+IF(C1809=1,Assumptions!B22,Assumptions!B23))</f>
        <v>26.3661886295037</v>
      </c>
      <c r="I1809" s="16" t="n">
        <f aca="false">ROUND(H1809*F1809,0)</f>
        <v>26</v>
      </c>
      <c r="J1809" s="22" t="n">
        <f aca="false">I1809*Assumptions!B24</f>
        <v>15600</v>
      </c>
      <c r="K1809" s="21" t="n">
        <f aca="false">K1808*(1+Assumptions!B30)</f>
        <v>23.7215834367309</v>
      </c>
      <c r="L1809" s="16" t="n">
        <f aca="false">ROUND(K1809*F1809,0)</f>
        <v>24</v>
      </c>
      <c r="M1809" s="22" t="n">
        <f aca="false">L1809*Assumptions!B31</f>
        <v>7200</v>
      </c>
      <c r="N1809" s="22" t="n">
        <f aca="false">J1809+M1809</f>
        <v>22800</v>
      </c>
      <c r="O1809" s="22" t="n">
        <f aca="false">IF(DAY(B1809)=1,Assumptions!B38*G1809,0)</f>
        <v>0</v>
      </c>
      <c r="P1809" s="22" t="n">
        <f aca="false">IF(DAY(B1809)=1,Assumptions!B39*G1809,0)</f>
        <v>0</v>
      </c>
      <c r="Q1809" s="22" t="n">
        <f aca="false">IF(DAY(B1809)=1,Assumptions!B40*G1809,0)</f>
        <v>0</v>
      </c>
      <c r="R1809" s="22" t="n">
        <f aca="false">IF(DAY(B1809)=1,Assumptions!B41*G1809,0)</f>
        <v>0</v>
      </c>
      <c r="S1809" s="22" t="n">
        <f aca="false">IF(AND(DAY(B1809)=1,D1809&gt;=13),Assumptions!B42*G1809,0)</f>
        <v>0</v>
      </c>
      <c r="T1809" s="22" t="n">
        <f aca="false">IF(DAY(B1809)=1,Assumptions!B43*G1809,0)</f>
        <v>0</v>
      </c>
      <c r="U1809" s="22" t="n">
        <f aca="false">SUM(O1809:T1809)</f>
        <v>0</v>
      </c>
      <c r="V1809" s="22" t="n">
        <f aca="false">N1809-U1809</f>
        <v>22800</v>
      </c>
      <c r="W1809" s="22" t="n">
        <f aca="false">W1808+V1809</f>
        <v>897625.225770031</v>
      </c>
      <c r="X1809" s="23" t="str">
        <f aca="false">IF(W1809&gt;=0,"YES","No")</f>
        <v>YES</v>
      </c>
    </row>
    <row r="1810" customFormat="false" ht="15" hidden="false" customHeight="false" outlineLevel="0" collapsed="false">
      <c r="A1810" s="16" t="n">
        <v>1809</v>
      </c>
      <c r="B1810" s="17" t="n">
        <f aca="false">B1809+1</f>
        <v>47831</v>
      </c>
      <c r="C1810" s="18" t="n">
        <f aca="false">MIN(ROUNDUP(A1810/365,0),5)</f>
        <v>5</v>
      </c>
      <c r="D1810" s="18" t="n">
        <f aca="false">DATEDIF(Assumptions!B5,B1810,"m")+1</f>
        <v>60</v>
      </c>
      <c r="E1810" s="18" t="str">
        <f aca="false">TEXT(B1810,"ddd")</f>
        <v>Sat</v>
      </c>
      <c r="F1810" s="19" t="n">
        <f aca="false">IF(WEEKDAY(B1810,2)&gt;=6,Assumptions!B34,Assumptions!B35)</f>
        <v>0.6</v>
      </c>
      <c r="G1810" s="20" t="n">
        <f aca="false">IF(D1810&gt;=13,(1+Assumptions!B46)^(D1810-12),1)</f>
        <v>1.15463517817933</v>
      </c>
      <c r="H1810" s="21" t="n">
        <f aca="false">H1809*(1+IF(C1810=1,Assumptions!B22,Assumptions!B23))</f>
        <v>26.3705090379824</v>
      </c>
      <c r="I1810" s="16" t="n">
        <f aca="false">ROUND(H1810*F1810,0)</f>
        <v>16</v>
      </c>
      <c r="J1810" s="22" t="n">
        <f aca="false">I1810*Assumptions!B24</f>
        <v>9600</v>
      </c>
      <c r="K1810" s="21" t="n">
        <f aca="false">K1809*(1+Assumptions!B30)</f>
        <v>23.729338896197</v>
      </c>
      <c r="L1810" s="16" t="n">
        <f aca="false">ROUND(K1810*F1810,0)</f>
        <v>14</v>
      </c>
      <c r="M1810" s="22" t="n">
        <f aca="false">L1810*Assumptions!B31</f>
        <v>4200</v>
      </c>
      <c r="N1810" s="22" t="n">
        <f aca="false">J1810+M1810</f>
        <v>13800</v>
      </c>
      <c r="O1810" s="22" t="n">
        <f aca="false">IF(DAY(B1810)=1,Assumptions!B38*G1810,0)</f>
        <v>0</v>
      </c>
      <c r="P1810" s="22" t="n">
        <f aca="false">IF(DAY(B1810)=1,Assumptions!B39*G1810,0)</f>
        <v>0</v>
      </c>
      <c r="Q1810" s="22" t="n">
        <f aca="false">IF(DAY(B1810)=1,Assumptions!B40*G1810,0)</f>
        <v>0</v>
      </c>
      <c r="R1810" s="22" t="n">
        <f aca="false">IF(DAY(B1810)=1,Assumptions!B41*G1810,0)</f>
        <v>0</v>
      </c>
      <c r="S1810" s="22" t="n">
        <f aca="false">IF(AND(DAY(B1810)=1,D1810&gt;=13),Assumptions!B42*G1810,0)</f>
        <v>0</v>
      </c>
      <c r="T1810" s="22" t="n">
        <f aca="false">IF(DAY(B1810)=1,Assumptions!B43*G1810,0)</f>
        <v>0</v>
      </c>
      <c r="U1810" s="22" t="n">
        <f aca="false">SUM(O1810:T1810)</f>
        <v>0</v>
      </c>
      <c r="V1810" s="22" t="n">
        <f aca="false">N1810-U1810</f>
        <v>13800</v>
      </c>
      <c r="W1810" s="22" t="n">
        <f aca="false">W1809+V1810</f>
        <v>911425.225770031</v>
      </c>
      <c r="X1810" s="23" t="str">
        <f aca="false">IF(W1810&gt;=0,"YES","No")</f>
        <v>YES</v>
      </c>
    </row>
    <row r="1811" customFormat="false" ht="15" hidden="false" customHeight="false" outlineLevel="0" collapsed="false">
      <c r="A1811" s="16" t="n">
        <v>1810</v>
      </c>
      <c r="B1811" s="17" t="n">
        <f aca="false">B1810+1</f>
        <v>47832</v>
      </c>
      <c r="C1811" s="18" t="n">
        <f aca="false">MIN(ROUNDUP(A1811/365,0),5)</f>
        <v>5</v>
      </c>
      <c r="D1811" s="18" t="n">
        <f aca="false">DATEDIF(Assumptions!B5,B1811,"m")+1</f>
        <v>60</v>
      </c>
      <c r="E1811" s="18" t="str">
        <f aca="false">TEXT(B1811,"ddd")</f>
        <v>Sun</v>
      </c>
      <c r="F1811" s="19" t="n">
        <f aca="false">IF(WEEKDAY(B1811,2)&gt;=6,Assumptions!B34,Assumptions!B35)</f>
        <v>0.6</v>
      </c>
      <c r="G1811" s="20" t="n">
        <f aca="false">IF(D1811&gt;=13,(1+Assumptions!B46)^(D1811-12),1)</f>
        <v>1.15463517817933</v>
      </c>
      <c r="H1811" s="21" t="n">
        <f aca="false">H1810*(1+IF(C1811=1,Assumptions!B22,Assumptions!B23))</f>
        <v>26.3748301544106</v>
      </c>
      <c r="I1811" s="16" t="n">
        <f aca="false">ROUND(H1811*F1811,0)</f>
        <v>16</v>
      </c>
      <c r="J1811" s="22" t="n">
        <f aca="false">I1811*Assumptions!B24</f>
        <v>9600</v>
      </c>
      <c r="K1811" s="21" t="n">
        <f aca="false">K1810*(1+Assumptions!B30)</f>
        <v>23.7370968912085</v>
      </c>
      <c r="L1811" s="16" t="n">
        <f aca="false">ROUND(K1811*F1811,0)</f>
        <v>14</v>
      </c>
      <c r="M1811" s="22" t="n">
        <f aca="false">L1811*Assumptions!B31</f>
        <v>4200</v>
      </c>
      <c r="N1811" s="22" t="n">
        <f aca="false">J1811+M1811</f>
        <v>13800</v>
      </c>
      <c r="O1811" s="22" t="n">
        <f aca="false">IF(DAY(B1811)=1,Assumptions!B38*G1811,0)</f>
        <v>0</v>
      </c>
      <c r="P1811" s="22" t="n">
        <f aca="false">IF(DAY(B1811)=1,Assumptions!B39*G1811,0)</f>
        <v>0</v>
      </c>
      <c r="Q1811" s="22" t="n">
        <f aca="false">IF(DAY(B1811)=1,Assumptions!B40*G1811,0)</f>
        <v>0</v>
      </c>
      <c r="R1811" s="22" t="n">
        <f aca="false">IF(DAY(B1811)=1,Assumptions!B41*G1811,0)</f>
        <v>0</v>
      </c>
      <c r="S1811" s="22" t="n">
        <f aca="false">IF(AND(DAY(B1811)=1,D1811&gt;=13),Assumptions!B42*G1811,0)</f>
        <v>0</v>
      </c>
      <c r="T1811" s="22" t="n">
        <f aca="false">IF(DAY(B1811)=1,Assumptions!B43*G1811,0)</f>
        <v>0</v>
      </c>
      <c r="U1811" s="22" t="n">
        <f aca="false">SUM(O1811:T1811)</f>
        <v>0</v>
      </c>
      <c r="V1811" s="22" t="n">
        <f aca="false">N1811-U1811</f>
        <v>13800</v>
      </c>
      <c r="W1811" s="22" t="n">
        <f aca="false">W1810+V1811</f>
        <v>925225.225770031</v>
      </c>
      <c r="X1811" s="23" t="str">
        <f aca="false">IF(W1811&gt;=0,"YES","No")</f>
        <v>YES</v>
      </c>
    </row>
    <row r="1812" customFormat="false" ht="15" hidden="false" customHeight="false" outlineLevel="0" collapsed="false">
      <c r="A1812" s="16" t="n">
        <v>1811</v>
      </c>
      <c r="B1812" s="17" t="n">
        <f aca="false">B1811+1</f>
        <v>47833</v>
      </c>
      <c r="C1812" s="18" t="n">
        <f aca="false">MIN(ROUNDUP(A1812/365,0),5)</f>
        <v>5</v>
      </c>
      <c r="D1812" s="18" t="n">
        <f aca="false">DATEDIF(Assumptions!B5,B1812,"m")+1</f>
        <v>60</v>
      </c>
      <c r="E1812" s="18" t="str">
        <f aca="false">TEXT(B1812,"ddd")</f>
        <v>Mon</v>
      </c>
      <c r="F1812" s="19" t="n">
        <f aca="false">IF(WEEKDAY(B1812,2)&gt;=6,Assumptions!B34,Assumptions!B35)</f>
        <v>1</v>
      </c>
      <c r="G1812" s="20" t="n">
        <f aca="false">IF(D1812&gt;=13,(1+Assumptions!B46)^(D1812-12),1)</f>
        <v>1.15463517817933</v>
      </c>
      <c r="H1812" s="21" t="n">
        <f aca="false">H1811*(1+IF(C1812=1,Assumptions!B22,Assumptions!B23))</f>
        <v>26.3791519789042</v>
      </c>
      <c r="I1812" s="16" t="n">
        <f aca="false">ROUND(H1812*F1812,0)</f>
        <v>26</v>
      </c>
      <c r="J1812" s="22" t="n">
        <f aca="false">I1812*Assumptions!B24</f>
        <v>15600</v>
      </c>
      <c r="K1812" s="21" t="n">
        <f aca="false">K1811*(1+Assumptions!B30)</f>
        <v>23.7448574225943</v>
      </c>
      <c r="L1812" s="16" t="n">
        <f aca="false">ROUND(K1812*F1812,0)</f>
        <v>24</v>
      </c>
      <c r="M1812" s="22" t="n">
        <f aca="false">L1812*Assumptions!B31</f>
        <v>7200</v>
      </c>
      <c r="N1812" s="22" t="n">
        <f aca="false">J1812+M1812</f>
        <v>22800</v>
      </c>
      <c r="O1812" s="22" t="n">
        <f aca="false">IF(DAY(B1812)=1,Assumptions!B38*G1812,0)</f>
        <v>0</v>
      </c>
      <c r="P1812" s="22" t="n">
        <f aca="false">IF(DAY(B1812)=1,Assumptions!B39*G1812,0)</f>
        <v>0</v>
      </c>
      <c r="Q1812" s="22" t="n">
        <f aca="false">IF(DAY(B1812)=1,Assumptions!B40*G1812,0)</f>
        <v>0</v>
      </c>
      <c r="R1812" s="22" t="n">
        <f aca="false">IF(DAY(B1812)=1,Assumptions!B41*G1812,0)</f>
        <v>0</v>
      </c>
      <c r="S1812" s="22" t="n">
        <f aca="false">IF(AND(DAY(B1812)=1,D1812&gt;=13),Assumptions!B42*G1812,0)</f>
        <v>0</v>
      </c>
      <c r="T1812" s="22" t="n">
        <f aca="false">IF(DAY(B1812)=1,Assumptions!B43*G1812,0)</f>
        <v>0</v>
      </c>
      <c r="U1812" s="22" t="n">
        <f aca="false">SUM(O1812:T1812)</f>
        <v>0</v>
      </c>
      <c r="V1812" s="22" t="n">
        <f aca="false">N1812-U1812</f>
        <v>22800</v>
      </c>
      <c r="W1812" s="22" t="n">
        <f aca="false">W1811+V1812</f>
        <v>948025.225770031</v>
      </c>
      <c r="X1812" s="23" t="str">
        <f aca="false">IF(W1812&gt;=0,"YES","No")</f>
        <v>YES</v>
      </c>
    </row>
    <row r="1813" customFormat="false" ht="15" hidden="false" customHeight="false" outlineLevel="0" collapsed="false">
      <c r="A1813" s="16" t="n">
        <v>1812</v>
      </c>
      <c r="B1813" s="17" t="n">
        <f aca="false">B1812+1</f>
        <v>47834</v>
      </c>
      <c r="C1813" s="18" t="n">
        <f aca="false">MIN(ROUNDUP(A1813/365,0),5)</f>
        <v>5</v>
      </c>
      <c r="D1813" s="18" t="n">
        <f aca="false">DATEDIF(Assumptions!B5,B1813,"m")+1</f>
        <v>60</v>
      </c>
      <c r="E1813" s="18" t="str">
        <f aca="false">TEXT(B1813,"ddd")</f>
        <v>Tue</v>
      </c>
      <c r="F1813" s="19" t="n">
        <f aca="false">IF(WEEKDAY(B1813,2)&gt;=6,Assumptions!B34,Assumptions!B35)</f>
        <v>1</v>
      </c>
      <c r="G1813" s="20" t="n">
        <f aca="false">IF(D1813&gt;=13,(1+Assumptions!B46)^(D1813-12),1)</f>
        <v>1.15463517817933</v>
      </c>
      <c r="H1813" s="21" t="n">
        <f aca="false">H1812*(1+IF(C1813=1,Assumptions!B22,Assumptions!B23))</f>
        <v>26.3834745115794</v>
      </c>
      <c r="I1813" s="16" t="n">
        <f aca="false">ROUND(H1813*F1813,0)</f>
        <v>26</v>
      </c>
      <c r="J1813" s="22" t="n">
        <f aca="false">I1813*Assumptions!B24</f>
        <v>15600</v>
      </c>
      <c r="K1813" s="21" t="n">
        <f aca="false">K1812*(1+Assumptions!B30)</f>
        <v>23.7526204911837</v>
      </c>
      <c r="L1813" s="16" t="n">
        <f aca="false">ROUND(K1813*F1813,0)</f>
        <v>24</v>
      </c>
      <c r="M1813" s="22" t="n">
        <f aca="false">L1813*Assumptions!B31</f>
        <v>7200</v>
      </c>
      <c r="N1813" s="22" t="n">
        <f aca="false">J1813+M1813</f>
        <v>22800</v>
      </c>
      <c r="O1813" s="22" t="n">
        <f aca="false">IF(DAY(B1813)=1,Assumptions!B38*G1813,0)</f>
        <v>0</v>
      </c>
      <c r="P1813" s="22" t="n">
        <f aca="false">IF(DAY(B1813)=1,Assumptions!B39*G1813,0)</f>
        <v>0</v>
      </c>
      <c r="Q1813" s="22" t="n">
        <f aca="false">IF(DAY(B1813)=1,Assumptions!B40*G1813,0)</f>
        <v>0</v>
      </c>
      <c r="R1813" s="22" t="n">
        <f aca="false">IF(DAY(B1813)=1,Assumptions!B41*G1813,0)</f>
        <v>0</v>
      </c>
      <c r="S1813" s="22" t="n">
        <f aca="false">IF(AND(DAY(B1813)=1,D1813&gt;=13),Assumptions!B42*G1813,0)</f>
        <v>0</v>
      </c>
      <c r="T1813" s="22" t="n">
        <f aca="false">IF(DAY(B1813)=1,Assumptions!B43*G1813,0)</f>
        <v>0</v>
      </c>
      <c r="U1813" s="22" t="n">
        <f aca="false">SUM(O1813:T1813)</f>
        <v>0</v>
      </c>
      <c r="V1813" s="22" t="n">
        <f aca="false">N1813-U1813</f>
        <v>22800</v>
      </c>
      <c r="W1813" s="22" t="n">
        <f aca="false">W1812+V1813</f>
        <v>970825.225770031</v>
      </c>
      <c r="X1813" s="23" t="str">
        <f aca="false">IF(W1813&gt;=0,"YES","No")</f>
        <v>YES</v>
      </c>
    </row>
    <row r="1814" customFormat="false" ht="15" hidden="false" customHeight="false" outlineLevel="0" collapsed="false">
      <c r="A1814" s="16" t="n">
        <v>1813</v>
      </c>
      <c r="B1814" s="17" t="n">
        <f aca="false">B1813+1</f>
        <v>47835</v>
      </c>
      <c r="C1814" s="18" t="n">
        <f aca="false">MIN(ROUNDUP(A1814/365,0),5)</f>
        <v>5</v>
      </c>
      <c r="D1814" s="18" t="n">
        <f aca="false">DATEDIF(Assumptions!B5,B1814,"m")+1</f>
        <v>60</v>
      </c>
      <c r="E1814" s="18" t="str">
        <f aca="false">TEXT(B1814,"ddd")</f>
        <v>Wed</v>
      </c>
      <c r="F1814" s="19" t="n">
        <f aca="false">IF(WEEKDAY(B1814,2)&gt;=6,Assumptions!B34,Assumptions!B35)</f>
        <v>1</v>
      </c>
      <c r="G1814" s="20" t="n">
        <f aca="false">IF(D1814&gt;=13,(1+Assumptions!B46)^(D1814-12),1)</f>
        <v>1.15463517817933</v>
      </c>
      <c r="H1814" s="21" t="n">
        <f aca="false">H1813*(1+IF(C1814=1,Assumptions!B22,Assumptions!B23))</f>
        <v>26.3877977525521</v>
      </c>
      <c r="I1814" s="16" t="n">
        <f aca="false">ROUND(H1814*F1814,0)</f>
        <v>26</v>
      </c>
      <c r="J1814" s="22" t="n">
        <f aca="false">I1814*Assumptions!B24</f>
        <v>15600</v>
      </c>
      <c r="K1814" s="21" t="n">
        <f aca="false">K1813*(1+Assumptions!B30)</f>
        <v>23.7603860978063</v>
      </c>
      <c r="L1814" s="16" t="n">
        <f aca="false">ROUND(K1814*F1814,0)</f>
        <v>24</v>
      </c>
      <c r="M1814" s="22" t="n">
        <f aca="false">L1814*Assumptions!B31</f>
        <v>7200</v>
      </c>
      <c r="N1814" s="22" t="n">
        <f aca="false">J1814+M1814</f>
        <v>22800</v>
      </c>
      <c r="O1814" s="22" t="n">
        <f aca="false">IF(DAY(B1814)=1,Assumptions!B38*G1814,0)</f>
        <v>0</v>
      </c>
      <c r="P1814" s="22" t="n">
        <f aca="false">IF(DAY(B1814)=1,Assumptions!B39*G1814,0)</f>
        <v>0</v>
      </c>
      <c r="Q1814" s="22" t="n">
        <f aca="false">IF(DAY(B1814)=1,Assumptions!B40*G1814,0)</f>
        <v>0</v>
      </c>
      <c r="R1814" s="22" t="n">
        <f aca="false">IF(DAY(B1814)=1,Assumptions!B41*G1814,0)</f>
        <v>0</v>
      </c>
      <c r="S1814" s="22" t="n">
        <f aca="false">IF(AND(DAY(B1814)=1,D1814&gt;=13),Assumptions!B42*G1814,0)</f>
        <v>0</v>
      </c>
      <c r="T1814" s="22" t="n">
        <f aca="false">IF(DAY(B1814)=1,Assumptions!B43*G1814,0)</f>
        <v>0</v>
      </c>
      <c r="U1814" s="22" t="n">
        <f aca="false">SUM(O1814:T1814)</f>
        <v>0</v>
      </c>
      <c r="V1814" s="22" t="n">
        <f aca="false">N1814-U1814</f>
        <v>22800</v>
      </c>
      <c r="W1814" s="22" t="n">
        <f aca="false">W1813+V1814</f>
        <v>993625.225770031</v>
      </c>
      <c r="X1814" s="23" t="str">
        <f aca="false">IF(W1814&gt;=0,"YES","No")</f>
        <v>YES</v>
      </c>
    </row>
    <row r="1815" customFormat="false" ht="15" hidden="false" customHeight="false" outlineLevel="0" collapsed="false">
      <c r="A1815" s="16" t="n">
        <v>1814</v>
      </c>
      <c r="B1815" s="17" t="n">
        <f aca="false">B1814+1</f>
        <v>47836</v>
      </c>
      <c r="C1815" s="18" t="n">
        <f aca="false">MIN(ROUNDUP(A1815/365,0),5)</f>
        <v>5</v>
      </c>
      <c r="D1815" s="18" t="n">
        <f aca="false">DATEDIF(Assumptions!B5,B1815,"m")+1</f>
        <v>60</v>
      </c>
      <c r="E1815" s="18" t="str">
        <f aca="false">TEXT(B1815,"ddd")</f>
        <v>Thu</v>
      </c>
      <c r="F1815" s="19" t="n">
        <f aca="false">IF(WEEKDAY(B1815,2)&gt;=6,Assumptions!B34,Assumptions!B35)</f>
        <v>1</v>
      </c>
      <c r="G1815" s="20" t="n">
        <f aca="false">IF(D1815&gt;=13,(1+Assumptions!B46)^(D1815-12),1)</f>
        <v>1.15463517817933</v>
      </c>
      <c r="H1815" s="21" t="n">
        <f aca="false">H1814*(1+IF(C1815=1,Assumptions!B22,Assumptions!B23))</f>
        <v>26.3921217019384</v>
      </c>
      <c r="I1815" s="16" t="n">
        <f aca="false">ROUND(H1815*F1815,0)</f>
        <v>26</v>
      </c>
      <c r="J1815" s="22" t="n">
        <f aca="false">I1815*Assumptions!B24</f>
        <v>15600</v>
      </c>
      <c r="K1815" s="21" t="n">
        <f aca="false">K1814*(1+Assumptions!B30)</f>
        <v>23.7681542432917</v>
      </c>
      <c r="L1815" s="16" t="n">
        <f aca="false">ROUND(K1815*F1815,0)</f>
        <v>24</v>
      </c>
      <c r="M1815" s="22" t="n">
        <f aca="false">L1815*Assumptions!B31</f>
        <v>7200</v>
      </c>
      <c r="N1815" s="22" t="n">
        <f aca="false">J1815+M1815</f>
        <v>22800</v>
      </c>
      <c r="O1815" s="22" t="n">
        <f aca="false">IF(DAY(B1815)=1,Assumptions!B38*G1815,0)</f>
        <v>0</v>
      </c>
      <c r="P1815" s="22" t="n">
        <f aca="false">IF(DAY(B1815)=1,Assumptions!B39*G1815,0)</f>
        <v>0</v>
      </c>
      <c r="Q1815" s="22" t="n">
        <f aca="false">IF(DAY(B1815)=1,Assumptions!B40*G1815,0)</f>
        <v>0</v>
      </c>
      <c r="R1815" s="22" t="n">
        <f aca="false">IF(DAY(B1815)=1,Assumptions!B41*G1815,0)</f>
        <v>0</v>
      </c>
      <c r="S1815" s="22" t="n">
        <f aca="false">IF(AND(DAY(B1815)=1,D1815&gt;=13),Assumptions!B42*G1815,0)</f>
        <v>0</v>
      </c>
      <c r="T1815" s="22" t="n">
        <f aca="false">IF(DAY(B1815)=1,Assumptions!B43*G1815,0)</f>
        <v>0</v>
      </c>
      <c r="U1815" s="22" t="n">
        <f aca="false">SUM(O1815:T1815)</f>
        <v>0</v>
      </c>
      <c r="V1815" s="22" t="n">
        <f aca="false">N1815-U1815</f>
        <v>22800</v>
      </c>
      <c r="W1815" s="22" t="n">
        <f aca="false">W1814+V1815</f>
        <v>1016425.22577003</v>
      </c>
      <c r="X1815" s="23" t="str">
        <f aca="false">IF(W1815&gt;=0,"YES","No")</f>
        <v>YES</v>
      </c>
    </row>
    <row r="1816" customFormat="false" ht="15" hidden="false" customHeight="false" outlineLevel="0" collapsed="false">
      <c r="A1816" s="16" t="n">
        <v>1815</v>
      </c>
      <c r="B1816" s="17" t="n">
        <f aca="false">B1815+1</f>
        <v>47837</v>
      </c>
      <c r="C1816" s="18" t="n">
        <f aca="false">MIN(ROUNDUP(A1816/365,0),5)</f>
        <v>5</v>
      </c>
      <c r="D1816" s="18" t="n">
        <f aca="false">DATEDIF(Assumptions!B5,B1816,"m")+1</f>
        <v>60</v>
      </c>
      <c r="E1816" s="18" t="str">
        <f aca="false">TEXT(B1816,"ddd")</f>
        <v>Fri</v>
      </c>
      <c r="F1816" s="19" t="n">
        <f aca="false">IF(WEEKDAY(B1816,2)&gt;=6,Assumptions!B34,Assumptions!B35)</f>
        <v>1</v>
      </c>
      <c r="G1816" s="20" t="n">
        <f aca="false">IF(D1816&gt;=13,(1+Assumptions!B46)^(D1816-12),1)</f>
        <v>1.15463517817933</v>
      </c>
      <c r="H1816" s="21" t="n">
        <f aca="false">H1815*(1+IF(C1816=1,Assumptions!B22,Assumptions!B23))</f>
        <v>26.3964463598544</v>
      </c>
      <c r="I1816" s="16" t="n">
        <f aca="false">ROUND(H1816*F1816,0)</f>
        <v>26</v>
      </c>
      <c r="J1816" s="22" t="n">
        <f aca="false">I1816*Assumptions!B24</f>
        <v>15600</v>
      </c>
      <c r="K1816" s="21" t="n">
        <f aca="false">K1815*(1+Assumptions!B30)</f>
        <v>23.77592492847</v>
      </c>
      <c r="L1816" s="16" t="n">
        <f aca="false">ROUND(K1816*F1816,0)</f>
        <v>24</v>
      </c>
      <c r="M1816" s="22" t="n">
        <f aca="false">L1816*Assumptions!B31</f>
        <v>7200</v>
      </c>
      <c r="N1816" s="22" t="n">
        <f aca="false">J1816+M1816</f>
        <v>22800</v>
      </c>
      <c r="O1816" s="22" t="n">
        <f aca="false">IF(DAY(B1816)=1,Assumptions!B38*G1816,0)</f>
        <v>0</v>
      </c>
      <c r="P1816" s="22" t="n">
        <f aca="false">IF(DAY(B1816)=1,Assumptions!B39*G1816,0)</f>
        <v>0</v>
      </c>
      <c r="Q1816" s="22" t="n">
        <f aca="false">IF(DAY(B1816)=1,Assumptions!B40*G1816,0)</f>
        <v>0</v>
      </c>
      <c r="R1816" s="22" t="n">
        <f aca="false">IF(DAY(B1816)=1,Assumptions!B41*G1816,0)</f>
        <v>0</v>
      </c>
      <c r="S1816" s="22" t="n">
        <f aca="false">IF(AND(DAY(B1816)=1,D1816&gt;=13),Assumptions!B42*G1816,0)</f>
        <v>0</v>
      </c>
      <c r="T1816" s="22" t="n">
        <f aca="false">IF(DAY(B1816)=1,Assumptions!B43*G1816,0)</f>
        <v>0</v>
      </c>
      <c r="U1816" s="22" t="n">
        <f aca="false">SUM(O1816:T1816)</f>
        <v>0</v>
      </c>
      <c r="V1816" s="22" t="n">
        <f aca="false">N1816-U1816</f>
        <v>22800</v>
      </c>
      <c r="W1816" s="22" t="n">
        <f aca="false">W1815+V1816</f>
        <v>1039225.22577003</v>
      </c>
      <c r="X1816" s="23" t="str">
        <f aca="false">IF(W1816&gt;=0,"YES","No")</f>
        <v>YES</v>
      </c>
    </row>
    <row r="1817" customFormat="false" ht="15" hidden="false" customHeight="false" outlineLevel="0" collapsed="false">
      <c r="A1817" s="16" t="n">
        <v>1816</v>
      </c>
      <c r="B1817" s="17" t="n">
        <f aca="false">B1816+1</f>
        <v>47838</v>
      </c>
      <c r="C1817" s="18" t="n">
        <f aca="false">MIN(ROUNDUP(A1817/365,0),5)</f>
        <v>5</v>
      </c>
      <c r="D1817" s="18" t="n">
        <f aca="false">DATEDIF(Assumptions!B5,B1817,"m")+1</f>
        <v>60</v>
      </c>
      <c r="E1817" s="18" t="str">
        <f aca="false">TEXT(B1817,"ddd")</f>
        <v>Sat</v>
      </c>
      <c r="F1817" s="19" t="n">
        <f aca="false">IF(WEEKDAY(B1817,2)&gt;=6,Assumptions!B34,Assumptions!B35)</f>
        <v>0.6</v>
      </c>
      <c r="G1817" s="20" t="n">
        <f aca="false">IF(D1817&gt;=13,(1+Assumptions!B46)^(D1817-12),1)</f>
        <v>1.15463517817933</v>
      </c>
      <c r="H1817" s="21" t="n">
        <f aca="false">H1816*(1+IF(C1817=1,Assumptions!B22,Assumptions!B23))</f>
        <v>26.4007717264163</v>
      </c>
      <c r="I1817" s="16" t="n">
        <f aca="false">ROUND(H1817*F1817,0)</f>
        <v>16</v>
      </c>
      <c r="J1817" s="22" t="n">
        <f aca="false">I1817*Assumptions!B24</f>
        <v>9600</v>
      </c>
      <c r="K1817" s="21" t="n">
        <f aca="false">K1816*(1+Assumptions!B30)</f>
        <v>23.7836981541715</v>
      </c>
      <c r="L1817" s="16" t="n">
        <f aca="false">ROUND(K1817*F1817,0)</f>
        <v>14</v>
      </c>
      <c r="M1817" s="22" t="n">
        <f aca="false">L1817*Assumptions!B31</f>
        <v>4200</v>
      </c>
      <c r="N1817" s="22" t="n">
        <f aca="false">J1817+M1817</f>
        <v>13800</v>
      </c>
      <c r="O1817" s="22" t="n">
        <f aca="false">IF(DAY(B1817)=1,Assumptions!B38*G1817,0)</f>
        <v>0</v>
      </c>
      <c r="P1817" s="22" t="n">
        <f aca="false">IF(DAY(B1817)=1,Assumptions!B39*G1817,0)</f>
        <v>0</v>
      </c>
      <c r="Q1817" s="22" t="n">
        <f aca="false">IF(DAY(B1817)=1,Assumptions!B40*G1817,0)</f>
        <v>0</v>
      </c>
      <c r="R1817" s="22" t="n">
        <f aca="false">IF(DAY(B1817)=1,Assumptions!B41*G1817,0)</f>
        <v>0</v>
      </c>
      <c r="S1817" s="22" t="n">
        <f aca="false">IF(AND(DAY(B1817)=1,D1817&gt;=13),Assumptions!B42*G1817,0)</f>
        <v>0</v>
      </c>
      <c r="T1817" s="22" t="n">
        <f aca="false">IF(DAY(B1817)=1,Assumptions!B43*G1817,0)</f>
        <v>0</v>
      </c>
      <c r="U1817" s="22" t="n">
        <f aca="false">SUM(O1817:T1817)</f>
        <v>0</v>
      </c>
      <c r="V1817" s="22" t="n">
        <f aca="false">N1817-U1817</f>
        <v>13800</v>
      </c>
      <c r="W1817" s="22" t="n">
        <f aca="false">W1816+V1817</f>
        <v>1053025.22577003</v>
      </c>
      <c r="X1817" s="23" t="str">
        <f aca="false">IF(W1817&gt;=0,"YES","No")</f>
        <v>YES</v>
      </c>
    </row>
    <row r="1818" customFormat="false" ht="15" hidden="false" customHeight="false" outlineLevel="0" collapsed="false">
      <c r="A1818" s="16" t="n">
        <v>1817</v>
      </c>
      <c r="B1818" s="17" t="n">
        <f aca="false">B1817+1</f>
        <v>47839</v>
      </c>
      <c r="C1818" s="18" t="n">
        <f aca="false">MIN(ROUNDUP(A1818/365,0),5)</f>
        <v>5</v>
      </c>
      <c r="D1818" s="18" t="n">
        <f aca="false">DATEDIF(Assumptions!B5,B1818,"m")+1</f>
        <v>60</v>
      </c>
      <c r="E1818" s="18" t="str">
        <f aca="false">TEXT(B1818,"ddd")</f>
        <v>Sun</v>
      </c>
      <c r="F1818" s="19" t="n">
        <f aca="false">IF(WEEKDAY(B1818,2)&gt;=6,Assumptions!B34,Assumptions!B35)</f>
        <v>0.6</v>
      </c>
      <c r="G1818" s="20" t="n">
        <f aca="false">IF(D1818&gt;=13,(1+Assumptions!B46)^(D1818-12),1)</f>
        <v>1.15463517817933</v>
      </c>
      <c r="H1818" s="21" t="n">
        <f aca="false">H1817*(1+IF(C1818=1,Assumptions!B22,Assumptions!B23))</f>
        <v>26.40509780174</v>
      </c>
      <c r="I1818" s="16" t="n">
        <f aca="false">ROUND(H1818*F1818,0)</f>
        <v>16</v>
      </c>
      <c r="J1818" s="22" t="n">
        <f aca="false">I1818*Assumptions!B24</f>
        <v>9600</v>
      </c>
      <c r="K1818" s="21" t="n">
        <f aca="false">K1817*(1+Assumptions!B30)</f>
        <v>23.7914739212269</v>
      </c>
      <c r="L1818" s="16" t="n">
        <f aca="false">ROUND(K1818*F1818,0)</f>
        <v>14</v>
      </c>
      <c r="M1818" s="22" t="n">
        <f aca="false">L1818*Assumptions!B31</f>
        <v>4200</v>
      </c>
      <c r="N1818" s="22" t="n">
        <f aca="false">J1818+M1818</f>
        <v>13800</v>
      </c>
      <c r="O1818" s="22" t="n">
        <f aca="false">IF(DAY(B1818)=1,Assumptions!B38*G1818,0)</f>
        <v>0</v>
      </c>
      <c r="P1818" s="22" t="n">
        <f aca="false">IF(DAY(B1818)=1,Assumptions!B39*G1818,0)</f>
        <v>0</v>
      </c>
      <c r="Q1818" s="22" t="n">
        <f aca="false">IF(DAY(B1818)=1,Assumptions!B40*G1818,0)</f>
        <v>0</v>
      </c>
      <c r="R1818" s="22" t="n">
        <f aca="false">IF(DAY(B1818)=1,Assumptions!B41*G1818,0)</f>
        <v>0</v>
      </c>
      <c r="S1818" s="22" t="n">
        <f aca="false">IF(AND(DAY(B1818)=1,D1818&gt;=13),Assumptions!B42*G1818,0)</f>
        <v>0</v>
      </c>
      <c r="T1818" s="22" t="n">
        <f aca="false">IF(DAY(B1818)=1,Assumptions!B43*G1818,0)</f>
        <v>0</v>
      </c>
      <c r="U1818" s="22" t="n">
        <f aca="false">SUM(O1818:T1818)</f>
        <v>0</v>
      </c>
      <c r="V1818" s="22" t="n">
        <f aca="false">N1818-U1818</f>
        <v>13800</v>
      </c>
      <c r="W1818" s="22" t="n">
        <f aca="false">W1817+V1818</f>
        <v>1066825.22577003</v>
      </c>
      <c r="X1818" s="23" t="str">
        <f aca="false">IF(W1818&gt;=0,"YES","No")</f>
        <v>YES</v>
      </c>
    </row>
    <row r="1819" customFormat="false" ht="15" hidden="false" customHeight="false" outlineLevel="0" collapsed="false">
      <c r="A1819" s="16" t="n">
        <v>1818</v>
      </c>
      <c r="B1819" s="17" t="n">
        <f aca="false">B1818+1</f>
        <v>47840</v>
      </c>
      <c r="C1819" s="18" t="n">
        <f aca="false">MIN(ROUNDUP(A1819/365,0),5)</f>
        <v>5</v>
      </c>
      <c r="D1819" s="18" t="n">
        <f aca="false">DATEDIF(Assumptions!B5,B1819,"m")+1</f>
        <v>60</v>
      </c>
      <c r="E1819" s="18" t="str">
        <f aca="false">TEXT(B1819,"ddd")</f>
        <v>Mon</v>
      </c>
      <c r="F1819" s="19" t="n">
        <f aca="false">IF(WEEKDAY(B1819,2)&gt;=6,Assumptions!B34,Assumptions!B35)</f>
        <v>1</v>
      </c>
      <c r="G1819" s="20" t="n">
        <f aca="false">IF(D1819&gt;=13,(1+Assumptions!B46)^(D1819-12),1)</f>
        <v>1.15463517817933</v>
      </c>
      <c r="H1819" s="21" t="n">
        <f aca="false">H1818*(1+IF(C1819=1,Assumptions!B22,Assumptions!B23))</f>
        <v>26.4094245859418</v>
      </c>
      <c r="I1819" s="16" t="n">
        <f aca="false">ROUND(H1819*F1819,0)</f>
        <v>26</v>
      </c>
      <c r="J1819" s="22" t="n">
        <f aca="false">I1819*Assumptions!B24</f>
        <v>15600</v>
      </c>
      <c r="K1819" s="21" t="n">
        <f aca="false">K1818*(1+Assumptions!B30)</f>
        <v>23.799252230467</v>
      </c>
      <c r="L1819" s="16" t="n">
        <f aca="false">ROUND(K1819*F1819,0)</f>
        <v>24</v>
      </c>
      <c r="M1819" s="22" t="n">
        <f aca="false">L1819*Assumptions!B31</f>
        <v>7200</v>
      </c>
      <c r="N1819" s="22" t="n">
        <f aca="false">J1819+M1819</f>
        <v>22800</v>
      </c>
      <c r="O1819" s="22" t="n">
        <f aca="false">IF(DAY(B1819)=1,Assumptions!B38*G1819,0)</f>
        <v>0</v>
      </c>
      <c r="P1819" s="22" t="n">
        <f aca="false">IF(DAY(B1819)=1,Assumptions!B39*G1819,0)</f>
        <v>0</v>
      </c>
      <c r="Q1819" s="22" t="n">
        <f aca="false">IF(DAY(B1819)=1,Assumptions!B40*G1819,0)</f>
        <v>0</v>
      </c>
      <c r="R1819" s="22" t="n">
        <f aca="false">IF(DAY(B1819)=1,Assumptions!B41*G1819,0)</f>
        <v>0</v>
      </c>
      <c r="S1819" s="22" t="n">
        <f aca="false">IF(AND(DAY(B1819)=1,D1819&gt;=13),Assumptions!B42*G1819,0)</f>
        <v>0</v>
      </c>
      <c r="T1819" s="22" t="n">
        <f aca="false">IF(DAY(B1819)=1,Assumptions!B43*G1819,0)</f>
        <v>0</v>
      </c>
      <c r="U1819" s="22" t="n">
        <f aca="false">SUM(O1819:T1819)</f>
        <v>0</v>
      </c>
      <c r="V1819" s="22" t="n">
        <f aca="false">N1819-U1819</f>
        <v>22800</v>
      </c>
      <c r="W1819" s="22" t="n">
        <f aca="false">W1818+V1819</f>
        <v>1089625.22577003</v>
      </c>
      <c r="X1819" s="23" t="str">
        <f aca="false">IF(W1819&gt;=0,"YES","No")</f>
        <v>YES</v>
      </c>
    </row>
    <row r="1820" customFormat="false" ht="15" hidden="false" customHeight="false" outlineLevel="0" collapsed="false">
      <c r="A1820" s="16" t="n">
        <v>1819</v>
      </c>
      <c r="B1820" s="17" t="n">
        <f aca="false">B1819+1</f>
        <v>47841</v>
      </c>
      <c r="C1820" s="18" t="n">
        <f aca="false">MIN(ROUNDUP(A1820/365,0),5)</f>
        <v>5</v>
      </c>
      <c r="D1820" s="18" t="n">
        <f aca="false">DATEDIF(Assumptions!B5,B1820,"m")+1</f>
        <v>60</v>
      </c>
      <c r="E1820" s="18" t="str">
        <f aca="false">TEXT(B1820,"ddd")</f>
        <v>Tue</v>
      </c>
      <c r="F1820" s="19" t="n">
        <f aca="false">IF(WEEKDAY(B1820,2)&gt;=6,Assumptions!B34,Assumptions!B35)</f>
        <v>1</v>
      </c>
      <c r="G1820" s="20" t="n">
        <f aca="false">IF(D1820&gt;=13,(1+Assumptions!B46)^(D1820-12),1)</f>
        <v>1.15463517817933</v>
      </c>
      <c r="H1820" s="21" t="n">
        <f aca="false">H1819*(1+IF(C1820=1,Assumptions!B22,Assumptions!B23))</f>
        <v>26.4137520791378</v>
      </c>
      <c r="I1820" s="16" t="n">
        <f aca="false">ROUND(H1820*F1820,0)</f>
        <v>26</v>
      </c>
      <c r="J1820" s="22" t="n">
        <f aca="false">I1820*Assumptions!B24</f>
        <v>15600</v>
      </c>
      <c r="K1820" s="21" t="n">
        <f aca="false">K1819*(1+Assumptions!B30)</f>
        <v>23.8070330827229</v>
      </c>
      <c r="L1820" s="16" t="n">
        <f aca="false">ROUND(K1820*F1820,0)</f>
        <v>24</v>
      </c>
      <c r="M1820" s="22" t="n">
        <f aca="false">L1820*Assumptions!B31</f>
        <v>7200</v>
      </c>
      <c r="N1820" s="22" t="n">
        <f aca="false">J1820+M1820</f>
        <v>22800</v>
      </c>
      <c r="O1820" s="22" t="n">
        <f aca="false">IF(DAY(B1820)=1,Assumptions!B38*G1820,0)</f>
        <v>0</v>
      </c>
      <c r="P1820" s="22" t="n">
        <f aca="false">IF(DAY(B1820)=1,Assumptions!B39*G1820,0)</f>
        <v>0</v>
      </c>
      <c r="Q1820" s="22" t="n">
        <f aca="false">IF(DAY(B1820)=1,Assumptions!B40*G1820,0)</f>
        <v>0</v>
      </c>
      <c r="R1820" s="22" t="n">
        <f aca="false">IF(DAY(B1820)=1,Assumptions!B41*G1820,0)</f>
        <v>0</v>
      </c>
      <c r="S1820" s="22" t="n">
        <f aca="false">IF(AND(DAY(B1820)=1,D1820&gt;=13),Assumptions!B42*G1820,0)</f>
        <v>0</v>
      </c>
      <c r="T1820" s="22" t="n">
        <f aca="false">IF(DAY(B1820)=1,Assumptions!B43*G1820,0)</f>
        <v>0</v>
      </c>
      <c r="U1820" s="22" t="n">
        <f aca="false">SUM(O1820:T1820)</f>
        <v>0</v>
      </c>
      <c r="V1820" s="22" t="n">
        <f aca="false">N1820-U1820</f>
        <v>22800</v>
      </c>
      <c r="W1820" s="22" t="n">
        <f aca="false">W1819+V1820</f>
        <v>1112425.22577003</v>
      </c>
      <c r="X1820" s="23" t="str">
        <f aca="false">IF(W1820&gt;=0,"YES","No")</f>
        <v>YES</v>
      </c>
    </row>
    <row r="1821" customFormat="false" ht="15" hidden="false" customHeight="false" outlineLevel="0" collapsed="false">
      <c r="A1821" s="16" t="n">
        <v>1820</v>
      </c>
      <c r="B1821" s="17" t="n">
        <f aca="false">B1820+1</f>
        <v>47842</v>
      </c>
      <c r="C1821" s="18" t="n">
        <f aca="false">MIN(ROUNDUP(A1821/365,0),5)</f>
        <v>5</v>
      </c>
      <c r="D1821" s="18" t="n">
        <f aca="false">DATEDIF(Assumptions!B5,B1821,"m")+1</f>
        <v>60</v>
      </c>
      <c r="E1821" s="18" t="str">
        <f aca="false">TEXT(B1821,"ddd")</f>
        <v>Wed</v>
      </c>
      <c r="F1821" s="19" t="n">
        <f aca="false">IF(WEEKDAY(B1821,2)&gt;=6,Assumptions!B34,Assumptions!B35)</f>
        <v>1</v>
      </c>
      <c r="G1821" s="20" t="n">
        <f aca="false">IF(D1821&gt;=13,(1+Assumptions!B46)^(D1821-12),1)</f>
        <v>1.15463517817933</v>
      </c>
      <c r="H1821" s="21" t="n">
        <f aca="false">H1820*(1+IF(C1821=1,Assumptions!B22,Assumptions!B23))</f>
        <v>26.4180802814442</v>
      </c>
      <c r="I1821" s="16" t="n">
        <f aca="false">ROUND(H1821*F1821,0)</f>
        <v>26</v>
      </c>
      <c r="J1821" s="22" t="n">
        <f aca="false">I1821*Assumptions!B24</f>
        <v>15600</v>
      </c>
      <c r="K1821" s="21" t="n">
        <f aca="false">K1820*(1+Assumptions!B30)</f>
        <v>23.814816478826</v>
      </c>
      <c r="L1821" s="16" t="n">
        <f aca="false">ROUND(K1821*F1821,0)</f>
        <v>24</v>
      </c>
      <c r="M1821" s="22" t="n">
        <f aca="false">L1821*Assumptions!B31</f>
        <v>7200</v>
      </c>
      <c r="N1821" s="22" t="n">
        <f aca="false">J1821+M1821</f>
        <v>22800</v>
      </c>
      <c r="O1821" s="22" t="n">
        <f aca="false">IF(DAY(B1821)=1,Assumptions!B38*G1821,0)</f>
        <v>0</v>
      </c>
      <c r="P1821" s="22" t="n">
        <f aca="false">IF(DAY(B1821)=1,Assumptions!B39*G1821,0)</f>
        <v>0</v>
      </c>
      <c r="Q1821" s="22" t="n">
        <f aca="false">IF(DAY(B1821)=1,Assumptions!B40*G1821,0)</f>
        <v>0</v>
      </c>
      <c r="R1821" s="22" t="n">
        <f aca="false">IF(DAY(B1821)=1,Assumptions!B41*G1821,0)</f>
        <v>0</v>
      </c>
      <c r="S1821" s="22" t="n">
        <f aca="false">IF(AND(DAY(B1821)=1,D1821&gt;=13),Assumptions!B42*G1821,0)</f>
        <v>0</v>
      </c>
      <c r="T1821" s="22" t="n">
        <f aca="false">IF(DAY(B1821)=1,Assumptions!B43*G1821,0)</f>
        <v>0</v>
      </c>
      <c r="U1821" s="22" t="n">
        <f aca="false">SUM(O1821:T1821)</f>
        <v>0</v>
      </c>
      <c r="V1821" s="22" t="n">
        <f aca="false">N1821-U1821</f>
        <v>22800</v>
      </c>
      <c r="W1821" s="22" t="n">
        <f aca="false">W1820+V1821</f>
        <v>1135225.22577003</v>
      </c>
      <c r="X1821" s="23" t="str">
        <f aca="false">IF(W1821&gt;=0,"YES","No")</f>
        <v>YES</v>
      </c>
    </row>
    <row r="1822" customFormat="false" ht="15" hidden="false" customHeight="false" outlineLevel="0" collapsed="false">
      <c r="A1822" s="16" t="n">
        <v>1821</v>
      </c>
      <c r="B1822" s="17" t="n">
        <f aca="false">B1821+1</f>
        <v>47843</v>
      </c>
      <c r="C1822" s="18" t="n">
        <f aca="false">MIN(ROUNDUP(A1822/365,0),5)</f>
        <v>5</v>
      </c>
      <c r="D1822" s="18" t="n">
        <f aca="false">DATEDIF(Assumptions!B5,B1822,"m")+1</f>
        <v>60</v>
      </c>
      <c r="E1822" s="18" t="str">
        <f aca="false">TEXT(B1822,"ddd")</f>
        <v>Thu</v>
      </c>
      <c r="F1822" s="19" t="n">
        <f aca="false">IF(WEEKDAY(B1822,2)&gt;=6,Assumptions!B34,Assumptions!B35)</f>
        <v>1</v>
      </c>
      <c r="G1822" s="20" t="n">
        <f aca="false">IF(D1822&gt;=13,(1+Assumptions!B46)^(D1822-12),1)</f>
        <v>1.15463517817933</v>
      </c>
      <c r="H1822" s="21" t="n">
        <f aca="false">H1821*(1+IF(C1822=1,Assumptions!B22,Assumptions!B23))</f>
        <v>26.4224091929771</v>
      </c>
      <c r="I1822" s="16" t="n">
        <f aca="false">ROUND(H1822*F1822,0)</f>
        <v>26</v>
      </c>
      <c r="J1822" s="22" t="n">
        <f aca="false">I1822*Assumptions!B24</f>
        <v>15600</v>
      </c>
      <c r="K1822" s="21" t="n">
        <f aca="false">K1821*(1+Assumptions!B30)</f>
        <v>23.822602419608</v>
      </c>
      <c r="L1822" s="16" t="n">
        <f aca="false">ROUND(K1822*F1822,0)</f>
        <v>24</v>
      </c>
      <c r="M1822" s="22" t="n">
        <f aca="false">L1822*Assumptions!B31</f>
        <v>7200</v>
      </c>
      <c r="N1822" s="22" t="n">
        <f aca="false">J1822+M1822</f>
        <v>22800</v>
      </c>
      <c r="O1822" s="22" t="n">
        <f aca="false">IF(DAY(B1822)=1,Assumptions!B38*G1822,0)</f>
        <v>0</v>
      </c>
      <c r="P1822" s="22" t="n">
        <f aca="false">IF(DAY(B1822)=1,Assumptions!B39*G1822,0)</f>
        <v>0</v>
      </c>
      <c r="Q1822" s="22" t="n">
        <f aca="false">IF(DAY(B1822)=1,Assumptions!B40*G1822,0)</f>
        <v>0</v>
      </c>
      <c r="R1822" s="22" t="n">
        <f aca="false">IF(DAY(B1822)=1,Assumptions!B41*G1822,0)</f>
        <v>0</v>
      </c>
      <c r="S1822" s="22" t="n">
        <f aca="false">IF(AND(DAY(B1822)=1,D1822&gt;=13),Assumptions!B42*G1822,0)</f>
        <v>0</v>
      </c>
      <c r="T1822" s="22" t="n">
        <f aca="false">IF(DAY(B1822)=1,Assumptions!B43*G1822,0)</f>
        <v>0</v>
      </c>
      <c r="U1822" s="22" t="n">
        <f aca="false">SUM(O1822:T1822)</f>
        <v>0</v>
      </c>
      <c r="V1822" s="22" t="n">
        <f aca="false">N1822-U1822</f>
        <v>22800</v>
      </c>
      <c r="W1822" s="22" t="n">
        <f aca="false">W1821+V1822</f>
        <v>1158025.22577003</v>
      </c>
      <c r="X1822" s="23" t="str">
        <f aca="false">IF(W1822&gt;=0,"YES","No")</f>
        <v>YES</v>
      </c>
    </row>
    <row r="1823" customFormat="false" ht="15" hidden="false" customHeight="false" outlineLevel="0" collapsed="false">
      <c r="A1823" s="16" t="n">
        <v>1822</v>
      </c>
      <c r="B1823" s="17" t="n">
        <f aca="false">B1822+1</f>
        <v>47844</v>
      </c>
      <c r="C1823" s="18" t="n">
        <f aca="false">MIN(ROUNDUP(A1823/365,0),5)</f>
        <v>5</v>
      </c>
      <c r="D1823" s="18" t="n">
        <f aca="false">DATEDIF(Assumptions!B5,B1823,"m")+1</f>
        <v>60</v>
      </c>
      <c r="E1823" s="18" t="str">
        <f aca="false">TEXT(B1823,"ddd")</f>
        <v>Fri</v>
      </c>
      <c r="F1823" s="19" t="n">
        <f aca="false">IF(WEEKDAY(B1823,2)&gt;=6,Assumptions!B34,Assumptions!B35)</f>
        <v>1</v>
      </c>
      <c r="G1823" s="20" t="n">
        <f aca="false">IF(D1823&gt;=13,(1+Assumptions!B46)^(D1823-12),1)</f>
        <v>1.15463517817933</v>
      </c>
      <c r="H1823" s="21" t="n">
        <f aca="false">H1822*(1+IF(C1823=1,Assumptions!B22,Assumptions!B23))</f>
        <v>26.4267388138529</v>
      </c>
      <c r="I1823" s="16" t="n">
        <f aca="false">ROUND(H1823*F1823,0)</f>
        <v>26</v>
      </c>
      <c r="J1823" s="22" t="n">
        <f aca="false">I1823*Assumptions!B24</f>
        <v>15600</v>
      </c>
      <c r="K1823" s="21" t="n">
        <f aca="false">K1822*(1+Assumptions!B30)</f>
        <v>23.8303909059009</v>
      </c>
      <c r="L1823" s="16" t="n">
        <f aca="false">ROUND(K1823*F1823,0)</f>
        <v>24</v>
      </c>
      <c r="M1823" s="22" t="n">
        <f aca="false">L1823*Assumptions!B31</f>
        <v>7200</v>
      </c>
      <c r="N1823" s="22" t="n">
        <f aca="false">J1823+M1823</f>
        <v>22800</v>
      </c>
      <c r="O1823" s="22" t="n">
        <f aca="false">IF(DAY(B1823)=1,Assumptions!B38*G1823,0)</f>
        <v>0</v>
      </c>
      <c r="P1823" s="22" t="n">
        <f aca="false">IF(DAY(B1823)=1,Assumptions!B39*G1823,0)</f>
        <v>0</v>
      </c>
      <c r="Q1823" s="22" t="n">
        <f aca="false">IF(DAY(B1823)=1,Assumptions!B40*G1823,0)</f>
        <v>0</v>
      </c>
      <c r="R1823" s="22" t="n">
        <f aca="false">IF(DAY(B1823)=1,Assumptions!B41*G1823,0)</f>
        <v>0</v>
      </c>
      <c r="S1823" s="22" t="n">
        <f aca="false">IF(AND(DAY(B1823)=1,D1823&gt;=13),Assumptions!B42*G1823,0)</f>
        <v>0</v>
      </c>
      <c r="T1823" s="22" t="n">
        <f aca="false">IF(DAY(B1823)=1,Assumptions!B43*G1823,0)</f>
        <v>0</v>
      </c>
      <c r="U1823" s="22" t="n">
        <f aca="false">SUM(O1823:T1823)</f>
        <v>0</v>
      </c>
      <c r="V1823" s="22" t="n">
        <f aca="false">N1823-U1823</f>
        <v>22800</v>
      </c>
      <c r="W1823" s="22" t="n">
        <f aca="false">W1822+V1823</f>
        <v>1180825.22577003</v>
      </c>
      <c r="X1823" s="23" t="str">
        <f aca="false">IF(W1823&gt;=0,"YES","No")</f>
        <v>YES</v>
      </c>
    </row>
    <row r="1824" customFormat="false" ht="15" hidden="false" customHeight="false" outlineLevel="0" collapsed="false">
      <c r="A1824" s="16" t="n">
        <v>1823</v>
      </c>
      <c r="B1824" s="17" t="n">
        <f aca="false">B1823+1</f>
        <v>47845</v>
      </c>
      <c r="C1824" s="18" t="n">
        <f aca="false">MIN(ROUNDUP(A1824/365,0),5)</f>
        <v>5</v>
      </c>
      <c r="D1824" s="18" t="n">
        <f aca="false">DATEDIF(Assumptions!B5,B1824,"m")+1</f>
        <v>60</v>
      </c>
      <c r="E1824" s="18" t="str">
        <f aca="false">TEXT(B1824,"ddd")</f>
        <v>Sat</v>
      </c>
      <c r="F1824" s="19" t="n">
        <f aca="false">IF(WEEKDAY(B1824,2)&gt;=6,Assumptions!B34,Assumptions!B35)</f>
        <v>0.6</v>
      </c>
      <c r="G1824" s="20" t="n">
        <f aca="false">IF(D1824&gt;=13,(1+Assumptions!B46)^(D1824-12),1)</f>
        <v>1.15463517817933</v>
      </c>
      <c r="H1824" s="21" t="n">
        <f aca="false">H1823*(1+IF(C1824=1,Assumptions!B22,Assumptions!B23))</f>
        <v>26.4310691441877</v>
      </c>
      <c r="I1824" s="16" t="n">
        <f aca="false">ROUND(H1824*F1824,0)</f>
        <v>16</v>
      </c>
      <c r="J1824" s="22" t="n">
        <f aca="false">I1824*Assumptions!B24</f>
        <v>9600</v>
      </c>
      <c r="K1824" s="21" t="n">
        <f aca="false">K1823*(1+Assumptions!B30)</f>
        <v>23.8381819385368</v>
      </c>
      <c r="L1824" s="16" t="n">
        <f aca="false">ROUND(K1824*F1824,0)</f>
        <v>14</v>
      </c>
      <c r="M1824" s="22" t="n">
        <f aca="false">L1824*Assumptions!B31</f>
        <v>4200</v>
      </c>
      <c r="N1824" s="22" t="n">
        <f aca="false">J1824+M1824</f>
        <v>13800</v>
      </c>
      <c r="O1824" s="22" t="n">
        <f aca="false">IF(DAY(B1824)=1,Assumptions!B38*G1824,0)</f>
        <v>0</v>
      </c>
      <c r="P1824" s="22" t="n">
        <f aca="false">IF(DAY(B1824)=1,Assumptions!B39*G1824,0)</f>
        <v>0</v>
      </c>
      <c r="Q1824" s="22" t="n">
        <f aca="false">IF(DAY(B1824)=1,Assumptions!B40*G1824,0)</f>
        <v>0</v>
      </c>
      <c r="R1824" s="22" t="n">
        <f aca="false">IF(DAY(B1824)=1,Assumptions!B41*G1824,0)</f>
        <v>0</v>
      </c>
      <c r="S1824" s="22" t="n">
        <f aca="false">IF(AND(DAY(B1824)=1,D1824&gt;=13),Assumptions!B42*G1824,0)</f>
        <v>0</v>
      </c>
      <c r="T1824" s="22" t="n">
        <f aca="false">IF(DAY(B1824)=1,Assumptions!B43*G1824,0)</f>
        <v>0</v>
      </c>
      <c r="U1824" s="22" t="n">
        <f aca="false">SUM(O1824:T1824)</f>
        <v>0</v>
      </c>
      <c r="V1824" s="22" t="n">
        <f aca="false">N1824-U1824</f>
        <v>13800</v>
      </c>
      <c r="W1824" s="22" t="n">
        <f aca="false">W1823+V1824</f>
        <v>1194625.22577003</v>
      </c>
      <c r="X1824" s="23" t="str">
        <f aca="false">IF(W1824&gt;=0,"YES","No")</f>
        <v>YES</v>
      </c>
    </row>
    <row r="1825" customFormat="false" ht="15" hidden="false" customHeight="false" outlineLevel="0" collapsed="false">
      <c r="A1825" s="16" t="n">
        <v>1824</v>
      </c>
      <c r="B1825" s="17" t="n">
        <f aca="false">B1824+1</f>
        <v>47846</v>
      </c>
      <c r="C1825" s="18" t="n">
        <f aca="false">MIN(ROUNDUP(A1825/365,0),5)</f>
        <v>5</v>
      </c>
      <c r="D1825" s="18" t="n">
        <f aca="false">DATEDIF(Assumptions!B5,B1825,"m")+1</f>
        <v>60</v>
      </c>
      <c r="E1825" s="18" t="str">
        <f aca="false">TEXT(B1825,"ddd")</f>
        <v>Sun</v>
      </c>
      <c r="F1825" s="19" t="n">
        <f aca="false">IF(WEEKDAY(B1825,2)&gt;=6,Assumptions!B34,Assumptions!B35)</f>
        <v>0.6</v>
      </c>
      <c r="G1825" s="20" t="n">
        <f aca="false">IF(D1825&gt;=13,(1+Assumptions!B46)^(D1825-12),1)</f>
        <v>1.15463517817933</v>
      </c>
      <c r="H1825" s="21" t="n">
        <f aca="false">H1824*(1+IF(C1825=1,Assumptions!B22,Assumptions!B23))</f>
        <v>26.4354001840978</v>
      </c>
      <c r="I1825" s="16" t="n">
        <f aca="false">ROUND(H1825*F1825,0)</f>
        <v>16</v>
      </c>
      <c r="J1825" s="22" t="n">
        <f aca="false">I1825*Assumptions!B24</f>
        <v>9600</v>
      </c>
      <c r="K1825" s="21" t="n">
        <f aca="false">K1824*(1+Assumptions!B30)</f>
        <v>23.8459755183483</v>
      </c>
      <c r="L1825" s="16" t="n">
        <f aca="false">ROUND(K1825*F1825,0)</f>
        <v>14</v>
      </c>
      <c r="M1825" s="22" t="n">
        <f aca="false">L1825*Assumptions!B31</f>
        <v>4200</v>
      </c>
      <c r="N1825" s="22" t="n">
        <f aca="false">J1825+M1825</f>
        <v>13800</v>
      </c>
      <c r="O1825" s="22" t="n">
        <f aca="false">IF(DAY(B1825)=1,Assumptions!B38*G1825,0)</f>
        <v>0</v>
      </c>
      <c r="P1825" s="22" t="n">
        <f aca="false">IF(DAY(B1825)=1,Assumptions!B39*G1825,0)</f>
        <v>0</v>
      </c>
      <c r="Q1825" s="22" t="n">
        <f aca="false">IF(DAY(B1825)=1,Assumptions!B40*G1825,0)</f>
        <v>0</v>
      </c>
      <c r="R1825" s="22" t="n">
        <f aca="false">IF(DAY(B1825)=1,Assumptions!B41*G1825,0)</f>
        <v>0</v>
      </c>
      <c r="S1825" s="22" t="n">
        <f aca="false">IF(AND(DAY(B1825)=1,D1825&gt;=13),Assumptions!B42*G1825,0)</f>
        <v>0</v>
      </c>
      <c r="T1825" s="22" t="n">
        <f aca="false">IF(DAY(B1825)=1,Assumptions!B43*G1825,0)</f>
        <v>0</v>
      </c>
      <c r="U1825" s="22" t="n">
        <f aca="false">SUM(O1825:T1825)</f>
        <v>0</v>
      </c>
      <c r="V1825" s="22" t="n">
        <f aca="false">N1825-U1825</f>
        <v>13800</v>
      </c>
      <c r="W1825" s="22" t="n">
        <f aca="false">W1824+V1825</f>
        <v>1208425.22577003</v>
      </c>
      <c r="X1825" s="23" t="str">
        <f aca="false">IF(W1825&gt;=0,"YES","No")</f>
        <v>YES</v>
      </c>
    </row>
    <row r="1826" customFormat="false" ht="15" hidden="false" customHeight="false" outlineLevel="0" collapsed="false">
      <c r="A1826" s="16" t="n">
        <v>1825</v>
      </c>
      <c r="B1826" s="17" t="n">
        <f aca="false">B1825+1</f>
        <v>47847</v>
      </c>
      <c r="C1826" s="18" t="n">
        <f aca="false">MIN(ROUNDUP(A1826/365,0),5)</f>
        <v>5</v>
      </c>
      <c r="D1826" s="18" t="n">
        <f aca="false">DATEDIF(Assumptions!B5,B1826,"m")+1</f>
        <v>60</v>
      </c>
      <c r="E1826" s="18" t="str">
        <f aca="false">TEXT(B1826,"ddd")</f>
        <v>Mon</v>
      </c>
      <c r="F1826" s="19" t="n">
        <f aca="false">IF(WEEKDAY(B1826,2)&gt;=6,Assumptions!B34,Assumptions!B35)</f>
        <v>1</v>
      </c>
      <c r="G1826" s="20" t="n">
        <f aca="false">IF(D1826&gt;=13,(1+Assumptions!B46)^(D1826-12),1)</f>
        <v>1.15463517817933</v>
      </c>
      <c r="H1826" s="21" t="n">
        <f aca="false">H1825*(1+IF(C1826=1,Assumptions!B22,Assumptions!B23))</f>
        <v>26.4397319336995</v>
      </c>
      <c r="I1826" s="16" t="n">
        <f aca="false">ROUND(H1826*F1826,0)</f>
        <v>26</v>
      </c>
      <c r="J1826" s="22" t="n">
        <f aca="false">I1826*Assumptions!B24</f>
        <v>15600</v>
      </c>
      <c r="K1826" s="21" t="n">
        <f aca="false">K1825*(1+Assumptions!B30)</f>
        <v>23.8537716461682</v>
      </c>
      <c r="L1826" s="16" t="n">
        <f aca="false">ROUND(K1826*F1826,0)</f>
        <v>24</v>
      </c>
      <c r="M1826" s="22" t="n">
        <f aca="false">L1826*Assumptions!B31</f>
        <v>7200</v>
      </c>
      <c r="N1826" s="22" t="n">
        <f aca="false">J1826+M1826</f>
        <v>22800</v>
      </c>
      <c r="O1826" s="22" t="n">
        <f aca="false">IF(DAY(B1826)=1,Assumptions!B38*G1826,0)</f>
        <v>0</v>
      </c>
      <c r="P1826" s="22" t="n">
        <f aca="false">IF(DAY(B1826)=1,Assumptions!B39*G1826,0)</f>
        <v>0</v>
      </c>
      <c r="Q1826" s="22" t="n">
        <f aca="false">IF(DAY(B1826)=1,Assumptions!B40*G1826,0)</f>
        <v>0</v>
      </c>
      <c r="R1826" s="22" t="n">
        <f aca="false">IF(DAY(B1826)=1,Assumptions!B41*G1826,0)</f>
        <v>0</v>
      </c>
      <c r="S1826" s="22" t="n">
        <f aca="false">IF(AND(DAY(B1826)=1,D1826&gt;=13),Assumptions!B42*G1826,0)</f>
        <v>0</v>
      </c>
      <c r="T1826" s="22" t="n">
        <f aca="false">IF(DAY(B1826)=1,Assumptions!B43*G1826,0)</f>
        <v>0</v>
      </c>
      <c r="U1826" s="22" t="n">
        <f aca="false">SUM(O1826:T1826)</f>
        <v>0</v>
      </c>
      <c r="V1826" s="22" t="n">
        <f aca="false">N1826-U1826</f>
        <v>22800</v>
      </c>
      <c r="W1826" s="22" t="n">
        <f aca="false">W1825+V1826</f>
        <v>1231225.22577003</v>
      </c>
      <c r="X1826" s="23" t="str">
        <f aca="false">IF(W1826&gt;=0,"YES","No")</f>
        <v>YES</v>
      </c>
    </row>
    <row r="1827" customFormat="false" ht="15" hidden="false" customHeight="false" outlineLevel="0" collapsed="false">
      <c r="A1827" s="16" t="n">
        <v>1826</v>
      </c>
      <c r="B1827" s="17" t="n">
        <f aca="false">B1826+1</f>
        <v>47848</v>
      </c>
      <c r="C1827" s="18" t="n">
        <f aca="false">MIN(ROUNDUP(A1827/365,0),5)</f>
        <v>5</v>
      </c>
      <c r="D1827" s="18" t="n">
        <f aca="false">DATEDIF(Assumptions!B5,B1827,"m")+1</f>
        <v>60</v>
      </c>
      <c r="E1827" s="18" t="str">
        <f aca="false">TEXT(B1827,"ddd")</f>
        <v>Tue</v>
      </c>
      <c r="F1827" s="19" t="n">
        <f aca="false">IF(WEEKDAY(B1827,2)&gt;=6,Assumptions!B34,Assumptions!B35)</f>
        <v>1</v>
      </c>
      <c r="G1827" s="20" t="n">
        <f aca="false">IF(D1827&gt;=13,(1+Assumptions!B46)^(D1827-12),1)</f>
        <v>1.15463517817933</v>
      </c>
      <c r="H1827" s="21" t="n">
        <f aca="false">H1826*(1+IF(C1827=1,Assumptions!B22,Assumptions!B23))</f>
        <v>26.444064393109</v>
      </c>
      <c r="I1827" s="16" t="n">
        <f aca="false">ROUND(H1827*F1827,0)</f>
        <v>26</v>
      </c>
      <c r="J1827" s="22" t="n">
        <f aca="false">I1827*Assumptions!B24</f>
        <v>15600</v>
      </c>
      <c r="K1827" s="21" t="n">
        <f aca="false">K1826*(1+Assumptions!B30)</f>
        <v>23.8615703228294</v>
      </c>
      <c r="L1827" s="16" t="n">
        <f aca="false">ROUND(K1827*F1827,0)</f>
        <v>24</v>
      </c>
      <c r="M1827" s="22" t="n">
        <f aca="false">L1827*Assumptions!B31</f>
        <v>7200</v>
      </c>
      <c r="N1827" s="22" t="n">
        <f aca="false">J1827+M1827</f>
        <v>22800</v>
      </c>
      <c r="O1827" s="22" t="n">
        <f aca="false">IF(DAY(B1827)=1,Assumptions!B38*G1827,0)</f>
        <v>0</v>
      </c>
      <c r="P1827" s="22" t="n">
        <f aca="false">IF(DAY(B1827)=1,Assumptions!B39*G1827,0)</f>
        <v>0</v>
      </c>
      <c r="Q1827" s="22" t="n">
        <f aca="false">IF(DAY(B1827)=1,Assumptions!B40*G1827,0)</f>
        <v>0</v>
      </c>
      <c r="R1827" s="22" t="n">
        <f aca="false">IF(DAY(B1827)=1,Assumptions!B41*G1827,0)</f>
        <v>0</v>
      </c>
      <c r="S1827" s="22" t="n">
        <f aca="false">IF(AND(DAY(B1827)=1,D1827&gt;=13),Assumptions!B42*G1827,0)</f>
        <v>0</v>
      </c>
      <c r="T1827" s="22" t="n">
        <f aca="false">IF(DAY(B1827)=1,Assumptions!B43*G1827,0)</f>
        <v>0</v>
      </c>
      <c r="U1827" s="22" t="n">
        <f aca="false">SUM(O1827:T1827)</f>
        <v>0</v>
      </c>
      <c r="V1827" s="22" t="n">
        <f aca="false">N1827-U1827</f>
        <v>22800</v>
      </c>
      <c r="W1827" s="22" t="n">
        <f aca="false">W1826+V1827</f>
        <v>1254025.22577003</v>
      </c>
      <c r="X1827" s="23" t="str">
        <f aca="false">IF(W1827&gt;=0,"YES","No")</f>
        <v>YES</v>
      </c>
    </row>
  </sheetData>
  <autoFilter ref="A1:X18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8" min="7" style="0" width="13"/>
    <col collapsed="false" customWidth="true" hidden="false" outlineLevel="0" max="9" min="9" style="0" width="26"/>
  </cols>
  <sheetData>
    <row r="1" customFormat="false" ht="26.85" hidden="false" customHeight="false" outlineLevel="0" collapsed="false">
      <c r="A1" s="15" t="s">
        <v>46</v>
      </c>
      <c r="B1" s="15" t="s">
        <v>67</v>
      </c>
      <c r="C1" s="15" t="s">
        <v>52</v>
      </c>
      <c r="D1" s="15" t="s">
        <v>68</v>
      </c>
      <c r="E1" s="15" t="s">
        <v>55</v>
      </c>
      <c r="F1" s="15" t="s">
        <v>69</v>
      </c>
      <c r="G1" s="15" t="s">
        <v>70</v>
      </c>
      <c r="H1" s="15" t="s">
        <v>71</v>
      </c>
      <c r="I1" s="15" t="s">
        <v>72</v>
      </c>
    </row>
    <row r="2" customFormat="false" ht="15" hidden="false" customHeight="false" outlineLevel="0" collapsed="false">
      <c r="A2" s="18" t="n">
        <v>1</v>
      </c>
      <c r="B2" s="16" t="n">
        <f aca="false">SUMIF('Daily Ledger'!$D$2:$D$1827,A2,'Daily Ledger'!$I$2:$I$1827)</f>
        <v>459</v>
      </c>
      <c r="C2" s="22" t="n">
        <f aca="false">SUMIF('Daily Ledger'!$D$2:$D$1827,A2,'Daily Ledger'!$J$2:$J$1827)</f>
        <v>275400</v>
      </c>
      <c r="D2" s="16" t="n">
        <f aca="false">SUMIF('Daily Ledger'!$D$2:$D$1827,A2,'Daily Ledger'!$L$2:$L$1827)</f>
        <v>358</v>
      </c>
      <c r="E2" s="22" t="n">
        <f aca="false">SUMIF('Daily Ledger'!$D$2:$D$1827,A2,'Daily Ledger'!$M$2:$M$1827)</f>
        <v>107400</v>
      </c>
      <c r="F2" s="22" t="n">
        <f aca="false">SUMIF('Daily Ledger'!$D$2:$D$1827,A2,'Daily Ledger'!$N$2:$N$1827)</f>
        <v>382800</v>
      </c>
      <c r="G2" s="22" t="n">
        <f aca="false">SUMIF('Daily Ledger'!$D$2:$D$1827,A2,'Daily Ledger'!$U$2:$U$1827)</f>
        <v>260000</v>
      </c>
      <c r="H2" s="22" t="n">
        <f aca="false">SUMIF('Daily Ledger'!$D$2:$D$1827,A2,'Daily Ledger'!$V$2:$V$1827)</f>
        <v>122800</v>
      </c>
      <c r="I2" s="22" t="n">
        <f aca="false">LOOKUP(2,1/('Daily Ledger'!$D$2:$D$1827=A2),'Daily Ledger'!$W$2:$W$1827)</f>
        <v>-4877200</v>
      </c>
    </row>
    <row r="3" customFormat="false" ht="15" hidden="false" customHeight="false" outlineLevel="0" collapsed="false">
      <c r="A3" s="18" t="n">
        <v>2</v>
      </c>
      <c r="B3" s="16" t="n">
        <f aca="false">SUMIF('Daily Ledger'!$D$2:$D$1827,A3,'Daily Ledger'!$I$2:$I$1827)</f>
        <v>420</v>
      </c>
      <c r="C3" s="22" t="n">
        <f aca="false">SUMIF('Daily Ledger'!$D$2:$D$1827,A3,'Daily Ledger'!$J$2:$J$1827)</f>
        <v>252000</v>
      </c>
      <c r="D3" s="16" t="n">
        <f aca="false">SUMIF('Daily Ledger'!$D$2:$D$1827,A3,'Daily Ledger'!$L$2:$L$1827)</f>
        <v>324</v>
      </c>
      <c r="E3" s="22" t="n">
        <f aca="false">SUMIF('Daily Ledger'!$D$2:$D$1827,A3,'Daily Ledger'!$M$2:$M$1827)</f>
        <v>97200</v>
      </c>
      <c r="F3" s="22" t="n">
        <f aca="false">SUMIF('Daily Ledger'!$D$2:$D$1827,A3,'Daily Ledger'!$N$2:$N$1827)</f>
        <v>349200</v>
      </c>
      <c r="G3" s="22" t="n">
        <f aca="false">SUMIF('Daily Ledger'!$D$2:$D$1827,A3,'Daily Ledger'!$U$2:$U$1827)</f>
        <v>260000</v>
      </c>
      <c r="H3" s="22" t="n">
        <f aca="false">SUMIF('Daily Ledger'!$D$2:$D$1827,A3,'Daily Ledger'!$V$2:$V$1827)</f>
        <v>89200</v>
      </c>
      <c r="I3" s="22" t="n">
        <f aca="false">LOOKUP(2,1/('Daily Ledger'!$D$2:$D$1827=A3),'Daily Ledger'!$W$2:$W$1827)</f>
        <v>-4788000</v>
      </c>
    </row>
    <row r="4" customFormat="false" ht="15" hidden="false" customHeight="false" outlineLevel="0" collapsed="false">
      <c r="A4" s="18" t="n">
        <v>3</v>
      </c>
      <c r="B4" s="16" t="n">
        <f aca="false">SUMIF('Daily Ledger'!$D$2:$D$1827,A4,'Daily Ledger'!$I$2:$I$1827)</f>
        <v>464</v>
      </c>
      <c r="C4" s="22" t="n">
        <f aca="false">SUMIF('Daily Ledger'!$D$2:$D$1827,A4,'Daily Ledger'!$J$2:$J$1827)</f>
        <v>278400</v>
      </c>
      <c r="D4" s="16" t="n">
        <f aca="false">SUMIF('Daily Ledger'!$D$2:$D$1827,A4,'Daily Ledger'!$L$2:$L$1827)</f>
        <v>363</v>
      </c>
      <c r="E4" s="22" t="n">
        <f aca="false">SUMIF('Daily Ledger'!$D$2:$D$1827,A4,'Daily Ledger'!$M$2:$M$1827)</f>
        <v>108900</v>
      </c>
      <c r="F4" s="22" t="n">
        <f aca="false">SUMIF('Daily Ledger'!$D$2:$D$1827,A4,'Daily Ledger'!$N$2:$N$1827)</f>
        <v>387300</v>
      </c>
      <c r="G4" s="22" t="n">
        <f aca="false">SUMIF('Daily Ledger'!$D$2:$D$1827,A4,'Daily Ledger'!$U$2:$U$1827)</f>
        <v>260000</v>
      </c>
      <c r="H4" s="22" t="n">
        <f aca="false">SUMIF('Daily Ledger'!$D$2:$D$1827,A4,'Daily Ledger'!$V$2:$V$1827)</f>
        <v>127300</v>
      </c>
      <c r="I4" s="22" t="n">
        <f aca="false">LOOKUP(2,1/('Daily Ledger'!$D$2:$D$1827=A4),'Daily Ledger'!$W$2:$W$1827)</f>
        <v>-4660700</v>
      </c>
    </row>
    <row r="5" customFormat="false" ht="15" hidden="false" customHeight="false" outlineLevel="0" collapsed="false">
      <c r="A5" s="18" t="n">
        <v>4</v>
      </c>
      <c r="B5" s="16" t="n">
        <f aca="false">SUMIF('Daily Ledger'!$D$2:$D$1827,A5,'Daily Ledger'!$I$2:$I$1827)</f>
        <v>476</v>
      </c>
      <c r="C5" s="22" t="n">
        <f aca="false">SUMIF('Daily Ledger'!$D$2:$D$1827,A5,'Daily Ledger'!$J$2:$J$1827)</f>
        <v>285600</v>
      </c>
      <c r="D5" s="16" t="n">
        <f aca="false">SUMIF('Daily Ledger'!$D$2:$D$1827,A5,'Daily Ledger'!$L$2:$L$1827)</f>
        <v>372</v>
      </c>
      <c r="E5" s="22" t="n">
        <f aca="false">SUMIF('Daily Ledger'!$D$2:$D$1827,A5,'Daily Ledger'!$M$2:$M$1827)</f>
        <v>111600</v>
      </c>
      <c r="F5" s="22" t="n">
        <f aca="false">SUMIF('Daily Ledger'!$D$2:$D$1827,A5,'Daily Ledger'!$N$2:$N$1827)</f>
        <v>397200</v>
      </c>
      <c r="G5" s="22" t="n">
        <f aca="false">SUMIF('Daily Ledger'!$D$2:$D$1827,A5,'Daily Ledger'!$U$2:$U$1827)</f>
        <v>260000</v>
      </c>
      <c r="H5" s="22" t="n">
        <f aca="false">SUMIF('Daily Ledger'!$D$2:$D$1827,A5,'Daily Ledger'!$V$2:$V$1827)</f>
        <v>137200</v>
      </c>
      <c r="I5" s="22" t="n">
        <f aca="false">LOOKUP(2,1/('Daily Ledger'!$D$2:$D$1827=A5),'Daily Ledger'!$W$2:$W$1827)</f>
        <v>-4523500</v>
      </c>
    </row>
    <row r="6" customFormat="false" ht="15" hidden="false" customHeight="false" outlineLevel="0" collapsed="false">
      <c r="A6" s="18" t="n">
        <v>5</v>
      </c>
      <c r="B6" s="16" t="n">
        <f aca="false">SUMIF('Daily Ledger'!$D$2:$D$1827,A6,'Daily Ledger'!$I$2:$I$1827)</f>
        <v>488</v>
      </c>
      <c r="C6" s="22" t="n">
        <f aca="false">SUMIF('Daily Ledger'!$D$2:$D$1827,A6,'Daily Ledger'!$J$2:$J$1827)</f>
        <v>292800</v>
      </c>
      <c r="D6" s="16" t="n">
        <f aca="false">SUMIF('Daily Ledger'!$D$2:$D$1827,A6,'Daily Ledger'!$L$2:$L$1827)</f>
        <v>374</v>
      </c>
      <c r="E6" s="22" t="n">
        <f aca="false">SUMIF('Daily Ledger'!$D$2:$D$1827,A6,'Daily Ledger'!$M$2:$M$1827)</f>
        <v>112200</v>
      </c>
      <c r="F6" s="22" t="n">
        <f aca="false">SUMIF('Daily Ledger'!$D$2:$D$1827,A6,'Daily Ledger'!$N$2:$N$1827)</f>
        <v>405000</v>
      </c>
      <c r="G6" s="22" t="n">
        <f aca="false">SUMIF('Daily Ledger'!$D$2:$D$1827,A6,'Daily Ledger'!$U$2:$U$1827)</f>
        <v>260000</v>
      </c>
      <c r="H6" s="22" t="n">
        <f aca="false">SUMIF('Daily Ledger'!$D$2:$D$1827,A6,'Daily Ledger'!$V$2:$V$1827)</f>
        <v>145000</v>
      </c>
      <c r="I6" s="22" t="n">
        <f aca="false">LOOKUP(2,1/('Daily Ledger'!$D$2:$D$1827=A6),'Daily Ledger'!$W$2:$W$1827)</f>
        <v>-4378500</v>
      </c>
    </row>
    <row r="7" customFormat="false" ht="15" hidden="false" customHeight="false" outlineLevel="0" collapsed="false">
      <c r="A7" s="18" t="n">
        <v>6</v>
      </c>
      <c r="B7" s="16" t="n">
        <f aca="false">SUMIF('Daily Ledger'!$D$2:$D$1827,A7,'Daily Ledger'!$I$2:$I$1827)</f>
        <v>484</v>
      </c>
      <c r="C7" s="22" t="n">
        <f aca="false">SUMIF('Daily Ledger'!$D$2:$D$1827,A7,'Daily Ledger'!$J$2:$J$1827)</f>
        <v>290400</v>
      </c>
      <c r="D7" s="16" t="n">
        <f aca="false">SUMIF('Daily Ledger'!$D$2:$D$1827,A7,'Daily Ledger'!$L$2:$L$1827)</f>
        <v>372</v>
      </c>
      <c r="E7" s="22" t="n">
        <f aca="false">SUMIF('Daily Ledger'!$D$2:$D$1827,A7,'Daily Ledger'!$M$2:$M$1827)</f>
        <v>111600</v>
      </c>
      <c r="F7" s="22" t="n">
        <f aca="false">SUMIF('Daily Ledger'!$D$2:$D$1827,A7,'Daily Ledger'!$N$2:$N$1827)</f>
        <v>402000</v>
      </c>
      <c r="G7" s="22" t="n">
        <f aca="false">SUMIF('Daily Ledger'!$D$2:$D$1827,A7,'Daily Ledger'!$U$2:$U$1827)</f>
        <v>260000</v>
      </c>
      <c r="H7" s="22" t="n">
        <f aca="false">SUMIF('Daily Ledger'!$D$2:$D$1827,A7,'Daily Ledger'!$V$2:$V$1827)</f>
        <v>142000</v>
      </c>
      <c r="I7" s="22" t="n">
        <f aca="false">LOOKUP(2,1/('Daily Ledger'!$D$2:$D$1827=A7),'Daily Ledger'!$W$2:$W$1827)</f>
        <v>-4236500</v>
      </c>
    </row>
    <row r="8" customFormat="false" ht="15" hidden="false" customHeight="false" outlineLevel="0" collapsed="false">
      <c r="A8" s="18" t="n">
        <v>7</v>
      </c>
      <c r="B8" s="16" t="n">
        <f aca="false">SUMIF('Daily Ledger'!$D$2:$D$1827,A8,'Daily Ledger'!$I$2:$I$1827)</f>
        <v>523</v>
      </c>
      <c r="C8" s="22" t="n">
        <f aca="false">SUMIF('Daily Ledger'!$D$2:$D$1827,A8,'Daily Ledger'!$J$2:$J$1827)</f>
        <v>313800</v>
      </c>
      <c r="D8" s="16" t="n">
        <f aca="false">SUMIF('Daily Ledger'!$D$2:$D$1827,A8,'Daily Ledger'!$L$2:$L$1827)</f>
        <v>386</v>
      </c>
      <c r="E8" s="22" t="n">
        <f aca="false">SUMIF('Daily Ledger'!$D$2:$D$1827,A8,'Daily Ledger'!$M$2:$M$1827)</f>
        <v>115800</v>
      </c>
      <c r="F8" s="22" t="n">
        <f aca="false">SUMIF('Daily Ledger'!$D$2:$D$1827,A8,'Daily Ledger'!$N$2:$N$1827)</f>
        <v>429600</v>
      </c>
      <c r="G8" s="22" t="n">
        <f aca="false">SUMIF('Daily Ledger'!$D$2:$D$1827,A8,'Daily Ledger'!$U$2:$U$1827)</f>
        <v>260000</v>
      </c>
      <c r="H8" s="22" t="n">
        <f aca="false">SUMIF('Daily Ledger'!$D$2:$D$1827,A8,'Daily Ledger'!$V$2:$V$1827)</f>
        <v>169600</v>
      </c>
      <c r="I8" s="22" t="n">
        <f aca="false">LOOKUP(2,1/('Daily Ledger'!$D$2:$D$1827=A8),'Daily Ledger'!$W$2:$W$1827)</f>
        <v>-4066900</v>
      </c>
    </row>
    <row r="9" customFormat="false" ht="15" hidden="false" customHeight="false" outlineLevel="0" collapsed="false">
      <c r="A9" s="18" t="n">
        <v>8</v>
      </c>
      <c r="B9" s="16" t="n">
        <f aca="false">SUMIF('Daily Ledger'!$D$2:$D$1827,A9,'Daily Ledger'!$I$2:$I$1827)</f>
        <v>511</v>
      </c>
      <c r="C9" s="22" t="n">
        <f aca="false">SUMIF('Daily Ledger'!$D$2:$D$1827,A9,'Daily Ledger'!$J$2:$J$1827)</f>
        <v>306600</v>
      </c>
      <c r="D9" s="16" t="n">
        <f aca="false">SUMIF('Daily Ledger'!$D$2:$D$1827,A9,'Daily Ledger'!$L$2:$L$1827)</f>
        <v>378</v>
      </c>
      <c r="E9" s="22" t="n">
        <f aca="false">SUMIF('Daily Ledger'!$D$2:$D$1827,A9,'Daily Ledger'!$M$2:$M$1827)</f>
        <v>113400</v>
      </c>
      <c r="F9" s="22" t="n">
        <f aca="false">SUMIF('Daily Ledger'!$D$2:$D$1827,A9,'Daily Ledger'!$N$2:$N$1827)</f>
        <v>420000</v>
      </c>
      <c r="G9" s="22" t="n">
        <f aca="false">SUMIF('Daily Ledger'!$D$2:$D$1827,A9,'Daily Ledger'!$U$2:$U$1827)</f>
        <v>260000</v>
      </c>
      <c r="H9" s="22" t="n">
        <f aca="false">SUMIF('Daily Ledger'!$D$2:$D$1827,A9,'Daily Ledger'!$V$2:$V$1827)</f>
        <v>160000</v>
      </c>
      <c r="I9" s="22" t="n">
        <f aca="false">LOOKUP(2,1/('Daily Ledger'!$D$2:$D$1827=A9),'Daily Ledger'!$W$2:$W$1827)</f>
        <v>-3906900</v>
      </c>
    </row>
    <row r="10" customFormat="false" ht="15" hidden="false" customHeight="false" outlineLevel="0" collapsed="false">
      <c r="A10" s="18" t="n">
        <v>9</v>
      </c>
      <c r="B10" s="16" t="n">
        <f aca="false">SUMIF('Daily Ledger'!$D$2:$D$1827,A10,'Daily Ledger'!$I$2:$I$1827)</f>
        <v>521</v>
      </c>
      <c r="C10" s="22" t="n">
        <f aca="false">SUMIF('Daily Ledger'!$D$2:$D$1827,A10,'Daily Ledger'!$J$2:$J$1827)</f>
        <v>312600</v>
      </c>
      <c r="D10" s="16" t="n">
        <f aca="false">SUMIF('Daily Ledger'!$D$2:$D$1827,A10,'Daily Ledger'!$L$2:$L$1827)</f>
        <v>380</v>
      </c>
      <c r="E10" s="22" t="n">
        <f aca="false">SUMIF('Daily Ledger'!$D$2:$D$1827,A10,'Daily Ledger'!$M$2:$M$1827)</f>
        <v>114000</v>
      </c>
      <c r="F10" s="22" t="n">
        <f aca="false">SUMIF('Daily Ledger'!$D$2:$D$1827,A10,'Daily Ledger'!$N$2:$N$1827)</f>
        <v>426600</v>
      </c>
      <c r="G10" s="22" t="n">
        <f aca="false">SUMIF('Daily Ledger'!$D$2:$D$1827,A10,'Daily Ledger'!$U$2:$U$1827)</f>
        <v>260000</v>
      </c>
      <c r="H10" s="22" t="n">
        <f aca="false">SUMIF('Daily Ledger'!$D$2:$D$1827,A10,'Daily Ledger'!$V$2:$V$1827)</f>
        <v>166600</v>
      </c>
      <c r="I10" s="22" t="n">
        <f aca="false">LOOKUP(2,1/('Daily Ledger'!$D$2:$D$1827=A10),'Daily Ledger'!$W$2:$W$1827)</f>
        <v>-3740300</v>
      </c>
    </row>
    <row r="11" customFormat="false" ht="15" hidden="false" customHeight="false" outlineLevel="0" collapsed="false">
      <c r="A11" s="18" t="n">
        <v>10</v>
      </c>
      <c r="B11" s="16" t="n">
        <f aca="false">SUMIF('Daily Ledger'!$D$2:$D$1827,A11,'Daily Ledger'!$I$2:$I$1827)</f>
        <v>548</v>
      </c>
      <c r="C11" s="22" t="n">
        <f aca="false">SUMIF('Daily Ledger'!$D$2:$D$1827,A11,'Daily Ledger'!$J$2:$J$1827)</f>
        <v>328800</v>
      </c>
      <c r="D11" s="16" t="n">
        <f aca="false">SUMIF('Daily Ledger'!$D$2:$D$1827,A11,'Daily Ledger'!$L$2:$L$1827)</f>
        <v>390</v>
      </c>
      <c r="E11" s="22" t="n">
        <f aca="false">SUMIF('Daily Ledger'!$D$2:$D$1827,A11,'Daily Ledger'!$M$2:$M$1827)</f>
        <v>117000</v>
      </c>
      <c r="F11" s="22" t="n">
        <f aca="false">SUMIF('Daily Ledger'!$D$2:$D$1827,A11,'Daily Ledger'!$N$2:$N$1827)</f>
        <v>445800</v>
      </c>
      <c r="G11" s="22" t="n">
        <f aca="false">SUMIF('Daily Ledger'!$D$2:$D$1827,A11,'Daily Ledger'!$U$2:$U$1827)</f>
        <v>260000</v>
      </c>
      <c r="H11" s="22" t="n">
        <f aca="false">SUMIF('Daily Ledger'!$D$2:$D$1827,A11,'Daily Ledger'!$V$2:$V$1827)</f>
        <v>185800</v>
      </c>
      <c r="I11" s="22" t="n">
        <f aca="false">LOOKUP(2,1/('Daily Ledger'!$D$2:$D$1827=A11),'Daily Ledger'!$W$2:$W$1827)</f>
        <v>-3554500</v>
      </c>
    </row>
    <row r="12" customFormat="false" ht="15" hidden="false" customHeight="false" outlineLevel="0" collapsed="false">
      <c r="A12" s="18" t="n">
        <v>11</v>
      </c>
      <c r="B12" s="16" t="n">
        <f aca="false">SUMIF('Daily Ledger'!$D$2:$D$1827,A12,'Daily Ledger'!$I$2:$I$1827)</f>
        <v>528</v>
      </c>
      <c r="C12" s="22" t="n">
        <f aca="false">SUMIF('Daily Ledger'!$D$2:$D$1827,A12,'Daily Ledger'!$J$2:$J$1827)</f>
        <v>316800</v>
      </c>
      <c r="D12" s="16" t="n">
        <f aca="false">SUMIF('Daily Ledger'!$D$2:$D$1827,A12,'Daily Ledger'!$L$2:$L$1827)</f>
        <v>396</v>
      </c>
      <c r="E12" s="22" t="n">
        <f aca="false">SUMIF('Daily Ledger'!$D$2:$D$1827,A12,'Daily Ledger'!$M$2:$M$1827)</f>
        <v>118800</v>
      </c>
      <c r="F12" s="22" t="n">
        <f aca="false">SUMIF('Daily Ledger'!$D$2:$D$1827,A12,'Daily Ledger'!$N$2:$N$1827)</f>
        <v>435600</v>
      </c>
      <c r="G12" s="22" t="n">
        <f aca="false">SUMIF('Daily Ledger'!$D$2:$D$1827,A12,'Daily Ledger'!$U$2:$U$1827)</f>
        <v>260000</v>
      </c>
      <c r="H12" s="22" t="n">
        <f aca="false">SUMIF('Daily Ledger'!$D$2:$D$1827,A12,'Daily Ledger'!$V$2:$V$1827)</f>
        <v>175600</v>
      </c>
      <c r="I12" s="22" t="n">
        <f aca="false">LOOKUP(2,1/('Daily Ledger'!$D$2:$D$1827=A12),'Daily Ledger'!$W$2:$W$1827)</f>
        <v>-3378900</v>
      </c>
    </row>
    <row r="13" customFormat="false" ht="15" hidden="false" customHeight="false" outlineLevel="0" collapsed="false">
      <c r="A13" s="18" t="n">
        <v>12</v>
      </c>
      <c r="B13" s="16" t="n">
        <f aca="false">SUMIF('Daily Ledger'!$D$2:$D$1827,A13,'Daily Ledger'!$I$2:$I$1827)</f>
        <v>574</v>
      </c>
      <c r="C13" s="22" t="n">
        <f aca="false">SUMIF('Daily Ledger'!$D$2:$D$1827,A13,'Daily Ledger'!$J$2:$J$1827)</f>
        <v>344400</v>
      </c>
      <c r="D13" s="16" t="n">
        <f aca="false">SUMIF('Daily Ledger'!$D$2:$D$1827,A13,'Daily Ledger'!$L$2:$L$1827)</f>
        <v>417</v>
      </c>
      <c r="E13" s="22" t="n">
        <f aca="false">SUMIF('Daily Ledger'!$D$2:$D$1827,A13,'Daily Ledger'!$M$2:$M$1827)</f>
        <v>125100</v>
      </c>
      <c r="F13" s="22" t="n">
        <f aca="false">SUMIF('Daily Ledger'!$D$2:$D$1827,A13,'Daily Ledger'!$N$2:$N$1827)</f>
        <v>469500</v>
      </c>
      <c r="G13" s="22" t="n">
        <f aca="false">SUMIF('Daily Ledger'!$D$2:$D$1827,A13,'Daily Ledger'!$U$2:$U$1827)</f>
        <v>260000</v>
      </c>
      <c r="H13" s="22" t="n">
        <f aca="false">SUMIF('Daily Ledger'!$D$2:$D$1827,A13,'Daily Ledger'!$V$2:$V$1827)</f>
        <v>209500</v>
      </c>
      <c r="I13" s="22" t="n">
        <f aca="false">LOOKUP(2,1/('Daily Ledger'!$D$2:$D$1827=A13),'Daily Ledger'!$W$2:$W$1827)</f>
        <v>-3169400</v>
      </c>
    </row>
    <row r="14" customFormat="false" ht="15" hidden="false" customHeight="false" outlineLevel="0" collapsed="false">
      <c r="A14" s="18" t="n">
        <v>13</v>
      </c>
      <c r="B14" s="16" t="n">
        <f aca="false">SUMIF('Daily Ledger'!$D$2:$D$1827,A14,'Daily Ledger'!$I$2:$I$1827)</f>
        <v>569</v>
      </c>
      <c r="C14" s="22" t="n">
        <f aca="false">SUMIF('Daily Ledger'!$D$2:$D$1827,A14,'Daily Ledger'!$J$2:$J$1827)</f>
        <v>341400</v>
      </c>
      <c r="D14" s="16" t="n">
        <f aca="false">SUMIF('Daily Ledger'!$D$2:$D$1827,A14,'Daily Ledger'!$L$2:$L$1827)</f>
        <v>405</v>
      </c>
      <c r="E14" s="22" t="n">
        <f aca="false">SUMIF('Daily Ledger'!$D$2:$D$1827,A14,'Daily Ledger'!$M$2:$M$1827)</f>
        <v>121500</v>
      </c>
      <c r="F14" s="22" t="n">
        <f aca="false">SUMIF('Daily Ledger'!$D$2:$D$1827,A14,'Daily Ledger'!$N$2:$N$1827)</f>
        <v>462900</v>
      </c>
      <c r="G14" s="22" t="n">
        <f aca="false">SUMIF('Daily Ledger'!$D$2:$D$1827,A14,'Daily Ledger'!$U$2:$U$1827)</f>
        <v>411230</v>
      </c>
      <c r="H14" s="22" t="n">
        <f aca="false">SUMIF('Daily Ledger'!$D$2:$D$1827,A14,'Daily Ledger'!$V$2:$V$1827)</f>
        <v>51670.0000000001</v>
      </c>
      <c r="I14" s="22" t="n">
        <f aca="false">LOOKUP(2,1/('Daily Ledger'!$D$2:$D$1827=A14),'Daily Ledger'!$W$2:$W$1827)</f>
        <v>-3117730</v>
      </c>
    </row>
    <row r="15" customFormat="false" ht="15" hidden="false" customHeight="false" outlineLevel="0" collapsed="false">
      <c r="A15" s="18" t="n">
        <v>14</v>
      </c>
      <c r="B15" s="16" t="n">
        <f aca="false">SUMIF('Daily Ledger'!$D$2:$D$1827,A15,'Daily Ledger'!$I$2:$I$1827)</f>
        <v>524</v>
      </c>
      <c r="C15" s="22" t="n">
        <f aca="false">SUMIF('Daily Ledger'!$D$2:$D$1827,A15,'Daily Ledger'!$J$2:$J$1827)</f>
        <v>314400</v>
      </c>
      <c r="D15" s="16" t="n">
        <f aca="false">SUMIF('Daily Ledger'!$D$2:$D$1827,A15,'Daily Ledger'!$L$2:$L$1827)</f>
        <v>372</v>
      </c>
      <c r="E15" s="22" t="n">
        <f aca="false">SUMIF('Daily Ledger'!$D$2:$D$1827,A15,'Daily Ledger'!$M$2:$M$1827)</f>
        <v>111600</v>
      </c>
      <c r="F15" s="22" t="n">
        <f aca="false">SUMIF('Daily Ledger'!$D$2:$D$1827,A15,'Daily Ledger'!$N$2:$N$1827)</f>
        <v>426000</v>
      </c>
      <c r="G15" s="22" t="n">
        <f aca="false">SUMIF('Daily Ledger'!$D$2:$D$1827,A15,'Daily Ledger'!$U$2:$U$1827)</f>
        <v>412463.69</v>
      </c>
      <c r="H15" s="22" t="n">
        <f aca="false">SUMIF('Daily Ledger'!$D$2:$D$1827,A15,'Daily Ledger'!$V$2:$V$1827)</f>
        <v>13536.3100000001</v>
      </c>
      <c r="I15" s="22" t="n">
        <f aca="false">LOOKUP(2,1/('Daily Ledger'!$D$2:$D$1827=A15),'Daily Ledger'!$W$2:$W$1827)</f>
        <v>-3104193.69</v>
      </c>
    </row>
    <row r="16" customFormat="false" ht="15" hidden="false" customHeight="false" outlineLevel="0" collapsed="false">
      <c r="A16" s="18" t="n">
        <v>15</v>
      </c>
      <c r="B16" s="16" t="n">
        <f aca="false">SUMIF('Daily Ledger'!$D$2:$D$1827,A16,'Daily Ledger'!$I$2:$I$1827)</f>
        <v>587</v>
      </c>
      <c r="C16" s="22" t="n">
        <f aca="false">SUMIF('Daily Ledger'!$D$2:$D$1827,A16,'Daily Ledger'!$J$2:$J$1827)</f>
        <v>352200</v>
      </c>
      <c r="D16" s="16" t="n">
        <f aca="false">SUMIF('Daily Ledger'!$D$2:$D$1827,A16,'Daily Ledger'!$L$2:$L$1827)</f>
        <v>417</v>
      </c>
      <c r="E16" s="22" t="n">
        <f aca="false">SUMIF('Daily Ledger'!$D$2:$D$1827,A16,'Daily Ledger'!$M$2:$M$1827)</f>
        <v>125100</v>
      </c>
      <c r="F16" s="22" t="n">
        <f aca="false">SUMIF('Daily Ledger'!$D$2:$D$1827,A16,'Daily Ledger'!$N$2:$N$1827)</f>
        <v>477300</v>
      </c>
      <c r="G16" s="22" t="n">
        <f aca="false">SUMIF('Daily Ledger'!$D$2:$D$1827,A16,'Daily Ledger'!$U$2:$U$1827)</f>
        <v>413701.08107</v>
      </c>
      <c r="H16" s="22" t="n">
        <f aca="false">SUMIF('Daily Ledger'!$D$2:$D$1827,A16,'Daily Ledger'!$V$2:$V$1827)</f>
        <v>63598.9189300001</v>
      </c>
      <c r="I16" s="22" t="n">
        <f aca="false">LOOKUP(2,1/('Daily Ledger'!$D$2:$D$1827=A16),'Daily Ledger'!$W$2:$W$1827)</f>
        <v>-3040594.77107</v>
      </c>
    </row>
    <row r="17" customFormat="false" ht="15" hidden="false" customHeight="false" outlineLevel="0" collapsed="false">
      <c r="A17" s="18" t="n">
        <v>16</v>
      </c>
      <c r="B17" s="16" t="n">
        <f aca="false">SUMIF('Daily Ledger'!$D$2:$D$1827,A17,'Daily Ledger'!$I$2:$I$1827)</f>
        <v>566</v>
      </c>
      <c r="C17" s="22" t="n">
        <f aca="false">SUMIF('Daily Ledger'!$D$2:$D$1827,A17,'Daily Ledger'!$J$2:$J$1827)</f>
        <v>339600</v>
      </c>
      <c r="D17" s="16" t="n">
        <f aca="false">SUMIF('Daily Ledger'!$D$2:$D$1827,A17,'Daily Ledger'!$L$2:$L$1827)</f>
        <v>402</v>
      </c>
      <c r="E17" s="22" t="n">
        <f aca="false">SUMIF('Daily Ledger'!$D$2:$D$1827,A17,'Daily Ledger'!$M$2:$M$1827)</f>
        <v>120600</v>
      </c>
      <c r="F17" s="22" t="n">
        <f aca="false">SUMIF('Daily Ledger'!$D$2:$D$1827,A17,'Daily Ledger'!$N$2:$N$1827)</f>
        <v>460200</v>
      </c>
      <c r="G17" s="22" t="n">
        <f aca="false">SUMIF('Daily Ledger'!$D$2:$D$1827,A17,'Daily Ledger'!$U$2:$U$1827)</f>
        <v>414942.18431321</v>
      </c>
      <c r="H17" s="22" t="n">
        <f aca="false">SUMIF('Daily Ledger'!$D$2:$D$1827,A17,'Daily Ledger'!$V$2:$V$1827)</f>
        <v>45257.8156867902</v>
      </c>
      <c r="I17" s="22" t="n">
        <f aca="false">LOOKUP(2,1/('Daily Ledger'!$D$2:$D$1827=A17),'Daily Ledger'!$W$2:$W$1827)</f>
        <v>-2995336.95538321</v>
      </c>
    </row>
    <row r="18" customFormat="false" ht="15" hidden="false" customHeight="false" outlineLevel="0" collapsed="false">
      <c r="A18" s="18" t="n">
        <v>17</v>
      </c>
      <c r="B18" s="16" t="n">
        <f aca="false">SUMIF('Daily Ledger'!$D$2:$D$1827,A18,'Daily Ledger'!$I$2:$I$1827)</f>
        <v>571</v>
      </c>
      <c r="C18" s="22" t="n">
        <f aca="false">SUMIF('Daily Ledger'!$D$2:$D$1827,A18,'Daily Ledger'!$J$2:$J$1827)</f>
        <v>342600</v>
      </c>
      <c r="D18" s="16" t="n">
        <f aca="false">SUMIF('Daily Ledger'!$D$2:$D$1827,A18,'Daily Ledger'!$L$2:$L$1827)</f>
        <v>411</v>
      </c>
      <c r="E18" s="22" t="n">
        <f aca="false">SUMIF('Daily Ledger'!$D$2:$D$1827,A18,'Daily Ledger'!$M$2:$M$1827)</f>
        <v>123300</v>
      </c>
      <c r="F18" s="22" t="n">
        <f aca="false">SUMIF('Daily Ledger'!$D$2:$D$1827,A18,'Daily Ledger'!$N$2:$N$1827)</f>
        <v>465900</v>
      </c>
      <c r="G18" s="22" t="n">
        <f aca="false">SUMIF('Daily Ledger'!$D$2:$D$1827,A18,'Daily Ledger'!$U$2:$U$1827)</f>
        <v>416187.010866149</v>
      </c>
      <c r="H18" s="22" t="n">
        <f aca="false">SUMIF('Daily Ledger'!$D$2:$D$1827,A18,'Daily Ledger'!$V$2:$V$1827)</f>
        <v>49712.9891338506</v>
      </c>
      <c r="I18" s="22" t="n">
        <f aca="false">LOOKUP(2,1/('Daily Ledger'!$D$2:$D$1827=A18),'Daily Ledger'!$W$2:$W$1827)</f>
        <v>-2945623.96624936</v>
      </c>
    </row>
    <row r="19" customFormat="false" ht="15" hidden="false" customHeight="false" outlineLevel="0" collapsed="false">
      <c r="A19" s="18" t="n">
        <v>18</v>
      </c>
      <c r="B19" s="16" t="n">
        <f aca="false">SUMIF('Daily Ledger'!$D$2:$D$1827,A19,'Daily Ledger'!$I$2:$I$1827)</f>
        <v>566</v>
      </c>
      <c r="C19" s="22" t="n">
        <f aca="false">SUMIF('Daily Ledger'!$D$2:$D$1827,A19,'Daily Ledger'!$J$2:$J$1827)</f>
        <v>339600</v>
      </c>
      <c r="D19" s="16" t="n">
        <f aca="false">SUMIF('Daily Ledger'!$D$2:$D$1827,A19,'Daily Ledger'!$L$2:$L$1827)</f>
        <v>424</v>
      </c>
      <c r="E19" s="22" t="n">
        <f aca="false">SUMIF('Daily Ledger'!$D$2:$D$1827,A19,'Daily Ledger'!$M$2:$M$1827)</f>
        <v>127200</v>
      </c>
      <c r="F19" s="22" t="n">
        <f aca="false">SUMIF('Daily Ledger'!$D$2:$D$1827,A19,'Daily Ledger'!$N$2:$N$1827)</f>
        <v>466800</v>
      </c>
      <c r="G19" s="22" t="n">
        <f aca="false">SUMIF('Daily Ledger'!$D$2:$D$1827,A19,'Daily Ledger'!$U$2:$U$1827)</f>
        <v>417435.571898748</v>
      </c>
      <c r="H19" s="22" t="n">
        <f aca="false">SUMIF('Daily Ledger'!$D$2:$D$1827,A19,'Daily Ledger'!$V$2:$V$1827)</f>
        <v>49364.4281012522</v>
      </c>
      <c r="I19" s="22" t="n">
        <f aca="false">LOOKUP(2,1/('Daily Ledger'!$D$2:$D$1827=A19),'Daily Ledger'!$W$2:$W$1827)</f>
        <v>-2896259.53814811</v>
      </c>
    </row>
    <row r="20" customFormat="false" ht="15" hidden="false" customHeight="false" outlineLevel="0" collapsed="false">
      <c r="A20" s="18" t="n">
        <v>19</v>
      </c>
      <c r="B20" s="16" t="n">
        <f aca="false">SUMIF('Daily Ledger'!$D$2:$D$1827,A20,'Daily Ledger'!$I$2:$I$1827)</f>
        <v>589</v>
      </c>
      <c r="C20" s="22" t="n">
        <f aca="false">SUMIF('Daily Ledger'!$D$2:$D$1827,A20,'Daily Ledger'!$J$2:$J$1827)</f>
        <v>353400</v>
      </c>
      <c r="D20" s="16" t="n">
        <f aca="false">SUMIF('Daily Ledger'!$D$2:$D$1827,A20,'Daily Ledger'!$L$2:$L$1827)</f>
        <v>434</v>
      </c>
      <c r="E20" s="22" t="n">
        <f aca="false">SUMIF('Daily Ledger'!$D$2:$D$1827,A20,'Daily Ledger'!$M$2:$M$1827)</f>
        <v>130200</v>
      </c>
      <c r="F20" s="22" t="n">
        <f aca="false">SUMIF('Daily Ledger'!$D$2:$D$1827,A20,'Daily Ledger'!$N$2:$N$1827)</f>
        <v>483600</v>
      </c>
      <c r="G20" s="22" t="n">
        <f aca="false">SUMIF('Daily Ledger'!$D$2:$D$1827,A20,'Daily Ledger'!$U$2:$U$1827)</f>
        <v>418687.878614444</v>
      </c>
      <c r="H20" s="22" t="n">
        <f aca="false">SUMIF('Daily Ledger'!$D$2:$D$1827,A20,'Daily Ledger'!$V$2:$V$1827)</f>
        <v>64912.1213855559</v>
      </c>
      <c r="I20" s="22" t="n">
        <f aca="false">LOOKUP(2,1/('Daily Ledger'!$D$2:$D$1827=A20),'Daily Ledger'!$W$2:$W$1827)</f>
        <v>-2831347.41676255</v>
      </c>
    </row>
    <row r="21" customFormat="false" ht="15" hidden="false" customHeight="false" outlineLevel="0" collapsed="false">
      <c r="A21" s="18" t="n">
        <v>20</v>
      </c>
      <c r="B21" s="16" t="n">
        <f aca="false">SUMIF('Daily Ledger'!$D$2:$D$1827,A21,'Daily Ledger'!$I$2:$I$1827)</f>
        <v>601</v>
      </c>
      <c r="C21" s="22" t="n">
        <f aca="false">SUMIF('Daily Ledger'!$D$2:$D$1827,A21,'Daily Ledger'!$J$2:$J$1827)</f>
        <v>360600</v>
      </c>
      <c r="D21" s="16" t="n">
        <f aca="false">SUMIF('Daily Ledger'!$D$2:$D$1827,A21,'Daily Ledger'!$L$2:$L$1827)</f>
        <v>442</v>
      </c>
      <c r="E21" s="22" t="n">
        <f aca="false">SUMIF('Daily Ledger'!$D$2:$D$1827,A21,'Daily Ledger'!$M$2:$M$1827)</f>
        <v>132600</v>
      </c>
      <c r="F21" s="22" t="n">
        <f aca="false">SUMIF('Daily Ledger'!$D$2:$D$1827,A21,'Daily Ledger'!$N$2:$N$1827)</f>
        <v>493200</v>
      </c>
      <c r="G21" s="22" t="n">
        <f aca="false">SUMIF('Daily Ledger'!$D$2:$D$1827,A21,'Daily Ledger'!$U$2:$U$1827)</f>
        <v>419943.942250287</v>
      </c>
      <c r="H21" s="22" t="n">
        <f aca="false">SUMIF('Daily Ledger'!$D$2:$D$1827,A21,'Daily Ledger'!$V$2:$V$1827)</f>
        <v>73256.0577497127</v>
      </c>
      <c r="I21" s="22" t="n">
        <f aca="false">LOOKUP(2,1/('Daily Ledger'!$D$2:$D$1827=A21),'Daily Ledger'!$W$2:$W$1827)</f>
        <v>-2758091.35901284</v>
      </c>
    </row>
    <row r="22" customFormat="false" ht="15" hidden="false" customHeight="false" outlineLevel="0" collapsed="false">
      <c r="A22" s="18" t="n">
        <v>21</v>
      </c>
      <c r="B22" s="16" t="n">
        <f aca="false">SUMIF('Daily Ledger'!$D$2:$D$1827,A22,'Daily Ledger'!$I$2:$I$1827)</f>
        <v>588</v>
      </c>
      <c r="C22" s="22" t="n">
        <f aca="false">SUMIF('Daily Ledger'!$D$2:$D$1827,A22,'Daily Ledger'!$J$2:$J$1827)</f>
        <v>352800</v>
      </c>
      <c r="D22" s="16" t="n">
        <f aca="false">SUMIF('Daily Ledger'!$D$2:$D$1827,A22,'Daily Ledger'!$L$2:$L$1827)</f>
        <v>432</v>
      </c>
      <c r="E22" s="22" t="n">
        <f aca="false">SUMIF('Daily Ledger'!$D$2:$D$1827,A22,'Daily Ledger'!$M$2:$M$1827)</f>
        <v>129600</v>
      </c>
      <c r="F22" s="22" t="n">
        <f aca="false">SUMIF('Daily Ledger'!$D$2:$D$1827,A22,'Daily Ledger'!$N$2:$N$1827)</f>
        <v>482400</v>
      </c>
      <c r="G22" s="22" t="n">
        <f aca="false">SUMIF('Daily Ledger'!$D$2:$D$1827,A22,'Daily Ledger'!$U$2:$U$1827)</f>
        <v>421203.774077038</v>
      </c>
      <c r="H22" s="22" t="n">
        <f aca="false">SUMIF('Daily Ledger'!$D$2:$D$1827,A22,'Daily Ledger'!$V$2:$V$1827)</f>
        <v>61196.2259229619</v>
      </c>
      <c r="I22" s="22" t="n">
        <f aca="false">LOOKUP(2,1/('Daily Ledger'!$D$2:$D$1827=A22),'Daily Ledger'!$W$2:$W$1827)</f>
        <v>-2696895.13308988</v>
      </c>
    </row>
    <row r="23" customFormat="false" ht="15" hidden="false" customHeight="false" outlineLevel="0" collapsed="false">
      <c r="A23" s="18" t="n">
        <v>22</v>
      </c>
      <c r="B23" s="16" t="n">
        <f aca="false">SUMIF('Daily Ledger'!$D$2:$D$1827,A23,'Daily Ledger'!$I$2:$I$1827)</f>
        <v>592</v>
      </c>
      <c r="C23" s="22" t="n">
        <f aca="false">SUMIF('Daily Ledger'!$D$2:$D$1827,A23,'Daily Ledger'!$J$2:$J$1827)</f>
        <v>355200</v>
      </c>
      <c r="D23" s="16" t="n">
        <f aca="false">SUMIF('Daily Ledger'!$D$2:$D$1827,A23,'Daily Ledger'!$L$2:$L$1827)</f>
        <v>436</v>
      </c>
      <c r="E23" s="22" t="n">
        <f aca="false">SUMIF('Daily Ledger'!$D$2:$D$1827,A23,'Daily Ledger'!$M$2:$M$1827)</f>
        <v>130800</v>
      </c>
      <c r="F23" s="22" t="n">
        <f aca="false">SUMIF('Daily Ledger'!$D$2:$D$1827,A23,'Daily Ledger'!$N$2:$N$1827)</f>
        <v>486000</v>
      </c>
      <c r="G23" s="22" t="n">
        <f aca="false">SUMIF('Daily Ledger'!$D$2:$D$1827,A23,'Daily Ledger'!$U$2:$U$1827)</f>
        <v>422467.385399269</v>
      </c>
      <c r="H23" s="22" t="n">
        <f aca="false">SUMIF('Daily Ledger'!$D$2:$D$1827,A23,'Daily Ledger'!$V$2:$V$1827)</f>
        <v>63532.6146007309</v>
      </c>
      <c r="I23" s="22" t="n">
        <f aca="false">LOOKUP(2,1/('Daily Ledger'!$D$2:$D$1827=A23),'Daily Ledger'!$W$2:$W$1827)</f>
        <v>-2633362.51848915</v>
      </c>
    </row>
    <row r="24" customFormat="false" ht="15" hidden="false" customHeight="false" outlineLevel="0" collapsed="false">
      <c r="A24" s="18" t="n">
        <v>23</v>
      </c>
      <c r="B24" s="16" t="n">
        <f aca="false">SUMIF('Daily Ledger'!$D$2:$D$1827,A24,'Daily Ledger'!$I$2:$I$1827)</f>
        <v>588</v>
      </c>
      <c r="C24" s="22" t="n">
        <f aca="false">SUMIF('Daily Ledger'!$D$2:$D$1827,A24,'Daily Ledger'!$J$2:$J$1827)</f>
        <v>352800</v>
      </c>
      <c r="D24" s="16" t="n">
        <f aca="false">SUMIF('Daily Ledger'!$D$2:$D$1827,A24,'Daily Ledger'!$L$2:$L$1827)</f>
        <v>434</v>
      </c>
      <c r="E24" s="22" t="n">
        <f aca="false">SUMIF('Daily Ledger'!$D$2:$D$1827,A24,'Daily Ledger'!$M$2:$M$1827)</f>
        <v>130200</v>
      </c>
      <c r="F24" s="22" t="n">
        <f aca="false">SUMIF('Daily Ledger'!$D$2:$D$1827,A24,'Daily Ledger'!$N$2:$N$1827)</f>
        <v>483000</v>
      </c>
      <c r="G24" s="22" t="n">
        <f aca="false">SUMIF('Daily Ledger'!$D$2:$D$1827,A24,'Daily Ledger'!$U$2:$U$1827)</f>
        <v>423734.787555467</v>
      </c>
      <c r="H24" s="22" t="n">
        <f aca="false">SUMIF('Daily Ledger'!$D$2:$D$1827,A24,'Daily Ledger'!$V$2:$V$1827)</f>
        <v>59265.2124445331</v>
      </c>
      <c r="I24" s="22" t="n">
        <f aca="false">LOOKUP(2,1/('Daily Ledger'!$D$2:$D$1827=A24),'Daily Ledger'!$W$2:$W$1827)</f>
        <v>-2574097.30604461</v>
      </c>
    </row>
    <row r="25" customFormat="false" ht="15" hidden="false" customHeight="false" outlineLevel="0" collapsed="false">
      <c r="A25" s="18" t="n">
        <v>24</v>
      </c>
      <c r="B25" s="16" t="n">
        <f aca="false">SUMIF('Daily Ledger'!$D$2:$D$1827,A25,'Daily Ledger'!$I$2:$I$1827)</f>
        <v>610</v>
      </c>
      <c r="C25" s="22" t="n">
        <f aca="false">SUMIF('Daily Ledger'!$D$2:$D$1827,A25,'Daily Ledger'!$J$2:$J$1827)</f>
        <v>366000</v>
      </c>
      <c r="D25" s="16" t="n">
        <f aca="false">SUMIF('Daily Ledger'!$D$2:$D$1827,A25,'Daily Ledger'!$L$2:$L$1827)</f>
        <v>471</v>
      </c>
      <c r="E25" s="22" t="n">
        <f aca="false">SUMIF('Daily Ledger'!$D$2:$D$1827,A25,'Daily Ledger'!$M$2:$M$1827)</f>
        <v>141300</v>
      </c>
      <c r="F25" s="22" t="n">
        <f aca="false">SUMIF('Daily Ledger'!$D$2:$D$1827,A25,'Daily Ledger'!$N$2:$N$1827)</f>
        <v>507300</v>
      </c>
      <c r="G25" s="22" t="n">
        <f aca="false">SUMIF('Daily Ledger'!$D$2:$D$1827,A25,'Daily Ledger'!$U$2:$U$1827)</f>
        <v>425005.991918133</v>
      </c>
      <c r="H25" s="22" t="n">
        <f aca="false">SUMIF('Daily Ledger'!$D$2:$D$1827,A25,'Daily Ledger'!$V$2:$V$1827)</f>
        <v>82294.0080818667</v>
      </c>
      <c r="I25" s="22" t="n">
        <f aca="false">LOOKUP(2,1/('Daily Ledger'!$D$2:$D$1827=A25),'Daily Ledger'!$W$2:$W$1827)</f>
        <v>-2491803.29796275</v>
      </c>
    </row>
    <row r="26" customFormat="false" ht="15" hidden="false" customHeight="false" outlineLevel="0" collapsed="false">
      <c r="A26" s="18" t="n">
        <v>25</v>
      </c>
      <c r="B26" s="16" t="n">
        <f aca="false">SUMIF('Daily Ledger'!$D$2:$D$1827,A26,'Daily Ledger'!$I$2:$I$1827)</f>
        <v>592</v>
      </c>
      <c r="C26" s="22" t="n">
        <f aca="false">SUMIF('Daily Ledger'!$D$2:$D$1827,A26,'Daily Ledger'!$J$2:$J$1827)</f>
        <v>355200</v>
      </c>
      <c r="D26" s="16" t="n">
        <f aca="false">SUMIF('Daily Ledger'!$D$2:$D$1827,A26,'Daily Ledger'!$L$2:$L$1827)</f>
        <v>457</v>
      </c>
      <c r="E26" s="22" t="n">
        <f aca="false">SUMIF('Daily Ledger'!$D$2:$D$1827,A26,'Daily Ledger'!$M$2:$M$1827)</f>
        <v>137100</v>
      </c>
      <c r="F26" s="22" t="n">
        <f aca="false">SUMIF('Daily Ledger'!$D$2:$D$1827,A26,'Daily Ledger'!$N$2:$N$1827)</f>
        <v>492300</v>
      </c>
      <c r="G26" s="22" t="n">
        <f aca="false">SUMIF('Daily Ledger'!$D$2:$D$1827,A26,'Daily Ledger'!$U$2:$U$1827)</f>
        <v>426281.009893888</v>
      </c>
      <c r="H26" s="22" t="n">
        <f aca="false">SUMIF('Daily Ledger'!$D$2:$D$1827,A26,'Daily Ledger'!$V$2:$V$1827)</f>
        <v>66018.9901061124</v>
      </c>
      <c r="I26" s="22" t="n">
        <f aca="false">LOOKUP(2,1/('Daily Ledger'!$D$2:$D$1827=A26),'Daily Ledger'!$W$2:$W$1827)</f>
        <v>-2425784.30785663</v>
      </c>
    </row>
    <row r="27" customFormat="false" ht="15" hidden="false" customHeight="false" outlineLevel="0" collapsed="false">
      <c r="A27" s="18" t="n">
        <v>26</v>
      </c>
      <c r="B27" s="16" t="n">
        <f aca="false">SUMIF('Daily Ledger'!$D$2:$D$1827,A27,'Daily Ledger'!$I$2:$I$1827)</f>
        <v>566</v>
      </c>
      <c r="C27" s="22" t="n">
        <f aca="false">SUMIF('Daily Ledger'!$D$2:$D$1827,A27,'Daily Ledger'!$J$2:$J$1827)</f>
        <v>339600</v>
      </c>
      <c r="D27" s="16" t="n">
        <f aca="false">SUMIF('Daily Ledger'!$D$2:$D$1827,A27,'Daily Ledger'!$L$2:$L$1827)</f>
        <v>437</v>
      </c>
      <c r="E27" s="22" t="n">
        <f aca="false">SUMIF('Daily Ledger'!$D$2:$D$1827,A27,'Daily Ledger'!$M$2:$M$1827)</f>
        <v>131100</v>
      </c>
      <c r="F27" s="22" t="n">
        <f aca="false">SUMIF('Daily Ledger'!$D$2:$D$1827,A27,'Daily Ledger'!$N$2:$N$1827)</f>
        <v>470700</v>
      </c>
      <c r="G27" s="22" t="n">
        <f aca="false">SUMIF('Daily Ledger'!$D$2:$D$1827,A27,'Daily Ledger'!$U$2:$U$1827)</f>
        <v>427559.852923569</v>
      </c>
      <c r="H27" s="22" t="n">
        <f aca="false">SUMIF('Daily Ledger'!$D$2:$D$1827,A27,'Daily Ledger'!$V$2:$V$1827)</f>
        <v>43140.1470764307</v>
      </c>
      <c r="I27" s="22" t="n">
        <f aca="false">LOOKUP(2,1/('Daily Ledger'!$D$2:$D$1827=A27),'Daily Ledger'!$W$2:$W$1827)</f>
        <v>-2382644.1607802</v>
      </c>
    </row>
    <row r="28" customFormat="false" ht="15" hidden="false" customHeight="false" outlineLevel="0" collapsed="false">
      <c r="A28" s="18" t="n">
        <v>27</v>
      </c>
      <c r="B28" s="16" t="n">
        <f aca="false">SUMIF('Daily Ledger'!$D$2:$D$1827,A28,'Daily Ledger'!$I$2:$I$1827)</f>
        <v>610</v>
      </c>
      <c r="C28" s="22" t="n">
        <f aca="false">SUMIF('Daily Ledger'!$D$2:$D$1827,A28,'Daily Ledger'!$J$2:$J$1827)</f>
        <v>366000</v>
      </c>
      <c r="D28" s="16" t="n">
        <f aca="false">SUMIF('Daily Ledger'!$D$2:$D$1827,A28,'Daily Ledger'!$L$2:$L$1827)</f>
        <v>471</v>
      </c>
      <c r="E28" s="22" t="n">
        <f aca="false">SUMIF('Daily Ledger'!$D$2:$D$1827,A28,'Daily Ledger'!$M$2:$M$1827)</f>
        <v>141300</v>
      </c>
      <c r="F28" s="22" t="n">
        <f aca="false">SUMIF('Daily Ledger'!$D$2:$D$1827,A28,'Daily Ledger'!$N$2:$N$1827)</f>
        <v>507300</v>
      </c>
      <c r="G28" s="22" t="n">
        <f aca="false">SUMIF('Daily Ledger'!$D$2:$D$1827,A28,'Daily Ledger'!$U$2:$U$1827)</f>
        <v>428842.53248234</v>
      </c>
      <c r="H28" s="22" t="n">
        <f aca="false">SUMIF('Daily Ledger'!$D$2:$D$1827,A28,'Daily Ledger'!$V$2:$V$1827)</f>
        <v>78457.4675176601</v>
      </c>
      <c r="I28" s="22" t="n">
        <f aca="false">LOOKUP(2,1/('Daily Ledger'!$D$2:$D$1827=A28),'Daily Ledger'!$W$2:$W$1827)</f>
        <v>-2304186.69326254</v>
      </c>
    </row>
    <row r="29" customFormat="false" ht="15" hidden="false" customHeight="false" outlineLevel="0" collapsed="false">
      <c r="A29" s="18" t="n">
        <v>28</v>
      </c>
      <c r="B29" s="16" t="n">
        <f aca="false">SUMIF('Daily Ledger'!$D$2:$D$1827,A29,'Daily Ledger'!$I$2:$I$1827)</f>
        <v>581</v>
      </c>
      <c r="C29" s="22" t="n">
        <f aca="false">SUMIF('Daily Ledger'!$D$2:$D$1827,A29,'Daily Ledger'!$J$2:$J$1827)</f>
        <v>348600</v>
      </c>
      <c r="D29" s="16" t="n">
        <f aca="false">SUMIF('Daily Ledger'!$D$2:$D$1827,A29,'Daily Ledger'!$L$2:$L$1827)</f>
        <v>440</v>
      </c>
      <c r="E29" s="22" t="n">
        <f aca="false">SUMIF('Daily Ledger'!$D$2:$D$1827,A29,'Daily Ledger'!$M$2:$M$1827)</f>
        <v>132000</v>
      </c>
      <c r="F29" s="22" t="n">
        <f aca="false">SUMIF('Daily Ledger'!$D$2:$D$1827,A29,'Daily Ledger'!$N$2:$N$1827)</f>
        <v>480600</v>
      </c>
      <c r="G29" s="22" t="n">
        <f aca="false">SUMIF('Daily Ledger'!$D$2:$D$1827,A29,'Daily Ledger'!$U$2:$U$1827)</f>
        <v>430129.060079787</v>
      </c>
      <c r="H29" s="22" t="n">
        <f aca="false">SUMIF('Daily Ledger'!$D$2:$D$1827,A29,'Daily Ledger'!$V$2:$V$1827)</f>
        <v>50470.9399202131</v>
      </c>
      <c r="I29" s="22" t="n">
        <f aca="false">LOOKUP(2,1/('Daily Ledger'!$D$2:$D$1827=A29),'Daily Ledger'!$W$2:$W$1827)</f>
        <v>-2253715.75334233</v>
      </c>
    </row>
    <row r="30" customFormat="false" ht="15" hidden="false" customHeight="false" outlineLevel="0" collapsed="false">
      <c r="A30" s="18" t="n">
        <v>29</v>
      </c>
      <c r="B30" s="16" t="n">
        <f aca="false">SUMIF('Daily Ledger'!$D$2:$D$1827,A30,'Daily Ledger'!$I$2:$I$1827)</f>
        <v>641</v>
      </c>
      <c r="C30" s="22" t="n">
        <f aca="false">SUMIF('Daily Ledger'!$D$2:$D$1827,A30,'Daily Ledger'!$J$2:$J$1827)</f>
        <v>384600</v>
      </c>
      <c r="D30" s="16" t="n">
        <f aca="false">SUMIF('Daily Ledger'!$D$2:$D$1827,A30,'Daily Ledger'!$L$2:$L$1827)</f>
        <v>476</v>
      </c>
      <c r="E30" s="22" t="n">
        <f aca="false">SUMIF('Daily Ledger'!$D$2:$D$1827,A30,'Daily Ledger'!$M$2:$M$1827)</f>
        <v>142800</v>
      </c>
      <c r="F30" s="22" t="n">
        <f aca="false">SUMIF('Daily Ledger'!$D$2:$D$1827,A30,'Daily Ledger'!$N$2:$N$1827)</f>
        <v>527400</v>
      </c>
      <c r="G30" s="22" t="n">
        <f aca="false">SUMIF('Daily Ledger'!$D$2:$D$1827,A30,'Daily Ledger'!$U$2:$U$1827)</f>
        <v>431419.447260026</v>
      </c>
      <c r="H30" s="22" t="n">
        <f aca="false">SUMIF('Daily Ledger'!$D$2:$D$1827,A30,'Daily Ledger'!$V$2:$V$1827)</f>
        <v>95980.5527399738</v>
      </c>
      <c r="I30" s="22" t="n">
        <f aca="false">LOOKUP(2,1/('Daily Ledger'!$D$2:$D$1827=A30),'Daily Ledger'!$W$2:$W$1827)</f>
        <v>-2157735.20060236</v>
      </c>
    </row>
    <row r="31" customFormat="false" ht="15" hidden="false" customHeight="false" outlineLevel="0" collapsed="false">
      <c r="A31" s="18" t="n">
        <v>30</v>
      </c>
      <c r="B31" s="16" t="n">
        <f aca="false">SUMIF('Daily Ledger'!$D$2:$D$1827,A31,'Daily Ledger'!$I$2:$I$1827)</f>
        <v>618</v>
      </c>
      <c r="C31" s="22" t="n">
        <f aca="false">SUMIF('Daily Ledger'!$D$2:$D$1827,A31,'Daily Ledger'!$J$2:$J$1827)</f>
        <v>370800</v>
      </c>
      <c r="D31" s="16" t="n">
        <f aca="false">SUMIF('Daily Ledger'!$D$2:$D$1827,A31,'Daily Ledger'!$L$2:$L$1827)</f>
        <v>484</v>
      </c>
      <c r="E31" s="22" t="n">
        <f aca="false">SUMIF('Daily Ledger'!$D$2:$D$1827,A31,'Daily Ledger'!$M$2:$M$1827)</f>
        <v>145200</v>
      </c>
      <c r="F31" s="22" t="n">
        <f aca="false">SUMIF('Daily Ledger'!$D$2:$D$1827,A31,'Daily Ledger'!$N$2:$N$1827)</f>
        <v>516000</v>
      </c>
      <c r="G31" s="22" t="n">
        <f aca="false">SUMIF('Daily Ledger'!$D$2:$D$1827,A31,'Daily Ledger'!$U$2:$U$1827)</f>
        <v>432713.705601806</v>
      </c>
      <c r="H31" s="22" t="n">
        <f aca="false">SUMIF('Daily Ledger'!$D$2:$D$1827,A31,'Daily Ledger'!$V$2:$V$1827)</f>
        <v>83286.2943981938</v>
      </c>
      <c r="I31" s="22" t="n">
        <f aca="false">LOOKUP(2,1/('Daily Ledger'!$D$2:$D$1827=A31),'Daily Ledger'!$W$2:$W$1827)</f>
        <v>-2074448.90620416</v>
      </c>
    </row>
    <row r="32" customFormat="false" ht="15" hidden="false" customHeight="false" outlineLevel="0" collapsed="false">
      <c r="A32" s="18" t="n">
        <v>31</v>
      </c>
      <c r="B32" s="16" t="n">
        <f aca="false">SUMIF('Daily Ledger'!$D$2:$D$1827,A32,'Daily Ledger'!$I$2:$I$1827)</f>
        <v>623</v>
      </c>
      <c r="C32" s="22" t="n">
        <f aca="false">SUMIF('Daily Ledger'!$D$2:$D$1827,A32,'Daily Ledger'!$J$2:$J$1827)</f>
        <v>373800</v>
      </c>
      <c r="D32" s="16" t="n">
        <f aca="false">SUMIF('Daily Ledger'!$D$2:$D$1827,A32,'Daily Ledger'!$L$2:$L$1827)</f>
        <v>488</v>
      </c>
      <c r="E32" s="22" t="n">
        <f aca="false">SUMIF('Daily Ledger'!$D$2:$D$1827,A32,'Daily Ledger'!$M$2:$M$1827)</f>
        <v>146400</v>
      </c>
      <c r="F32" s="22" t="n">
        <f aca="false">SUMIF('Daily Ledger'!$D$2:$D$1827,A32,'Daily Ledger'!$N$2:$N$1827)</f>
        <v>520200</v>
      </c>
      <c r="G32" s="22" t="n">
        <f aca="false">SUMIF('Daily Ledger'!$D$2:$D$1827,A32,'Daily Ledger'!$U$2:$U$1827)</f>
        <v>434011.846718612</v>
      </c>
      <c r="H32" s="22" t="n">
        <f aca="false">SUMIF('Daily Ledger'!$D$2:$D$1827,A32,'Daily Ledger'!$V$2:$V$1827)</f>
        <v>86188.1532813883</v>
      </c>
      <c r="I32" s="22" t="n">
        <f aca="false">LOOKUP(2,1/('Daily Ledger'!$D$2:$D$1827=A32),'Daily Ledger'!$W$2:$W$1827)</f>
        <v>-1988260.75292277</v>
      </c>
    </row>
    <row r="33" customFormat="false" ht="15" hidden="false" customHeight="false" outlineLevel="0" collapsed="false">
      <c r="A33" s="18" t="n">
        <v>32</v>
      </c>
      <c r="B33" s="16" t="n">
        <f aca="false">SUMIF('Daily Ledger'!$D$2:$D$1827,A33,'Daily Ledger'!$I$2:$I$1827)</f>
        <v>641</v>
      </c>
      <c r="C33" s="22" t="n">
        <f aca="false">SUMIF('Daily Ledger'!$D$2:$D$1827,A33,'Daily Ledger'!$J$2:$J$1827)</f>
        <v>384600</v>
      </c>
      <c r="D33" s="16" t="n">
        <f aca="false">SUMIF('Daily Ledger'!$D$2:$D$1827,A33,'Daily Ledger'!$L$2:$L$1827)</f>
        <v>502</v>
      </c>
      <c r="E33" s="22" t="n">
        <f aca="false">SUMIF('Daily Ledger'!$D$2:$D$1827,A33,'Daily Ledger'!$M$2:$M$1827)</f>
        <v>150600</v>
      </c>
      <c r="F33" s="22" t="n">
        <f aca="false">SUMIF('Daily Ledger'!$D$2:$D$1827,A33,'Daily Ledger'!$N$2:$N$1827)</f>
        <v>535200</v>
      </c>
      <c r="G33" s="22" t="n">
        <f aca="false">SUMIF('Daily Ledger'!$D$2:$D$1827,A33,'Daily Ledger'!$U$2:$U$1827)</f>
        <v>435313.882258767</v>
      </c>
      <c r="H33" s="22" t="n">
        <f aca="false">SUMIF('Daily Ledger'!$D$2:$D$1827,A33,'Daily Ledger'!$V$2:$V$1827)</f>
        <v>99886.1177412326</v>
      </c>
      <c r="I33" s="22" t="n">
        <f aca="false">LOOKUP(2,1/('Daily Ledger'!$D$2:$D$1827=A33),'Daily Ledger'!$W$2:$W$1827)</f>
        <v>-1888374.63518154</v>
      </c>
    </row>
    <row r="34" customFormat="false" ht="15" hidden="false" customHeight="false" outlineLevel="0" collapsed="false">
      <c r="A34" s="18" t="n">
        <v>33</v>
      </c>
      <c r="B34" s="16" t="n">
        <f aca="false">SUMIF('Daily Ledger'!$D$2:$D$1827,A34,'Daily Ledger'!$I$2:$I$1827)</f>
        <v>609</v>
      </c>
      <c r="C34" s="22" t="n">
        <f aca="false">SUMIF('Daily Ledger'!$D$2:$D$1827,A34,'Daily Ledger'!$J$2:$J$1827)</f>
        <v>365400</v>
      </c>
      <c r="D34" s="16" t="n">
        <f aca="false">SUMIF('Daily Ledger'!$D$2:$D$1827,A34,'Daily Ledger'!$L$2:$L$1827)</f>
        <v>477</v>
      </c>
      <c r="E34" s="22" t="n">
        <f aca="false">SUMIF('Daily Ledger'!$D$2:$D$1827,A34,'Daily Ledger'!$M$2:$M$1827)</f>
        <v>143100</v>
      </c>
      <c r="F34" s="22" t="n">
        <f aca="false">SUMIF('Daily Ledger'!$D$2:$D$1827,A34,'Daily Ledger'!$N$2:$N$1827)</f>
        <v>508500</v>
      </c>
      <c r="G34" s="22" t="n">
        <f aca="false">SUMIF('Daily Ledger'!$D$2:$D$1827,A34,'Daily Ledger'!$U$2:$U$1827)</f>
        <v>436619.823905544</v>
      </c>
      <c r="H34" s="22" t="n">
        <f aca="false">SUMIF('Daily Ledger'!$D$2:$D$1827,A34,'Daily Ledger'!$V$2:$V$1827)</f>
        <v>71880.1760944563</v>
      </c>
      <c r="I34" s="22" t="n">
        <f aca="false">LOOKUP(2,1/('Daily Ledger'!$D$2:$D$1827=A34),'Daily Ledger'!$W$2:$W$1827)</f>
        <v>-1816494.45908709</v>
      </c>
    </row>
    <row r="35" customFormat="false" ht="15" hidden="false" customHeight="false" outlineLevel="0" collapsed="false">
      <c r="A35" s="18" t="n">
        <v>34</v>
      </c>
      <c r="B35" s="16" t="n">
        <f aca="false">SUMIF('Daily Ledger'!$D$2:$D$1827,A35,'Daily Ledger'!$I$2:$I$1827)</f>
        <v>632</v>
      </c>
      <c r="C35" s="22" t="n">
        <f aca="false">SUMIF('Daily Ledger'!$D$2:$D$1827,A35,'Daily Ledger'!$J$2:$J$1827)</f>
        <v>379200</v>
      </c>
      <c r="D35" s="16" t="n">
        <f aca="false">SUMIF('Daily Ledger'!$D$2:$D$1827,A35,'Daily Ledger'!$L$2:$L$1827)</f>
        <v>495</v>
      </c>
      <c r="E35" s="22" t="n">
        <f aca="false">SUMIF('Daily Ledger'!$D$2:$D$1827,A35,'Daily Ledger'!$M$2:$M$1827)</f>
        <v>148500</v>
      </c>
      <c r="F35" s="22" t="n">
        <f aca="false">SUMIF('Daily Ledger'!$D$2:$D$1827,A35,'Daily Ledger'!$N$2:$N$1827)</f>
        <v>527700</v>
      </c>
      <c r="G35" s="22" t="n">
        <f aca="false">SUMIF('Daily Ledger'!$D$2:$D$1827,A35,'Daily Ledger'!$U$2:$U$1827)</f>
        <v>437929.68337726</v>
      </c>
      <c r="H35" s="22" t="n">
        <f aca="false">SUMIF('Daily Ledger'!$D$2:$D$1827,A35,'Daily Ledger'!$V$2:$V$1827)</f>
        <v>89770.3166227398</v>
      </c>
      <c r="I35" s="22" t="n">
        <f aca="false">LOOKUP(2,1/('Daily Ledger'!$D$2:$D$1827=A35),'Daily Ledger'!$W$2:$W$1827)</f>
        <v>-1726724.14246435</v>
      </c>
    </row>
    <row r="36" customFormat="false" ht="15" hidden="false" customHeight="false" outlineLevel="0" collapsed="false">
      <c r="A36" s="18" t="n">
        <v>35</v>
      </c>
      <c r="B36" s="16" t="n">
        <f aca="false">SUMIF('Daily Ledger'!$D$2:$D$1827,A36,'Daily Ledger'!$I$2:$I$1827)</f>
        <v>618</v>
      </c>
      <c r="C36" s="22" t="n">
        <f aca="false">SUMIF('Daily Ledger'!$D$2:$D$1827,A36,'Daily Ledger'!$J$2:$J$1827)</f>
        <v>370800</v>
      </c>
      <c r="D36" s="16" t="n">
        <f aca="false">SUMIF('Daily Ledger'!$D$2:$D$1827,A36,'Daily Ledger'!$L$2:$L$1827)</f>
        <v>498</v>
      </c>
      <c r="E36" s="22" t="n">
        <f aca="false">SUMIF('Daily Ledger'!$D$2:$D$1827,A36,'Daily Ledger'!$M$2:$M$1827)</f>
        <v>149400</v>
      </c>
      <c r="F36" s="22" t="n">
        <f aca="false">SUMIF('Daily Ledger'!$D$2:$D$1827,A36,'Daily Ledger'!$N$2:$N$1827)</f>
        <v>520200</v>
      </c>
      <c r="G36" s="22" t="n">
        <f aca="false">SUMIF('Daily Ledger'!$D$2:$D$1827,A36,'Daily Ledger'!$U$2:$U$1827)</f>
        <v>439243.472427392</v>
      </c>
      <c r="H36" s="22" t="n">
        <f aca="false">SUMIF('Daily Ledger'!$D$2:$D$1827,A36,'Daily Ledger'!$V$2:$V$1827)</f>
        <v>80956.527572608</v>
      </c>
      <c r="I36" s="22" t="n">
        <f aca="false">LOOKUP(2,1/('Daily Ledger'!$D$2:$D$1827=A36),'Daily Ledger'!$W$2:$W$1827)</f>
        <v>-1645767.61489174</v>
      </c>
    </row>
    <row r="37" customFormat="false" ht="15" hidden="false" customHeight="false" outlineLevel="0" collapsed="false">
      <c r="A37" s="18" t="n">
        <v>36</v>
      </c>
      <c r="B37" s="16" t="n">
        <f aca="false">SUMIF('Daily Ledger'!$D$2:$D$1827,A37,'Daily Ledger'!$I$2:$I$1827)</f>
        <v>623</v>
      </c>
      <c r="C37" s="22" t="n">
        <f aca="false">SUMIF('Daily Ledger'!$D$2:$D$1827,A37,'Daily Ledger'!$J$2:$J$1827)</f>
        <v>373800</v>
      </c>
      <c r="D37" s="16" t="n">
        <f aca="false">SUMIF('Daily Ledger'!$D$2:$D$1827,A37,'Daily Ledger'!$L$2:$L$1827)</f>
        <v>509</v>
      </c>
      <c r="E37" s="22" t="n">
        <f aca="false">SUMIF('Daily Ledger'!$D$2:$D$1827,A37,'Daily Ledger'!$M$2:$M$1827)</f>
        <v>152700</v>
      </c>
      <c r="F37" s="22" t="n">
        <f aca="false">SUMIF('Daily Ledger'!$D$2:$D$1827,A37,'Daily Ledger'!$N$2:$N$1827)</f>
        <v>526500</v>
      </c>
      <c r="G37" s="22" t="n">
        <f aca="false">SUMIF('Daily Ledger'!$D$2:$D$1827,A37,'Daily Ledger'!$U$2:$U$1827)</f>
        <v>440561.202844674</v>
      </c>
      <c r="H37" s="22" t="n">
        <f aca="false">SUMIF('Daily Ledger'!$D$2:$D$1827,A37,'Daily Ledger'!$V$2:$V$1827)</f>
        <v>85938.7971553259</v>
      </c>
      <c r="I37" s="22" t="n">
        <f aca="false">LOOKUP(2,1/('Daily Ledger'!$D$2:$D$1827=A37),'Daily Ledger'!$W$2:$W$1827)</f>
        <v>-1559828.81773641</v>
      </c>
    </row>
    <row r="38" customFormat="false" ht="15" hidden="false" customHeight="false" outlineLevel="0" collapsed="false">
      <c r="A38" s="18" t="n">
        <v>37</v>
      </c>
      <c r="B38" s="16" t="n">
        <f aca="false">SUMIF('Daily Ledger'!$D$2:$D$1827,A38,'Daily Ledger'!$I$2:$I$1827)</f>
        <v>657</v>
      </c>
      <c r="C38" s="22" t="n">
        <f aca="false">SUMIF('Daily Ledger'!$D$2:$D$1827,A38,'Daily Ledger'!$J$2:$J$1827)</f>
        <v>394200</v>
      </c>
      <c r="D38" s="16" t="n">
        <f aca="false">SUMIF('Daily Ledger'!$D$2:$D$1827,A38,'Daily Ledger'!$L$2:$L$1827)</f>
        <v>525</v>
      </c>
      <c r="E38" s="22" t="n">
        <f aca="false">SUMIF('Daily Ledger'!$D$2:$D$1827,A38,'Daily Ledger'!$M$2:$M$1827)</f>
        <v>157500</v>
      </c>
      <c r="F38" s="22" t="n">
        <f aca="false">SUMIF('Daily Ledger'!$D$2:$D$1827,A38,'Daily Ledger'!$N$2:$N$1827)</f>
        <v>551700</v>
      </c>
      <c r="G38" s="22" t="n">
        <f aca="false">SUMIF('Daily Ledger'!$D$2:$D$1827,A38,'Daily Ledger'!$U$2:$U$1827)</f>
        <v>441882.886453208</v>
      </c>
      <c r="H38" s="22" t="n">
        <f aca="false">SUMIF('Daily Ledger'!$D$2:$D$1827,A38,'Daily Ledger'!$V$2:$V$1827)</f>
        <v>109817.113546792</v>
      </c>
      <c r="I38" s="22" t="n">
        <f aca="false">LOOKUP(2,1/('Daily Ledger'!$D$2:$D$1827=A38),'Daily Ledger'!$W$2:$W$1827)</f>
        <v>-1450011.70418962</v>
      </c>
    </row>
    <row r="39" customFormat="false" ht="15" hidden="false" customHeight="false" outlineLevel="0" collapsed="false">
      <c r="A39" s="18" t="n">
        <v>38</v>
      </c>
      <c r="B39" s="16" t="n">
        <f aca="false">SUMIF('Daily Ledger'!$D$2:$D$1827,A39,'Daily Ledger'!$I$2:$I$1827)</f>
        <v>592</v>
      </c>
      <c r="C39" s="22" t="n">
        <f aca="false">SUMIF('Daily Ledger'!$D$2:$D$1827,A39,'Daily Ledger'!$J$2:$J$1827)</f>
        <v>355200</v>
      </c>
      <c r="D39" s="16" t="n">
        <f aca="false">SUMIF('Daily Ledger'!$D$2:$D$1827,A39,'Daily Ledger'!$L$2:$L$1827)</f>
        <v>468</v>
      </c>
      <c r="E39" s="22" t="n">
        <f aca="false">SUMIF('Daily Ledger'!$D$2:$D$1827,A39,'Daily Ledger'!$M$2:$M$1827)</f>
        <v>140400</v>
      </c>
      <c r="F39" s="22" t="n">
        <f aca="false">SUMIF('Daily Ledger'!$D$2:$D$1827,A39,'Daily Ledger'!$N$2:$N$1827)</f>
        <v>495600</v>
      </c>
      <c r="G39" s="22" t="n">
        <f aca="false">SUMIF('Daily Ledger'!$D$2:$D$1827,A39,'Daily Ledger'!$U$2:$U$1827)</f>
        <v>443208.535112568</v>
      </c>
      <c r="H39" s="22" t="n">
        <f aca="false">SUMIF('Daily Ledger'!$D$2:$D$1827,A39,'Daily Ledger'!$V$2:$V$1827)</f>
        <v>52391.4648874324</v>
      </c>
      <c r="I39" s="22" t="n">
        <f aca="false">LOOKUP(2,1/('Daily Ledger'!$D$2:$D$1827=A39),'Daily Ledger'!$W$2:$W$1827)</f>
        <v>-1397620.23930219</v>
      </c>
    </row>
    <row r="40" customFormat="false" ht="15" hidden="false" customHeight="false" outlineLevel="0" collapsed="false">
      <c r="A40" s="18" t="n">
        <v>39</v>
      </c>
      <c r="B40" s="16" t="n">
        <f aca="false">SUMIF('Daily Ledger'!$D$2:$D$1827,A40,'Daily Ledger'!$I$2:$I$1827)</f>
        <v>654</v>
      </c>
      <c r="C40" s="22" t="n">
        <f aca="false">SUMIF('Daily Ledger'!$D$2:$D$1827,A40,'Daily Ledger'!$J$2:$J$1827)</f>
        <v>392400</v>
      </c>
      <c r="D40" s="16" t="n">
        <f aca="false">SUMIF('Daily Ledger'!$D$2:$D$1827,A40,'Daily Ledger'!$L$2:$L$1827)</f>
        <v>526</v>
      </c>
      <c r="E40" s="22" t="n">
        <f aca="false">SUMIF('Daily Ledger'!$D$2:$D$1827,A40,'Daily Ledger'!$M$2:$M$1827)</f>
        <v>157800</v>
      </c>
      <c r="F40" s="22" t="n">
        <f aca="false">SUMIF('Daily Ledger'!$D$2:$D$1827,A40,'Daily Ledger'!$N$2:$N$1827)</f>
        <v>550200</v>
      </c>
      <c r="G40" s="22" t="n">
        <f aca="false">SUMIF('Daily Ledger'!$D$2:$D$1827,A40,'Daily Ledger'!$U$2:$U$1827)</f>
        <v>444538.160717905</v>
      </c>
      <c r="H40" s="22" t="n">
        <f aca="false">SUMIF('Daily Ledger'!$D$2:$D$1827,A40,'Daily Ledger'!$V$2:$V$1827)</f>
        <v>105661.839282095</v>
      </c>
      <c r="I40" s="22" t="n">
        <f aca="false">LOOKUP(2,1/('Daily Ledger'!$D$2:$D$1827=A40),'Daily Ledger'!$W$2:$W$1827)</f>
        <v>-1291958.40002009</v>
      </c>
    </row>
    <row r="41" customFormat="false" ht="15" hidden="false" customHeight="false" outlineLevel="0" collapsed="false">
      <c r="A41" s="18" t="n">
        <v>40</v>
      </c>
      <c r="B41" s="16" t="n">
        <f aca="false">SUMIF('Daily Ledger'!$D$2:$D$1827,A41,'Daily Ledger'!$I$2:$I$1827)</f>
        <v>630</v>
      </c>
      <c r="C41" s="22" t="n">
        <f aca="false">SUMIF('Daily Ledger'!$D$2:$D$1827,A41,'Daily Ledger'!$J$2:$J$1827)</f>
        <v>378000</v>
      </c>
      <c r="D41" s="16" t="n">
        <f aca="false">SUMIF('Daily Ledger'!$D$2:$D$1827,A41,'Daily Ledger'!$L$2:$L$1827)</f>
        <v>513</v>
      </c>
      <c r="E41" s="22" t="n">
        <f aca="false">SUMIF('Daily Ledger'!$D$2:$D$1827,A41,'Daily Ledger'!$M$2:$M$1827)</f>
        <v>153900</v>
      </c>
      <c r="F41" s="22" t="n">
        <f aca="false">SUMIF('Daily Ledger'!$D$2:$D$1827,A41,'Daily Ledger'!$N$2:$N$1827)</f>
        <v>531900</v>
      </c>
      <c r="G41" s="22" t="n">
        <f aca="false">SUMIF('Daily Ledger'!$D$2:$D$1827,A41,'Daily Ledger'!$U$2:$U$1827)</f>
        <v>445871.775200059</v>
      </c>
      <c r="H41" s="22" t="n">
        <f aca="false">SUMIF('Daily Ledger'!$D$2:$D$1827,A41,'Daily Ledger'!$V$2:$V$1827)</f>
        <v>86028.224799941</v>
      </c>
      <c r="I41" s="22" t="n">
        <f aca="false">LOOKUP(2,1/('Daily Ledger'!$D$2:$D$1827=A41),'Daily Ledger'!$W$2:$W$1827)</f>
        <v>-1205930.17522015</v>
      </c>
    </row>
    <row r="42" customFormat="false" ht="15" hidden="false" customHeight="false" outlineLevel="0" collapsed="false">
      <c r="A42" s="18" t="n">
        <v>41</v>
      </c>
      <c r="B42" s="16" t="n">
        <f aca="false">SUMIF('Daily Ledger'!$D$2:$D$1827,A42,'Daily Ledger'!$I$2:$I$1827)</f>
        <v>664</v>
      </c>
      <c r="C42" s="22" t="n">
        <f aca="false">SUMIF('Daily Ledger'!$D$2:$D$1827,A42,'Daily Ledger'!$J$2:$J$1827)</f>
        <v>398400</v>
      </c>
      <c r="D42" s="16" t="n">
        <f aca="false">SUMIF('Daily Ledger'!$D$2:$D$1827,A42,'Daily Ledger'!$L$2:$L$1827)</f>
        <v>556</v>
      </c>
      <c r="E42" s="22" t="n">
        <f aca="false">SUMIF('Daily Ledger'!$D$2:$D$1827,A42,'Daily Ledger'!$M$2:$M$1827)</f>
        <v>166800</v>
      </c>
      <c r="F42" s="22" t="n">
        <f aca="false">SUMIF('Daily Ledger'!$D$2:$D$1827,A42,'Daily Ledger'!$N$2:$N$1827)</f>
        <v>565200</v>
      </c>
      <c r="G42" s="22" t="n">
        <f aca="false">SUMIF('Daily Ledger'!$D$2:$D$1827,A42,'Daily Ledger'!$U$2:$U$1827)</f>
        <v>447209.390525659</v>
      </c>
      <c r="H42" s="22" t="n">
        <f aca="false">SUMIF('Daily Ledger'!$D$2:$D$1827,A42,'Daily Ledger'!$V$2:$V$1827)</f>
        <v>117990.609474341</v>
      </c>
      <c r="I42" s="22" t="n">
        <f aca="false">LOOKUP(2,1/('Daily Ledger'!$D$2:$D$1827=A42),'Daily Ledger'!$W$2:$W$1827)</f>
        <v>-1087939.56574581</v>
      </c>
    </row>
    <row r="43" customFormat="false" ht="15" hidden="false" customHeight="false" outlineLevel="0" collapsed="false">
      <c r="A43" s="18" t="n">
        <v>42</v>
      </c>
      <c r="B43" s="16" t="n">
        <f aca="false">SUMIF('Daily Ledger'!$D$2:$D$1827,A43,'Daily Ledger'!$I$2:$I$1827)</f>
        <v>631</v>
      </c>
      <c r="C43" s="22" t="n">
        <f aca="false">SUMIF('Daily Ledger'!$D$2:$D$1827,A43,'Daily Ledger'!$J$2:$J$1827)</f>
        <v>378600</v>
      </c>
      <c r="D43" s="16" t="n">
        <f aca="false">SUMIF('Daily Ledger'!$D$2:$D$1827,A43,'Daily Ledger'!$L$2:$L$1827)</f>
        <v>528</v>
      </c>
      <c r="E43" s="22" t="n">
        <f aca="false">SUMIF('Daily Ledger'!$D$2:$D$1827,A43,'Daily Ledger'!$M$2:$M$1827)</f>
        <v>158400</v>
      </c>
      <c r="F43" s="22" t="n">
        <f aca="false">SUMIF('Daily Ledger'!$D$2:$D$1827,A43,'Daily Ledger'!$N$2:$N$1827)</f>
        <v>537000</v>
      </c>
      <c r="G43" s="22" t="n">
        <f aca="false">SUMIF('Daily Ledger'!$D$2:$D$1827,A43,'Daily Ledger'!$U$2:$U$1827)</f>
        <v>448551.018697236</v>
      </c>
      <c r="H43" s="22" t="n">
        <f aca="false">SUMIF('Daily Ledger'!$D$2:$D$1827,A43,'Daily Ledger'!$V$2:$V$1827)</f>
        <v>88448.981302764</v>
      </c>
      <c r="I43" s="22" t="n">
        <f aca="false">LOOKUP(2,1/('Daily Ledger'!$D$2:$D$1827=A43),'Daily Ledger'!$W$2:$W$1827)</f>
        <v>-999490.584443047</v>
      </c>
    </row>
    <row r="44" customFormat="false" ht="15" hidden="false" customHeight="false" outlineLevel="0" collapsed="false">
      <c r="A44" s="18" t="n">
        <v>43</v>
      </c>
      <c r="B44" s="16" t="n">
        <f aca="false">SUMIF('Daily Ledger'!$D$2:$D$1827,A44,'Daily Ledger'!$I$2:$I$1827)</f>
        <v>663</v>
      </c>
      <c r="C44" s="22" t="n">
        <f aca="false">SUMIF('Daily Ledger'!$D$2:$D$1827,A44,'Daily Ledger'!$J$2:$J$1827)</f>
        <v>397800</v>
      </c>
      <c r="D44" s="16" t="n">
        <f aca="false">SUMIF('Daily Ledger'!$D$2:$D$1827,A44,'Daily Ledger'!$L$2:$L$1827)</f>
        <v>548</v>
      </c>
      <c r="E44" s="22" t="n">
        <f aca="false">SUMIF('Daily Ledger'!$D$2:$D$1827,A44,'Daily Ledger'!$M$2:$M$1827)</f>
        <v>164400</v>
      </c>
      <c r="F44" s="22" t="n">
        <f aca="false">SUMIF('Daily Ledger'!$D$2:$D$1827,A44,'Daily Ledger'!$N$2:$N$1827)</f>
        <v>562200</v>
      </c>
      <c r="G44" s="22" t="n">
        <f aca="false">SUMIF('Daily Ledger'!$D$2:$D$1827,A44,'Daily Ledger'!$U$2:$U$1827)</f>
        <v>449896.671753328</v>
      </c>
      <c r="H44" s="22" t="n">
        <f aca="false">SUMIF('Daily Ledger'!$D$2:$D$1827,A44,'Daily Ledger'!$V$2:$V$1827)</f>
        <v>112303.328246672</v>
      </c>
      <c r="I44" s="22" t="n">
        <f aca="false">LOOKUP(2,1/('Daily Ledger'!$D$2:$D$1827=A44),'Daily Ledger'!$W$2:$W$1827)</f>
        <v>-887187.256196374</v>
      </c>
    </row>
    <row r="45" customFormat="false" ht="15" hidden="false" customHeight="false" outlineLevel="0" collapsed="false">
      <c r="A45" s="18" t="n">
        <v>44</v>
      </c>
      <c r="B45" s="16" t="n">
        <f aca="false">SUMIF('Daily Ledger'!$D$2:$D$1827,A45,'Daily Ledger'!$I$2:$I$1827)</f>
        <v>672</v>
      </c>
      <c r="C45" s="22" t="n">
        <f aca="false">SUMIF('Daily Ledger'!$D$2:$D$1827,A45,'Daily Ledger'!$J$2:$J$1827)</f>
        <v>403200</v>
      </c>
      <c r="D45" s="16" t="n">
        <f aca="false">SUMIF('Daily Ledger'!$D$2:$D$1827,A45,'Daily Ledger'!$L$2:$L$1827)</f>
        <v>556</v>
      </c>
      <c r="E45" s="22" t="n">
        <f aca="false">SUMIF('Daily Ledger'!$D$2:$D$1827,A45,'Daily Ledger'!$M$2:$M$1827)</f>
        <v>166800</v>
      </c>
      <c r="F45" s="22" t="n">
        <f aca="false">SUMIF('Daily Ledger'!$D$2:$D$1827,A45,'Daily Ledger'!$N$2:$N$1827)</f>
        <v>570000</v>
      </c>
      <c r="G45" s="22" t="n">
        <f aca="false">SUMIF('Daily Ledger'!$D$2:$D$1827,A45,'Daily Ledger'!$U$2:$U$1827)</f>
        <v>451246.361768588</v>
      </c>
      <c r="H45" s="22" t="n">
        <f aca="false">SUMIF('Daily Ledger'!$D$2:$D$1827,A45,'Daily Ledger'!$V$2:$V$1827)</f>
        <v>118753.638231412</v>
      </c>
      <c r="I45" s="22" t="n">
        <f aca="false">LOOKUP(2,1/('Daily Ledger'!$D$2:$D$1827=A45),'Daily Ledger'!$W$2:$W$1827)</f>
        <v>-768433.617964962</v>
      </c>
    </row>
    <row r="46" customFormat="false" ht="15" hidden="false" customHeight="false" outlineLevel="0" collapsed="false">
      <c r="A46" s="18" t="n">
        <v>45</v>
      </c>
      <c r="B46" s="16" t="n">
        <f aca="false">SUMIF('Daily Ledger'!$D$2:$D$1827,A46,'Daily Ledger'!$I$2:$I$1827)</f>
        <v>636</v>
      </c>
      <c r="C46" s="22" t="n">
        <f aca="false">SUMIF('Daily Ledger'!$D$2:$D$1827,A46,'Daily Ledger'!$J$2:$J$1827)</f>
        <v>381600</v>
      </c>
      <c r="D46" s="16" t="n">
        <f aca="false">SUMIF('Daily Ledger'!$D$2:$D$1827,A46,'Daily Ledger'!$L$2:$L$1827)</f>
        <v>525</v>
      </c>
      <c r="E46" s="22" t="n">
        <f aca="false">SUMIF('Daily Ledger'!$D$2:$D$1827,A46,'Daily Ledger'!$M$2:$M$1827)</f>
        <v>157500</v>
      </c>
      <c r="F46" s="22" t="n">
        <f aca="false">SUMIF('Daily Ledger'!$D$2:$D$1827,A46,'Daily Ledger'!$N$2:$N$1827)</f>
        <v>539100</v>
      </c>
      <c r="G46" s="22" t="n">
        <f aca="false">SUMIF('Daily Ledger'!$D$2:$D$1827,A46,'Daily Ledger'!$U$2:$U$1827)</f>
        <v>452600.100853893</v>
      </c>
      <c r="H46" s="22" t="n">
        <f aca="false">SUMIF('Daily Ledger'!$D$2:$D$1827,A46,'Daily Ledger'!$V$2:$V$1827)</f>
        <v>86499.8991461067</v>
      </c>
      <c r="I46" s="22" t="n">
        <f aca="false">LOOKUP(2,1/('Daily Ledger'!$D$2:$D$1827=A46),'Daily Ledger'!$W$2:$W$1827)</f>
        <v>-681933.718818856</v>
      </c>
    </row>
    <row r="47" customFormat="false" ht="15" hidden="false" customHeight="false" outlineLevel="0" collapsed="false">
      <c r="A47" s="18" t="n">
        <v>46</v>
      </c>
      <c r="B47" s="16" t="n">
        <f aca="false">SUMIF('Daily Ledger'!$D$2:$D$1827,A47,'Daily Ledger'!$I$2:$I$1827)</f>
        <v>695</v>
      </c>
      <c r="C47" s="22" t="n">
        <f aca="false">SUMIF('Daily Ledger'!$D$2:$D$1827,A47,'Daily Ledger'!$J$2:$J$1827)</f>
        <v>417000</v>
      </c>
      <c r="D47" s="16" t="n">
        <f aca="false">SUMIF('Daily Ledger'!$D$2:$D$1827,A47,'Daily Ledger'!$L$2:$L$1827)</f>
        <v>579</v>
      </c>
      <c r="E47" s="22" t="n">
        <f aca="false">SUMIF('Daily Ledger'!$D$2:$D$1827,A47,'Daily Ledger'!$M$2:$M$1827)</f>
        <v>173700</v>
      </c>
      <c r="F47" s="22" t="n">
        <f aca="false">SUMIF('Daily Ledger'!$D$2:$D$1827,A47,'Daily Ledger'!$N$2:$N$1827)</f>
        <v>590700</v>
      </c>
      <c r="G47" s="22" t="n">
        <f aca="false">SUMIF('Daily Ledger'!$D$2:$D$1827,A47,'Daily Ledger'!$U$2:$U$1827)</f>
        <v>453957.901156455</v>
      </c>
      <c r="H47" s="22" t="n">
        <f aca="false">SUMIF('Daily Ledger'!$D$2:$D$1827,A47,'Daily Ledger'!$V$2:$V$1827)</f>
        <v>136742.098843545</v>
      </c>
      <c r="I47" s="22" t="n">
        <f aca="false">LOOKUP(2,1/('Daily Ledger'!$D$2:$D$1827=A47),'Daily Ledger'!$W$2:$W$1827)</f>
        <v>-545191.619975311</v>
      </c>
    </row>
    <row r="48" customFormat="false" ht="15" hidden="false" customHeight="false" outlineLevel="0" collapsed="false">
      <c r="A48" s="18" t="n">
        <v>47</v>
      </c>
      <c r="B48" s="16" t="n">
        <f aca="false">SUMIF('Daily Ledger'!$D$2:$D$1827,A48,'Daily Ledger'!$I$2:$I$1827)</f>
        <v>670</v>
      </c>
      <c r="C48" s="22" t="n">
        <f aca="false">SUMIF('Daily Ledger'!$D$2:$D$1827,A48,'Daily Ledger'!$J$2:$J$1827)</f>
        <v>402000</v>
      </c>
      <c r="D48" s="16" t="n">
        <f aca="false">SUMIF('Daily Ledger'!$D$2:$D$1827,A48,'Daily Ledger'!$L$2:$L$1827)</f>
        <v>563</v>
      </c>
      <c r="E48" s="22" t="n">
        <f aca="false">SUMIF('Daily Ledger'!$D$2:$D$1827,A48,'Daily Ledger'!$M$2:$M$1827)</f>
        <v>168900</v>
      </c>
      <c r="F48" s="22" t="n">
        <f aca="false">SUMIF('Daily Ledger'!$D$2:$D$1827,A48,'Daily Ledger'!$N$2:$N$1827)</f>
        <v>570900</v>
      </c>
      <c r="G48" s="22" t="n">
        <f aca="false">SUMIF('Daily Ledger'!$D$2:$D$1827,A48,'Daily Ledger'!$U$2:$U$1827)</f>
        <v>455319.774859924</v>
      </c>
      <c r="H48" s="22" t="n">
        <f aca="false">SUMIF('Daily Ledger'!$D$2:$D$1827,A48,'Daily Ledger'!$V$2:$V$1827)</f>
        <v>115580.225140076</v>
      </c>
      <c r="I48" s="22" t="n">
        <f aca="false">LOOKUP(2,1/('Daily Ledger'!$D$2:$D$1827=A48),'Daily Ledger'!$W$2:$W$1827)</f>
        <v>-429611.394835235</v>
      </c>
    </row>
    <row r="49" customFormat="false" ht="15" hidden="false" customHeight="false" outlineLevel="0" collapsed="false">
      <c r="A49" s="18" t="n">
        <v>48</v>
      </c>
      <c r="B49" s="16" t="n">
        <f aca="false">SUMIF('Daily Ledger'!$D$2:$D$1827,A49,'Daily Ledger'!$I$2:$I$1827)</f>
        <v>675</v>
      </c>
      <c r="C49" s="22" t="n">
        <f aca="false">SUMIF('Daily Ledger'!$D$2:$D$1827,A49,'Daily Ledger'!$J$2:$J$1827)</f>
        <v>405000</v>
      </c>
      <c r="D49" s="16" t="n">
        <f aca="false">SUMIF('Daily Ledger'!$D$2:$D$1827,A49,'Daily Ledger'!$L$2:$L$1827)</f>
        <v>571</v>
      </c>
      <c r="E49" s="22" t="n">
        <f aca="false">SUMIF('Daily Ledger'!$D$2:$D$1827,A49,'Daily Ledger'!$M$2:$M$1827)</f>
        <v>171300</v>
      </c>
      <c r="F49" s="22" t="n">
        <f aca="false">SUMIF('Daily Ledger'!$D$2:$D$1827,A49,'Daily Ledger'!$N$2:$N$1827)</f>
        <v>576300</v>
      </c>
      <c r="G49" s="22" t="n">
        <f aca="false">SUMIF('Daily Ledger'!$D$2:$D$1827,A49,'Daily Ledger'!$U$2:$U$1827)</f>
        <v>456685.734184504</v>
      </c>
      <c r="H49" s="22" t="n">
        <f aca="false">SUMIF('Daily Ledger'!$D$2:$D$1827,A49,'Daily Ledger'!$V$2:$V$1827)</f>
        <v>119614.265815496</v>
      </c>
      <c r="I49" s="22" t="n">
        <f aca="false">LOOKUP(2,1/('Daily Ledger'!$D$2:$D$1827=A49),'Daily Ledger'!$W$2:$W$1827)</f>
        <v>-309997.129019739</v>
      </c>
    </row>
    <row r="50" customFormat="false" ht="15" hidden="false" customHeight="false" outlineLevel="0" collapsed="false">
      <c r="A50" s="18" t="n">
        <v>49</v>
      </c>
      <c r="B50" s="16" t="n">
        <f aca="false">SUMIF('Daily Ledger'!$D$2:$D$1827,A50,'Daily Ledger'!$I$2:$I$1827)</f>
        <v>695</v>
      </c>
      <c r="C50" s="22" t="n">
        <f aca="false">SUMIF('Daily Ledger'!$D$2:$D$1827,A50,'Daily Ledger'!$J$2:$J$1827)</f>
        <v>417000</v>
      </c>
      <c r="D50" s="16" t="n">
        <f aca="false">SUMIF('Daily Ledger'!$D$2:$D$1827,A50,'Daily Ledger'!$L$2:$L$1827)</f>
        <v>587</v>
      </c>
      <c r="E50" s="22" t="n">
        <f aca="false">SUMIF('Daily Ledger'!$D$2:$D$1827,A50,'Daily Ledger'!$M$2:$M$1827)</f>
        <v>176100</v>
      </c>
      <c r="F50" s="22" t="n">
        <f aca="false">SUMIF('Daily Ledger'!$D$2:$D$1827,A50,'Daily Ledger'!$N$2:$N$1827)</f>
        <v>593100</v>
      </c>
      <c r="G50" s="22" t="n">
        <f aca="false">SUMIF('Daily Ledger'!$D$2:$D$1827,A50,'Daily Ledger'!$U$2:$U$1827)</f>
        <v>458055.791387057</v>
      </c>
      <c r="H50" s="22" t="n">
        <f aca="false">SUMIF('Daily Ledger'!$D$2:$D$1827,A50,'Daily Ledger'!$V$2:$V$1827)</f>
        <v>135044.208612943</v>
      </c>
      <c r="I50" s="22" t="n">
        <f aca="false">LOOKUP(2,1/('Daily Ledger'!$D$2:$D$1827=A50),'Daily Ledger'!$W$2:$W$1827)</f>
        <v>-174952.920406796</v>
      </c>
    </row>
    <row r="51" customFormat="false" ht="15" hidden="false" customHeight="false" outlineLevel="0" collapsed="false">
      <c r="A51" s="18" t="n">
        <v>50</v>
      </c>
      <c r="B51" s="16" t="n">
        <f aca="false">SUMIF('Daily Ledger'!$D$2:$D$1827,A51,'Daily Ledger'!$I$2:$I$1827)</f>
        <v>620</v>
      </c>
      <c r="C51" s="22" t="n">
        <f aca="false">SUMIF('Daily Ledger'!$D$2:$D$1827,A51,'Daily Ledger'!$J$2:$J$1827)</f>
        <v>372000</v>
      </c>
      <c r="D51" s="16" t="n">
        <f aca="false">SUMIF('Daily Ledger'!$D$2:$D$1827,A51,'Daily Ledger'!$L$2:$L$1827)</f>
        <v>533</v>
      </c>
      <c r="E51" s="22" t="n">
        <f aca="false">SUMIF('Daily Ledger'!$D$2:$D$1827,A51,'Daily Ledger'!$M$2:$M$1827)</f>
        <v>159900</v>
      </c>
      <c r="F51" s="22" t="n">
        <f aca="false">SUMIF('Daily Ledger'!$D$2:$D$1827,A51,'Daily Ledger'!$N$2:$N$1827)</f>
        <v>531900</v>
      </c>
      <c r="G51" s="22" t="n">
        <f aca="false">SUMIF('Daily Ledger'!$D$2:$D$1827,A51,'Daily Ledger'!$U$2:$U$1827)</f>
        <v>459429.958761219</v>
      </c>
      <c r="H51" s="22" t="n">
        <f aca="false">SUMIF('Daily Ledger'!$D$2:$D$1827,A51,'Daily Ledger'!$V$2:$V$1827)</f>
        <v>72470.0412387815</v>
      </c>
      <c r="I51" s="22" t="n">
        <f aca="false">LOOKUP(2,1/('Daily Ledger'!$D$2:$D$1827=A51),'Daily Ledger'!$W$2:$W$1827)</f>
        <v>-102482.879168015</v>
      </c>
    </row>
    <row r="52" customFormat="false" ht="15" hidden="false" customHeight="false" outlineLevel="0" collapsed="false">
      <c r="A52" s="18" t="n">
        <v>51</v>
      </c>
      <c r="B52" s="16" t="n">
        <f aca="false">SUMIF('Daily Ledger'!$D$2:$D$1827,A52,'Daily Ledger'!$I$2:$I$1827)</f>
        <v>675</v>
      </c>
      <c r="C52" s="22" t="n">
        <f aca="false">SUMIF('Daily Ledger'!$D$2:$D$1827,A52,'Daily Ledger'!$J$2:$J$1827)</f>
        <v>405000</v>
      </c>
      <c r="D52" s="16" t="n">
        <f aca="false">SUMIF('Daily Ledger'!$D$2:$D$1827,A52,'Daily Ledger'!$L$2:$L$1827)</f>
        <v>592</v>
      </c>
      <c r="E52" s="22" t="n">
        <f aca="false">SUMIF('Daily Ledger'!$D$2:$D$1827,A52,'Daily Ledger'!$M$2:$M$1827)</f>
        <v>177600</v>
      </c>
      <c r="F52" s="22" t="n">
        <f aca="false">SUMIF('Daily Ledger'!$D$2:$D$1827,A52,'Daily Ledger'!$N$2:$N$1827)</f>
        <v>582600</v>
      </c>
      <c r="G52" s="22" t="n">
        <f aca="false">SUMIF('Daily Ledger'!$D$2:$D$1827,A52,'Daily Ledger'!$U$2:$U$1827)</f>
        <v>460808.248637502</v>
      </c>
      <c r="H52" s="22" t="n">
        <f aca="false">SUMIF('Daily Ledger'!$D$2:$D$1827,A52,'Daily Ledger'!$V$2:$V$1827)</f>
        <v>121791.751362498</v>
      </c>
      <c r="I52" s="22" t="n">
        <f aca="false">LOOKUP(2,1/('Daily Ledger'!$D$2:$D$1827=A52),'Daily Ledger'!$W$2:$W$1827)</f>
        <v>19308.8721944832</v>
      </c>
    </row>
    <row r="53" customFormat="false" ht="15" hidden="false" customHeight="false" outlineLevel="0" collapsed="false">
      <c r="A53" s="18" t="n">
        <v>52</v>
      </c>
      <c r="B53" s="16" t="n">
        <f aca="false">SUMIF('Daily Ledger'!$D$2:$D$1827,A53,'Daily Ledger'!$I$2:$I$1827)</f>
        <v>670</v>
      </c>
      <c r="C53" s="22" t="n">
        <f aca="false">SUMIF('Daily Ledger'!$D$2:$D$1827,A53,'Daily Ledger'!$J$2:$J$1827)</f>
        <v>402000</v>
      </c>
      <c r="D53" s="16" t="n">
        <f aca="false">SUMIF('Daily Ledger'!$D$2:$D$1827,A53,'Daily Ledger'!$L$2:$L$1827)</f>
        <v>588</v>
      </c>
      <c r="E53" s="22" t="n">
        <f aca="false">SUMIF('Daily Ledger'!$D$2:$D$1827,A53,'Daily Ledger'!$M$2:$M$1827)</f>
        <v>176400</v>
      </c>
      <c r="F53" s="22" t="n">
        <f aca="false">SUMIF('Daily Ledger'!$D$2:$D$1827,A53,'Daily Ledger'!$N$2:$N$1827)</f>
        <v>578400</v>
      </c>
      <c r="G53" s="22" t="n">
        <f aca="false">SUMIF('Daily Ledger'!$D$2:$D$1827,A53,'Daily Ledger'!$U$2:$U$1827)</f>
        <v>462190.673383415</v>
      </c>
      <c r="H53" s="22" t="n">
        <f aca="false">SUMIF('Daily Ledger'!$D$2:$D$1827,A53,'Daily Ledger'!$V$2:$V$1827)</f>
        <v>116209.326616585</v>
      </c>
      <c r="I53" s="22" t="n">
        <f aca="false">LOOKUP(2,1/('Daily Ledger'!$D$2:$D$1827=A53),'Daily Ledger'!$W$2:$W$1827)</f>
        <v>135518.198811069</v>
      </c>
    </row>
    <row r="54" customFormat="false" ht="15" hidden="false" customHeight="false" outlineLevel="0" collapsed="false">
      <c r="A54" s="18" t="n">
        <v>53</v>
      </c>
      <c r="B54" s="16" t="n">
        <f aca="false">SUMIF('Daily Ledger'!$D$2:$D$1827,A54,'Daily Ledger'!$I$2:$I$1827)</f>
        <v>701</v>
      </c>
      <c r="C54" s="22" t="n">
        <f aca="false">SUMIF('Daily Ledger'!$D$2:$D$1827,A54,'Daily Ledger'!$J$2:$J$1827)</f>
        <v>420600</v>
      </c>
      <c r="D54" s="16" t="n">
        <f aca="false">SUMIF('Daily Ledger'!$D$2:$D$1827,A54,'Daily Ledger'!$L$2:$L$1827)</f>
        <v>610</v>
      </c>
      <c r="E54" s="22" t="n">
        <f aca="false">SUMIF('Daily Ledger'!$D$2:$D$1827,A54,'Daily Ledger'!$M$2:$M$1827)</f>
        <v>183000</v>
      </c>
      <c r="F54" s="22" t="n">
        <f aca="false">SUMIF('Daily Ledger'!$D$2:$D$1827,A54,'Daily Ledger'!$N$2:$N$1827)</f>
        <v>603600</v>
      </c>
      <c r="G54" s="22" t="n">
        <f aca="false">SUMIF('Daily Ledger'!$D$2:$D$1827,A54,'Daily Ledger'!$U$2:$U$1827)</f>
        <v>463577.245403565</v>
      </c>
      <c r="H54" s="22" t="n">
        <f aca="false">SUMIF('Daily Ledger'!$D$2:$D$1827,A54,'Daily Ledger'!$V$2:$V$1827)</f>
        <v>140022.754596435</v>
      </c>
      <c r="I54" s="22" t="n">
        <f aca="false">LOOKUP(2,1/('Daily Ledger'!$D$2:$D$1827=A54),'Daily Ledger'!$W$2:$W$1827)</f>
        <v>275540.953407504</v>
      </c>
    </row>
    <row r="55" customFormat="false" ht="15" hidden="false" customHeight="false" outlineLevel="0" collapsed="false">
      <c r="A55" s="18" t="n">
        <v>54</v>
      </c>
      <c r="B55" s="16" t="n">
        <f aca="false">SUMIF('Daily Ledger'!$D$2:$D$1827,A55,'Daily Ledger'!$I$2:$I$1827)</f>
        <v>670</v>
      </c>
      <c r="C55" s="22" t="n">
        <f aca="false">SUMIF('Daily Ledger'!$D$2:$D$1827,A55,'Daily Ledger'!$J$2:$J$1827)</f>
        <v>402000</v>
      </c>
      <c r="D55" s="16" t="n">
        <f aca="false">SUMIF('Daily Ledger'!$D$2:$D$1827,A55,'Daily Ledger'!$L$2:$L$1827)</f>
        <v>570</v>
      </c>
      <c r="E55" s="22" t="n">
        <f aca="false">SUMIF('Daily Ledger'!$D$2:$D$1827,A55,'Daily Ledger'!$M$2:$M$1827)</f>
        <v>171000</v>
      </c>
      <c r="F55" s="22" t="n">
        <f aca="false">SUMIF('Daily Ledger'!$D$2:$D$1827,A55,'Daily Ledger'!$N$2:$N$1827)</f>
        <v>573000</v>
      </c>
      <c r="G55" s="22" t="n">
        <f aca="false">SUMIF('Daily Ledger'!$D$2:$D$1827,A55,'Daily Ledger'!$U$2:$U$1827)</f>
        <v>464967.977139776</v>
      </c>
      <c r="H55" s="22" t="n">
        <f aca="false">SUMIF('Daily Ledger'!$D$2:$D$1827,A55,'Daily Ledger'!$V$2:$V$1827)</f>
        <v>108032.022860224</v>
      </c>
      <c r="I55" s="22" t="n">
        <f aca="false">LOOKUP(2,1/('Daily Ledger'!$D$2:$D$1827=A55),'Daily Ledger'!$W$2:$W$1827)</f>
        <v>383572.976267728</v>
      </c>
    </row>
    <row r="56" customFormat="false" ht="15" hidden="false" customHeight="false" outlineLevel="0" collapsed="false">
      <c r="A56" s="18" t="n">
        <v>55</v>
      </c>
      <c r="B56" s="16" t="n">
        <f aca="false">SUMIF('Daily Ledger'!$D$2:$D$1827,A56,'Daily Ledger'!$I$2:$I$1827)</f>
        <v>718</v>
      </c>
      <c r="C56" s="22" t="n">
        <f aca="false">SUMIF('Daily Ledger'!$D$2:$D$1827,A56,'Daily Ledger'!$J$2:$J$1827)</f>
        <v>430800</v>
      </c>
      <c r="D56" s="16" t="n">
        <f aca="false">SUMIF('Daily Ledger'!$D$2:$D$1827,A56,'Daily Ledger'!$L$2:$L$1827)</f>
        <v>637</v>
      </c>
      <c r="E56" s="22" t="n">
        <f aca="false">SUMIF('Daily Ledger'!$D$2:$D$1827,A56,'Daily Ledger'!$M$2:$M$1827)</f>
        <v>191100</v>
      </c>
      <c r="F56" s="22" t="n">
        <f aca="false">SUMIF('Daily Ledger'!$D$2:$D$1827,A56,'Daily Ledger'!$N$2:$N$1827)</f>
        <v>621900</v>
      </c>
      <c r="G56" s="22" t="n">
        <f aca="false">SUMIF('Daily Ledger'!$D$2:$D$1827,A56,'Daily Ledger'!$U$2:$U$1827)</f>
        <v>466362.881071195</v>
      </c>
      <c r="H56" s="22" t="n">
        <f aca="false">SUMIF('Daily Ledger'!$D$2:$D$1827,A56,'Daily Ledger'!$V$2:$V$1827)</f>
        <v>155537.118928805</v>
      </c>
      <c r="I56" s="22" t="n">
        <f aca="false">LOOKUP(2,1/('Daily Ledger'!$D$2:$D$1827=A56),'Daily Ledger'!$W$2:$W$1827)</f>
        <v>539110.095196533</v>
      </c>
    </row>
    <row r="57" customFormat="false" ht="15" hidden="false" customHeight="false" outlineLevel="0" collapsed="false">
      <c r="A57" s="18" t="n">
        <v>56</v>
      </c>
      <c r="B57" s="16" t="n">
        <f aca="false">SUMIF('Daily Ledger'!$D$2:$D$1827,A57,'Daily Ledger'!$I$2:$I$1827)</f>
        <v>713</v>
      </c>
      <c r="C57" s="22" t="n">
        <f aca="false">SUMIF('Daily Ledger'!$D$2:$D$1827,A57,'Daily Ledger'!$J$2:$J$1827)</f>
        <v>427800</v>
      </c>
      <c r="D57" s="16" t="n">
        <f aca="false">SUMIF('Daily Ledger'!$D$2:$D$1827,A57,'Daily Ledger'!$L$2:$L$1827)</f>
        <v>632</v>
      </c>
      <c r="E57" s="22" t="n">
        <f aca="false">SUMIF('Daily Ledger'!$D$2:$D$1827,A57,'Daily Ledger'!$M$2:$M$1827)</f>
        <v>189600</v>
      </c>
      <c r="F57" s="22" t="n">
        <f aca="false">SUMIF('Daily Ledger'!$D$2:$D$1827,A57,'Daily Ledger'!$N$2:$N$1827)</f>
        <v>617400</v>
      </c>
      <c r="G57" s="22" t="n">
        <f aca="false">SUMIF('Daily Ledger'!$D$2:$D$1827,A57,'Daily Ledger'!$U$2:$U$1827)</f>
        <v>467761.969714408</v>
      </c>
      <c r="H57" s="22" t="n">
        <f aca="false">SUMIF('Daily Ledger'!$D$2:$D$1827,A57,'Daily Ledger'!$V$2:$V$1827)</f>
        <v>149638.030285592</v>
      </c>
      <c r="I57" s="22" t="n">
        <f aca="false">LOOKUP(2,1/('Daily Ledger'!$D$2:$D$1827=A57),'Daily Ledger'!$W$2:$W$1827)</f>
        <v>688748.125482125</v>
      </c>
    </row>
    <row r="58" customFormat="false" ht="15" hidden="false" customHeight="false" outlineLevel="0" collapsed="false">
      <c r="A58" s="18" t="n">
        <v>57</v>
      </c>
      <c r="B58" s="16" t="n">
        <f aca="false">SUMIF('Daily Ledger'!$D$2:$D$1827,A58,'Daily Ledger'!$I$2:$I$1827)</f>
        <v>690</v>
      </c>
      <c r="C58" s="22" t="n">
        <f aca="false">SUMIF('Daily Ledger'!$D$2:$D$1827,A58,'Daily Ledger'!$J$2:$J$1827)</f>
        <v>414000</v>
      </c>
      <c r="D58" s="16" t="n">
        <f aca="false">SUMIF('Daily Ledger'!$D$2:$D$1827,A58,'Daily Ledger'!$L$2:$L$1827)</f>
        <v>609</v>
      </c>
      <c r="E58" s="22" t="n">
        <f aca="false">SUMIF('Daily Ledger'!$D$2:$D$1827,A58,'Daily Ledger'!$M$2:$M$1827)</f>
        <v>182700</v>
      </c>
      <c r="F58" s="22" t="n">
        <f aca="false">SUMIF('Daily Ledger'!$D$2:$D$1827,A58,'Daily Ledger'!$N$2:$N$1827)</f>
        <v>596700</v>
      </c>
      <c r="G58" s="22" t="n">
        <f aca="false">SUMIF('Daily Ledger'!$D$2:$D$1827,A58,'Daily Ledger'!$U$2:$U$1827)</f>
        <v>469165.255623552</v>
      </c>
      <c r="H58" s="22" t="n">
        <f aca="false">SUMIF('Daily Ledger'!$D$2:$D$1827,A58,'Daily Ledger'!$V$2:$V$1827)</f>
        <v>127534.744376449</v>
      </c>
      <c r="I58" s="22" t="n">
        <f aca="false">LOOKUP(2,1/('Daily Ledger'!$D$2:$D$1827=A58),'Daily Ledger'!$W$2:$W$1827)</f>
        <v>816282.869858574</v>
      </c>
    </row>
    <row r="59" customFormat="false" ht="15" hidden="false" customHeight="false" outlineLevel="0" collapsed="false">
      <c r="A59" s="18" t="n">
        <v>58</v>
      </c>
      <c r="B59" s="16" t="n">
        <f aca="false">SUMIF('Daily Ledger'!$D$2:$D$1827,A59,'Daily Ledger'!$I$2:$I$1827)</f>
        <v>726</v>
      </c>
      <c r="C59" s="22" t="n">
        <f aca="false">SUMIF('Daily Ledger'!$D$2:$D$1827,A59,'Daily Ledger'!$J$2:$J$1827)</f>
        <v>435600</v>
      </c>
      <c r="D59" s="16" t="n">
        <f aca="false">SUMIF('Daily Ledger'!$D$2:$D$1827,A59,'Daily Ledger'!$L$2:$L$1827)</f>
        <v>641</v>
      </c>
      <c r="E59" s="22" t="n">
        <f aca="false">SUMIF('Daily Ledger'!$D$2:$D$1827,A59,'Daily Ledger'!$M$2:$M$1827)</f>
        <v>192300</v>
      </c>
      <c r="F59" s="22" t="n">
        <f aca="false">SUMIF('Daily Ledger'!$D$2:$D$1827,A59,'Daily Ledger'!$N$2:$N$1827)</f>
        <v>627900</v>
      </c>
      <c r="G59" s="22" t="n">
        <f aca="false">SUMIF('Daily Ledger'!$D$2:$D$1827,A59,'Daily Ledger'!$U$2:$U$1827)</f>
        <v>470572.751390422</v>
      </c>
      <c r="H59" s="22" t="n">
        <f aca="false">SUMIF('Daily Ledger'!$D$2:$D$1827,A59,'Daily Ledger'!$V$2:$V$1827)</f>
        <v>157327.248609578</v>
      </c>
      <c r="I59" s="22" t="n">
        <f aca="false">LOOKUP(2,1/('Daily Ledger'!$D$2:$D$1827=A59),'Daily Ledger'!$W$2:$W$1827)</f>
        <v>973610.118468152</v>
      </c>
    </row>
    <row r="60" customFormat="false" ht="15" hidden="false" customHeight="false" outlineLevel="0" collapsed="false">
      <c r="A60" s="18" t="n">
        <v>59</v>
      </c>
      <c r="B60" s="16" t="n">
        <f aca="false">SUMIF('Daily Ledger'!$D$2:$D$1827,A60,'Daily Ledger'!$I$2:$I$1827)</f>
        <v>690</v>
      </c>
      <c r="C60" s="22" t="n">
        <f aca="false">SUMIF('Daily Ledger'!$D$2:$D$1827,A60,'Daily Ledger'!$J$2:$J$1827)</f>
        <v>414000</v>
      </c>
      <c r="D60" s="16" t="n">
        <f aca="false">SUMIF('Daily Ledger'!$D$2:$D$1827,A60,'Daily Ledger'!$L$2:$L$1827)</f>
        <v>620</v>
      </c>
      <c r="E60" s="22" t="n">
        <f aca="false">SUMIF('Daily Ledger'!$D$2:$D$1827,A60,'Daily Ledger'!$M$2:$M$1827)</f>
        <v>186000</v>
      </c>
      <c r="F60" s="22" t="n">
        <f aca="false">SUMIF('Daily Ledger'!$D$2:$D$1827,A60,'Daily Ledger'!$N$2:$N$1827)</f>
        <v>600000</v>
      </c>
      <c r="G60" s="22" t="n">
        <f aca="false">SUMIF('Daily Ledger'!$D$2:$D$1827,A60,'Daily Ledger'!$U$2:$U$1827)</f>
        <v>471984.469644593</v>
      </c>
      <c r="H60" s="22" t="n">
        <f aca="false">SUMIF('Daily Ledger'!$D$2:$D$1827,A60,'Daily Ledger'!$V$2:$V$1827)</f>
        <v>128015.530355407</v>
      </c>
      <c r="I60" s="22" t="n">
        <f aca="false">LOOKUP(2,1/('Daily Ledger'!$D$2:$D$1827=A60),'Daily Ledger'!$W$2:$W$1827)</f>
        <v>1101625.64882356</v>
      </c>
    </row>
    <row r="61" customFormat="false" ht="15" hidden="false" customHeight="false" outlineLevel="0" collapsed="false">
      <c r="A61" s="18" t="n">
        <v>60</v>
      </c>
      <c r="B61" s="16" t="n">
        <f aca="false">SUMIF('Daily Ledger'!$D$2:$D$1827,A61,'Daily Ledger'!$I$2:$I$1827)</f>
        <v>716</v>
      </c>
      <c r="C61" s="22" t="n">
        <f aca="false">SUMIF('Daily Ledger'!$D$2:$D$1827,A61,'Daily Ledger'!$J$2:$J$1827)</f>
        <v>429600</v>
      </c>
      <c r="D61" s="16" t="n">
        <f aca="false">SUMIF('Daily Ledger'!$D$2:$D$1827,A61,'Daily Ledger'!$L$2:$L$1827)</f>
        <v>654</v>
      </c>
      <c r="E61" s="22" t="n">
        <f aca="false">SUMIF('Daily Ledger'!$D$2:$D$1827,A61,'Daily Ledger'!$M$2:$M$1827)</f>
        <v>196200</v>
      </c>
      <c r="F61" s="22" t="n">
        <f aca="false">SUMIF('Daily Ledger'!$D$2:$D$1827,A61,'Daily Ledger'!$N$2:$N$1827)</f>
        <v>625800</v>
      </c>
      <c r="G61" s="22" t="n">
        <f aca="false">SUMIF('Daily Ledger'!$D$2:$D$1827,A61,'Daily Ledger'!$U$2:$U$1827)</f>
        <v>473400.423053527</v>
      </c>
      <c r="H61" s="22" t="n">
        <f aca="false">SUMIF('Daily Ledger'!$D$2:$D$1827,A61,'Daily Ledger'!$V$2:$V$1827)</f>
        <v>152399.576946473</v>
      </c>
      <c r="I61" s="22" t="n">
        <f aca="false">LOOKUP(2,1/('Daily Ledger'!$D$2:$D$1827=A61),'Daily Ledger'!$W$2:$W$1827)</f>
        <v>1254025.22577003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8" min="7" style="0" width="13"/>
    <col collapsed="false" customWidth="true" hidden="false" outlineLevel="0" max="9" min="9" style="0" width="26"/>
  </cols>
  <sheetData>
    <row r="1" customFormat="false" ht="26.85" hidden="false" customHeight="false" outlineLevel="0" collapsed="false">
      <c r="A1" s="15" t="s">
        <v>45</v>
      </c>
      <c r="B1" s="15" t="s">
        <v>67</v>
      </c>
      <c r="C1" s="15" t="s">
        <v>52</v>
      </c>
      <c r="D1" s="15" t="s">
        <v>68</v>
      </c>
      <c r="E1" s="15" t="s">
        <v>55</v>
      </c>
      <c r="F1" s="15" t="s">
        <v>69</v>
      </c>
      <c r="G1" s="15" t="s">
        <v>70</v>
      </c>
      <c r="H1" s="15" t="s">
        <v>71</v>
      </c>
      <c r="I1" s="15" t="s">
        <v>73</v>
      </c>
    </row>
    <row r="2" customFormat="false" ht="15" hidden="false" customHeight="false" outlineLevel="0" collapsed="false">
      <c r="A2" s="18" t="n">
        <v>1</v>
      </c>
      <c r="B2" s="16" t="n">
        <f aca="false">SUMIF('Daily Ledger'!$C$2:$C$1827,A2,'Daily Ledger'!$I$2:$I$1827)</f>
        <v>5996</v>
      </c>
      <c r="C2" s="22" t="n">
        <f aca="false">SUMIF('Daily Ledger'!$C$2:$C$1827,A2,'Daily Ledger'!$J$2:$J$1827)</f>
        <v>3597600</v>
      </c>
      <c r="D2" s="16" t="n">
        <f aca="false">SUMIF('Daily Ledger'!$C$2:$C$1827,A2,'Daily Ledger'!$L$2:$L$1827)</f>
        <v>4510</v>
      </c>
      <c r="E2" s="22" t="n">
        <f aca="false">SUMIF('Daily Ledger'!$C$2:$C$1827,A2,'Daily Ledger'!$M$2:$M$1827)</f>
        <v>1353000</v>
      </c>
      <c r="F2" s="22" t="n">
        <f aca="false">SUMIF('Daily Ledger'!$C$2:$C$1827,A2,'Daily Ledger'!$N$2:$N$1827)</f>
        <v>4950600</v>
      </c>
      <c r="G2" s="22" t="n">
        <f aca="false">SUMIF('Daily Ledger'!$C$2:$C$1827,A2,'Daily Ledger'!$U$2:$U$1827)</f>
        <v>3120000</v>
      </c>
      <c r="H2" s="22" t="n">
        <f aca="false">SUMIF('Daily Ledger'!$C$2:$C$1827,A2,'Daily Ledger'!$V$2:$V$1827)</f>
        <v>1830600</v>
      </c>
      <c r="I2" s="22" t="n">
        <f aca="false">LOOKUP(2,1/('Daily Ledger'!$C$2:$C$1827=A2),'Daily Ledger'!$W$2:$W$1827)</f>
        <v>-3169400</v>
      </c>
    </row>
    <row r="3" customFormat="false" ht="15" hidden="false" customHeight="false" outlineLevel="0" collapsed="false">
      <c r="A3" s="18" t="n">
        <v>2</v>
      </c>
      <c r="B3" s="16" t="n">
        <f aca="false">SUMIF('Daily Ledger'!$C$2:$C$1827,A3,'Daily Ledger'!$I$2:$I$1827)</f>
        <v>6951</v>
      </c>
      <c r="C3" s="22" t="n">
        <f aca="false">SUMIF('Daily Ledger'!$C$2:$C$1827,A3,'Daily Ledger'!$J$2:$J$1827)</f>
        <v>4170600</v>
      </c>
      <c r="D3" s="16" t="n">
        <f aca="false">SUMIF('Daily Ledger'!$C$2:$C$1827,A3,'Daily Ledger'!$L$2:$L$1827)</f>
        <v>5080</v>
      </c>
      <c r="E3" s="22" t="n">
        <f aca="false">SUMIF('Daily Ledger'!$C$2:$C$1827,A3,'Daily Ledger'!$M$2:$M$1827)</f>
        <v>1524000</v>
      </c>
      <c r="F3" s="22" t="n">
        <f aca="false">SUMIF('Daily Ledger'!$C$2:$C$1827,A3,'Daily Ledger'!$N$2:$N$1827)</f>
        <v>5694600</v>
      </c>
      <c r="G3" s="22" t="n">
        <f aca="false">SUMIF('Daily Ledger'!$C$2:$C$1827,A3,'Daily Ledger'!$U$2:$U$1827)</f>
        <v>5017003.29796275</v>
      </c>
      <c r="H3" s="22" t="n">
        <f aca="false">SUMIF('Daily Ledger'!$C$2:$C$1827,A3,'Daily Ledger'!$V$2:$V$1827)</f>
        <v>677596.702037254</v>
      </c>
      <c r="I3" s="22" t="n">
        <f aca="false">LOOKUP(2,1/('Daily Ledger'!$C$2:$C$1827=A3),'Daily Ledger'!$W$2:$W$1827)</f>
        <v>-2491803.29796275</v>
      </c>
    </row>
    <row r="4" customFormat="false" ht="15" hidden="false" customHeight="false" outlineLevel="0" collapsed="false">
      <c r="A4" s="18" t="n">
        <v>3</v>
      </c>
      <c r="B4" s="16" t="n">
        <f aca="false">SUMIF('Daily Ledger'!$C$2:$C$1827,A4,'Daily Ledger'!$I$2:$I$1827)</f>
        <v>7340</v>
      </c>
      <c r="C4" s="22" t="n">
        <f aca="false">SUMIF('Daily Ledger'!$C$2:$C$1827,A4,'Daily Ledger'!$J$2:$J$1827)</f>
        <v>4404000</v>
      </c>
      <c r="D4" s="16" t="n">
        <f aca="false">SUMIF('Daily Ledger'!$C$2:$C$1827,A4,'Daily Ledger'!$L$2:$L$1827)</f>
        <v>5723</v>
      </c>
      <c r="E4" s="22" t="n">
        <f aca="false">SUMIF('Daily Ledger'!$C$2:$C$1827,A4,'Daily Ledger'!$M$2:$M$1827)</f>
        <v>1716900</v>
      </c>
      <c r="F4" s="22" t="n">
        <f aca="false">SUMIF('Daily Ledger'!$C$2:$C$1827,A4,'Daily Ledger'!$N$2:$N$1827)</f>
        <v>6120900</v>
      </c>
      <c r="G4" s="22" t="n">
        <f aca="false">SUMIF('Daily Ledger'!$C$2:$C$1827,A4,'Daily Ledger'!$U$2:$U$1827)</f>
        <v>5200625.51977367</v>
      </c>
      <c r="H4" s="22" t="n">
        <f aca="false">SUMIF('Daily Ledger'!$C$2:$C$1827,A4,'Daily Ledger'!$V$2:$V$1827)</f>
        <v>920274.480226335</v>
      </c>
      <c r="I4" s="22" t="n">
        <f aca="false">LOOKUP(2,1/('Daily Ledger'!$C$2:$C$1827=A4),'Daily Ledger'!$W$2:$W$1827)</f>
        <v>-1571528.81773641</v>
      </c>
    </row>
    <row r="5" customFormat="false" ht="15" hidden="false" customHeight="false" outlineLevel="0" collapsed="false">
      <c r="A5" s="18" t="n">
        <v>4</v>
      </c>
      <c r="B5" s="16" t="n">
        <f aca="false">SUMIF('Daily Ledger'!$C$2:$C$1827,A5,'Daily Ledger'!$I$2:$I$1827)</f>
        <v>7828</v>
      </c>
      <c r="C5" s="22" t="n">
        <f aca="false">SUMIF('Daily Ledger'!$C$2:$C$1827,A5,'Daily Ledger'!$J$2:$J$1827)</f>
        <v>4696800</v>
      </c>
      <c r="D5" s="16" t="n">
        <f aca="false">SUMIF('Daily Ledger'!$C$2:$C$1827,A5,'Daily Ledger'!$L$2:$L$1827)</f>
        <v>6448</v>
      </c>
      <c r="E5" s="22" t="n">
        <f aca="false">SUMIF('Daily Ledger'!$C$2:$C$1827,A5,'Daily Ledger'!$M$2:$M$1827)</f>
        <v>1934400</v>
      </c>
      <c r="F5" s="22" t="n">
        <f aca="false">SUMIF('Daily Ledger'!$C$2:$C$1827,A5,'Daily Ledger'!$N$2:$N$1827)</f>
        <v>6631200</v>
      </c>
      <c r="G5" s="22" t="n">
        <f aca="false">SUMIF('Daily Ledger'!$C$2:$C$1827,A5,'Daily Ledger'!$U$2:$U$1827)</f>
        <v>5390968.31128333</v>
      </c>
      <c r="H5" s="22" t="n">
        <f aca="false">SUMIF('Daily Ledger'!$C$2:$C$1827,A5,'Daily Ledger'!$V$2:$V$1827)</f>
        <v>1240231.68871667</v>
      </c>
      <c r="I5" s="22" t="n">
        <f aca="false">LOOKUP(2,1/('Daily Ledger'!$C$2:$C$1827=A5),'Daily Ledger'!$W$2:$W$1827)</f>
        <v>-331297.129019739</v>
      </c>
    </row>
    <row r="6" customFormat="false" ht="15" hidden="false" customHeight="false" outlineLevel="0" collapsed="false">
      <c r="A6" s="18" t="n">
        <v>5</v>
      </c>
      <c r="B6" s="16" t="n">
        <f aca="false">SUMIF('Daily Ledger'!$C$2:$C$1827,A6,'Daily Ledger'!$I$2:$I$1827)</f>
        <v>8309</v>
      </c>
      <c r="C6" s="22" t="n">
        <f aca="false">SUMIF('Daily Ledger'!$C$2:$C$1827,A6,'Daily Ledger'!$J$2:$J$1827)</f>
        <v>4985400</v>
      </c>
      <c r="D6" s="16" t="n">
        <f aca="false">SUMIF('Daily Ledger'!$C$2:$C$1827,A6,'Daily Ledger'!$L$2:$L$1827)</f>
        <v>7294</v>
      </c>
      <c r="E6" s="22" t="n">
        <f aca="false">SUMIF('Daily Ledger'!$C$2:$C$1827,A6,'Daily Ledger'!$M$2:$M$1827)</f>
        <v>2188200</v>
      </c>
      <c r="F6" s="22" t="n">
        <f aca="false">SUMIF('Daily Ledger'!$C$2:$C$1827,A6,'Daily Ledger'!$N$2:$N$1827)</f>
        <v>7173600</v>
      </c>
      <c r="G6" s="22" t="n">
        <f aca="false">SUMIF('Daily Ledger'!$C$2:$C$1827,A6,'Daily Ledger'!$U$2:$U$1827)</f>
        <v>5588277.64521023</v>
      </c>
      <c r="H6" s="22" t="n">
        <f aca="false">SUMIF('Daily Ledger'!$C$2:$C$1827,A6,'Daily Ledger'!$V$2:$V$1827)</f>
        <v>1585322.35478977</v>
      </c>
      <c r="I6" s="22" t="n">
        <f aca="false">LOOKUP(2,1/('Daily Ledger'!$C$2:$C$1827=A6),'Daily Ledger'!$W$2:$W$1827)</f>
        <v>1254025.22577003</v>
      </c>
    </row>
    <row r="7" customFormat="false" ht="15" hidden="false" customHeight="false" outlineLevel="0" collapsed="false">
      <c r="A7" s="9" t="s">
        <v>74</v>
      </c>
      <c r="B7" s="24" t="n">
        <f aca="false">SUM(B2:B6)</f>
        <v>36424</v>
      </c>
      <c r="C7" s="25" t="n">
        <f aca="false">SUM(C2:C6)</f>
        <v>21854400</v>
      </c>
      <c r="D7" s="24" t="n">
        <f aca="false">SUM(D2:D6)</f>
        <v>29055</v>
      </c>
      <c r="E7" s="25" t="n">
        <f aca="false">SUM(E2:E6)</f>
        <v>8716500</v>
      </c>
      <c r="F7" s="25" t="n">
        <f aca="false">SUM(F2:F6)</f>
        <v>30570900</v>
      </c>
      <c r="G7" s="25" t="n">
        <f aca="false">SUM(G2:G6)</f>
        <v>24316874.77423</v>
      </c>
      <c r="H7" s="25" t="n">
        <f aca="false">SUM(H2:H6)</f>
        <v>6254025.22577003</v>
      </c>
      <c r="I7" s="25" t="n">
        <f aca="false">'Daily Ledger'!W1827</f>
        <v>1254025.22577003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75</v>
      </c>
    </row>
    <row r="3" customFormat="false" ht="15" hidden="false" customHeight="false" outlineLevel="0" collapsed="false">
      <c r="A3" s="9" t="s">
        <v>76</v>
      </c>
      <c r="B3" s="26" t="n">
        <f aca="false">Assumptions!B15</f>
        <v>5000000</v>
      </c>
    </row>
    <row r="4" customFormat="false" ht="15" hidden="false" customHeight="false" outlineLevel="0" collapsed="false">
      <c r="A4" s="9" t="s">
        <v>77</v>
      </c>
      <c r="B4" s="26" t="n">
        <f aca="false">AVERAGE('Daily Ledger'!V2:V366)</f>
        <v>5015.34246575342</v>
      </c>
    </row>
    <row r="5" customFormat="false" ht="15" hidden="false" customHeight="false" outlineLevel="0" collapsed="false">
      <c r="A5" s="9" t="s">
        <v>78</v>
      </c>
      <c r="B5" s="27" t="n">
        <f aca="false">B3/B4</f>
        <v>996.940893696056</v>
      </c>
    </row>
    <row r="7" customFormat="false" ht="15" hidden="false" customHeight="false" outlineLevel="0" collapsed="false">
      <c r="A7" s="9" t="s">
        <v>79</v>
      </c>
      <c r="B7" s="7" t="n">
        <f aca="false">IFERROR(INDEX('Daily Ledger'!A2:A1827,MATCH(TRUE(),INDEX('Daily Ledger'!W2:W1827&gt;=0,0),0)),"Not reached within simulation period")</f>
        <v>1550</v>
      </c>
    </row>
    <row r="8" customFormat="false" ht="15" hidden="false" customHeight="false" outlineLevel="0" collapsed="false">
      <c r="A8" s="9" t="s">
        <v>80</v>
      </c>
      <c r="B8" s="28" t="n">
        <f aca="false">IFERROR(INDEX('Daily Ledger'!B2:B1827,MATCH(B7,'Daily Ledger'!A2:A1827,0)),"n/a")</f>
        <v>47572</v>
      </c>
    </row>
    <row r="9" customFormat="false" ht="15" hidden="false" customHeight="false" outlineLevel="0" collapsed="false">
      <c r="A9" s="9" t="s">
        <v>81</v>
      </c>
      <c r="B9" s="29" t="n">
        <f aca="false">ROUNDUP(B7/365,0)</f>
        <v>5</v>
      </c>
    </row>
    <row r="11" customFormat="false" ht="15" hidden="false" customHeight="false" outlineLevel="0" collapsed="false">
      <c r="A11" s="9" t="s">
        <v>82</v>
      </c>
    </row>
    <row r="12" customFormat="false" ht="45" hidden="false" customHeight="true" outlineLevel="0" collapsed="false">
      <c r="A12" s="30" t="s">
        <v>83</v>
      </c>
      <c r="B12" s="30"/>
      <c r="C12" s="30"/>
      <c r="D12" s="30"/>
      <c r="E12" s="30"/>
      <c r="F12" s="30"/>
    </row>
  </sheetData>
  <mergeCells count="1"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2026-09-14T20:44:14Z</dcterms:created>
  <dc:creator>openpyxl</dc:creator>
  <dc:description/>
  <dc:language>en-US</dc:language>
  <cp:lastModifiedBy/>
  <dcterms:modified xsi:type="dcterms:W3CDTF">2026-09-14T20:44:17Z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
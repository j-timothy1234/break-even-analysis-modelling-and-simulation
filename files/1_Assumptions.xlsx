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4" authorId="0">
      <text>
        <r>
          <rPr>
            <sz val="10"/>
            <rFont val="Arial"/>
            <family val="2"/>
          </rPr>
          <t xml:space="preserve">Assumption: weekend footfall drops to 60% of a weekday since customers are mainly students/staff.</t>
        </r>
      </text>
    </comment>
    <comment ref="B42" authorId="0">
      <text>
        <r>
          <rPr>
            <sz val="10"/>
            <rFont val="Arial"/>
            <family val="2"/>
          </rPr>
          <t xml:space="preserve">Assumption: owner runs the kiosk alone in Year 1; an attendant is hired from calendar Month 13.</t>
        </r>
      </text>
    </comment>
    <comment ref="B46" authorId="0">
      <text>
        <r>
          <rPr>
            <sz val="10"/>
            <rFont val="Arial"/>
            <family val="2"/>
          </rPr>
          <t xml:space="preserve">Assumption: small monthly cost inflation (0.3%) applied to operating costs from calendar Month 13.</t>
        </r>
      </text>
    </comment>
  </commentList>
</comments>
</file>

<file path=xl/sharedStrings.xml><?xml version="1.0" encoding="utf-8"?>
<sst xmlns="http://schemas.openxmlformats.org/spreadsheetml/2006/main" count="43" uniqueCount="43">
  <si>
    <t xml:space="preserve">Mobile Money &amp; Airtime Kiosk — Daily Transactions Model (5 Years)</t>
  </si>
  <si>
    <t xml:space="preserve">All monetary values in Ugandan Shillings (UGX). Blue cells are editable inputs; black cells are calculated.</t>
  </si>
  <si>
    <t xml:space="preserve">1. SIMULATION PERIOD</t>
  </si>
  <si>
    <t xml:space="preserve">Start date</t>
  </si>
  <si>
    <t xml:space="preserve">End date</t>
  </si>
  <si>
    <t xml:space="preserve">Number of days simulated</t>
  </si>
  <si>
    <t xml:space="preserve">2. INITIAL (STARTUP) CAPITAL</t>
  </si>
  <si>
    <t xml:space="preserve">Float capital (mobile money agent line)</t>
  </si>
  <si>
    <t xml:space="preserve">Initial airtime / data bundle stock</t>
  </si>
  <si>
    <t xml:space="preserve">Kiosk setup (structure, signage, stool, umbrella)</t>
  </si>
  <si>
    <t xml:space="preserve">Rent deposit (advance)</t>
  </si>
  <si>
    <t xml:space="preserve">Equipment (phone, register book, solar charger, POS)</t>
  </si>
  <si>
    <t xml:space="preserve">TOTAL INITIAL INVESTMENT (Starting Capital)</t>
  </si>
  <si>
    <t xml:space="preserve">3. MOBILE MONEY REVENUE DRIVERS</t>
  </si>
  <si>
    <t xml:space="preserve">Starting mobile money transactions / month (baseline)</t>
  </si>
  <si>
    <t xml:space="preserve">Forecast given in the scenario</t>
  </si>
  <si>
    <t xml:space="preserve">Equivalent starting MM transactions / day</t>
  </si>
  <si>
    <t xml:space="preserve">Baseline month figure spread over an average 30.44-day month</t>
  </si>
  <si>
    <t xml:space="preserve">Monthly transaction growth rate — Year 1</t>
  </si>
  <si>
    <t xml:space="preserve">Monthly transaction growth rate — Year 2 onward</t>
  </si>
  <si>
    <t xml:space="preserve">Equivalent daily growth rate — Year 1</t>
  </si>
  <si>
    <t xml:space="preserve">(1+monthly rate)^(1/30.44) - 1</t>
  </si>
  <si>
    <t xml:space="preserve">Equivalent daily growth rate — Year 2 onward</t>
  </si>
  <si>
    <t xml:space="preserve">Average commission earned per transaction (UGX)</t>
  </si>
  <si>
    <t xml:space="preserve">4. AIRTIME / DATA BUNDLE REVENUE DRIVERS</t>
  </si>
  <si>
    <t xml:space="preserve">Starting airtime/data transactions / month (baseline)</t>
  </si>
  <si>
    <t xml:space="preserve">Equivalent starting airtime transactions / day</t>
  </si>
  <si>
    <t xml:space="preserve">Monthly airtime transaction growth rate</t>
  </si>
  <si>
    <t xml:space="preserve">Equivalent daily airtime growth rate</t>
  </si>
  <si>
    <t xml:space="preserve">Average markup profit per airtime/data sale (UGX)</t>
  </si>
  <si>
    <t xml:space="preserve">5. DAY-OF-WEEK EFFECT</t>
  </si>
  <si>
    <t xml:space="preserve">Weekend transaction multiplier (Sat &amp; Sun)</t>
  </si>
  <si>
    <t xml:space="preserve">Kiosk clientele is students/staff, so weekend footfall is lighter</t>
  </si>
  <si>
    <t xml:space="preserve">Weekday transaction multiplier (Mon-Fri)</t>
  </si>
  <si>
    <t xml:space="preserve">6. MONTHLY OPERATING COSTS (booked on the 1st of each calendar month)</t>
  </si>
  <si>
    <t xml:space="preserve">Kiosk rent</t>
  </si>
  <si>
    <t xml:space="preserve">Transport for float top-up</t>
  </si>
  <si>
    <t xml:space="preserve">Agent line / mobile money service charges</t>
  </si>
  <si>
    <t xml:space="preserve">Utilities (phone charging, lighting)</t>
  </si>
  <si>
    <t xml:space="preserve">Attendant wage (starts calendar Month 13)</t>
  </si>
  <si>
    <t xml:space="preserve">Miscellaneous / contingency</t>
  </si>
  <si>
    <t xml:space="preserve">7. OTHER</t>
  </si>
  <si>
    <t xml:space="preserve">Monthly cost inflation (applied from calendar Month 13)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</si>
</sst>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#,##0;\(#,##0\);\-"/>
    <numFmt numFmtId="168" formatCode="#,##0.0"/>
    <numFmt numFmtId="169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25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46023</v>
      </c>
    </row>
    <row r="6" customFormat="false" ht="15" hidden="false" customHeight="true" outlineLevel="0" collapsed="false">
      <c r="A6" s="5" t="s">
        <v>4</v>
      </c>
      <c r="B6" s="6" t="n">
        <v>47848</v>
      </c>
    </row>
    <row r="7" customFormat="false" ht="15" hidden="false" customHeight="true" outlineLevel="0" collapsed="false">
      <c r="A7" s="5" t="s">
        <v>5</v>
      </c>
      <c r="B7" s="7" t="n">
        <f aca="false">B6-B5+1</f>
        <v>1826</v>
      </c>
    </row>
    <row r="9" customFormat="false" ht="15" hidden="false" customHeight="true" outlineLevel="0" collapsed="false">
      <c r="A9" s="3" t="s">
        <v>6</v>
      </c>
      <c r="B9" s="4"/>
      <c r="C9" s="4"/>
    </row>
    <row r="10" customFormat="false" ht="15" hidden="false" customHeight="true" outlineLevel="0" collapsed="false">
      <c r="A10" s="5" t="s">
        <v>7</v>
      </c>
      <c r="B10" s="8" t="n">
        <v>3000000</v>
      </c>
    </row>
    <row r="11" customFormat="false" ht="15" hidden="false" customHeight="true" outlineLevel="0" collapsed="false">
      <c r="A11" s="5" t="s">
        <v>8</v>
      </c>
      <c r="B11" s="8" t="n">
        <v>500000</v>
      </c>
    </row>
    <row r="12" customFormat="false" ht="15" hidden="false" customHeight="true" outlineLevel="0" collapsed="false">
      <c r="A12" s="5" t="s">
        <v>9</v>
      </c>
      <c r="B12" s="8" t="n">
        <v>800000</v>
      </c>
    </row>
    <row r="13" customFormat="false" ht="15" hidden="false" customHeight="true" outlineLevel="0" collapsed="false">
      <c r="A13" s="5" t="s">
        <v>10</v>
      </c>
      <c r="B13" s="8" t="n">
        <v>300000</v>
      </c>
    </row>
    <row r="14" customFormat="false" ht="15" hidden="false" customHeight="true" outlineLevel="0" collapsed="false">
      <c r="A14" s="5" t="s">
        <v>11</v>
      </c>
      <c r="B14" s="8" t="n">
        <v>400000</v>
      </c>
    </row>
    <row r="15" customFormat="false" ht="15" hidden="false" customHeight="true" outlineLevel="0" collapsed="false">
      <c r="A15" s="9" t="s">
        <v>12</v>
      </c>
      <c r="B15" s="10" t="n">
        <f aca="false">SUM(B10:B14)</f>
        <v>5000000</v>
      </c>
    </row>
    <row r="17" customFormat="false" ht="15" hidden="false" customHeight="true" outlineLevel="0" collapsed="false">
      <c r="A17" s="3" t="s">
        <v>13</v>
      </c>
      <c r="B17" s="4"/>
      <c r="C17" s="4"/>
    </row>
    <row r="18" customFormat="false" ht="15" hidden="false" customHeight="true" outlineLevel="0" collapsed="false">
      <c r="A18" s="5" t="s">
        <v>14</v>
      </c>
      <c r="B18" s="11" t="n">
        <v>500</v>
      </c>
      <c r="C18" s="2" t="s">
        <v>15</v>
      </c>
    </row>
    <row r="19" customFormat="false" ht="15" hidden="false" customHeight="true" outlineLevel="0" collapsed="false">
      <c r="A19" s="5" t="s">
        <v>16</v>
      </c>
      <c r="B19" s="12" t="n">
        <f aca="false">B18/30.44</f>
        <v>16.4257555847569</v>
      </c>
      <c r="C19" s="2" t="s">
        <v>17</v>
      </c>
    </row>
    <row r="20" customFormat="false" ht="15" hidden="false" customHeight="true" outlineLevel="0" collapsed="false">
      <c r="A20" s="5" t="s">
        <v>18</v>
      </c>
      <c r="B20" s="13" t="n">
        <v>0.02</v>
      </c>
    </row>
    <row r="21" customFormat="false" ht="15" hidden="false" customHeight="true" outlineLevel="0" collapsed="false">
      <c r="A21" s="5" t="s">
        <v>19</v>
      </c>
      <c r="B21" s="13" t="n">
        <v>0.005</v>
      </c>
    </row>
    <row r="22" customFormat="false" ht="15" hidden="false" customHeight="true" outlineLevel="0" collapsed="false">
      <c r="A22" s="5" t="s">
        <v>20</v>
      </c>
      <c r="B22" s="14" t="n">
        <f aca="false">(1+B20)^(1/30.44)-1</f>
        <v>0.000650757882899811</v>
      </c>
      <c r="C22" s="2" t="s">
        <v>21</v>
      </c>
    </row>
    <row r="23" customFormat="false" ht="15" hidden="false" customHeight="true" outlineLevel="0" collapsed="false">
      <c r="A23" s="5" t="s">
        <v>22</v>
      </c>
      <c r="B23" s="14" t="n">
        <f aca="false">(1+B21)^(1/30.44)-1</f>
        <v>0.000163861699520096</v>
      </c>
    </row>
    <row r="24" customFormat="false" ht="15" hidden="false" customHeight="true" outlineLevel="0" collapsed="false">
      <c r="A24" s="5" t="s">
        <v>23</v>
      </c>
      <c r="B24" s="8" t="n">
        <v>600</v>
      </c>
    </row>
    <row r="26" customFormat="false" ht="15" hidden="false" customHeight="true" outlineLevel="0" collapsed="false">
      <c r="A26" s="3" t="s">
        <v>24</v>
      </c>
      <c r="B26" s="4"/>
      <c r="C26" s="4"/>
    </row>
    <row r="27" customFormat="false" ht="15" hidden="false" customHeight="true" outlineLevel="0" collapsed="false">
      <c r="A27" s="5" t="s">
        <v>25</v>
      </c>
      <c r="B27" s="11" t="n">
        <v>400</v>
      </c>
    </row>
    <row r="28" customFormat="false" ht="15" hidden="false" customHeight="true" outlineLevel="0" collapsed="false">
      <c r="A28" s="5" t="s">
        <v>26</v>
      </c>
      <c r="B28" s="12" t="n">
        <f aca="false">B27/30.44</f>
        <v>13.1406044678055</v>
      </c>
    </row>
    <row r="29" customFormat="false" ht="15" hidden="false" customHeight="true" outlineLevel="0" collapsed="false">
      <c r="A29" s="5" t="s">
        <v>27</v>
      </c>
      <c r="B29" s="13" t="n">
        <v>0.01</v>
      </c>
    </row>
    <row r="30" customFormat="false" ht="15" hidden="false" customHeight="true" outlineLevel="0" collapsed="false">
      <c r="A30" s="5" t="s">
        <v>28</v>
      </c>
      <c r="B30" s="14" t="n">
        <f aca="false">(1+B29)^(1/30.44)-1</f>
        <v>0.000326936837365288</v>
      </c>
    </row>
    <row r="31" customFormat="false" ht="15" hidden="false" customHeight="true" outlineLevel="0" collapsed="false">
      <c r="A31" s="5" t="s">
        <v>29</v>
      </c>
      <c r="B31" s="8" t="n">
        <v>300</v>
      </c>
    </row>
    <row r="33" customFormat="false" ht="15" hidden="false" customHeight="true" outlineLevel="0" collapsed="false">
      <c r="A33" s="3" t="s">
        <v>30</v>
      </c>
      <c r="B33" s="4"/>
      <c r="C33" s="4"/>
    </row>
    <row r="34" customFormat="false" ht="15" hidden="false" customHeight="true" outlineLevel="0" collapsed="false">
      <c r="A34" s="5" t="s">
        <v>31</v>
      </c>
      <c r="B34" s="13" t="n">
        <v>0.6</v>
      </c>
      <c r="C34" s="2" t="s">
        <v>32</v>
      </c>
    </row>
    <row r="35" customFormat="false" ht="15" hidden="false" customHeight="true" outlineLevel="0" collapsed="false">
      <c r="A35" s="5" t="s">
        <v>33</v>
      </c>
      <c r="B35" s="13" t="n">
        <v>1</v>
      </c>
    </row>
    <row r="37" customFormat="false" ht="15" hidden="false" customHeight="true" outlineLevel="0" collapsed="false">
      <c r="A37" s="3" t="s">
        <v>34</v>
      </c>
      <c r="B37" s="4"/>
      <c r="C37" s="4"/>
    </row>
    <row r="38" customFormat="false" ht="15" hidden="false" customHeight="true" outlineLevel="0" collapsed="false">
      <c r="A38" s="5" t="s">
        <v>35</v>
      </c>
      <c r="B38" s="8" t="n">
        <v>150000</v>
      </c>
    </row>
    <row r="39" customFormat="false" ht="15" hidden="false" customHeight="true" outlineLevel="0" collapsed="false">
      <c r="A39" s="5" t="s">
        <v>36</v>
      </c>
      <c r="B39" s="8" t="n">
        <v>40000</v>
      </c>
    </row>
    <row r="40" customFormat="false" ht="15" hidden="false" customHeight="true" outlineLevel="0" collapsed="false">
      <c r="A40" s="5" t="s">
        <v>37</v>
      </c>
      <c r="B40" s="8" t="n">
        <v>30000</v>
      </c>
    </row>
    <row r="41" customFormat="false" ht="15" hidden="false" customHeight="true" outlineLevel="0" collapsed="false">
      <c r="A41" s="5" t="s">
        <v>38</v>
      </c>
      <c r="B41" s="8" t="n">
        <v>20000</v>
      </c>
    </row>
    <row r="42" customFormat="false" ht="15" hidden="false" customHeight="true" outlineLevel="0" collapsed="false">
      <c r="A42" s="5" t="s">
        <v>39</v>
      </c>
      <c r="B42" s="8" t="n">
        <v>150000</v>
      </c>
    </row>
    <row r="43" customFormat="false" ht="15" hidden="false" customHeight="true" outlineLevel="0" collapsed="false">
      <c r="A43" s="5" t="s">
        <v>40</v>
      </c>
      <c r="B43" s="8" t="n">
        <v>20000</v>
      </c>
    </row>
    <row r="45" customFormat="false" ht="15" hidden="false" customHeight="true" outlineLevel="0" collapsed="false">
      <c r="A45" s="3" t="s">
        <v>41</v>
      </c>
      <c r="B45" s="4"/>
      <c r="C45" s="4"/>
    </row>
    <row r="46" customFormat="false" ht="15" hidden="false" customHeight="true" outlineLevel="0" collapsed="false">
      <c r="A46" s="5" t="s">
        <v>42</v>
      </c>
      <c r="B46" s="13" t="n">
        <v>0.003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2026-09-14T21:06:52Z</dcterms:created>
  <dc:creator>openpyxl</dc:creator>
  <dc:description/>
  <dc:language>en-US</dc:language>
  <cp:lastModifiedBy/>
  <dcterms:modified xsi:type="dcterms:W3CDTF">2026-09-14T21:06:52Z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
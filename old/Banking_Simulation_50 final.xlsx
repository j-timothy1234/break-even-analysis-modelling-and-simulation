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Year 3 1\Modelling and Simulation\"/>
    </mc:Choice>
  </mc:AlternateContent>
  <xr:revisionPtr revIDLastSave="0" documentId="13_ncr:1_{2302421C-54E7-48A4-9CB0-76B3A1EC9BE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ank Queue Simulation (50)" sheetId="1" r:id="rId1"/>
    <sheet name="Assumptions &amp; Metrics" sheetId="2" r:id="rId2"/>
  </sheets>
  <definedNames>
    <definedName name="_xlchart.v1.0" hidden="1">'Bank Queue Simulation (50)'!$F$1</definedName>
    <definedName name="_xlchart.v1.1" hidden="1">'Bank Queue Simulation (50)'!$F$2:$F$51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3" i="1"/>
  <c r="B2" i="2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E2" i="1" s="1"/>
  <c r="B2" i="1"/>
  <c r="D2" i="1" s="1"/>
  <c r="F2" i="1" s="1"/>
  <c r="B9" i="2" l="1"/>
  <c r="B3" i="1"/>
  <c r="D3" i="1" s="1"/>
  <c r="B4" i="1" l="1"/>
  <c r="E3" i="1" l="1"/>
  <c r="D4" i="1" s="1"/>
  <c r="F3" i="1"/>
  <c r="B5" i="1"/>
  <c r="F4" i="1" l="1"/>
  <c r="E4" i="1"/>
  <c r="D5" i="1" s="1"/>
  <c r="B6" i="1"/>
  <c r="B7" i="1" l="1"/>
  <c r="E5" i="1"/>
  <c r="F5" i="1"/>
  <c r="B8" i="1" l="1"/>
  <c r="D6" i="1"/>
  <c r="B9" i="1" l="1"/>
  <c r="F6" i="1"/>
  <c r="E6" i="1"/>
  <c r="D7" i="1" s="1"/>
  <c r="F7" i="1" l="1"/>
  <c r="E7" i="1"/>
  <c r="D8" i="1" s="1"/>
  <c r="B10" i="1"/>
  <c r="F8" i="1" l="1"/>
  <c r="E8" i="1"/>
  <c r="D9" i="1" s="1"/>
  <c r="B11" i="1"/>
  <c r="B12" i="1" l="1"/>
  <c r="E9" i="1"/>
  <c r="D10" i="1" s="1"/>
  <c r="F9" i="1"/>
  <c r="F10" i="1" l="1"/>
  <c r="E10" i="1"/>
  <c r="D11" i="1" s="1"/>
  <c r="B13" i="1"/>
  <c r="B14" i="1" l="1"/>
  <c r="F11" i="1"/>
  <c r="E11" i="1"/>
  <c r="D12" i="1" s="1"/>
  <c r="F12" i="1" l="1"/>
  <c r="E12" i="1"/>
  <c r="D13" i="1" s="1"/>
  <c r="B15" i="1"/>
  <c r="E13" i="1" l="1"/>
  <c r="D14" i="1" s="1"/>
  <c r="F13" i="1"/>
  <c r="B16" i="1"/>
  <c r="B17" i="1" l="1"/>
  <c r="F14" i="1"/>
  <c r="E14" i="1"/>
  <c r="D15" i="1" s="1"/>
  <c r="F15" i="1" l="1"/>
  <c r="E15" i="1"/>
  <c r="D16" i="1" s="1"/>
  <c r="B18" i="1"/>
  <c r="B19" i="1" l="1"/>
  <c r="F16" i="1"/>
  <c r="E16" i="1"/>
  <c r="D17" i="1" s="1"/>
  <c r="E17" i="1" l="1"/>
  <c r="D18" i="1" s="1"/>
  <c r="F17" i="1"/>
  <c r="B20" i="1"/>
  <c r="B21" i="1" l="1"/>
  <c r="F18" i="1"/>
  <c r="E18" i="1"/>
  <c r="D19" i="1" s="1"/>
  <c r="F19" i="1" l="1"/>
  <c r="E19" i="1"/>
  <c r="D20" i="1" s="1"/>
  <c r="B22" i="1"/>
  <c r="B23" i="1" l="1"/>
  <c r="F20" i="1"/>
  <c r="E20" i="1"/>
  <c r="D21" i="1" s="1"/>
  <c r="E21" i="1" l="1"/>
  <c r="D22" i="1" s="1"/>
  <c r="F21" i="1"/>
  <c r="B24" i="1"/>
  <c r="B25" i="1" l="1"/>
  <c r="F22" i="1"/>
  <c r="E22" i="1"/>
  <c r="D23" i="1" s="1"/>
  <c r="F23" i="1" l="1"/>
  <c r="E23" i="1"/>
  <c r="D24" i="1" s="1"/>
  <c r="B26" i="1"/>
  <c r="B27" i="1" l="1"/>
  <c r="F24" i="1"/>
  <c r="E24" i="1"/>
  <c r="D25" i="1" s="1"/>
  <c r="E25" i="1" l="1"/>
  <c r="D26" i="1" s="1"/>
  <c r="F25" i="1"/>
  <c r="B28" i="1"/>
  <c r="B29" i="1" l="1"/>
  <c r="F26" i="1"/>
  <c r="E26" i="1"/>
  <c r="D27" i="1" s="1"/>
  <c r="E27" i="1" l="1"/>
  <c r="D28" i="1" s="1"/>
  <c r="F27" i="1"/>
  <c r="B30" i="1"/>
  <c r="B31" i="1" l="1"/>
  <c r="F28" i="1"/>
  <c r="E28" i="1"/>
  <c r="D29" i="1" s="1"/>
  <c r="E29" i="1" l="1"/>
  <c r="D30" i="1" s="1"/>
  <c r="F29" i="1"/>
  <c r="B32" i="1"/>
  <c r="B33" i="1" l="1"/>
  <c r="F30" i="1"/>
  <c r="E30" i="1"/>
  <c r="D31" i="1" s="1"/>
  <c r="F31" i="1" l="1"/>
  <c r="E31" i="1"/>
  <c r="D32" i="1" s="1"/>
  <c r="B34" i="1"/>
  <c r="B35" i="1" l="1"/>
  <c r="F32" i="1"/>
  <c r="E32" i="1"/>
  <c r="D33" i="1" s="1"/>
  <c r="E33" i="1" l="1"/>
  <c r="D34" i="1" s="1"/>
  <c r="F33" i="1"/>
  <c r="B36" i="1"/>
  <c r="B37" i="1" l="1"/>
  <c r="F34" i="1"/>
  <c r="E34" i="1"/>
  <c r="D35" i="1" s="1"/>
  <c r="F35" i="1" l="1"/>
  <c r="E35" i="1"/>
  <c r="D36" i="1" s="1"/>
  <c r="B38" i="1"/>
  <c r="B39" i="1" l="1"/>
  <c r="F36" i="1"/>
  <c r="E36" i="1"/>
  <c r="D37" i="1" s="1"/>
  <c r="E37" i="1" l="1"/>
  <c r="D38" i="1" s="1"/>
  <c r="F37" i="1"/>
  <c r="B40" i="1"/>
  <c r="B41" i="1" l="1"/>
  <c r="F38" i="1"/>
  <c r="E38" i="1"/>
  <c r="D39" i="1" s="1"/>
  <c r="F39" i="1" l="1"/>
  <c r="E39" i="1"/>
  <c r="D40" i="1" s="1"/>
  <c r="B42" i="1"/>
  <c r="B43" i="1" l="1"/>
  <c r="F40" i="1"/>
  <c r="E40" i="1"/>
  <c r="D41" i="1" s="1"/>
  <c r="E41" i="1" l="1"/>
  <c r="D42" i="1" s="1"/>
  <c r="F41" i="1"/>
  <c r="B44" i="1"/>
  <c r="B45" i="1" l="1"/>
  <c r="F42" i="1"/>
  <c r="E42" i="1"/>
  <c r="D43" i="1" s="1"/>
  <c r="B46" i="1" l="1"/>
  <c r="F43" i="1"/>
  <c r="E43" i="1"/>
  <c r="D44" i="1" s="1"/>
  <c r="B47" i="1" l="1"/>
  <c r="F44" i="1"/>
  <c r="E44" i="1"/>
  <c r="D45" i="1" s="1"/>
  <c r="B48" i="1" l="1"/>
  <c r="E45" i="1"/>
  <c r="D46" i="1" s="1"/>
  <c r="F45" i="1"/>
  <c r="F46" i="1" l="1"/>
  <c r="E46" i="1"/>
  <c r="D47" i="1" s="1"/>
  <c r="B49" i="1"/>
  <c r="B50" i="1" l="1"/>
  <c r="F47" i="1"/>
  <c r="E47" i="1"/>
  <c r="D48" i="1" s="1"/>
  <c r="F48" i="1" l="1"/>
  <c r="E48" i="1"/>
  <c r="D49" i="1" s="1"/>
  <c r="B51" i="1"/>
  <c r="E49" i="1" l="1"/>
  <c r="D50" i="1" s="1"/>
  <c r="F49" i="1"/>
  <c r="E50" i="1" l="1"/>
  <c r="D51" i="1" s="1"/>
  <c r="F50" i="1"/>
  <c r="F51" i="1" l="1"/>
  <c r="E51" i="1"/>
  <c r="B8" i="2" s="1"/>
  <c r="B12" i="2" s="1"/>
  <c r="B11" i="2" l="1"/>
  <c r="B10" i="2"/>
</calcChain>
</file>

<file path=xl/sharedStrings.xml><?xml version="1.0" encoding="utf-8"?>
<sst xmlns="http://schemas.openxmlformats.org/spreadsheetml/2006/main" count="19" uniqueCount="19">
  <si>
    <t>Customer</t>
  </si>
  <si>
    <t>Arrival Time (min)</t>
  </si>
  <si>
    <t>Service Time (min)</t>
  </si>
  <si>
    <t>Start Service (min)</t>
  </si>
  <si>
    <t>End Service (min)</t>
  </si>
  <si>
    <t>Waiting Time (min)</t>
  </si>
  <si>
    <t>Assumptions</t>
  </si>
  <si>
    <t>First arrival (min)</t>
  </si>
  <si>
    <t>Interarrival pattern</t>
  </si>
  <si>
    <t>Every ~2 min with small random jitter (±0.10), cumulative</t>
  </si>
  <si>
    <t>Service time distribution</t>
  </si>
  <si>
    <t>Uniform random: 0.80–5.30 min (rounded to 2dp), unique via tiny jitter</t>
  </si>
  <si>
    <t>Metrics</t>
  </si>
  <si>
    <t>Total customers</t>
  </si>
  <si>
    <t>Last departure time (min)</t>
  </si>
  <si>
    <t>Total service time (min)</t>
  </si>
  <si>
    <t>Average waiting time (min)</t>
  </si>
  <si>
    <t>Max waiting time (min)</t>
  </si>
  <si>
    <t>Server utilization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</si>
</sst>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2" fontId="2" fillId="0" borderId="1"/>
  </cellStyleXfs>
  <cellXfs count="7">
    <xf numFmtId="0" fontId="0" fillId="0" borderId="0" xfId="0"/>
    <xf numFmtId="0" fontId="1" fillId="0" borderId="0" xfId="0" applyFont="1" applyAlignment="1">
      <alignment horizontal="center"/>
    </xf>
    <xf numFmtId="2" fontId="2" fillId="0" borderId="1" xfId="1"/>
    <xf numFmtId="0" fontId="3" fillId="0" borderId="0" xfId="0" applyFont="1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0" fontId="3" fillId="0" borderId="0" xfId="0" applyFont="1" applyAlignment="1">
      <alignment horizontal="left"/>
    </xf>
  </cellXfs>
  <cellStyles count="2">
    <cellStyle name="Normal" xfId="0" builtinId="0"/>
    <cellStyle name="two_dec_style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 graph of waiting time against  Number of customers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'Bank Queue Simulation (50)'!$F$1</c:f>
              <c:strCache>
                <c:ptCount val="1"/>
                <c:pt idx="0">
                  <c:v>Waiting Time (min)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'Bank Queue Simulation (50)'!$A$2:$A$51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'Bank Queue Simulation (50)'!$F$2:$F$51</c:f>
              <c:numCache>
                <c:formatCode>0.00</c:formatCode>
                <c:ptCount val="50"/>
                <c:pt idx="0">
                  <c:v>0</c:v>
                </c:pt>
                <c:pt idx="1">
                  <c:v>3.39</c:v>
                </c:pt>
                <c:pt idx="2">
                  <c:v>4.3499999999999996</c:v>
                </c:pt>
                <c:pt idx="3">
                  <c:v>7.39</c:v>
                </c:pt>
                <c:pt idx="4">
                  <c:v>7.71</c:v>
                </c:pt>
                <c:pt idx="5">
                  <c:v>10.57</c:v>
                </c:pt>
                <c:pt idx="6">
                  <c:v>12.31</c:v>
                </c:pt>
                <c:pt idx="7">
                  <c:v>12.96</c:v>
                </c:pt>
                <c:pt idx="8">
                  <c:v>12.19</c:v>
                </c:pt>
                <c:pt idx="9">
                  <c:v>14.73</c:v>
                </c:pt>
                <c:pt idx="10">
                  <c:v>14.72</c:v>
                </c:pt>
                <c:pt idx="11">
                  <c:v>14.63</c:v>
                </c:pt>
                <c:pt idx="12">
                  <c:v>15.39</c:v>
                </c:pt>
                <c:pt idx="13">
                  <c:v>15.2</c:v>
                </c:pt>
                <c:pt idx="14">
                  <c:v>16.02</c:v>
                </c:pt>
                <c:pt idx="15">
                  <c:v>18.27</c:v>
                </c:pt>
                <c:pt idx="16">
                  <c:v>18.22</c:v>
                </c:pt>
                <c:pt idx="17">
                  <c:v>19.8</c:v>
                </c:pt>
                <c:pt idx="18">
                  <c:v>20.07</c:v>
                </c:pt>
                <c:pt idx="19">
                  <c:v>22.12</c:v>
                </c:pt>
                <c:pt idx="20">
                  <c:v>23.5</c:v>
                </c:pt>
                <c:pt idx="21">
                  <c:v>26.4</c:v>
                </c:pt>
                <c:pt idx="22">
                  <c:v>27.91</c:v>
                </c:pt>
                <c:pt idx="23">
                  <c:v>29.07</c:v>
                </c:pt>
                <c:pt idx="24">
                  <c:v>30.42</c:v>
                </c:pt>
                <c:pt idx="25">
                  <c:v>32.92</c:v>
                </c:pt>
                <c:pt idx="26">
                  <c:v>32.93</c:v>
                </c:pt>
                <c:pt idx="27">
                  <c:v>33.090000000000003</c:v>
                </c:pt>
                <c:pt idx="28">
                  <c:v>36.01</c:v>
                </c:pt>
                <c:pt idx="29">
                  <c:v>38.81</c:v>
                </c:pt>
                <c:pt idx="30">
                  <c:v>40.630000000000003</c:v>
                </c:pt>
                <c:pt idx="31">
                  <c:v>43.52</c:v>
                </c:pt>
                <c:pt idx="32">
                  <c:v>44.23</c:v>
                </c:pt>
                <c:pt idx="33">
                  <c:v>45.48</c:v>
                </c:pt>
                <c:pt idx="34">
                  <c:v>44.9</c:v>
                </c:pt>
                <c:pt idx="35">
                  <c:v>46.67</c:v>
                </c:pt>
                <c:pt idx="36">
                  <c:v>47.61</c:v>
                </c:pt>
                <c:pt idx="37">
                  <c:v>47.33</c:v>
                </c:pt>
                <c:pt idx="38">
                  <c:v>49.09</c:v>
                </c:pt>
                <c:pt idx="39">
                  <c:v>48.22</c:v>
                </c:pt>
                <c:pt idx="40">
                  <c:v>48.96</c:v>
                </c:pt>
                <c:pt idx="41">
                  <c:v>48.56</c:v>
                </c:pt>
                <c:pt idx="42">
                  <c:v>48.75</c:v>
                </c:pt>
                <c:pt idx="43">
                  <c:v>51.22</c:v>
                </c:pt>
                <c:pt idx="44">
                  <c:v>54.44</c:v>
                </c:pt>
                <c:pt idx="45">
                  <c:v>56.1</c:v>
                </c:pt>
                <c:pt idx="46">
                  <c:v>57.95</c:v>
                </c:pt>
                <c:pt idx="47">
                  <c:v>60.39</c:v>
                </c:pt>
                <c:pt idx="48">
                  <c:v>63.49</c:v>
                </c:pt>
                <c:pt idx="49">
                  <c:v>64.430000000000007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02-4995-8F06-3A7CC616B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5374127"/>
        <c:axId val="995376207"/>
      </c:scatterChart>
      <c:valAx>
        <c:axId val="995374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G"/>
          </a:p>
        </c:txPr>
        <c:crossAx val="995376207"/>
        <c:crosses val="autoZero"/>
        <c:crossBetween val="midCat"/>
      </c:valAx>
      <c:valAx>
        <c:axId val="995376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G"/>
          </a:p>
        </c:txPr>
        <c:crossAx val="9953741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714374</xdr:colOff>
      <xdr:row>3</xdr:row>
      <xdr:rowOff>171449</xdr:rowOff>
    </xdr:from>
    <xdr:to>
      <xdr:col>6</xdr:col>
      <xdr:colOff>247649</xdr:colOff>
      <xdr:row>19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0D82DF9-F411-4A17-B191-0487BB19AA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nkQueue" displayName="BankQueue" ref="A1:F51">
  <autoFilter ref="A1:F51" xr:uid="{00000000-0009-0000-0100-000001000000}"/>
  <tableColumns count="6">
    <tableColumn id="1" xr3:uid="{00000000-0010-0000-0000-000001000000}" name="Customer"/>
    <tableColumn id="2" xr3:uid="{00000000-0010-0000-0000-000002000000}" name="Arrival Time (min)"/>
    <tableColumn id="3" xr3:uid="{00000000-0010-0000-0000-000003000000}" name="Service Time (min)"/>
    <tableColumn id="4" xr3:uid="{00000000-0010-0000-0000-000004000000}" name="Start Service (min)"/>
    <tableColumn id="5" xr3:uid="{00000000-0010-0000-0000-000005000000}" name="End Service (min)"/>
    <tableColumn id="6" xr3:uid="{00000000-0010-0000-0000-000006000000}" name="Waiting Time (min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selection activeCellId="1" sqref="F1:F1048576 A1:A1048576"/>
    </sheetView>
  </sheetViews>
  <sheetFormatPr defaultRowHeight="15" x14ac:dyDescent="0.2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s="2">
        <f>ROUND(0.6,2)</f>
        <v>0.6</v>
      </c>
      <c r="C2" s="2">
        <f t="shared" ref="C2:C33" ca="1" si="0">ROUND(0.8 + RAND()*4.5 + ROW()/100000, 2)</f>
        <v>5.29</v>
      </c>
      <c r="D2" s="2">
        <f>B2</f>
        <v>0.6</v>
      </c>
      <c r="E2" s="2">
        <f t="shared" ref="E2:E33" ca="1" si="1">ROUND(D2+C2, 2)</f>
        <v>5.89</v>
      </c>
      <c r="F2" s="2">
        <f t="shared" ref="F2:F33" si="2">ROUND(D2-B2, 2)</f>
        <v>0</v>
      </c>
    </row>
    <row r="3" spans="1:6" x14ac:dyDescent="0.25">
      <c r="A3">
        <f>(A2+1)</f>
        <v>2</v>
      </c>
      <c r="B3" s="2">
        <f t="shared" ref="B3:B34" ca="1" si="3">ROUND(B2 + 2 + (RAND()-0.5)/5, 2)</f>
        <v>2.5</v>
      </c>
      <c r="C3" s="2">
        <f t="shared" ca="1" si="0"/>
        <v>2.87</v>
      </c>
      <c r="D3" s="2">
        <f t="shared" ref="D3:D34" ca="1" si="4">IF(B3&gt;=E2, B3, E2)</f>
        <v>5.89</v>
      </c>
      <c r="E3" s="2">
        <f t="shared" ca="1" si="1"/>
        <v>8.76</v>
      </c>
      <c r="F3" s="2">
        <f t="shared" ca="1" si="2"/>
        <v>3.39</v>
      </c>
    </row>
    <row r="4" spans="1:6" x14ac:dyDescent="0.25">
      <c r="A4">
        <f t="shared" ref="A4:A51" si="5">(A3+1)</f>
        <v>3</v>
      </c>
      <c r="B4" s="2">
        <f t="shared" ca="1" si="3"/>
        <v>4.41</v>
      </c>
      <c r="C4" s="2">
        <f t="shared" ca="1" si="0"/>
        <v>4.96</v>
      </c>
      <c r="D4" s="2">
        <f t="shared" ca="1" si="4"/>
        <v>8.76</v>
      </c>
      <c r="E4" s="2">
        <f t="shared" ca="1" si="1"/>
        <v>13.72</v>
      </c>
      <c r="F4" s="2">
        <f t="shared" ca="1" si="2"/>
        <v>4.3499999999999996</v>
      </c>
    </row>
    <row r="5" spans="1:6" x14ac:dyDescent="0.25">
      <c r="A5">
        <f t="shared" si="5"/>
        <v>4</v>
      </c>
      <c r="B5" s="2">
        <f t="shared" ca="1" si="3"/>
        <v>6.33</v>
      </c>
      <c r="C5" s="2">
        <f t="shared" ca="1" si="0"/>
        <v>2.2999999999999998</v>
      </c>
      <c r="D5" s="2">
        <f t="shared" ca="1" si="4"/>
        <v>13.72</v>
      </c>
      <c r="E5" s="2">
        <f t="shared" ca="1" si="1"/>
        <v>16.02</v>
      </c>
      <c r="F5" s="2">
        <f t="shared" ca="1" si="2"/>
        <v>7.39</v>
      </c>
    </row>
    <row r="6" spans="1:6" x14ac:dyDescent="0.25">
      <c r="A6">
        <f t="shared" si="5"/>
        <v>5</v>
      </c>
      <c r="B6" s="2">
        <f t="shared" ca="1" si="3"/>
        <v>8.31</v>
      </c>
      <c r="C6" s="2">
        <f t="shared" ca="1" si="0"/>
        <v>4.8600000000000003</v>
      </c>
      <c r="D6" s="2">
        <f t="shared" ca="1" si="4"/>
        <v>16.02</v>
      </c>
      <c r="E6" s="2">
        <f t="shared" ca="1" si="1"/>
        <v>20.88</v>
      </c>
      <c r="F6" s="2">
        <f t="shared" ca="1" si="2"/>
        <v>7.71</v>
      </c>
    </row>
    <row r="7" spans="1:6" x14ac:dyDescent="0.25">
      <c r="A7">
        <f t="shared" si="5"/>
        <v>6</v>
      </c>
      <c r="B7" s="2">
        <f t="shared" ca="1" si="3"/>
        <v>10.31</v>
      </c>
      <c r="C7" s="2">
        <f t="shared" ca="1" si="0"/>
        <v>3.79</v>
      </c>
      <c r="D7" s="2">
        <f t="shared" ca="1" si="4"/>
        <v>20.88</v>
      </c>
      <c r="E7" s="2">
        <f t="shared" ca="1" si="1"/>
        <v>24.67</v>
      </c>
      <c r="F7" s="2">
        <f t="shared" ca="1" si="2"/>
        <v>10.57</v>
      </c>
    </row>
    <row r="8" spans="1:6" x14ac:dyDescent="0.25">
      <c r="A8">
        <f t="shared" si="5"/>
        <v>7</v>
      </c>
      <c r="B8" s="2">
        <f t="shared" ca="1" si="3"/>
        <v>12.36</v>
      </c>
      <c r="C8" s="2">
        <f t="shared" ca="1" si="0"/>
        <v>2.74</v>
      </c>
      <c r="D8" s="2">
        <f t="shared" ca="1" si="4"/>
        <v>24.67</v>
      </c>
      <c r="E8" s="2">
        <f t="shared" ca="1" si="1"/>
        <v>27.41</v>
      </c>
      <c r="F8" s="2">
        <f t="shared" ca="1" si="2"/>
        <v>12.31</v>
      </c>
    </row>
    <row r="9" spans="1:6" x14ac:dyDescent="0.25">
      <c r="A9">
        <f t="shared" si="5"/>
        <v>8</v>
      </c>
      <c r="B9" s="2">
        <f t="shared" ca="1" si="3"/>
        <v>14.45</v>
      </c>
      <c r="C9" s="2">
        <f t="shared" ca="1" si="0"/>
        <v>1.29</v>
      </c>
      <c r="D9" s="2">
        <f t="shared" ca="1" si="4"/>
        <v>27.41</v>
      </c>
      <c r="E9" s="2">
        <f t="shared" ca="1" si="1"/>
        <v>28.7</v>
      </c>
      <c r="F9" s="2">
        <f t="shared" ca="1" si="2"/>
        <v>12.96</v>
      </c>
    </row>
    <row r="10" spans="1:6" x14ac:dyDescent="0.25">
      <c r="A10">
        <f t="shared" si="5"/>
        <v>9</v>
      </c>
      <c r="B10" s="2">
        <f t="shared" ca="1" si="3"/>
        <v>16.510000000000002</v>
      </c>
      <c r="C10" s="2">
        <f t="shared" ca="1" si="0"/>
        <v>4.63</v>
      </c>
      <c r="D10" s="2">
        <f t="shared" ca="1" si="4"/>
        <v>28.7</v>
      </c>
      <c r="E10" s="2">
        <f t="shared" ca="1" si="1"/>
        <v>33.33</v>
      </c>
      <c r="F10" s="2">
        <f t="shared" ca="1" si="2"/>
        <v>12.19</v>
      </c>
    </row>
    <row r="11" spans="1:6" x14ac:dyDescent="0.25">
      <c r="A11">
        <f t="shared" si="5"/>
        <v>10</v>
      </c>
      <c r="B11" s="2">
        <f t="shared" ca="1" si="3"/>
        <v>18.600000000000001</v>
      </c>
      <c r="C11" s="2">
        <f t="shared" ca="1" si="0"/>
        <v>1.98</v>
      </c>
      <c r="D11" s="2">
        <f t="shared" ca="1" si="4"/>
        <v>33.33</v>
      </c>
      <c r="E11" s="2">
        <f t="shared" ca="1" si="1"/>
        <v>35.31</v>
      </c>
      <c r="F11" s="2">
        <f t="shared" ca="1" si="2"/>
        <v>14.73</v>
      </c>
    </row>
    <row r="12" spans="1:6" x14ac:dyDescent="0.25">
      <c r="A12">
        <f t="shared" si="5"/>
        <v>11</v>
      </c>
      <c r="B12" s="2">
        <f t="shared" ca="1" si="3"/>
        <v>20.59</v>
      </c>
      <c r="C12" s="2">
        <f t="shared" ca="1" si="0"/>
        <v>1.87</v>
      </c>
      <c r="D12" s="2">
        <f t="shared" ca="1" si="4"/>
        <v>35.31</v>
      </c>
      <c r="E12" s="2">
        <f t="shared" ca="1" si="1"/>
        <v>37.18</v>
      </c>
      <c r="F12" s="2">
        <f t="shared" ca="1" si="2"/>
        <v>14.72</v>
      </c>
    </row>
    <row r="13" spans="1:6" x14ac:dyDescent="0.25">
      <c r="A13">
        <f t="shared" si="5"/>
        <v>12</v>
      </c>
      <c r="B13" s="2">
        <f t="shared" ca="1" si="3"/>
        <v>22.55</v>
      </c>
      <c r="C13" s="2">
        <f t="shared" ca="1" si="0"/>
        <v>2.76</v>
      </c>
      <c r="D13" s="2">
        <f t="shared" ca="1" si="4"/>
        <v>37.18</v>
      </c>
      <c r="E13" s="2">
        <f t="shared" ca="1" si="1"/>
        <v>39.94</v>
      </c>
      <c r="F13" s="2">
        <f t="shared" ca="1" si="2"/>
        <v>14.63</v>
      </c>
    </row>
    <row r="14" spans="1:6" x14ac:dyDescent="0.25">
      <c r="A14">
        <f t="shared" si="5"/>
        <v>13</v>
      </c>
      <c r="B14" s="2">
        <f t="shared" ca="1" si="3"/>
        <v>24.55</v>
      </c>
      <c r="C14" s="2">
        <f t="shared" ca="1" si="0"/>
        <v>1.78</v>
      </c>
      <c r="D14" s="2">
        <f t="shared" ca="1" si="4"/>
        <v>39.94</v>
      </c>
      <c r="E14" s="2">
        <f t="shared" ca="1" si="1"/>
        <v>41.72</v>
      </c>
      <c r="F14" s="2">
        <f t="shared" ca="1" si="2"/>
        <v>15.39</v>
      </c>
    </row>
    <row r="15" spans="1:6" x14ac:dyDescent="0.25">
      <c r="A15">
        <f t="shared" si="5"/>
        <v>14</v>
      </c>
      <c r="B15" s="2">
        <f t="shared" ca="1" si="3"/>
        <v>26.52</v>
      </c>
      <c r="C15" s="2">
        <f t="shared" ca="1" si="0"/>
        <v>2.89</v>
      </c>
      <c r="D15" s="2">
        <f t="shared" ca="1" si="4"/>
        <v>41.72</v>
      </c>
      <c r="E15" s="2">
        <f t="shared" ca="1" si="1"/>
        <v>44.61</v>
      </c>
      <c r="F15" s="2">
        <f t="shared" ca="1" si="2"/>
        <v>15.2</v>
      </c>
    </row>
    <row r="16" spans="1:6" x14ac:dyDescent="0.25">
      <c r="A16">
        <f t="shared" si="5"/>
        <v>15</v>
      </c>
      <c r="B16" s="2">
        <f t="shared" ca="1" si="3"/>
        <v>28.59</v>
      </c>
      <c r="C16" s="2">
        <f t="shared" ca="1" si="0"/>
        <v>4.33</v>
      </c>
      <c r="D16" s="2">
        <f t="shared" ca="1" si="4"/>
        <v>44.61</v>
      </c>
      <c r="E16" s="2">
        <f t="shared" ca="1" si="1"/>
        <v>48.94</v>
      </c>
      <c r="F16" s="2">
        <f t="shared" ca="1" si="2"/>
        <v>16.02</v>
      </c>
    </row>
    <row r="17" spans="1:6" x14ac:dyDescent="0.25">
      <c r="A17">
        <f t="shared" si="5"/>
        <v>16</v>
      </c>
      <c r="B17" s="2">
        <f t="shared" ca="1" si="3"/>
        <v>30.67</v>
      </c>
      <c r="C17" s="2">
        <f t="shared" ca="1" si="0"/>
        <v>1.9</v>
      </c>
      <c r="D17" s="2">
        <f t="shared" ca="1" si="4"/>
        <v>48.94</v>
      </c>
      <c r="E17" s="2">
        <f t="shared" ca="1" si="1"/>
        <v>50.84</v>
      </c>
      <c r="F17" s="2">
        <f t="shared" ca="1" si="2"/>
        <v>18.27</v>
      </c>
    </row>
    <row r="18" spans="1:6" x14ac:dyDescent="0.25">
      <c r="A18">
        <f t="shared" si="5"/>
        <v>17</v>
      </c>
      <c r="B18" s="2">
        <f t="shared" ca="1" si="3"/>
        <v>32.619999999999997</v>
      </c>
      <c r="C18" s="2">
        <f t="shared" ca="1" si="0"/>
        <v>3.48</v>
      </c>
      <c r="D18" s="2">
        <f t="shared" ca="1" si="4"/>
        <v>50.84</v>
      </c>
      <c r="E18" s="2">
        <f t="shared" ca="1" si="1"/>
        <v>54.32</v>
      </c>
      <c r="F18" s="2">
        <f t="shared" ca="1" si="2"/>
        <v>18.22</v>
      </c>
    </row>
    <row r="19" spans="1:6" x14ac:dyDescent="0.25">
      <c r="A19">
        <f t="shared" si="5"/>
        <v>18</v>
      </c>
      <c r="B19" s="2">
        <f t="shared" ca="1" si="3"/>
        <v>34.520000000000003</v>
      </c>
      <c r="C19" s="2">
        <f t="shared" ca="1" si="0"/>
        <v>2.37</v>
      </c>
      <c r="D19" s="2">
        <f t="shared" ca="1" si="4"/>
        <v>54.32</v>
      </c>
      <c r="E19" s="2">
        <f t="shared" ca="1" si="1"/>
        <v>56.69</v>
      </c>
      <c r="F19" s="2">
        <f t="shared" ca="1" si="2"/>
        <v>19.8</v>
      </c>
    </row>
    <row r="20" spans="1:6" x14ac:dyDescent="0.25">
      <c r="A20">
        <f t="shared" si="5"/>
        <v>19</v>
      </c>
      <c r="B20" s="2">
        <f t="shared" ca="1" si="3"/>
        <v>36.619999999999997</v>
      </c>
      <c r="C20" s="2">
        <f t="shared" ca="1" si="0"/>
        <v>4</v>
      </c>
      <c r="D20" s="2">
        <f t="shared" ca="1" si="4"/>
        <v>56.69</v>
      </c>
      <c r="E20" s="2">
        <f t="shared" ca="1" si="1"/>
        <v>60.69</v>
      </c>
      <c r="F20" s="2">
        <f t="shared" ca="1" si="2"/>
        <v>20.07</v>
      </c>
    </row>
    <row r="21" spans="1:6" x14ac:dyDescent="0.25">
      <c r="A21">
        <f t="shared" si="5"/>
        <v>20</v>
      </c>
      <c r="B21" s="2">
        <f t="shared" ca="1" si="3"/>
        <v>38.57</v>
      </c>
      <c r="C21" s="2">
        <f t="shared" ca="1" si="0"/>
        <v>3.33</v>
      </c>
      <c r="D21" s="2">
        <f t="shared" ca="1" si="4"/>
        <v>60.69</v>
      </c>
      <c r="E21" s="2">
        <f t="shared" ca="1" si="1"/>
        <v>64.02</v>
      </c>
      <c r="F21" s="2">
        <f t="shared" ca="1" si="2"/>
        <v>22.12</v>
      </c>
    </row>
    <row r="22" spans="1:6" x14ac:dyDescent="0.25">
      <c r="A22">
        <f t="shared" si="5"/>
        <v>21</v>
      </c>
      <c r="B22" s="2">
        <f t="shared" ca="1" si="3"/>
        <v>40.520000000000003</v>
      </c>
      <c r="C22" s="2">
        <f t="shared" ca="1" si="0"/>
        <v>4.92</v>
      </c>
      <c r="D22" s="2">
        <f t="shared" ca="1" si="4"/>
        <v>64.02</v>
      </c>
      <c r="E22" s="2">
        <f t="shared" ca="1" si="1"/>
        <v>68.94</v>
      </c>
      <c r="F22" s="2">
        <f t="shared" ca="1" si="2"/>
        <v>23.5</v>
      </c>
    </row>
    <row r="23" spans="1:6" x14ac:dyDescent="0.25">
      <c r="A23">
        <f t="shared" si="5"/>
        <v>22</v>
      </c>
      <c r="B23" s="2">
        <f t="shared" ca="1" si="3"/>
        <v>42.54</v>
      </c>
      <c r="C23" s="2">
        <f t="shared" ca="1" si="0"/>
        <v>3.51</v>
      </c>
      <c r="D23" s="2">
        <f t="shared" ca="1" si="4"/>
        <v>68.94</v>
      </c>
      <c r="E23" s="2">
        <f t="shared" ca="1" si="1"/>
        <v>72.45</v>
      </c>
      <c r="F23" s="2">
        <f t="shared" ca="1" si="2"/>
        <v>26.4</v>
      </c>
    </row>
    <row r="24" spans="1:6" x14ac:dyDescent="0.25">
      <c r="A24">
        <f t="shared" si="5"/>
        <v>23</v>
      </c>
      <c r="B24" s="2">
        <f t="shared" ca="1" si="3"/>
        <v>44.54</v>
      </c>
      <c r="C24" s="2">
        <f t="shared" ca="1" si="0"/>
        <v>3.1</v>
      </c>
      <c r="D24" s="2">
        <f t="shared" ca="1" si="4"/>
        <v>72.45</v>
      </c>
      <c r="E24" s="2">
        <f t="shared" ca="1" si="1"/>
        <v>75.55</v>
      </c>
      <c r="F24" s="2">
        <f t="shared" ca="1" si="2"/>
        <v>27.91</v>
      </c>
    </row>
    <row r="25" spans="1:6" x14ac:dyDescent="0.25">
      <c r="A25">
        <f t="shared" si="5"/>
        <v>24</v>
      </c>
      <c r="B25" s="2">
        <f t="shared" ca="1" si="3"/>
        <v>46.48</v>
      </c>
      <c r="C25" s="2">
        <f t="shared" ca="1" si="0"/>
        <v>3.36</v>
      </c>
      <c r="D25" s="2">
        <f t="shared" ca="1" si="4"/>
        <v>75.55</v>
      </c>
      <c r="E25" s="2">
        <f t="shared" ca="1" si="1"/>
        <v>78.91</v>
      </c>
      <c r="F25" s="2">
        <f t="shared" ca="1" si="2"/>
        <v>29.07</v>
      </c>
    </row>
    <row r="26" spans="1:6" x14ac:dyDescent="0.25">
      <c r="A26">
        <f t="shared" si="5"/>
        <v>25</v>
      </c>
      <c r="B26" s="2">
        <f t="shared" ca="1" si="3"/>
        <v>48.49</v>
      </c>
      <c r="C26" s="2">
        <f t="shared" ca="1" si="0"/>
        <v>4.47</v>
      </c>
      <c r="D26" s="2">
        <f t="shared" ca="1" si="4"/>
        <v>78.91</v>
      </c>
      <c r="E26" s="2">
        <f t="shared" ca="1" si="1"/>
        <v>83.38</v>
      </c>
      <c r="F26" s="2">
        <f t="shared" ca="1" si="2"/>
        <v>30.42</v>
      </c>
    </row>
    <row r="27" spans="1:6" x14ac:dyDescent="0.25">
      <c r="A27">
        <f t="shared" si="5"/>
        <v>26</v>
      </c>
      <c r="B27" s="2">
        <f t="shared" ca="1" si="3"/>
        <v>50.46</v>
      </c>
      <c r="C27" s="2">
        <f t="shared" ca="1" si="0"/>
        <v>2.04</v>
      </c>
      <c r="D27" s="2">
        <f t="shared" ca="1" si="4"/>
        <v>83.38</v>
      </c>
      <c r="E27" s="2">
        <f t="shared" ca="1" si="1"/>
        <v>85.42</v>
      </c>
      <c r="F27" s="2">
        <f t="shared" ca="1" si="2"/>
        <v>32.92</v>
      </c>
    </row>
    <row r="28" spans="1:6" x14ac:dyDescent="0.25">
      <c r="A28">
        <f t="shared" si="5"/>
        <v>27</v>
      </c>
      <c r="B28" s="2">
        <f t="shared" ca="1" si="3"/>
        <v>52.49</v>
      </c>
      <c r="C28" s="2">
        <f t="shared" ca="1" si="0"/>
        <v>2.2400000000000002</v>
      </c>
      <c r="D28" s="2">
        <f t="shared" ca="1" si="4"/>
        <v>85.42</v>
      </c>
      <c r="E28" s="2">
        <f t="shared" ca="1" si="1"/>
        <v>87.66</v>
      </c>
      <c r="F28" s="2">
        <f t="shared" ca="1" si="2"/>
        <v>32.93</v>
      </c>
    </row>
    <row r="29" spans="1:6" x14ac:dyDescent="0.25">
      <c r="A29">
        <f t="shared" si="5"/>
        <v>28</v>
      </c>
      <c r="B29" s="2">
        <f t="shared" ca="1" si="3"/>
        <v>54.57</v>
      </c>
      <c r="C29" s="2">
        <f t="shared" ca="1" si="0"/>
        <v>4.84</v>
      </c>
      <c r="D29" s="2">
        <f t="shared" ca="1" si="4"/>
        <v>87.66</v>
      </c>
      <c r="E29" s="2">
        <f t="shared" ca="1" si="1"/>
        <v>92.5</v>
      </c>
      <c r="F29" s="2">
        <f t="shared" ca="1" si="2"/>
        <v>33.090000000000003</v>
      </c>
    </row>
    <row r="30" spans="1:6" x14ac:dyDescent="0.25">
      <c r="A30">
        <f t="shared" si="5"/>
        <v>29</v>
      </c>
      <c r="B30" s="2">
        <f t="shared" ca="1" si="3"/>
        <v>56.49</v>
      </c>
      <c r="C30" s="2">
        <f t="shared" ca="1" si="0"/>
        <v>4.8</v>
      </c>
      <c r="D30" s="2">
        <f t="shared" ca="1" si="4"/>
        <v>92.5</v>
      </c>
      <c r="E30" s="2">
        <f t="shared" ca="1" si="1"/>
        <v>97.3</v>
      </c>
      <c r="F30" s="2">
        <f t="shared" ca="1" si="2"/>
        <v>36.01</v>
      </c>
    </row>
    <row r="31" spans="1:6" x14ac:dyDescent="0.25">
      <c r="A31">
        <f t="shared" si="5"/>
        <v>30</v>
      </c>
      <c r="B31" s="2">
        <f t="shared" ca="1" si="3"/>
        <v>58.49</v>
      </c>
      <c r="C31" s="2">
        <f t="shared" ca="1" si="0"/>
        <v>3.9</v>
      </c>
      <c r="D31" s="2">
        <f t="shared" ca="1" si="4"/>
        <v>97.3</v>
      </c>
      <c r="E31" s="2">
        <f t="shared" ca="1" si="1"/>
        <v>101.2</v>
      </c>
      <c r="F31" s="2">
        <f t="shared" ca="1" si="2"/>
        <v>38.81</v>
      </c>
    </row>
    <row r="32" spans="1:6" x14ac:dyDescent="0.25">
      <c r="A32">
        <f t="shared" si="5"/>
        <v>31</v>
      </c>
      <c r="B32" s="2">
        <f t="shared" ca="1" si="3"/>
        <v>60.57</v>
      </c>
      <c r="C32" s="2">
        <f t="shared" ca="1" si="0"/>
        <v>4.93</v>
      </c>
      <c r="D32" s="2">
        <f t="shared" ca="1" si="4"/>
        <v>101.2</v>
      </c>
      <c r="E32" s="2">
        <f t="shared" ca="1" si="1"/>
        <v>106.13</v>
      </c>
      <c r="F32" s="2">
        <f t="shared" ca="1" si="2"/>
        <v>40.630000000000003</v>
      </c>
    </row>
    <row r="33" spans="1:6" x14ac:dyDescent="0.25">
      <c r="A33">
        <f t="shared" si="5"/>
        <v>32</v>
      </c>
      <c r="B33" s="2">
        <f t="shared" ca="1" si="3"/>
        <v>62.61</v>
      </c>
      <c r="C33" s="2">
        <f t="shared" ca="1" si="0"/>
        <v>2.64</v>
      </c>
      <c r="D33" s="2">
        <f t="shared" ca="1" si="4"/>
        <v>106.13</v>
      </c>
      <c r="E33" s="2">
        <f t="shared" ca="1" si="1"/>
        <v>108.77</v>
      </c>
      <c r="F33" s="2">
        <f t="shared" ca="1" si="2"/>
        <v>43.52</v>
      </c>
    </row>
    <row r="34" spans="1:6" x14ac:dyDescent="0.25">
      <c r="A34">
        <f t="shared" si="5"/>
        <v>33</v>
      </c>
      <c r="B34" s="2">
        <f t="shared" ca="1" si="3"/>
        <v>64.540000000000006</v>
      </c>
      <c r="C34" s="2">
        <f t="shared" ref="C34:C51" ca="1" si="6">ROUND(0.8 + RAND()*4.5 + ROW()/100000, 2)</f>
        <v>3.2</v>
      </c>
      <c r="D34" s="2">
        <f t="shared" ca="1" si="4"/>
        <v>108.77</v>
      </c>
      <c r="E34" s="2">
        <f t="shared" ref="E34:E51" ca="1" si="7">ROUND(D34+C34, 2)</f>
        <v>111.97</v>
      </c>
      <c r="F34" s="2">
        <f t="shared" ref="F34:F51" ca="1" si="8">ROUND(D34-B34, 2)</f>
        <v>44.23</v>
      </c>
    </row>
    <row r="35" spans="1:6" x14ac:dyDescent="0.25">
      <c r="A35">
        <f t="shared" si="5"/>
        <v>34</v>
      </c>
      <c r="B35" s="2">
        <f t="shared" ref="B35:B51" ca="1" si="9">ROUND(B34 + 2 + (RAND()-0.5)/5, 2)</f>
        <v>66.489999999999995</v>
      </c>
      <c r="C35" s="2">
        <f t="shared" ca="1" si="6"/>
        <v>1.39</v>
      </c>
      <c r="D35" s="2">
        <f t="shared" ref="D35:D51" ca="1" si="10">IF(B35&gt;=E34, B35, E34)</f>
        <v>111.97</v>
      </c>
      <c r="E35" s="2">
        <f t="shared" ca="1" si="7"/>
        <v>113.36</v>
      </c>
      <c r="F35" s="2">
        <f t="shared" ca="1" si="8"/>
        <v>45.48</v>
      </c>
    </row>
    <row r="36" spans="1:6" x14ac:dyDescent="0.25">
      <c r="A36">
        <f t="shared" si="5"/>
        <v>35</v>
      </c>
      <c r="B36" s="2">
        <f t="shared" ca="1" si="9"/>
        <v>68.459999999999994</v>
      </c>
      <c r="C36" s="2">
        <f t="shared" ca="1" si="6"/>
        <v>3.68</v>
      </c>
      <c r="D36" s="2">
        <f t="shared" ca="1" si="10"/>
        <v>113.36</v>
      </c>
      <c r="E36" s="2">
        <f t="shared" ca="1" si="7"/>
        <v>117.04</v>
      </c>
      <c r="F36" s="2">
        <f t="shared" ca="1" si="8"/>
        <v>44.9</v>
      </c>
    </row>
    <row r="37" spans="1:6" x14ac:dyDescent="0.25">
      <c r="A37">
        <f t="shared" si="5"/>
        <v>36</v>
      </c>
      <c r="B37" s="2">
        <f t="shared" ca="1" si="9"/>
        <v>70.37</v>
      </c>
      <c r="C37" s="2">
        <f t="shared" ca="1" si="6"/>
        <v>2.85</v>
      </c>
      <c r="D37" s="2">
        <f t="shared" ca="1" si="10"/>
        <v>117.04</v>
      </c>
      <c r="E37" s="2">
        <f t="shared" ca="1" si="7"/>
        <v>119.89</v>
      </c>
      <c r="F37" s="2">
        <f t="shared" ca="1" si="8"/>
        <v>46.67</v>
      </c>
    </row>
    <row r="38" spans="1:6" x14ac:dyDescent="0.25">
      <c r="A38">
        <f t="shared" si="5"/>
        <v>37</v>
      </c>
      <c r="B38" s="2">
        <f t="shared" ca="1" si="9"/>
        <v>72.28</v>
      </c>
      <c r="C38" s="2">
        <f t="shared" ca="1" si="6"/>
        <v>1.63</v>
      </c>
      <c r="D38" s="2">
        <f t="shared" ca="1" si="10"/>
        <v>119.89</v>
      </c>
      <c r="E38" s="2">
        <f t="shared" ca="1" si="7"/>
        <v>121.52</v>
      </c>
      <c r="F38" s="2">
        <f t="shared" ca="1" si="8"/>
        <v>47.61</v>
      </c>
    </row>
    <row r="39" spans="1:6" x14ac:dyDescent="0.25">
      <c r="A39">
        <f t="shared" si="5"/>
        <v>38</v>
      </c>
      <c r="B39" s="2">
        <f t="shared" ca="1" si="9"/>
        <v>74.19</v>
      </c>
      <c r="C39" s="2">
        <f t="shared" ca="1" si="6"/>
        <v>3.72</v>
      </c>
      <c r="D39" s="2">
        <f t="shared" ca="1" si="10"/>
        <v>121.52</v>
      </c>
      <c r="E39" s="2">
        <f t="shared" ca="1" si="7"/>
        <v>125.24</v>
      </c>
      <c r="F39" s="2">
        <f t="shared" ca="1" si="8"/>
        <v>47.33</v>
      </c>
    </row>
    <row r="40" spans="1:6" x14ac:dyDescent="0.25">
      <c r="A40">
        <f t="shared" si="5"/>
        <v>39</v>
      </c>
      <c r="B40" s="2">
        <f t="shared" ca="1" si="9"/>
        <v>76.150000000000006</v>
      </c>
      <c r="C40" s="2">
        <f t="shared" ca="1" si="6"/>
        <v>1.04</v>
      </c>
      <c r="D40" s="2">
        <f t="shared" ca="1" si="10"/>
        <v>125.24</v>
      </c>
      <c r="E40" s="2">
        <f t="shared" ca="1" si="7"/>
        <v>126.28</v>
      </c>
      <c r="F40" s="2">
        <f t="shared" ca="1" si="8"/>
        <v>49.09</v>
      </c>
    </row>
    <row r="41" spans="1:6" x14ac:dyDescent="0.25">
      <c r="A41">
        <f t="shared" si="5"/>
        <v>40</v>
      </c>
      <c r="B41" s="2">
        <f t="shared" ca="1" si="9"/>
        <v>78.06</v>
      </c>
      <c r="C41" s="2">
        <f t="shared" ca="1" si="6"/>
        <v>2.83</v>
      </c>
      <c r="D41" s="2">
        <f t="shared" ca="1" si="10"/>
        <v>126.28</v>
      </c>
      <c r="E41" s="2">
        <f t="shared" ca="1" si="7"/>
        <v>129.11000000000001</v>
      </c>
      <c r="F41" s="2">
        <f t="shared" ca="1" si="8"/>
        <v>48.22</v>
      </c>
    </row>
    <row r="42" spans="1:6" x14ac:dyDescent="0.25">
      <c r="A42">
        <f t="shared" si="5"/>
        <v>41</v>
      </c>
      <c r="B42" s="2">
        <f t="shared" ca="1" si="9"/>
        <v>80.150000000000006</v>
      </c>
      <c r="C42" s="2">
        <f t="shared" ca="1" si="6"/>
        <v>1.55</v>
      </c>
      <c r="D42" s="2">
        <f t="shared" ca="1" si="10"/>
        <v>129.11000000000001</v>
      </c>
      <c r="E42" s="2">
        <f t="shared" ca="1" si="7"/>
        <v>130.66</v>
      </c>
      <c r="F42" s="2">
        <f t="shared" ca="1" si="8"/>
        <v>48.96</v>
      </c>
    </row>
    <row r="43" spans="1:6" x14ac:dyDescent="0.25">
      <c r="A43">
        <f t="shared" si="5"/>
        <v>42</v>
      </c>
      <c r="B43" s="2">
        <f t="shared" ca="1" si="9"/>
        <v>82.1</v>
      </c>
      <c r="C43" s="2">
        <f t="shared" ca="1" si="6"/>
        <v>2.23</v>
      </c>
      <c r="D43" s="2">
        <f t="shared" ca="1" si="10"/>
        <v>130.66</v>
      </c>
      <c r="E43" s="2">
        <f t="shared" ca="1" si="7"/>
        <v>132.88999999999999</v>
      </c>
      <c r="F43" s="2">
        <f t="shared" ca="1" si="8"/>
        <v>48.56</v>
      </c>
    </row>
    <row r="44" spans="1:6" x14ac:dyDescent="0.25">
      <c r="A44">
        <f t="shared" si="5"/>
        <v>43</v>
      </c>
      <c r="B44" s="2">
        <f t="shared" ca="1" si="9"/>
        <v>84.14</v>
      </c>
      <c r="C44" s="2">
        <f t="shared" ca="1" si="6"/>
        <v>4.49</v>
      </c>
      <c r="D44" s="2">
        <f t="shared" ca="1" si="10"/>
        <v>132.88999999999999</v>
      </c>
      <c r="E44" s="2">
        <f t="shared" ca="1" si="7"/>
        <v>137.38</v>
      </c>
      <c r="F44" s="2">
        <f t="shared" ca="1" si="8"/>
        <v>48.75</v>
      </c>
    </row>
    <row r="45" spans="1:6" x14ac:dyDescent="0.25">
      <c r="A45">
        <f t="shared" si="5"/>
        <v>44</v>
      </c>
      <c r="B45" s="2">
        <f t="shared" ca="1" si="9"/>
        <v>86.16</v>
      </c>
      <c r="C45" s="2">
        <f t="shared" ca="1" si="6"/>
        <v>5.21</v>
      </c>
      <c r="D45" s="2">
        <f t="shared" ca="1" si="10"/>
        <v>137.38</v>
      </c>
      <c r="E45" s="2">
        <f t="shared" ca="1" si="7"/>
        <v>142.59</v>
      </c>
      <c r="F45" s="2">
        <f t="shared" ca="1" si="8"/>
        <v>51.22</v>
      </c>
    </row>
    <row r="46" spans="1:6" x14ac:dyDescent="0.25">
      <c r="A46">
        <f t="shared" si="5"/>
        <v>45</v>
      </c>
      <c r="B46" s="2">
        <f t="shared" ca="1" si="9"/>
        <v>88.15</v>
      </c>
      <c r="C46" s="2">
        <f t="shared" ca="1" si="6"/>
        <v>3.68</v>
      </c>
      <c r="D46" s="2">
        <f t="shared" ca="1" si="10"/>
        <v>142.59</v>
      </c>
      <c r="E46" s="2">
        <f t="shared" ca="1" si="7"/>
        <v>146.27000000000001</v>
      </c>
      <c r="F46" s="2">
        <f t="shared" ca="1" si="8"/>
        <v>54.44</v>
      </c>
    </row>
    <row r="47" spans="1:6" x14ac:dyDescent="0.25">
      <c r="A47">
        <f t="shared" si="5"/>
        <v>46</v>
      </c>
      <c r="B47" s="2">
        <f t="shared" ca="1" si="9"/>
        <v>90.17</v>
      </c>
      <c r="C47" s="2">
        <f t="shared" ca="1" si="6"/>
        <v>3.76</v>
      </c>
      <c r="D47" s="2">
        <f t="shared" ca="1" si="10"/>
        <v>146.27000000000001</v>
      </c>
      <c r="E47" s="2">
        <f t="shared" ca="1" si="7"/>
        <v>150.03</v>
      </c>
      <c r="F47" s="2">
        <f t="shared" ca="1" si="8"/>
        <v>56.1</v>
      </c>
    </row>
    <row r="48" spans="1:6" x14ac:dyDescent="0.25">
      <c r="A48">
        <f t="shared" si="5"/>
        <v>47</v>
      </c>
      <c r="B48" s="2">
        <f t="shared" ca="1" si="9"/>
        <v>92.08</v>
      </c>
      <c r="C48" s="2">
        <f t="shared" ca="1" si="6"/>
        <v>4.4800000000000004</v>
      </c>
      <c r="D48" s="2">
        <f t="shared" ca="1" si="10"/>
        <v>150.03</v>
      </c>
      <c r="E48" s="2">
        <f t="shared" ca="1" si="7"/>
        <v>154.51</v>
      </c>
      <c r="F48" s="2">
        <f t="shared" ca="1" si="8"/>
        <v>57.95</v>
      </c>
    </row>
    <row r="49" spans="1:6" x14ac:dyDescent="0.25">
      <c r="A49">
        <f t="shared" si="5"/>
        <v>48</v>
      </c>
      <c r="B49" s="2">
        <f t="shared" ca="1" si="9"/>
        <v>94.12</v>
      </c>
      <c r="C49" s="2">
        <f t="shared" ca="1" si="6"/>
        <v>5.08</v>
      </c>
      <c r="D49" s="2">
        <f t="shared" ca="1" si="10"/>
        <v>154.51</v>
      </c>
      <c r="E49" s="2">
        <f t="shared" ca="1" si="7"/>
        <v>159.59</v>
      </c>
      <c r="F49" s="2">
        <f t="shared" ca="1" si="8"/>
        <v>60.39</v>
      </c>
    </row>
    <row r="50" spans="1:6" x14ac:dyDescent="0.25">
      <c r="A50">
        <f t="shared" si="5"/>
        <v>49</v>
      </c>
      <c r="B50" s="2">
        <f t="shared" ca="1" si="9"/>
        <v>96.1</v>
      </c>
      <c r="C50" s="2">
        <f t="shared" ca="1" si="6"/>
        <v>2.96</v>
      </c>
      <c r="D50" s="2">
        <f t="shared" ca="1" si="10"/>
        <v>159.59</v>
      </c>
      <c r="E50" s="2">
        <f t="shared" ca="1" si="7"/>
        <v>162.55000000000001</v>
      </c>
      <c r="F50" s="2">
        <f t="shared" ca="1" si="8"/>
        <v>63.49</v>
      </c>
    </row>
    <row r="51" spans="1:6" x14ac:dyDescent="0.25">
      <c r="A51">
        <f t="shared" si="5"/>
        <v>50</v>
      </c>
      <c r="B51" s="2">
        <f t="shared" ca="1" si="9"/>
        <v>98.12</v>
      </c>
      <c r="C51" s="2">
        <f t="shared" ca="1" si="6"/>
        <v>1.1100000000000001</v>
      </c>
      <c r="D51" s="2">
        <f t="shared" ca="1" si="10"/>
        <v>162.55000000000001</v>
      </c>
      <c r="E51" s="2">
        <f t="shared" ca="1" si="7"/>
        <v>163.66</v>
      </c>
      <c r="F51" s="2">
        <f t="shared" ca="1" si="8"/>
        <v>64.430000000000007</v>
      </c>
    </row>
  </sheetData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5" x14ac:dyDescent="0.25"/>
  <cols>
    <col min="1" max="1" width="34" customWidth="1"/>
    <col min="2" max="2" width="50" customWidth="1"/>
  </cols>
  <sheetData>
    <row r="1" spans="1:2" ht="15.75" x14ac:dyDescent="0.25">
      <c r="A1" s="3" t="s">
        <v>6</v>
      </c>
    </row>
    <row r="2" spans="1:2" x14ac:dyDescent="0.25">
      <c r="A2" s="4" t="s">
        <v>7</v>
      </c>
      <c r="B2" s="5">
        <f>ROUND(0.6,2)</f>
        <v>0.6</v>
      </c>
    </row>
    <row r="3" spans="1:2" x14ac:dyDescent="0.25">
      <c r="A3" s="4" t="s">
        <v>8</v>
      </c>
      <c r="B3" s="4" t="s">
        <v>9</v>
      </c>
    </row>
    <row r="4" spans="1:2" x14ac:dyDescent="0.25">
      <c r="A4" s="4" t="s">
        <v>10</v>
      </c>
      <c r="B4" s="4" t="s">
        <v>11</v>
      </c>
    </row>
    <row r="5" spans="1:2" x14ac:dyDescent="0.25">
      <c r="A5" s="4"/>
      <c r="B5" s="4"/>
    </row>
    <row r="6" spans="1:2" ht="15.75" x14ac:dyDescent="0.25">
      <c r="A6" s="6" t="s">
        <v>12</v>
      </c>
      <c r="B6" s="4"/>
    </row>
    <row r="7" spans="1:2" x14ac:dyDescent="0.25">
      <c r="A7" s="4" t="s">
        <v>13</v>
      </c>
      <c r="B7" s="4">
        <v>50</v>
      </c>
    </row>
    <row r="8" spans="1:2" x14ac:dyDescent="0.25">
      <c r="A8" s="4" t="s">
        <v>14</v>
      </c>
      <c r="B8" s="5">
        <f ca="1">MAX('Bank Queue Simulation (50)'!E:E)</f>
        <v>163.66</v>
      </c>
    </row>
    <row r="9" spans="1:2" x14ac:dyDescent="0.25">
      <c r="A9" s="4" t="s">
        <v>15</v>
      </c>
      <c r="B9" s="5">
        <f ca="1">SUM('Bank Queue Simulation (50)'!C:C)</f>
        <v>163.06000000000006</v>
      </c>
    </row>
    <row r="10" spans="1:2" x14ac:dyDescent="0.25">
      <c r="A10" s="4" t="s">
        <v>16</v>
      </c>
      <c r="B10" s="5">
        <f ca="1">AVERAGE('Bank Queue Simulation (50)'!F:F)</f>
        <v>31.661400000000008</v>
      </c>
    </row>
    <row r="11" spans="1:2" x14ac:dyDescent="0.25">
      <c r="A11" s="4" t="s">
        <v>17</v>
      </c>
      <c r="B11" s="5">
        <f ca="1">MAX('Bank Queue Simulation (50)'!F:F)</f>
        <v>64.430000000000007</v>
      </c>
    </row>
    <row r="12" spans="1:2" x14ac:dyDescent="0.25">
      <c r="A12" s="4" t="s">
        <v>18</v>
      </c>
      <c r="B12" s="5">
        <f ca="1">IFERROR(B9/B8,0)</f>
        <v>0.9963338628864723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 Queue Simulation (50)</vt:lpstr>
      <vt:lpstr>Assumptions &amp;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Alma Tech PC</cp:lastModifiedBy>
  <dcterms:created xsi:type="dcterms:W3CDTF">2025-08-16T20:24:37Z</dcterms:created>
  <dcterms:modified xsi:type="dcterms:W3CDTF">2025-08-19T09:35:27Z</dcterms:modified>
</cp:coreProperties>
</file>
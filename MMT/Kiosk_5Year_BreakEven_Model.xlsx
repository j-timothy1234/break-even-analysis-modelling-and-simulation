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Model" sheetId="2" state="visible" r:id="rId4"/>
    <sheet name="Annual Summary" sheetId="3" state="visible" r:id="rId5"/>
    <sheet name="Break-Even Analysis" sheetId="4" state="visible" r:id="rId6"/>
  </sheets>
  <definedNames>
    <definedName function="false" hidden="true" localSheetId="1" name="_xlnm._FilterDatabase" vbProcedure="false">'Monthly Model'!$A$1:$R$61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Assumption: transaction volume grows faster in Year 1 as the kiosk becomes known to students/staff.</t>
        </r>
      </text>
    </comment>
    <comment ref="B15" authorId="0">
      <text>
        <r>
          <rPr>
            <sz val="10"/>
            <rFont val="Arial"/>
            <family val="2"/>
          </rPr>
          <t xml:space="preserve">Assumption: growth slows to a steady, mature-market pace from Year 2 onward.</t>
        </r>
      </text>
    </comment>
    <comment ref="B28" authorId="0">
      <text>
        <r>
          <rPr>
            <sz val="10"/>
            <rFont val="Arial"/>
            <family val="2"/>
          </rPr>
          <t xml:space="preserve">Assumption: owner runs the kiosk alone in Year 1; an attendant is hired from Month 13 once volumes justify it.</t>
        </r>
      </text>
    </comment>
    <comment ref="B32" authorId="0">
      <text>
        <r>
          <rPr>
            <sz val="10"/>
            <rFont val="Arial"/>
            <family val="2"/>
          </rPr>
          <t xml:space="preserve">Assumption: small monthly cost inflation (0.3%) applied to operating costs from Month 13 onward.</t>
        </r>
      </text>
    </comment>
  </commentList>
</comments>
</file>

<file path=xl/sharedStrings.xml><?xml version="1.0" encoding="utf-8"?>
<sst xmlns="http://schemas.openxmlformats.org/spreadsheetml/2006/main" count="70" uniqueCount="65">
  <si>
    <t xml:space="preserve">Mobile Money &amp; Airtime Kiosk — 5-Year Model Assumptions</t>
  </si>
  <si>
    <t xml:space="preserve">All monetary values in Ugandan Shillings (UGX). Blue cells are editable inputs.</t>
  </si>
  <si>
    <t xml:space="preserve">1. INITIAL (STARTUP) CAPITAL</t>
  </si>
  <si>
    <t xml:space="preserve">Float capital (mobile money agent line)</t>
  </si>
  <si>
    <t xml:space="preserve">Source: user-provided business scenario</t>
  </si>
  <si>
    <t xml:space="preserve">Initial airtime / data bundle stock</t>
  </si>
  <si>
    <t xml:space="preserve">Kiosk setup (structure, signage, stool, umbrella)</t>
  </si>
  <si>
    <t xml:space="preserve">Rent deposit (advance)</t>
  </si>
  <si>
    <t xml:space="preserve">Equipment (phone, register book, solar charger, POS)</t>
  </si>
  <si>
    <t xml:space="preserve">TOTAL INITIAL INVESTMENT (Starting Capital)</t>
  </si>
  <si>
    <t xml:space="preserve">2. MOBILE MONEY REVENUE DRIVERS</t>
  </si>
  <si>
    <t xml:space="preserve">Starting mobile money transactions / month</t>
  </si>
  <si>
    <t xml:space="preserve">Forecast given in the scenario</t>
  </si>
  <si>
    <t xml:space="preserve">Monthly transaction growth rate — Year 1</t>
  </si>
  <si>
    <t xml:space="preserve">Student traffic builds up as the kiosk gets known</t>
  </si>
  <si>
    <t xml:space="preserve">Monthly transaction growth rate — Year 2 onward</t>
  </si>
  <si>
    <t xml:space="preserve">Growth slows once the market matures</t>
  </si>
  <si>
    <t xml:space="preserve">Average commission earned per transaction (UGX)</t>
  </si>
  <si>
    <t xml:space="preserve">Blended tier commission from telecom/MM provider</t>
  </si>
  <si>
    <t xml:space="preserve">3. AIRTIME / DATA BUNDLE REVENUE DRIVERS</t>
  </si>
  <si>
    <t xml:space="preserve">Starting airtime/data transactions / month</t>
  </si>
  <si>
    <t xml:space="preserve">Monthly airtime transaction growth rate</t>
  </si>
  <si>
    <t xml:space="preserve">Average markup profit per airtime/data sale (UGX)</t>
  </si>
  <si>
    <t xml:space="preserve">Difference between buying and selling price</t>
  </si>
  <si>
    <t xml:space="preserve">4. MONTHLY OPERATING COSTS</t>
  </si>
  <si>
    <t xml:space="preserve">Kiosk rent</t>
  </si>
  <si>
    <t xml:space="preserve">Transport for float top-up</t>
  </si>
  <si>
    <t xml:space="preserve">Agent line / mobile money service charges</t>
  </si>
  <si>
    <t xml:space="preserve">Utilities (phone charging, lighting)</t>
  </si>
  <si>
    <t xml:space="preserve">Attendant wage (starts Month 13, once volumes justify hiring help)</t>
  </si>
  <si>
    <t xml:space="preserve">Miscellaneous / contingency</t>
  </si>
  <si>
    <t xml:space="preserve">5. OTHER</t>
  </si>
  <si>
    <t xml:space="preserve">Monthly discount/inflation adjustment on costs</t>
  </si>
  <si>
    <t xml:space="preserve">Small monthly cost inflation applied from Month 13</t>
  </si>
  <si>
    <t xml:space="preserve">Month #</t>
  </si>
  <si>
    <t xml:space="preserve">Year</t>
  </si>
  <si>
    <t xml:space="preserve">Calendar Month</t>
  </si>
  <si>
    <t xml:space="preserve">MM Transactions</t>
  </si>
  <si>
    <t xml:space="preserve">Commission Revenue</t>
  </si>
  <si>
    <t xml:space="preserve">Airtime Transactions</t>
  </si>
  <si>
    <t xml:space="preserve">Airtime Revenue</t>
  </si>
  <si>
    <t xml:space="preserve">Total Revenue</t>
  </si>
  <si>
    <t xml:space="preserve">Rent</t>
  </si>
  <si>
    <t xml:space="preserve">Transport</t>
  </si>
  <si>
    <t xml:space="preserve">Agent Charges</t>
  </si>
  <si>
    <t xml:space="preserve">Utilities</t>
  </si>
  <si>
    <t xml:space="preserve">Wage</t>
  </si>
  <si>
    <t xml:space="preserve">Misc</t>
  </si>
  <si>
    <t xml:space="preserve">Total Costs</t>
  </si>
  <si>
    <t xml:space="preserve">Net Profit (Monthly)</t>
  </si>
  <si>
    <t xml:space="preserve">Cumulative Net Cash Position</t>
  </si>
  <si>
    <t xml:space="preserve">Breakeven Reached?</t>
  </si>
  <si>
    <t xml:space="preserve">MM Transactions (total)</t>
  </si>
  <si>
    <t xml:space="preserve">Airtime Transactions (total)</t>
  </si>
  <si>
    <t xml:space="preserve">Net Profit</t>
  </si>
  <si>
    <t xml:space="preserve">Cumulative Net Cash Position (Year-end)</t>
  </si>
  <si>
    <t xml:space="preserve">TOTAL / 5-YR</t>
  </si>
  <si>
    <t xml:space="preserve">Break-Even Analysis — Mobile Money &amp; Airtime Kiosk</t>
  </si>
  <si>
    <t xml:space="preserve">Total Initial Investment (Starting Capital)</t>
  </si>
  <si>
    <t xml:space="preserve">Average Net Profit per Month (Year 1)</t>
  </si>
  <si>
    <t xml:space="preserve">Simple Break-even (months), constant Year-1 profit</t>
  </si>
  <si>
    <t xml:space="preserve">Break-even Month (from cumulative cash position, dynamic model)</t>
  </si>
  <si>
    <t xml:space="preserve">Break-even Year</t>
  </si>
  <si>
    <t xml:space="preserve">Interpretation</t>
  </si>
  <si>
    <t xml:space="preserve">The break-even point is the month at which the Cumulative Net Cash Position (Monthly Model, column Q) crosses from negative to zero/positive — i.e. the accumulated profit exactly repays the starting capital in row 3. From that month onward, every shilling of net profit is 'clean' profit for the investor.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</si>
</sst>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"/>
    <numFmt numFmtId="167" formatCode="0.0%"/>
    <numFmt numFmtId="168" formatCode="0"/>
    <numFmt numFmtId="169" formatCode="General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Net Cash Position vs. Break-Even Line (60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Model'!Q1</c:f>
              <c:strCache>
                <c:ptCount val="1"/>
                <c:pt idx="0">
                  <c:v>Cumulative Net Cash Position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Model'!$A$2:$A$61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'Monthly Model'!$Q$2:$Q$61</c:f>
              <c:numCache>
                <c:formatCode>#,##0;\(#,##0\);\-</c:formatCode>
                <c:ptCount val="60"/>
                <c:pt idx="0">
                  <c:v>-4840000</c:v>
                </c:pt>
                <c:pt idx="1">
                  <c:v>-4672800</c:v>
                </c:pt>
                <c:pt idx="2">
                  <c:v>-4498268</c:v>
                </c:pt>
                <c:pt idx="3">
                  <c:v>-4316269.48</c:v>
                </c:pt>
                <c:pt idx="4">
                  <c:v>-4126667.3508</c:v>
                </c:pt>
                <c:pt idx="5">
                  <c:v>-3929321.903828</c:v>
                </c:pt>
                <c:pt idx="6">
                  <c:v>-3724090.75997668</c:v>
                </c:pt>
                <c:pt idx="7">
                  <c:v>-3510828.81742906</c:v>
                </c:pt>
                <c:pt idx="8">
                  <c:v>-3289388.19845301</c:v>
                </c:pt>
                <c:pt idx="9">
                  <c:v>-3059618.19514419</c:v>
                </c:pt>
                <c:pt idx="10">
                  <c:v>-2821365.21409642</c:v>
                </c:pt>
                <c:pt idx="11">
                  <c:v>-2574472.71997818</c:v>
                </c:pt>
                <c:pt idx="12">
                  <c:v>-2475606.36238136</c:v>
                </c:pt>
                <c:pt idx="13">
                  <c:v>-2374747.11797847</c:v>
                </c:pt>
                <c:pt idx="14">
                  <c:v>-2271875.79400531</c:v>
                </c:pt>
                <c:pt idx="15">
                  <c:v>-2166973.0267222</c:v>
                </c:pt>
                <c:pt idx="16">
                  <c:v>-2060019.27986083</c:v>
                </c:pt>
                <c:pt idx="17">
                  <c:v>-1950994.84305646</c:v>
                </c:pt>
                <c:pt idx="18">
                  <c:v>-1839879.83026545</c:v>
                </c:pt>
                <c:pt idx="19">
                  <c:v>-1726654.17816784</c:v>
                </c:pt>
                <c:pt idx="20">
                  <c:v>-1611297.64455498</c:v>
                </c:pt>
                <c:pt idx="21">
                  <c:v>-1493789.80670193</c:v>
                </c:pt>
                <c:pt idx="22">
                  <c:v>-1374110.05972461</c:v>
                </c:pt>
                <c:pt idx="23">
                  <c:v>-1252237.61492144</c:v>
                </c:pt>
                <c:pt idx="24">
                  <c:v>-1128151.49809941</c:v>
                </c:pt>
                <c:pt idx="25">
                  <c:v>-1001830.54788436</c:v>
                </c:pt>
                <c:pt idx="26">
                  <c:v>-873253.414015384</c:v>
                </c:pt>
                <c:pt idx="27">
                  <c:v>-742398.555623114</c:v>
                </c:pt>
                <c:pt idx="28">
                  <c:v>-609244.239491853</c:v>
                </c:pt>
                <c:pt idx="29">
                  <c:v>-473768.538305276</c:v>
                </c:pt>
                <c:pt idx="30">
                  <c:v>-335949.328875623</c:v>
                </c:pt>
                <c:pt idx="31">
                  <c:v>-195764.290356184</c:v>
                </c:pt>
                <c:pt idx="32">
                  <c:v>-53190.9024369391</c:v>
                </c:pt>
                <c:pt idx="33">
                  <c:v>91793.556476832</c:v>
                </c:pt>
                <c:pt idx="34">
                  <c:v>239212.011103116</c:v>
                </c:pt>
                <c:pt idx="35">
                  <c:v>389087.591139088</c:v>
                </c:pt>
                <c:pt idx="36">
                  <c:v>541443.633134548</c:v>
                </c:pt>
                <c:pt idx="37">
                  <c:v>696303.682383047</c:v>
                </c:pt>
                <c:pt idx="38">
                  <c:v>853691.49483087</c:v>
                </c:pt>
                <c:pt idx="39">
                  <c:v>1013631.03900405</c:v>
                </c:pt>
                <c:pt idx="40">
                  <c:v>1176146.4979536</c:v>
                </c:pt>
                <c:pt idx="41">
                  <c:v>1341262.27121911</c:v>
                </c:pt>
                <c:pt idx="42">
                  <c:v>1509002.97681089</c:v>
                </c:pt>
                <c:pt idx="43">
                  <c:v>1679393.45321091</c:v>
                </c:pt>
                <c:pt idx="44">
                  <c:v>1852458.76139262</c:v>
                </c:pt>
                <c:pt idx="45">
                  <c:v>2028224.18685986</c:v>
                </c:pt>
                <c:pt idx="46">
                  <c:v>2206715.24170508</c:v>
                </c:pt>
                <c:pt idx="47">
                  <c:v>2387957.66668707</c:v>
                </c:pt>
                <c:pt idx="48">
                  <c:v>2571977.43332829</c:v>
                </c:pt>
                <c:pt idx="49">
                  <c:v>2758800.7460321</c:v>
                </c:pt>
                <c:pt idx="50">
                  <c:v>2948454.04422003</c:v>
                </c:pt>
                <c:pt idx="51">
                  <c:v>3140964.00448928</c:v>
                </c:pt>
                <c:pt idx="52">
                  <c:v>3336357.54279067</c:v>
                </c:pt>
                <c:pt idx="53">
                  <c:v>3534661.81662726</c:v>
                </c:pt>
                <c:pt idx="54">
                  <c:v>3735904.22727372</c:v>
                </c:pt>
                <c:pt idx="55">
                  <c:v>3940112.42201683</c:v>
                </c:pt>
                <c:pt idx="56">
                  <c:v>4147314.29641716</c:v>
                </c:pt>
                <c:pt idx="57">
                  <c:v>4357537.99659226</c:v>
                </c:pt>
                <c:pt idx="58">
                  <c:v>4570811.92152146</c:v>
                </c:pt>
                <c:pt idx="59">
                  <c:v>4787164.72537254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574113"/>
        <c:axId val="26427369"/>
      </c:lineChart>
      <c:catAx>
        <c:axId val="52574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7369"/>
        <c:crosses val="autoZero"/>
        <c:auto val="1"/>
        <c:lblAlgn val="ctr"/>
        <c:lblOffset val="100"/>
        <c:noMultiLvlLbl val="0"/>
      </c:catAx>
      <c:valAx>
        <c:axId val="26427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Net Cash Position (UGX)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74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160920</xdr:rowOff>
    </xdr:from>
    <xdr:to>
      <xdr:col>4</xdr:col>
      <xdr:colOff>219600</xdr:colOff>
      <xdr:row>39</xdr:row>
      <xdr:rowOff>56880</xdr:rowOff>
    </xdr:to>
    <xdr:graphicFrame>
      <xdr:nvGraphicFramePr>
        <xdr:cNvPr id="0" name="Chart 1"/>
        <xdr:cNvGraphicFramePr/>
      </xdr:nvGraphicFramePr>
      <xdr:xfrm>
        <a:off x="0" y="285768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3000000</v>
      </c>
      <c r="C5" s="2" t="s">
        <v>4</v>
      </c>
    </row>
    <row r="6" customFormat="false" ht="15" hidden="false" customHeight="false" outlineLevel="0" collapsed="false">
      <c r="A6" s="5" t="s">
        <v>5</v>
      </c>
      <c r="B6" s="6" t="n">
        <v>500000</v>
      </c>
    </row>
    <row r="7" customFormat="false" ht="15" hidden="false" customHeight="false" outlineLevel="0" collapsed="false">
      <c r="A7" s="5" t="s">
        <v>6</v>
      </c>
      <c r="B7" s="6" t="n">
        <v>800000</v>
      </c>
    </row>
    <row r="8" customFormat="false" ht="15" hidden="false" customHeight="false" outlineLevel="0" collapsed="false">
      <c r="A8" s="5" t="s">
        <v>7</v>
      </c>
      <c r="B8" s="6" t="n">
        <v>300000</v>
      </c>
    </row>
    <row r="9" customFormat="false" ht="15" hidden="false" customHeight="false" outlineLevel="0" collapsed="false">
      <c r="A9" s="5" t="s">
        <v>8</v>
      </c>
      <c r="B9" s="6" t="n">
        <v>400000</v>
      </c>
    </row>
    <row r="10" customFormat="false" ht="15" hidden="false" customHeight="false" outlineLevel="0" collapsed="false">
      <c r="A10" s="7" t="s">
        <v>9</v>
      </c>
      <c r="B10" s="8" t="n">
        <f aca="false">SUM(B5:B9)</f>
        <v>5000000</v>
      </c>
    </row>
    <row r="12" customFormat="false" ht="15" hidden="false" customHeight="false" outlineLevel="0" collapsed="false">
      <c r="A12" s="3" t="s">
        <v>10</v>
      </c>
      <c r="B12" s="4"/>
      <c r="C12" s="4"/>
    </row>
    <row r="13" customFormat="false" ht="15" hidden="false" customHeight="false" outlineLevel="0" collapsed="false">
      <c r="A13" s="5" t="s">
        <v>11</v>
      </c>
      <c r="B13" s="9" t="n">
        <v>500</v>
      </c>
      <c r="C13" s="2" t="s">
        <v>12</v>
      </c>
    </row>
    <row r="14" customFormat="false" ht="15" hidden="false" customHeight="false" outlineLevel="0" collapsed="false">
      <c r="A14" s="5" t="s">
        <v>13</v>
      </c>
      <c r="B14" s="10" t="n">
        <v>0.02</v>
      </c>
      <c r="C14" s="2" t="s">
        <v>14</v>
      </c>
    </row>
    <row r="15" customFormat="false" ht="15" hidden="false" customHeight="false" outlineLevel="0" collapsed="false">
      <c r="A15" s="5" t="s">
        <v>15</v>
      </c>
      <c r="B15" s="10" t="n">
        <v>0.005</v>
      </c>
      <c r="C15" s="2" t="s">
        <v>16</v>
      </c>
    </row>
    <row r="16" customFormat="false" ht="15" hidden="false" customHeight="false" outlineLevel="0" collapsed="false">
      <c r="A16" s="5" t="s">
        <v>17</v>
      </c>
      <c r="B16" s="6" t="n">
        <v>600</v>
      </c>
      <c r="C16" s="2" t="s">
        <v>18</v>
      </c>
    </row>
    <row r="18" customFormat="false" ht="15" hidden="false" customHeight="false" outlineLevel="0" collapsed="false">
      <c r="A18" s="3" t="s">
        <v>19</v>
      </c>
      <c r="B18" s="4"/>
      <c r="C18" s="4"/>
    </row>
    <row r="19" customFormat="false" ht="15" hidden="false" customHeight="false" outlineLevel="0" collapsed="false">
      <c r="A19" s="5" t="s">
        <v>20</v>
      </c>
      <c r="B19" s="9" t="n">
        <v>400</v>
      </c>
    </row>
    <row r="20" customFormat="false" ht="15" hidden="false" customHeight="false" outlineLevel="0" collapsed="false">
      <c r="A20" s="5" t="s">
        <v>21</v>
      </c>
      <c r="B20" s="10" t="n">
        <v>0.01</v>
      </c>
    </row>
    <row r="21" customFormat="false" ht="15" hidden="false" customHeight="false" outlineLevel="0" collapsed="false">
      <c r="A21" s="5" t="s">
        <v>22</v>
      </c>
      <c r="B21" s="6" t="n">
        <v>300</v>
      </c>
      <c r="C21" s="2" t="s">
        <v>23</v>
      </c>
    </row>
    <row r="23" customFormat="false" ht="15" hidden="false" customHeight="false" outlineLevel="0" collapsed="false">
      <c r="A23" s="3" t="s">
        <v>24</v>
      </c>
      <c r="B23" s="4"/>
      <c r="C23" s="4"/>
    </row>
    <row r="24" customFormat="false" ht="15" hidden="false" customHeight="false" outlineLevel="0" collapsed="false">
      <c r="A24" s="5" t="s">
        <v>25</v>
      </c>
      <c r="B24" s="6" t="n">
        <v>150000</v>
      </c>
    </row>
    <row r="25" customFormat="false" ht="15" hidden="false" customHeight="false" outlineLevel="0" collapsed="false">
      <c r="A25" s="5" t="s">
        <v>26</v>
      </c>
      <c r="B25" s="6" t="n">
        <v>40000</v>
      </c>
    </row>
    <row r="26" customFormat="false" ht="15" hidden="false" customHeight="false" outlineLevel="0" collapsed="false">
      <c r="A26" s="5" t="s">
        <v>27</v>
      </c>
      <c r="B26" s="6" t="n">
        <v>30000</v>
      </c>
    </row>
    <row r="27" customFormat="false" ht="15" hidden="false" customHeight="false" outlineLevel="0" collapsed="false">
      <c r="A27" s="5" t="s">
        <v>28</v>
      </c>
      <c r="B27" s="6" t="n">
        <v>20000</v>
      </c>
    </row>
    <row r="28" customFormat="false" ht="15" hidden="false" customHeight="false" outlineLevel="0" collapsed="false">
      <c r="A28" s="5" t="s">
        <v>29</v>
      </c>
      <c r="B28" s="6" t="n">
        <v>150000</v>
      </c>
    </row>
    <row r="29" customFormat="false" ht="15" hidden="false" customHeight="false" outlineLevel="0" collapsed="false">
      <c r="A29" s="5" t="s">
        <v>30</v>
      </c>
      <c r="B29" s="6" t="n">
        <v>20000</v>
      </c>
    </row>
    <row r="31" customFormat="false" ht="15" hidden="false" customHeight="false" outlineLevel="0" collapsed="false">
      <c r="A31" s="3" t="s">
        <v>31</v>
      </c>
      <c r="B31" s="4"/>
      <c r="C31" s="4"/>
    </row>
    <row r="32" customFormat="false" ht="15" hidden="false" customHeight="false" outlineLevel="0" collapsed="false">
      <c r="A32" s="5" t="s">
        <v>32</v>
      </c>
      <c r="B32" s="10" t="n">
        <v>0.003</v>
      </c>
      <c r="C3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12"/>
    <col collapsed="false" customWidth="true" hidden="false" outlineLevel="0" max="16" min="16" style="0" width="15"/>
    <col collapsed="false" customWidth="true" hidden="false" outlineLevel="0" max="17" min="17" style="0" width="20"/>
    <col collapsed="false" customWidth="true" hidden="false" outlineLevel="0" max="18" min="18" style="0" width="15"/>
  </cols>
  <sheetData>
    <row r="1" customFormat="false" ht="39.55" hidden="false" customHeight="fals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</row>
    <row r="2" customFormat="false" ht="15" hidden="false" customHeight="false" outlineLevel="0" collapsed="false">
      <c r="A2" s="12" t="n">
        <v>1</v>
      </c>
      <c r="B2" s="13" t="n">
        <f aca="false">ROUNDUP(A2/12,0)</f>
        <v>1</v>
      </c>
      <c r="C2" s="13" t="str">
        <f aca="false">"Month "&amp;A2</f>
        <v>Month 1</v>
      </c>
      <c r="D2" s="14" t="n">
        <f aca="false">Assumptions!B13</f>
        <v>500</v>
      </c>
      <c r="E2" s="15" t="n">
        <f aca="false">D2*Assumptions!B16</f>
        <v>300000</v>
      </c>
      <c r="F2" s="14" t="n">
        <f aca="false">Assumptions!B19</f>
        <v>400</v>
      </c>
      <c r="G2" s="15" t="n">
        <f aca="false">F2*Assumptions!B21</f>
        <v>120000</v>
      </c>
      <c r="H2" s="15" t="n">
        <f aca="false">E2+G2</f>
        <v>420000</v>
      </c>
      <c r="I2" s="15" t="n">
        <f aca="false">Assumptions!B24*IF(A2&gt;=13,(1+Assumptions!B32)^(A2-12),1)</f>
        <v>150000</v>
      </c>
      <c r="J2" s="15" t="n">
        <f aca="false">Assumptions!B25*IF(A2&gt;=13,(1+Assumptions!B32)^(A2-12),1)</f>
        <v>40000</v>
      </c>
      <c r="K2" s="15" t="n">
        <f aca="false">Assumptions!B26*IF(A2&gt;=13,(1+Assumptions!B32)^(A2-12),1)</f>
        <v>30000</v>
      </c>
      <c r="L2" s="15" t="n">
        <f aca="false">Assumptions!B27*IF(A2&gt;=13,(1+Assumptions!B32)^(A2-12),1)</f>
        <v>20000</v>
      </c>
      <c r="M2" s="15" t="n">
        <f aca="false">IF(A2&gt;=13,Assumptions!B28*IF(A2&gt;=13,(1+Assumptions!B32)^(A2-12),1),0)</f>
        <v>0</v>
      </c>
      <c r="N2" s="15" t="n">
        <f aca="false">Assumptions!B29*IF(A2&gt;=13,(1+Assumptions!B32)^(A2-12),1)</f>
        <v>20000</v>
      </c>
      <c r="O2" s="15" t="n">
        <f aca="false">SUM(I2:N2)</f>
        <v>260000</v>
      </c>
      <c r="P2" s="15" t="n">
        <f aca="false">H2-O2</f>
        <v>160000</v>
      </c>
      <c r="Q2" s="15" t="n">
        <f aca="false">-Assumptions!B10+P2</f>
        <v>-4840000</v>
      </c>
      <c r="R2" s="16" t="str">
        <f aca="false">IF(Q2&gt;=0,"YES","No")</f>
        <v>No</v>
      </c>
    </row>
    <row r="3" customFormat="false" ht="15" hidden="false" customHeight="false" outlineLevel="0" collapsed="false">
      <c r="A3" s="12" t="n">
        <v>2</v>
      </c>
      <c r="B3" s="13" t="n">
        <f aca="false">ROUNDUP(A3/12,0)</f>
        <v>1</v>
      </c>
      <c r="C3" s="13" t="str">
        <f aca="false">"Month "&amp;A3</f>
        <v>Month 2</v>
      </c>
      <c r="D3" s="14" t="n">
        <f aca="false">D2*(1+IF(B3=1,Assumptions!B14,Assumptions!B15))</f>
        <v>510</v>
      </c>
      <c r="E3" s="15" t="n">
        <f aca="false">D3*Assumptions!B16</f>
        <v>306000</v>
      </c>
      <c r="F3" s="14" t="n">
        <f aca="false">F2*(1+Assumptions!B20)</f>
        <v>404</v>
      </c>
      <c r="G3" s="15" t="n">
        <f aca="false">F3*Assumptions!B21</f>
        <v>121200</v>
      </c>
      <c r="H3" s="15" t="n">
        <f aca="false">E3+G3</f>
        <v>427200</v>
      </c>
      <c r="I3" s="15" t="n">
        <f aca="false">Assumptions!B24*IF(A3&gt;=13,(1+Assumptions!B32)^(A3-12),1)</f>
        <v>150000</v>
      </c>
      <c r="J3" s="15" t="n">
        <f aca="false">Assumptions!B25*IF(A3&gt;=13,(1+Assumptions!B32)^(A3-12),1)</f>
        <v>40000</v>
      </c>
      <c r="K3" s="15" t="n">
        <f aca="false">Assumptions!B26*IF(A3&gt;=13,(1+Assumptions!B32)^(A3-12),1)</f>
        <v>30000</v>
      </c>
      <c r="L3" s="15" t="n">
        <f aca="false">Assumptions!B27*IF(A3&gt;=13,(1+Assumptions!B32)^(A3-12),1)</f>
        <v>20000</v>
      </c>
      <c r="M3" s="15" t="n">
        <f aca="false">IF(A3&gt;=13,Assumptions!B28*IF(A3&gt;=13,(1+Assumptions!B32)^(A3-12),1),0)</f>
        <v>0</v>
      </c>
      <c r="N3" s="15" t="n">
        <f aca="false">Assumptions!B29*IF(A3&gt;=13,(1+Assumptions!B32)^(A3-12),1)</f>
        <v>20000</v>
      </c>
      <c r="O3" s="15" t="n">
        <f aca="false">SUM(I3:N3)</f>
        <v>260000</v>
      </c>
      <c r="P3" s="15" t="n">
        <f aca="false">H3-O3</f>
        <v>167200</v>
      </c>
      <c r="Q3" s="15" t="n">
        <f aca="false">Q2+P3</f>
        <v>-4672800</v>
      </c>
      <c r="R3" s="16" t="str">
        <f aca="false">IF(Q3&gt;=0,"YES","No")</f>
        <v>No</v>
      </c>
    </row>
    <row r="4" customFormat="false" ht="15" hidden="false" customHeight="false" outlineLevel="0" collapsed="false">
      <c r="A4" s="12" t="n">
        <v>3</v>
      </c>
      <c r="B4" s="13" t="n">
        <f aca="false">ROUNDUP(A4/12,0)</f>
        <v>1</v>
      </c>
      <c r="C4" s="13" t="str">
        <f aca="false">"Month "&amp;A4</f>
        <v>Month 3</v>
      </c>
      <c r="D4" s="14" t="n">
        <f aca="false">D3*(1+IF(B4=1,Assumptions!B14,Assumptions!B15))</f>
        <v>520.2</v>
      </c>
      <c r="E4" s="15" t="n">
        <f aca="false">D4*Assumptions!B16</f>
        <v>312120</v>
      </c>
      <c r="F4" s="14" t="n">
        <f aca="false">F3*(1+Assumptions!B20)</f>
        <v>408.04</v>
      </c>
      <c r="G4" s="15" t="n">
        <f aca="false">F4*Assumptions!B21</f>
        <v>122412</v>
      </c>
      <c r="H4" s="15" t="n">
        <f aca="false">E4+G4</f>
        <v>434532</v>
      </c>
      <c r="I4" s="15" t="n">
        <f aca="false">Assumptions!B24*IF(A4&gt;=13,(1+Assumptions!B32)^(A4-12),1)</f>
        <v>150000</v>
      </c>
      <c r="J4" s="15" t="n">
        <f aca="false">Assumptions!B25*IF(A4&gt;=13,(1+Assumptions!B32)^(A4-12),1)</f>
        <v>40000</v>
      </c>
      <c r="K4" s="15" t="n">
        <f aca="false">Assumptions!B26*IF(A4&gt;=13,(1+Assumptions!B32)^(A4-12),1)</f>
        <v>30000</v>
      </c>
      <c r="L4" s="15" t="n">
        <f aca="false">Assumptions!B27*IF(A4&gt;=13,(1+Assumptions!B32)^(A4-12),1)</f>
        <v>20000</v>
      </c>
      <c r="M4" s="15" t="n">
        <f aca="false">IF(A4&gt;=13,Assumptions!B28*IF(A4&gt;=13,(1+Assumptions!B32)^(A4-12),1),0)</f>
        <v>0</v>
      </c>
      <c r="N4" s="15" t="n">
        <f aca="false">Assumptions!B29*IF(A4&gt;=13,(1+Assumptions!B32)^(A4-12),1)</f>
        <v>20000</v>
      </c>
      <c r="O4" s="15" t="n">
        <f aca="false">SUM(I4:N4)</f>
        <v>260000</v>
      </c>
      <c r="P4" s="15" t="n">
        <f aca="false">H4-O4</f>
        <v>174532</v>
      </c>
      <c r="Q4" s="15" t="n">
        <f aca="false">Q3+P4</f>
        <v>-4498268</v>
      </c>
      <c r="R4" s="16" t="str">
        <f aca="false">IF(Q4&gt;=0,"YES","No")</f>
        <v>No</v>
      </c>
    </row>
    <row r="5" customFormat="false" ht="15" hidden="false" customHeight="false" outlineLevel="0" collapsed="false">
      <c r="A5" s="12" t="n">
        <v>4</v>
      </c>
      <c r="B5" s="13" t="n">
        <f aca="false">ROUNDUP(A5/12,0)</f>
        <v>1</v>
      </c>
      <c r="C5" s="13" t="str">
        <f aca="false">"Month "&amp;A5</f>
        <v>Month 4</v>
      </c>
      <c r="D5" s="14" t="n">
        <f aca="false">D4*(1+IF(B5=1,Assumptions!B14,Assumptions!B15))</f>
        <v>530.604</v>
      </c>
      <c r="E5" s="15" t="n">
        <f aca="false">D5*Assumptions!B16</f>
        <v>318362.4</v>
      </c>
      <c r="F5" s="14" t="n">
        <f aca="false">F4*(1+Assumptions!B20)</f>
        <v>412.1204</v>
      </c>
      <c r="G5" s="15" t="n">
        <f aca="false">F5*Assumptions!B21</f>
        <v>123636.12</v>
      </c>
      <c r="H5" s="15" t="n">
        <f aca="false">E5+G5</f>
        <v>441998.52</v>
      </c>
      <c r="I5" s="15" t="n">
        <f aca="false">Assumptions!B24*IF(A5&gt;=13,(1+Assumptions!B32)^(A5-12),1)</f>
        <v>150000</v>
      </c>
      <c r="J5" s="15" t="n">
        <f aca="false">Assumptions!B25*IF(A5&gt;=13,(1+Assumptions!B32)^(A5-12),1)</f>
        <v>40000</v>
      </c>
      <c r="K5" s="15" t="n">
        <f aca="false">Assumptions!B26*IF(A5&gt;=13,(1+Assumptions!B32)^(A5-12),1)</f>
        <v>30000</v>
      </c>
      <c r="L5" s="15" t="n">
        <f aca="false">Assumptions!B27*IF(A5&gt;=13,(1+Assumptions!B32)^(A5-12),1)</f>
        <v>20000</v>
      </c>
      <c r="M5" s="15" t="n">
        <f aca="false">IF(A5&gt;=13,Assumptions!B28*IF(A5&gt;=13,(1+Assumptions!B32)^(A5-12),1),0)</f>
        <v>0</v>
      </c>
      <c r="N5" s="15" t="n">
        <f aca="false">Assumptions!B29*IF(A5&gt;=13,(1+Assumptions!B32)^(A5-12),1)</f>
        <v>20000</v>
      </c>
      <c r="O5" s="15" t="n">
        <f aca="false">SUM(I5:N5)</f>
        <v>260000</v>
      </c>
      <c r="P5" s="15" t="n">
        <f aca="false">H5-O5</f>
        <v>181998.52</v>
      </c>
      <c r="Q5" s="15" t="n">
        <f aca="false">Q4+P5</f>
        <v>-4316269.48</v>
      </c>
      <c r="R5" s="16" t="str">
        <f aca="false">IF(Q5&gt;=0,"YES","No")</f>
        <v>No</v>
      </c>
    </row>
    <row r="6" customFormat="false" ht="15" hidden="false" customHeight="false" outlineLevel="0" collapsed="false">
      <c r="A6" s="12" t="n">
        <v>5</v>
      </c>
      <c r="B6" s="13" t="n">
        <f aca="false">ROUNDUP(A6/12,0)</f>
        <v>1</v>
      </c>
      <c r="C6" s="13" t="str">
        <f aca="false">"Month "&amp;A6</f>
        <v>Month 5</v>
      </c>
      <c r="D6" s="14" t="n">
        <f aca="false">D5*(1+IF(B6=1,Assumptions!B14,Assumptions!B15))</f>
        <v>541.21608</v>
      </c>
      <c r="E6" s="15" t="n">
        <f aca="false">D6*Assumptions!B16</f>
        <v>324729.648</v>
      </c>
      <c r="F6" s="14" t="n">
        <f aca="false">F5*(1+Assumptions!B20)</f>
        <v>416.241604</v>
      </c>
      <c r="G6" s="15" t="n">
        <f aca="false">F6*Assumptions!B21</f>
        <v>124872.4812</v>
      </c>
      <c r="H6" s="15" t="n">
        <f aca="false">E6+G6</f>
        <v>449602.1292</v>
      </c>
      <c r="I6" s="15" t="n">
        <f aca="false">Assumptions!B24*IF(A6&gt;=13,(1+Assumptions!B32)^(A6-12),1)</f>
        <v>150000</v>
      </c>
      <c r="J6" s="15" t="n">
        <f aca="false">Assumptions!B25*IF(A6&gt;=13,(1+Assumptions!B32)^(A6-12),1)</f>
        <v>40000</v>
      </c>
      <c r="K6" s="15" t="n">
        <f aca="false">Assumptions!B26*IF(A6&gt;=13,(1+Assumptions!B32)^(A6-12),1)</f>
        <v>30000</v>
      </c>
      <c r="L6" s="15" t="n">
        <f aca="false">Assumptions!B27*IF(A6&gt;=13,(1+Assumptions!B32)^(A6-12),1)</f>
        <v>20000</v>
      </c>
      <c r="M6" s="15" t="n">
        <f aca="false">IF(A6&gt;=13,Assumptions!B28*IF(A6&gt;=13,(1+Assumptions!B32)^(A6-12),1),0)</f>
        <v>0</v>
      </c>
      <c r="N6" s="15" t="n">
        <f aca="false">Assumptions!B29*IF(A6&gt;=13,(1+Assumptions!B32)^(A6-12),1)</f>
        <v>20000</v>
      </c>
      <c r="O6" s="15" t="n">
        <f aca="false">SUM(I6:N6)</f>
        <v>260000</v>
      </c>
      <c r="P6" s="15" t="n">
        <f aca="false">H6-O6</f>
        <v>189602.1292</v>
      </c>
      <c r="Q6" s="15" t="n">
        <f aca="false">Q5+P6</f>
        <v>-4126667.3508</v>
      </c>
      <c r="R6" s="16" t="str">
        <f aca="false">IF(Q6&gt;=0,"YES","No")</f>
        <v>No</v>
      </c>
    </row>
    <row r="7" customFormat="false" ht="15" hidden="false" customHeight="false" outlineLevel="0" collapsed="false">
      <c r="A7" s="12" t="n">
        <v>6</v>
      </c>
      <c r="B7" s="13" t="n">
        <f aca="false">ROUNDUP(A7/12,0)</f>
        <v>1</v>
      </c>
      <c r="C7" s="13" t="str">
        <f aca="false">"Month "&amp;A7</f>
        <v>Month 6</v>
      </c>
      <c r="D7" s="14" t="n">
        <f aca="false">D6*(1+IF(B7=1,Assumptions!B14,Assumptions!B15))</f>
        <v>552.0404016</v>
      </c>
      <c r="E7" s="15" t="n">
        <f aca="false">D7*Assumptions!B16</f>
        <v>331224.24096</v>
      </c>
      <c r="F7" s="14" t="n">
        <f aca="false">F6*(1+Assumptions!B20)</f>
        <v>420.40402004</v>
      </c>
      <c r="G7" s="15" t="n">
        <f aca="false">F7*Assumptions!B21</f>
        <v>126121.206012</v>
      </c>
      <c r="H7" s="15" t="n">
        <f aca="false">E7+G7</f>
        <v>457345.446972</v>
      </c>
      <c r="I7" s="15" t="n">
        <f aca="false">Assumptions!B24*IF(A7&gt;=13,(1+Assumptions!B32)^(A7-12),1)</f>
        <v>150000</v>
      </c>
      <c r="J7" s="15" t="n">
        <f aca="false">Assumptions!B25*IF(A7&gt;=13,(1+Assumptions!B32)^(A7-12),1)</f>
        <v>40000</v>
      </c>
      <c r="K7" s="15" t="n">
        <f aca="false">Assumptions!B26*IF(A7&gt;=13,(1+Assumptions!B32)^(A7-12),1)</f>
        <v>30000</v>
      </c>
      <c r="L7" s="15" t="n">
        <f aca="false">Assumptions!B27*IF(A7&gt;=13,(1+Assumptions!B32)^(A7-12),1)</f>
        <v>20000</v>
      </c>
      <c r="M7" s="15" t="n">
        <f aca="false">IF(A7&gt;=13,Assumptions!B28*IF(A7&gt;=13,(1+Assumptions!B32)^(A7-12),1),0)</f>
        <v>0</v>
      </c>
      <c r="N7" s="15" t="n">
        <f aca="false">Assumptions!B29*IF(A7&gt;=13,(1+Assumptions!B32)^(A7-12),1)</f>
        <v>20000</v>
      </c>
      <c r="O7" s="15" t="n">
        <f aca="false">SUM(I7:N7)</f>
        <v>260000</v>
      </c>
      <c r="P7" s="15" t="n">
        <f aca="false">H7-O7</f>
        <v>197345.446972</v>
      </c>
      <c r="Q7" s="15" t="n">
        <f aca="false">Q6+P7</f>
        <v>-3929321.903828</v>
      </c>
      <c r="R7" s="16" t="str">
        <f aca="false">IF(Q7&gt;=0,"YES","No")</f>
        <v>No</v>
      </c>
    </row>
    <row r="8" customFormat="false" ht="15" hidden="false" customHeight="false" outlineLevel="0" collapsed="false">
      <c r="A8" s="12" t="n">
        <v>7</v>
      </c>
      <c r="B8" s="13" t="n">
        <f aca="false">ROUNDUP(A8/12,0)</f>
        <v>1</v>
      </c>
      <c r="C8" s="13" t="str">
        <f aca="false">"Month "&amp;A8</f>
        <v>Month 7</v>
      </c>
      <c r="D8" s="14" t="n">
        <f aca="false">D7*(1+IF(B8=1,Assumptions!B14,Assumptions!B15))</f>
        <v>563.081209632</v>
      </c>
      <c r="E8" s="15" t="n">
        <f aca="false">D8*Assumptions!B16</f>
        <v>337848.7257792</v>
      </c>
      <c r="F8" s="14" t="n">
        <f aca="false">F7*(1+Assumptions!B20)</f>
        <v>424.6080602404</v>
      </c>
      <c r="G8" s="15" t="n">
        <f aca="false">F8*Assumptions!B21</f>
        <v>127382.41807212</v>
      </c>
      <c r="H8" s="15" t="n">
        <f aca="false">E8+G8</f>
        <v>465231.14385132</v>
      </c>
      <c r="I8" s="15" t="n">
        <f aca="false">Assumptions!B24*IF(A8&gt;=13,(1+Assumptions!B32)^(A8-12),1)</f>
        <v>150000</v>
      </c>
      <c r="J8" s="15" t="n">
        <f aca="false">Assumptions!B25*IF(A8&gt;=13,(1+Assumptions!B32)^(A8-12),1)</f>
        <v>40000</v>
      </c>
      <c r="K8" s="15" t="n">
        <f aca="false">Assumptions!B26*IF(A8&gt;=13,(1+Assumptions!B32)^(A8-12),1)</f>
        <v>30000</v>
      </c>
      <c r="L8" s="15" t="n">
        <f aca="false">Assumptions!B27*IF(A8&gt;=13,(1+Assumptions!B32)^(A8-12),1)</f>
        <v>20000</v>
      </c>
      <c r="M8" s="15" t="n">
        <f aca="false">IF(A8&gt;=13,Assumptions!B28*IF(A8&gt;=13,(1+Assumptions!B32)^(A8-12),1),0)</f>
        <v>0</v>
      </c>
      <c r="N8" s="15" t="n">
        <f aca="false">Assumptions!B29*IF(A8&gt;=13,(1+Assumptions!B32)^(A8-12),1)</f>
        <v>20000</v>
      </c>
      <c r="O8" s="15" t="n">
        <f aca="false">SUM(I8:N8)</f>
        <v>260000</v>
      </c>
      <c r="P8" s="15" t="n">
        <f aca="false">H8-O8</f>
        <v>205231.14385132</v>
      </c>
      <c r="Q8" s="15" t="n">
        <f aca="false">Q7+P8</f>
        <v>-3724090.75997668</v>
      </c>
      <c r="R8" s="16" t="str">
        <f aca="false">IF(Q8&gt;=0,"YES","No")</f>
        <v>No</v>
      </c>
    </row>
    <row r="9" customFormat="false" ht="15" hidden="false" customHeight="false" outlineLevel="0" collapsed="false">
      <c r="A9" s="12" t="n">
        <v>8</v>
      </c>
      <c r="B9" s="13" t="n">
        <f aca="false">ROUNDUP(A9/12,0)</f>
        <v>1</v>
      </c>
      <c r="C9" s="13" t="str">
        <f aca="false">"Month "&amp;A9</f>
        <v>Month 8</v>
      </c>
      <c r="D9" s="14" t="n">
        <f aca="false">D8*(1+IF(B9=1,Assumptions!B14,Assumptions!B15))</f>
        <v>574.34283382464</v>
      </c>
      <c r="E9" s="15" t="n">
        <f aca="false">D9*Assumptions!B16</f>
        <v>344605.700294784</v>
      </c>
      <c r="F9" s="14" t="n">
        <f aca="false">F8*(1+Assumptions!B20)</f>
        <v>428.854140842804</v>
      </c>
      <c r="G9" s="15" t="n">
        <f aca="false">F9*Assumptions!B21</f>
        <v>128656.242252841</v>
      </c>
      <c r="H9" s="15" t="n">
        <f aca="false">E9+G9</f>
        <v>473261.942547625</v>
      </c>
      <c r="I9" s="15" t="n">
        <f aca="false">Assumptions!B24*IF(A9&gt;=13,(1+Assumptions!B32)^(A9-12),1)</f>
        <v>150000</v>
      </c>
      <c r="J9" s="15" t="n">
        <f aca="false">Assumptions!B25*IF(A9&gt;=13,(1+Assumptions!B32)^(A9-12),1)</f>
        <v>40000</v>
      </c>
      <c r="K9" s="15" t="n">
        <f aca="false">Assumptions!B26*IF(A9&gt;=13,(1+Assumptions!B32)^(A9-12),1)</f>
        <v>30000</v>
      </c>
      <c r="L9" s="15" t="n">
        <f aca="false">Assumptions!B27*IF(A9&gt;=13,(1+Assumptions!B32)^(A9-12),1)</f>
        <v>20000</v>
      </c>
      <c r="M9" s="15" t="n">
        <f aca="false">IF(A9&gt;=13,Assumptions!B28*IF(A9&gt;=13,(1+Assumptions!B32)^(A9-12),1),0)</f>
        <v>0</v>
      </c>
      <c r="N9" s="15" t="n">
        <f aca="false">Assumptions!B29*IF(A9&gt;=13,(1+Assumptions!B32)^(A9-12),1)</f>
        <v>20000</v>
      </c>
      <c r="O9" s="15" t="n">
        <f aca="false">SUM(I9:N9)</f>
        <v>260000</v>
      </c>
      <c r="P9" s="15" t="n">
        <f aca="false">H9-O9</f>
        <v>213261.942547625</v>
      </c>
      <c r="Q9" s="15" t="n">
        <f aca="false">Q8+P9</f>
        <v>-3510828.81742906</v>
      </c>
      <c r="R9" s="16" t="str">
        <f aca="false">IF(Q9&gt;=0,"YES","No")</f>
        <v>No</v>
      </c>
    </row>
    <row r="10" customFormat="false" ht="15" hidden="false" customHeight="false" outlineLevel="0" collapsed="false">
      <c r="A10" s="12" t="n">
        <v>9</v>
      </c>
      <c r="B10" s="13" t="n">
        <f aca="false">ROUNDUP(A10/12,0)</f>
        <v>1</v>
      </c>
      <c r="C10" s="13" t="str">
        <f aca="false">"Month "&amp;A10</f>
        <v>Month 9</v>
      </c>
      <c r="D10" s="14" t="n">
        <f aca="false">D9*(1+IF(B10=1,Assumptions!B14,Assumptions!B15))</f>
        <v>585.829690501133</v>
      </c>
      <c r="E10" s="15" t="n">
        <f aca="false">D10*Assumptions!B16</f>
        <v>351497.81430068</v>
      </c>
      <c r="F10" s="14" t="n">
        <f aca="false">F9*(1+Assumptions!B20)</f>
        <v>433.142682251232</v>
      </c>
      <c r="G10" s="15" t="n">
        <f aca="false">F10*Assumptions!B21</f>
        <v>129942.80467537</v>
      </c>
      <c r="H10" s="15" t="n">
        <f aca="false">E10+G10</f>
        <v>481440.618976049</v>
      </c>
      <c r="I10" s="15" t="n">
        <f aca="false">Assumptions!B24*IF(A10&gt;=13,(1+Assumptions!B32)^(A10-12),1)</f>
        <v>150000</v>
      </c>
      <c r="J10" s="15" t="n">
        <f aca="false">Assumptions!B25*IF(A10&gt;=13,(1+Assumptions!B32)^(A10-12),1)</f>
        <v>40000</v>
      </c>
      <c r="K10" s="15" t="n">
        <f aca="false">Assumptions!B26*IF(A10&gt;=13,(1+Assumptions!B32)^(A10-12),1)</f>
        <v>30000</v>
      </c>
      <c r="L10" s="15" t="n">
        <f aca="false">Assumptions!B27*IF(A10&gt;=13,(1+Assumptions!B32)^(A10-12),1)</f>
        <v>20000</v>
      </c>
      <c r="M10" s="15" t="n">
        <f aca="false">IF(A10&gt;=13,Assumptions!B28*IF(A10&gt;=13,(1+Assumptions!B32)^(A10-12),1),0)</f>
        <v>0</v>
      </c>
      <c r="N10" s="15" t="n">
        <f aca="false">Assumptions!B29*IF(A10&gt;=13,(1+Assumptions!B32)^(A10-12),1)</f>
        <v>20000</v>
      </c>
      <c r="O10" s="15" t="n">
        <f aca="false">SUM(I10:N10)</f>
        <v>260000</v>
      </c>
      <c r="P10" s="15" t="n">
        <f aca="false">H10-O10</f>
        <v>221440.618976049</v>
      </c>
      <c r="Q10" s="15" t="n">
        <f aca="false">Q9+P10</f>
        <v>-3289388.19845301</v>
      </c>
      <c r="R10" s="16" t="str">
        <f aca="false">IF(Q10&gt;=0,"YES","No")</f>
        <v>No</v>
      </c>
    </row>
    <row r="11" customFormat="false" ht="15" hidden="false" customHeight="false" outlineLevel="0" collapsed="false">
      <c r="A11" s="12" t="n">
        <v>10</v>
      </c>
      <c r="B11" s="13" t="n">
        <f aca="false">ROUNDUP(A11/12,0)</f>
        <v>1</v>
      </c>
      <c r="C11" s="13" t="str">
        <f aca="false">"Month "&amp;A11</f>
        <v>Month 10</v>
      </c>
      <c r="D11" s="14" t="n">
        <f aca="false">D10*(1+IF(B11=1,Assumptions!B14,Assumptions!B15))</f>
        <v>597.546284311156</v>
      </c>
      <c r="E11" s="15" t="n">
        <f aca="false">D11*Assumptions!B16</f>
        <v>358527.770586693</v>
      </c>
      <c r="F11" s="14" t="n">
        <f aca="false">F10*(1+Assumptions!B20)</f>
        <v>437.474109073744</v>
      </c>
      <c r="G11" s="15" t="n">
        <f aca="false">F11*Assumptions!B21</f>
        <v>131242.232722123</v>
      </c>
      <c r="H11" s="15" t="n">
        <f aca="false">E11+G11</f>
        <v>489770.003308817</v>
      </c>
      <c r="I11" s="15" t="n">
        <f aca="false">Assumptions!B24*IF(A11&gt;=13,(1+Assumptions!B32)^(A11-12),1)</f>
        <v>150000</v>
      </c>
      <c r="J11" s="15" t="n">
        <f aca="false">Assumptions!B25*IF(A11&gt;=13,(1+Assumptions!B32)^(A11-12),1)</f>
        <v>40000</v>
      </c>
      <c r="K11" s="15" t="n">
        <f aca="false">Assumptions!B26*IF(A11&gt;=13,(1+Assumptions!B32)^(A11-12),1)</f>
        <v>30000</v>
      </c>
      <c r="L11" s="15" t="n">
        <f aca="false">Assumptions!B27*IF(A11&gt;=13,(1+Assumptions!B32)^(A11-12),1)</f>
        <v>20000</v>
      </c>
      <c r="M11" s="15" t="n">
        <f aca="false">IF(A11&gt;=13,Assumptions!B28*IF(A11&gt;=13,(1+Assumptions!B32)^(A11-12),1),0)</f>
        <v>0</v>
      </c>
      <c r="N11" s="15" t="n">
        <f aca="false">Assumptions!B29*IF(A11&gt;=13,(1+Assumptions!B32)^(A11-12),1)</f>
        <v>20000</v>
      </c>
      <c r="O11" s="15" t="n">
        <f aca="false">SUM(I11:N11)</f>
        <v>260000</v>
      </c>
      <c r="P11" s="15" t="n">
        <f aca="false">H11-O11</f>
        <v>229770.003308817</v>
      </c>
      <c r="Q11" s="15" t="n">
        <f aca="false">Q10+P11</f>
        <v>-3059618.19514419</v>
      </c>
      <c r="R11" s="16" t="str">
        <f aca="false">IF(Q11&gt;=0,"YES","No")</f>
        <v>No</v>
      </c>
    </row>
    <row r="12" customFormat="false" ht="15" hidden="false" customHeight="false" outlineLevel="0" collapsed="false">
      <c r="A12" s="12" t="n">
        <v>11</v>
      </c>
      <c r="B12" s="13" t="n">
        <f aca="false">ROUNDUP(A12/12,0)</f>
        <v>1</v>
      </c>
      <c r="C12" s="13" t="str">
        <f aca="false">"Month "&amp;A12</f>
        <v>Month 11</v>
      </c>
      <c r="D12" s="14" t="n">
        <f aca="false">D11*(1+IF(B12=1,Assumptions!B14,Assumptions!B15))</f>
        <v>609.497209997379</v>
      </c>
      <c r="E12" s="15" t="n">
        <f aca="false">D12*Assumptions!B16</f>
        <v>365698.325998427</v>
      </c>
      <c r="F12" s="14" t="n">
        <f aca="false">F11*(1+Assumptions!B20)</f>
        <v>441.848850164482</v>
      </c>
      <c r="G12" s="15" t="n">
        <f aca="false">F12*Assumptions!B21</f>
        <v>132554.655049345</v>
      </c>
      <c r="H12" s="15" t="n">
        <f aca="false">E12+G12</f>
        <v>498252.981047772</v>
      </c>
      <c r="I12" s="15" t="n">
        <f aca="false">Assumptions!B24*IF(A12&gt;=13,(1+Assumptions!B32)^(A12-12),1)</f>
        <v>150000</v>
      </c>
      <c r="J12" s="15" t="n">
        <f aca="false">Assumptions!B25*IF(A12&gt;=13,(1+Assumptions!B32)^(A12-12),1)</f>
        <v>40000</v>
      </c>
      <c r="K12" s="15" t="n">
        <f aca="false">Assumptions!B26*IF(A12&gt;=13,(1+Assumptions!B32)^(A12-12),1)</f>
        <v>30000</v>
      </c>
      <c r="L12" s="15" t="n">
        <f aca="false">Assumptions!B27*IF(A12&gt;=13,(1+Assumptions!B32)^(A12-12),1)</f>
        <v>20000</v>
      </c>
      <c r="M12" s="15" t="n">
        <f aca="false">IF(A12&gt;=13,Assumptions!B28*IF(A12&gt;=13,(1+Assumptions!B32)^(A12-12),1),0)</f>
        <v>0</v>
      </c>
      <c r="N12" s="15" t="n">
        <f aca="false">Assumptions!B29*IF(A12&gt;=13,(1+Assumptions!B32)^(A12-12),1)</f>
        <v>20000</v>
      </c>
      <c r="O12" s="15" t="n">
        <f aca="false">SUM(I12:N12)</f>
        <v>260000</v>
      </c>
      <c r="P12" s="15" t="n">
        <f aca="false">H12-O12</f>
        <v>238252.981047772</v>
      </c>
      <c r="Q12" s="15" t="n">
        <f aca="false">Q11+P12</f>
        <v>-2821365.21409642</v>
      </c>
      <c r="R12" s="16" t="str">
        <f aca="false">IF(Q12&gt;=0,"YES","No")</f>
        <v>No</v>
      </c>
    </row>
    <row r="13" customFormat="false" ht="15" hidden="false" customHeight="false" outlineLevel="0" collapsed="false">
      <c r="A13" s="12" t="n">
        <v>12</v>
      </c>
      <c r="B13" s="13" t="n">
        <f aca="false">ROUNDUP(A13/12,0)</f>
        <v>1</v>
      </c>
      <c r="C13" s="13" t="str">
        <f aca="false">"Month "&amp;A13</f>
        <v>Month 12</v>
      </c>
      <c r="D13" s="14" t="n">
        <f aca="false">D12*(1+IF(B13=1,Assumptions!B14,Assumptions!B15))</f>
        <v>621.687154197326</v>
      </c>
      <c r="E13" s="15" t="n">
        <f aca="false">D13*Assumptions!B16</f>
        <v>373012.292518396</v>
      </c>
      <c r="F13" s="14" t="n">
        <f aca="false">F12*(1+Assumptions!B20)</f>
        <v>446.267338666127</v>
      </c>
      <c r="G13" s="15" t="n">
        <f aca="false">F13*Assumptions!B21</f>
        <v>133880.201599838</v>
      </c>
      <c r="H13" s="15" t="n">
        <f aca="false">E13+G13</f>
        <v>506892.494118234</v>
      </c>
      <c r="I13" s="15" t="n">
        <f aca="false">Assumptions!B24*IF(A13&gt;=13,(1+Assumptions!B32)^(A13-12),1)</f>
        <v>150000</v>
      </c>
      <c r="J13" s="15" t="n">
        <f aca="false">Assumptions!B25*IF(A13&gt;=13,(1+Assumptions!B32)^(A13-12),1)</f>
        <v>40000</v>
      </c>
      <c r="K13" s="15" t="n">
        <f aca="false">Assumptions!B26*IF(A13&gt;=13,(1+Assumptions!B32)^(A13-12),1)</f>
        <v>30000</v>
      </c>
      <c r="L13" s="15" t="n">
        <f aca="false">Assumptions!B27*IF(A13&gt;=13,(1+Assumptions!B32)^(A13-12),1)</f>
        <v>20000</v>
      </c>
      <c r="M13" s="15" t="n">
        <f aca="false">IF(A13&gt;=13,Assumptions!B28*IF(A13&gt;=13,(1+Assumptions!B32)^(A13-12),1),0)</f>
        <v>0</v>
      </c>
      <c r="N13" s="15" t="n">
        <f aca="false">Assumptions!B29*IF(A13&gt;=13,(1+Assumptions!B32)^(A13-12),1)</f>
        <v>20000</v>
      </c>
      <c r="O13" s="15" t="n">
        <f aca="false">SUM(I13:N13)</f>
        <v>260000</v>
      </c>
      <c r="P13" s="15" t="n">
        <f aca="false">H13-O13</f>
        <v>246892.494118234</v>
      </c>
      <c r="Q13" s="15" t="n">
        <f aca="false">Q12+P13</f>
        <v>-2574472.71997818</v>
      </c>
      <c r="R13" s="16" t="str">
        <f aca="false">IF(Q13&gt;=0,"YES","No")</f>
        <v>No</v>
      </c>
    </row>
    <row r="14" customFormat="false" ht="15" hidden="false" customHeight="false" outlineLevel="0" collapsed="false">
      <c r="A14" s="12" t="n">
        <v>13</v>
      </c>
      <c r="B14" s="13" t="n">
        <f aca="false">ROUNDUP(A14/12,0)</f>
        <v>2</v>
      </c>
      <c r="C14" s="13" t="str">
        <f aca="false">"Month "&amp;A14</f>
        <v>Month 13</v>
      </c>
      <c r="D14" s="14" t="n">
        <f aca="false">D13*(1+IF(B14=1,Assumptions!B14,Assumptions!B15))</f>
        <v>624.795589968313</v>
      </c>
      <c r="E14" s="15" t="n">
        <f aca="false">D14*Assumptions!B16</f>
        <v>374877.353980988</v>
      </c>
      <c r="F14" s="14" t="n">
        <f aca="false">F13*(1+Assumptions!B20)</f>
        <v>450.730012052788</v>
      </c>
      <c r="G14" s="15" t="n">
        <f aca="false">F14*Assumptions!B21</f>
        <v>135219.003615836</v>
      </c>
      <c r="H14" s="15" t="n">
        <f aca="false">E14+G14</f>
        <v>510096.357596824</v>
      </c>
      <c r="I14" s="15" t="n">
        <f aca="false">Assumptions!B24*IF(A14&gt;=13,(1+Assumptions!B32)^(A14-12),1)</f>
        <v>150450</v>
      </c>
      <c r="J14" s="15" t="n">
        <f aca="false">Assumptions!B25*IF(A14&gt;=13,(1+Assumptions!B32)^(A14-12),1)</f>
        <v>40120</v>
      </c>
      <c r="K14" s="15" t="n">
        <f aca="false">Assumptions!B26*IF(A14&gt;=13,(1+Assumptions!B32)^(A14-12),1)</f>
        <v>30090</v>
      </c>
      <c r="L14" s="15" t="n">
        <f aca="false">Assumptions!B27*IF(A14&gt;=13,(1+Assumptions!B32)^(A14-12),1)</f>
        <v>20060</v>
      </c>
      <c r="M14" s="15" t="n">
        <f aca="false">IF(A14&gt;=13,Assumptions!B28*IF(A14&gt;=13,(1+Assumptions!B32)^(A14-12),1),0)</f>
        <v>150450</v>
      </c>
      <c r="N14" s="15" t="n">
        <f aca="false">Assumptions!B29*IF(A14&gt;=13,(1+Assumptions!B32)^(A14-12),1)</f>
        <v>20060</v>
      </c>
      <c r="O14" s="15" t="n">
        <f aca="false">SUM(I14:N14)</f>
        <v>411230</v>
      </c>
      <c r="P14" s="15" t="n">
        <f aca="false">H14-O14</f>
        <v>98866.3575968242</v>
      </c>
      <c r="Q14" s="15" t="n">
        <f aca="false">Q13+P14</f>
        <v>-2475606.36238136</v>
      </c>
      <c r="R14" s="16" t="str">
        <f aca="false">IF(Q14&gt;=0,"YES","No")</f>
        <v>No</v>
      </c>
    </row>
    <row r="15" customFormat="false" ht="15" hidden="false" customHeight="false" outlineLevel="0" collapsed="false">
      <c r="A15" s="12" t="n">
        <v>14</v>
      </c>
      <c r="B15" s="13" t="n">
        <f aca="false">ROUNDUP(A15/12,0)</f>
        <v>2</v>
      </c>
      <c r="C15" s="13" t="str">
        <f aca="false">"Month "&amp;A15</f>
        <v>Month 14</v>
      </c>
      <c r="D15" s="14" t="n">
        <f aca="false">D14*(1+IF(B15=1,Assumptions!B14,Assumptions!B15))</f>
        <v>627.919567918154</v>
      </c>
      <c r="E15" s="15" t="n">
        <f aca="false">D15*Assumptions!B16</f>
        <v>376751.740750893</v>
      </c>
      <c r="F15" s="14" t="n">
        <f aca="false">F14*(1+Assumptions!B20)</f>
        <v>455.237312173316</v>
      </c>
      <c r="G15" s="15" t="n">
        <f aca="false">F15*Assumptions!B21</f>
        <v>136571.193651995</v>
      </c>
      <c r="H15" s="15" t="n">
        <f aca="false">E15+G15</f>
        <v>513322.934402887</v>
      </c>
      <c r="I15" s="15" t="n">
        <f aca="false">Assumptions!B24*IF(A15&gt;=13,(1+Assumptions!B32)^(A15-12),1)</f>
        <v>150901.35</v>
      </c>
      <c r="J15" s="15" t="n">
        <f aca="false">Assumptions!B25*IF(A15&gt;=13,(1+Assumptions!B32)^(A15-12),1)</f>
        <v>40240.36</v>
      </c>
      <c r="K15" s="15" t="n">
        <f aca="false">Assumptions!B26*IF(A15&gt;=13,(1+Assumptions!B32)^(A15-12),1)</f>
        <v>30180.27</v>
      </c>
      <c r="L15" s="15" t="n">
        <f aca="false">Assumptions!B27*IF(A15&gt;=13,(1+Assumptions!B32)^(A15-12),1)</f>
        <v>20120.18</v>
      </c>
      <c r="M15" s="15" t="n">
        <f aca="false">IF(A15&gt;=13,Assumptions!B28*IF(A15&gt;=13,(1+Assumptions!B32)^(A15-12),1),0)</f>
        <v>150901.35</v>
      </c>
      <c r="N15" s="15" t="n">
        <f aca="false">Assumptions!B29*IF(A15&gt;=13,(1+Assumptions!B32)^(A15-12),1)</f>
        <v>20120.18</v>
      </c>
      <c r="O15" s="15" t="n">
        <f aca="false">SUM(I15:N15)</f>
        <v>412463.69</v>
      </c>
      <c r="P15" s="15" t="n">
        <f aca="false">H15-O15</f>
        <v>100859.244402887</v>
      </c>
      <c r="Q15" s="15" t="n">
        <f aca="false">Q14+P15</f>
        <v>-2374747.11797847</v>
      </c>
      <c r="R15" s="16" t="str">
        <f aca="false">IF(Q15&gt;=0,"YES","No")</f>
        <v>No</v>
      </c>
    </row>
    <row r="16" customFormat="false" ht="15" hidden="false" customHeight="false" outlineLevel="0" collapsed="false">
      <c r="A16" s="12" t="n">
        <v>15</v>
      </c>
      <c r="B16" s="13" t="n">
        <f aca="false">ROUNDUP(A16/12,0)</f>
        <v>2</v>
      </c>
      <c r="C16" s="13" t="str">
        <f aca="false">"Month "&amp;A16</f>
        <v>Month 15</v>
      </c>
      <c r="D16" s="14" t="n">
        <f aca="false">D15*(1+IF(B16=1,Assumptions!B14,Assumptions!B15))</f>
        <v>631.059165757745</v>
      </c>
      <c r="E16" s="15" t="n">
        <f aca="false">D16*Assumptions!B16</f>
        <v>378635.499454647</v>
      </c>
      <c r="F16" s="14" t="n">
        <f aca="false">F15*(1+Assumptions!B20)</f>
        <v>459.789685295049</v>
      </c>
      <c r="G16" s="15" t="n">
        <f aca="false">F16*Assumptions!B21</f>
        <v>137936.905588515</v>
      </c>
      <c r="H16" s="15" t="n">
        <f aca="false">E16+G16</f>
        <v>516572.405043162</v>
      </c>
      <c r="I16" s="15" t="n">
        <f aca="false">Assumptions!B24*IF(A16&gt;=13,(1+Assumptions!B32)^(A16-12),1)</f>
        <v>151354.05405</v>
      </c>
      <c r="J16" s="15" t="n">
        <f aca="false">Assumptions!B25*IF(A16&gt;=13,(1+Assumptions!B32)^(A16-12),1)</f>
        <v>40361.08108</v>
      </c>
      <c r="K16" s="15" t="n">
        <f aca="false">Assumptions!B26*IF(A16&gt;=13,(1+Assumptions!B32)^(A16-12),1)</f>
        <v>30270.81081</v>
      </c>
      <c r="L16" s="15" t="n">
        <f aca="false">Assumptions!B27*IF(A16&gt;=13,(1+Assumptions!B32)^(A16-12),1)</f>
        <v>20180.54054</v>
      </c>
      <c r="M16" s="15" t="n">
        <f aca="false">IF(A16&gt;=13,Assumptions!B28*IF(A16&gt;=13,(1+Assumptions!B32)^(A16-12),1),0)</f>
        <v>151354.05405</v>
      </c>
      <c r="N16" s="15" t="n">
        <f aca="false">Assumptions!B29*IF(A16&gt;=13,(1+Assumptions!B32)^(A16-12),1)</f>
        <v>20180.54054</v>
      </c>
      <c r="O16" s="15" t="n">
        <f aca="false">SUM(I16:N16)</f>
        <v>413701.08107</v>
      </c>
      <c r="P16" s="15" t="n">
        <f aca="false">H16-O16</f>
        <v>102871.323973162</v>
      </c>
      <c r="Q16" s="15" t="n">
        <f aca="false">Q15+P16</f>
        <v>-2271875.79400531</v>
      </c>
      <c r="R16" s="16" t="str">
        <f aca="false">IF(Q16&gt;=0,"YES","No")</f>
        <v>No</v>
      </c>
    </row>
    <row r="17" customFormat="false" ht="15" hidden="false" customHeight="false" outlineLevel="0" collapsed="false">
      <c r="A17" s="12" t="n">
        <v>16</v>
      </c>
      <c r="B17" s="13" t="n">
        <f aca="false">ROUNDUP(A17/12,0)</f>
        <v>2</v>
      </c>
      <c r="C17" s="13" t="str">
        <f aca="false">"Month "&amp;A17</f>
        <v>Month 16</v>
      </c>
      <c r="D17" s="14" t="n">
        <f aca="false">D16*(1+IF(B17=1,Assumptions!B14,Assumptions!B15))</f>
        <v>634.214461586534</v>
      </c>
      <c r="E17" s="15" t="n">
        <f aca="false">D17*Assumptions!B16</f>
        <v>380528.67695192</v>
      </c>
      <c r="F17" s="14" t="n">
        <f aca="false">F16*(1+Assumptions!B20)</f>
        <v>464.387582147999</v>
      </c>
      <c r="G17" s="15" t="n">
        <f aca="false">F17*Assumptions!B21</f>
        <v>139316.2746444</v>
      </c>
      <c r="H17" s="15" t="n">
        <f aca="false">E17+G17</f>
        <v>519844.95159632</v>
      </c>
      <c r="I17" s="15" t="n">
        <f aca="false">Assumptions!B24*IF(A17&gt;=13,(1+Assumptions!B32)^(A17-12),1)</f>
        <v>151808.11621215</v>
      </c>
      <c r="J17" s="15" t="n">
        <f aca="false">Assumptions!B25*IF(A17&gt;=13,(1+Assumptions!B32)^(A17-12),1)</f>
        <v>40482.16432324</v>
      </c>
      <c r="K17" s="15" t="n">
        <f aca="false">Assumptions!B26*IF(A17&gt;=13,(1+Assumptions!B32)^(A17-12),1)</f>
        <v>30361.62324243</v>
      </c>
      <c r="L17" s="15" t="n">
        <f aca="false">Assumptions!B27*IF(A17&gt;=13,(1+Assumptions!B32)^(A17-12),1)</f>
        <v>20241.08216162</v>
      </c>
      <c r="M17" s="15" t="n">
        <f aca="false">IF(A17&gt;=13,Assumptions!B28*IF(A17&gt;=13,(1+Assumptions!B32)^(A17-12),1),0)</f>
        <v>151808.11621215</v>
      </c>
      <c r="N17" s="15" t="n">
        <f aca="false">Assumptions!B29*IF(A17&gt;=13,(1+Assumptions!B32)^(A17-12),1)</f>
        <v>20241.08216162</v>
      </c>
      <c r="O17" s="15" t="n">
        <f aca="false">SUM(I17:N17)</f>
        <v>414942.18431321</v>
      </c>
      <c r="P17" s="15" t="n">
        <f aca="false">H17-O17</f>
        <v>104902.76728311</v>
      </c>
      <c r="Q17" s="15" t="n">
        <f aca="false">Q16+P17</f>
        <v>-2166973.0267222</v>
      </c>
      <c r="R17" s="16" t="str">
        <f aca="false">IF(Q17&gt;=0,"YES","No")</f>
        <v>No</v>
      </c>
    </row>
    <row r="18" customFormat="false" ht="15" hidden="false" customHeight="false" outlineLevel="0" collapsed="false">
      <c r="A18" s="12" t="n">
        <v>17</v>
      </c>
      <c r="B18" s="13" t="n">
        <f aca="false">ROUNDUP(A18/12,0)</f>
        <v>2</v>
      </c>
      <c r="C18" s="13" t="str">
        <f aca="false">"Month "&amp;A18</f>
        <v>Month 17</v>
      </c>
      <c r="D18" s="14" t="n">
        <f aca="false">D17*(1+IF(B18=1,Assumptions!B14,Assumptions!B15))</f>
        <v>637.385533894466</v>
      </c>
      <c r="E18" s="15" t="n">
        <f aca="false">D18*Assumptions!B16</f>
        <v>382431.32033668</v>
      </c>
      <c r="F18" s="14" t="n">
        <f aca="false">F17*(1+Assumptions!B20)</f>
        <v>469.031457969479</v>
      </c>
      <c r="G18" s="15" t="n">
        <f aca="false">F18*Assumptions!B21</f>
        <v>140709.437390844</v>
      </c>
      <c r="H18" s="15" t="n">
        <f aca="false">E18+G18</f>
        <v>523140.757727524</v>
      </c>
      <c r="I18" s="15" t="n">
        <f aca="false">Assumptions!B24*IF(A18&gt;=13,(1+Assumptions!B32)^(A18-12),1)</f>
        <v>152263.540560786</v>
      </c>
      <c r="J18" s="15" t="n">
        <f aca="false">Assumptions!B25*IF(A18&gt;=13,(1+Assumptions!B32)^(A18-12),1)</f>
        <v>40603.6108162097</v>
      </c>
      <c r="K18" s="15" t="n">
        <f aca="false">Assumptions!B26*IF(A18&gt;=13,(1+Assumptions!B32)^(A18-12),1)</f>
        <v>30452.7081121573</v>
      </c>
      <c r="L18" s="15" t="n">
        <f aca="false">Assumptions!B27*IF(A18&gt;=13,(1+Assumptions!B32)^(A18-12),1)</f>
        <v>20301.8054081049</v>
      </c>
      <c r="M18" s="15" t="n">
        <f aca="false">IF(A18&gt;=13,Assumptions!B28*IF(A18&gt;=13,(1+Assumptions!B32)^(A18-12),1),0)</f>
        <v>152263.540560786</v>
      </c>
      <c r="N18" s="15" t="n">
        <f aca="false">Assumptions!B29*IF(A18&gt;=13,(1+Assumptions!B32)^(A18-12),1)</f>
        <v>20301.8054081049</v>
      </c>
      <c r="O18" s="15" t="n">
        <f aca="false">SUM(I18:N18)</f>
        <v>416187.010866149</v>
      </c>
      <c r="P18" s="15" t="n">
        <f aca="false">H18-O18</f>
        <v>106953.746861374</v>
      </c>
      <c r="Q18" s="15" t="n">
        <f aca="false">Q17+P18</f>
        <v>-2060019.27986083</v>
      </c>
      <c r="R18" s="16" t="str">
        <f aca="false">IF(Q18&gt;=0,"YES","No")</f>
        <v>No</v>
      </c>
    </row>
    <row r="19" customFormat="false" ht="15" hidden="false" customHeight="false" outlineLevel="0" collapsed="false">
      <c r="A19" s="12" t="n">
        <v>18</v>
      </c>
      <c r="B19" s="13" t="n">
        <f aca="false">ROUNDUP(A19/12,0)</f>
        <v>2</v>
      </c>
      <c r="C19" s="13" t="str">
        <f aca="false">"Month "&amp;A19</f>
        <v>Month 18</v>
      </c>
      <c r="D19" s="14" t="n">
        <f aca="false">D18*(1+IF(B19=1,Assumptions!B14,Assumptions!B15))</f>
        <v>640.572461563939</v>
      </c>
      <c r="E19" s="15" t="n">
        <f aca="false">D19*Assumptions!B16</f>
        <v>384343.476938363</v>
      </c>
      <c r="F19" s="14" t="n">
        <f aca="false">F18*(1+Assumptions!B20)</f>
        <v>473.721772549174</v>
      </c>
      <c r="G19" s="15" t="n">
        <f aca="false">F19*Assumptions!B21</f>
        <v>142116.531764752</v>
      </c>
      <c r="H19" s="15" t="n">
        <f aca="false">E19+G19</f>
        <v>526460.008703115</v>
      </c>
      <c r="I19" s="15" t="n">
        <f aca="false">Assumptions!B24*IF(A19&gt;=13,(1+Assumptions!B32)^(A19-12),1)</f>
        <v>152720.331182469</v>
      </c>
      <c r="J19" s="15" t="n">
        <f aca="false">Assumptions!B25*IF(A19&gt;=13,(1+Assumptions!B32)^(A19-12),1)</f>
        <v>40725.4216486583</v>
      </c>
      <c r="K19" s="15" t="n">
        <f aca="false">Assumptions!B26*IF(A19&gt;=13,(1+Assumptions!B32)^(A19-12),1)</f>
        <v>30544.0662364937</v>
      </c>
      <c r="L19" s="15" t="n">
        <f aca="false">Assumptions!B27*IF(A19&gt;=13,(1+Assumptions!B32)^(A19-12),1)</f>
        <v>20362.7108243292</v>
      </c>
      <c r="M19" s="15" t="n">
        <f aca="false">IF(A19&gt;=13,Assumptions!B28*IF(A19&gt;=13,(1+Assumptions!B32)^(A19-12),1),0)</f>
        <v>152720.331182469</v>
      </c>
      <c r="N19" s="15" t="n">
        <f aca="false">Assumptions!B29*IF(A19&gt;=13,(1+Assumptions!B32)^(A19-12),1)</f>
        <v>20362.7108243292</v>
      </c>
      <c r="O19" s="15" t="n">
        <f aca="false">SUM(I19:N19)</f>
        <v>417435.571898748</v>
      </c>
      <c r="P19" s="15" t="n">
        <f aca="false">H19-O19</f>
        <v>109024.436804368</v>
      </c>
      <c r="Q19" s="15" t="n">
        <f aca="false">Q18+P19</f>
        <v>-1950994.84305646</v>
      </c>
      <c r="R19" s="16" t="str">
        <f aca="false">IF(Q19&gt;=0,"YES","No")</f>
        <v>No</v>
      </c>
    </row>
    <row r="20" customFormat="false" ht="15" hidden="false" customHeight="false" outlineLevel="0" collapsed="false">
      <c r="A20" s="12" t="n">
        <v>19</v>
      </c>
      <c r="B20" s="13" t="n">
        <f aca="false">ROUNDUP(A20/12,0)</f>
        <v>2</v>
      </c>
      <c r="C20" s="13" t="str">
        <f aca="false">"Month "&amp;A20</f>
        <v>Month 19</v>
      </c>
      <c r="D20" s="14" t="n">
        <f aca="false">D19*(1+IF(B20=1,Assumptions!B14,Assumptions!B15))</f>
        <v>643.775323871758</v>
      </c>
      <c r="E20" s="15" t="n">
        <f aca="false">D20*Assumptions!B16</f>
        <v>386265.194323055</v>
      </c>
      <c r="F20" s="14" t="n">
        <f aca="false">F19*(1+Assumptions!B20)</f>
        <v>478.458990274666</v>
      </c>
      <c r="G20" s="15" t="n">
        <f aca="false">F20*Assumptions!B21</f>
        <v>143537.6970824</v>
      </c>
      <c r="H20" s="15" t="n">
        <f aca="false">E20+G20</f>
        <v>529802.891405455</v>
      </c>
      <c r="I20" s="15" t="n">
        <f aca="false">Assumptions!B24*IF(A20&gt;=13,(1+Assumptions!B32)^(A20-12),1)</f>
        <v>153178.492176016</v>
      </c>
      <c r="J20" s="15" t="n">
        <f aca="false">Assumptions!B25*IF(A20&gt;=13,(1+Assumptions!B32)^(A20-12),1)</f>
        <v>40847.5979136043</v>
      </c>
      <c r="K20" s="15" t="n">
        <f aca="false">Assumptions!B26*IF(A20&gt;=13,(1+Assumptions!B32)^(A20-12),1)</f>
        <v>30635.6984352032</v>
      </c>
      <c r="L20" s="15" t="n">
        <f aca="false">Assumptions!B27*IF(A20&gt;=13,(1+Assumptions!B32)^(A20-12),1)</f>
        <v>20423.7989568021</v>
      </c>
      <c r="M20" s="15" t="n">
        <f aca="false">IF(A20&gt;=13,Assumptions!B28*IF(A20&gt;=13,(1+Assumptions!B32)^(A20-12),1),0)</f>
        <v>153178.492176016</v>
      </c>
      <c r="N20" s="15" t="n">
        <f aca="false">Assumptions!B29*IF(A20&gt;=13,(1+Assumptions!B32)^(A20-12),1)</f>
        <v>20423.7989568021</v>
      </c>
      <c r="O20" s="15" t="n">
        <f aca="false">SUM(I20:N20)</f>
        <v>418687.878614444</v>
      </c>
      <c r="P20" s="15" t="n">
        <f aca="false">H20-O20</f>
        <v>111115.012791011</v>
      </c>
      <c r="Q20" s="15" t="n">
        <f aca="false">Q19+P20</f>
        <v>-1839879.83026545</v>
      </c>
      <c r="R20" s="16" t="str">
        <f aca="false">IF(Q20&gt;=0,"YES","No")</f>
        <v>No</v>
      </c>
    </row>
    <row r="21" customFormat="false" ht="15" hidden="false" customHeight="false" outlineLevel="0" collapsed="false">
      <c r="A21" s="12" t="n">
        <v>20</v>
      </c>
      <c r="B21" s="13" t="n">
        <f aca="false">ROUNDUP(A21/12,0)</f>
        <v>2</v>
      </c>
      <c r="C21" s="13" t="str">
        <f aca="false">"Month "&amp;A21</f>
        <v>Month 20</v>
      </c>
      <c r="D21" s="14" t="n">
        <f aca="false">D20*(1+IF(B21=1,Assumptions!B14,Assumptions!B15))</f>
        <v>646.994200491117</v>
      </c>
      <c r="E21" s="15" t="n">
        <f aca="false">D21*Assumptions!B16</f>
        <v>388196.52029467</v>
      </c>
      <c r="F21" s="14" t="n">
        <f aca="false">F20*(1+Assumptions!B20)</f>
        <v>483.243580177413</v>
      </c>
      <c r="G21" s="15" t="n">
        <f aca="false">F21*Assumptions!B21</f>
        <v>144973.074053224</v>
      </c>
      <c r="H21" s="15" t="n">
        <f aca="false">E21+G21</f>
        <v>533169.594347894</v>
      </c>
      <c r="I21" s="15" t="n">
        <f aca="false">Assumptions!B24*IF(A21&gt;=13,(1+Assumptions!B32)^(A21-12),1)</f>
        <v>153638.027652544</v>
      </c>
      <c r="J21" s="15" t="n">
        <f aca="false">Assumptions!B25*IF(A21&gt;=13,(1+Assumptions!B32)^(A21-12),1)</f>
        <v>40970.1407073451</v>
      </c>
      <c r="K21" s="15" t="n">
        <f aca="false">Assumptions!B26*IF(A21&gt;=13,(1+Assumptions!B32)^(A21-12),1)</f>
        <v>30727.6055305088</v>
      </c>
      <c r="L21" s="15" t="n">
        <f aca="false">Assumptions!B27*IF(A21&gt;=13,(1+Assumptions!B32)^(A21-12),1)</f>
        <v>20485.0703536726</v>
      </c>
      <c r="M21" s="15" t="n">
        <f aca="false">IF(A21&gt;=13,Assumptions!B28*IF(A21&gt;=13,(1+Assumptions!B32)^(A21-12),1),0)</f>
        <v>153638.027652544</v>
      </c>
      <c r="N21" s="15" t="n">
        <f aca="false">Assumptions!B29*IF(A21&gt;=13,(1+Assumptions!B32)^(A21-12),1)</f>
        <v>20485.0703536726</v>
      </c>
      <c r="O21" s="15" t="n">
        <f aca="false">SUM(I21:N21)</f>
        <v>419943.942250287</v>
      </c>
      <c r="P21" s="15" t="n">
        <f aca="false">H21-O21</f>
        <v>113225.652097607</v>
      </c>
      <c r="Q21" s="15" t="n">
        <f aca="false">Q20+P21</f>
        <v>-1726654.17816784</v>
      </c>
      <c r="R21" s="16" t="str">
        <f aca="false">IF(Q21&gt;=0,"YES","No")</f>
        <v>No</v>
      </c>
    </row>
    <row r="22" customFormat="false" ht="15" hidden="false" customHeight="false" outlineLevel="0" collapsed="false">
      <c r="A22" s="12" t="n">
        <v>21</v>
      </c>
      <c r="B22" s="13" t="n">
        <f aca="false">ROUNDUP(A22/12,0)</f>
        <v>2</v>
      </c>
      <c r="C22" s="13" t="str">
        <f aca="false">"Month "&amp;A22</f>
        <v>Month 21</v>
      </c>
      <c r="D22" s="14" t="n">
        <f aca="false">D21*(1+IF(B22=1,Assumptions!B14,Assumptions!B15))</f>
        <v>650.229171493573</v>
      </c>
      <c r="E22" s="15" t="n">
        <f aca="false">D22*Assumptions!B16</f>
        <v>390137.502896144</v>
      </c>
      <c r="F22" s="14" t="n">
        <f aca="false">F21*(1+Assumptions!B20)</f>
        <v>488.076015979187</v>
      </c>
      <c r="G22" s="15" t="n">
        <f aca="false">F22*Assumptions!B21</f>
        <v>146422.804793756</v>
      </c>
      <c r="H22" s="15" t="n">
        <f aca="false">E22+G22</f>
        <v>536560.3076899</v>
      </c>
      <c r="I22" s="15" t="n">
        <f aca="false">Assumptions!B24*IF(A22&gt;=13,(1+Assumptions!B32)^(A22-12),1)</f>
        <v>154098.941735502</v>
      </c>
      <c r="J22" s="15" t="n">
        <f aca="false">Assumptions!B25*IF(A22&gt;=13,(1+Assumptions!B32)^(A22-12),1)</f>
        <v>41093.0511294671</v>
      </c>
      <c r="K22" s="15" t="n">
        <f aca="false">Assumptions!B26*IF(A22&gt;=13,(1+Assumptions!B32)^(A22-12),1)</f>
        <v>30819.7883471004</v>
      </c>
      <c r="L22" s="15" t="n">
        <f aca="false">Assumptions!B27*IF(A22&gt;=13,(1+Assumptions!B32)^(A22-12),1)</f>
        <v>20546.5255647336</v>
      </c>
      <c r="M22" s="15" t="n">
        <f aca="false">IF(A22&gt;=13,Assumptions!B28*IF(A22&gt;=13,(1+Assumptions!B32)^(A22-12),1),0)</f>
        <v>154098.941735502</v>
      </c>
      <c r="N22" s="15" t="n">
        <f aca="false">Assumptions!B29*IF(A22&gt;=13,(1+Assumptions!B32)^(A22-12),1)</f>
        <v>20546.5255647336</v>
      </c>
      <c r="O22" s="15" t="n">
        <f aca="false">SUM(I22:N22)</f>
        <v>421203.774077038</v>
      </c>
      <c r="P22" s="15" t="n">
        <f aca="false">H22-O22</f>
        <v>115356.533612861</v>
      </c>
      <c r="Q22" s="15" t="n">
        <f aca="false">Q21+P22</f>
        <v>-1611297.64455498</v>
      </c>
      <c r="R22" s="16" t="str">
        <f aca="false">IF(Q22&gt;=0,"YES","No")</f>
        <v>No</v>
      </c>
    </row>
    <row r="23" customFormat="false" ht="15" hidden="false" customHeight="false" outlineLevel="0" collapsed="false">
      <c r="A23" s="12" t="n">
        <v>22</v>
      </c>
      <c r="B23" s="13" t="n">
        <f aca="false">ROUNDUP(A23/12,0)</f>
        <v>2</v>
      </c>
      <c r="C23" s="13" t="str">
        <f aca="false">"Month "&amp;A23</f>
        <v>Month 22</v>
      </c>
      <c r="D23" s="14" t="n">
        <f aca="false">D22*(1+IF(B23=1,Assumptions!B14,Assumptions!B15))</f>
        <v>653.48031735104</v>
      </c>
      <c r="E23" s="15" t="n">
        <f aca="false">D23*Assumptions!B16</f>
        <v>392088.190410624</v>
      </c>
      <c r="F23" s="14" t="n">
        <f aca="false">F22*(1+Assumptions!B20)</f>
        <v>492.956776138979</v>
      </c>
      <c r="G23" s="15" t="n">
        <f aca="false">F23*Assumptions!B21</f>
        <v>147887.032841694</v>
      </c>
      <c r="H23" s="15" t="n">
        <f aca="false">E23+G23</f>
        <v>539975.223252318</v>
      </c>
      <c r="I23" s="15" t="n">
        <f aca="false">Assumptions!B24*IF(A23&gt;=13,(1+Assumptions!B32)^(A23-12),1)</f>
        <v>154561.238560708</v>
      </c>
      <c r="J23" s="15" t="n">
        <f aca="false">Assumptions!B25*IF(A23&gt;=13,(1+Assumptions!B32)^(A23-12),1)</f>
        <v>41216.3302828555</v>
      </c>
      <c r="K23" s="15" t="n">
        <f aca="false">Assumptions!B26*IF(A23&gt;=13,(1+Assumptions!B32)^(A23-12),1)</f>
        <v>30912.2477121416</v>
      </c>
      <c r="L23" s="15" t="n">
        <f aca="false">Assumptions!B27*IF(A23&gt;=13,(1+Assumptions!B32)^(A23-12),1)</f>
        <v>20608.1651414278</v>
      </c>
      <c r="M23" s="15" t="n">
        <f aca="false">IF(A23&gt;=13,Assumptions!B28*IF(A23&gt;=13,(1+Assumptions!B32)^(A23-12),1),0)</f>
        <v>154561.238560708</v>
      </c>
      <c r="N23" s="15" t="n">
        <f aca="false">Assumptions!B29*IF(A23&gt;=13,(1+Assumptions!B32)^(A23-12),1)</f>
        <v>20608.1651414278</v>
      </c>
      <c r="O23" s="15" t="n">
        <f aca="false">SUM(I23:N23)</f>
        <v>422467.385399269</v>
      </c>
      <c r="P23" s="15" t="n">
        <f aca="false">H23-O23</f>
        <v>117507.837853049</v>
      </c>
      <c r="Q23" s="15" t="n">
        <f aca="false">Q22+P23</f>
        <v>-1493789.80670193</v>
      </c>
      <c r="R23" s="16" t="str">
        <f aca="false">IF(Q23&gt;=0,"YES","No")</f>
        <v>No</v>
      </c>
    </row>
    <row r="24" customFormat="false" ht="15" hidden="false" customHeight="false" outlineLevel="0" collapsed="false">
      <c r="A24" s="12" t="n">
        <v>23</v>
      </c>
      <c r="B24" s="13" t="n">
        <f aca="false">ROUNDUP(A24/12,0)</f>
        <v>2</v>
      </c>
      <c r="C24" s="13" t="str">
        <f aca="false">"Month "&amp;A24</f>
        <v>Month 23</v>
      </c>
      <c r="D24" s="14" t="n">
        <f aca="false">D23*(1+IF(B24=1,Assumptions!B14,Assumptions!B15))</f>
        <v>656.747718937795</v>
      </c>
      <c r="E24" s="15" t="n">
        <f aca="false">D24*Assumptions!B16</f>
        <v>394048.631362677</v>
      </c>
      <c r="F24" s="14" t="n">
        <f aca="false">F23*(1+Assumptions!B20)</f>
        <v>497.886343900369</v>
      </c>
      <c r="G24" s="15" t="n">
        <f aca="false">F24*Assumptions!B21</f>
        <v>149365.903170111</v>
      </c>
      <c r="H24" s="15" t="n">
        <f aca="false">E24+G24</f>
        <v>543414.534532788</v>
      </c>
      <c r="I24" s="15" t="n">
        <f aca="false">Assumptions!B24*IF(A24&gt;=13,(1+Assumptions!B32)^(A24-12),1)</f>
        <v>155024.92227639</v>
      </c>
      <c r="J24" s="15" t="n">
        <f aca="false">Assumptions!B25*IF(A24&gt;=13,(1+Assumptions!B32)^(A24-12),1)</f>
        <v>41339.9792737041</v>
      </c>
      <c r="K24" s="15" t="n">
        <f aca="false">Assumptions!B26*IF(A24&gt;=13,(1+Assumptions!B32)^(A24-12),1)</f>
        <v>31004.9844552781</v>
      </c>
      <c r="L24" s="15" t="n">
        <f aca="false">Assumptions!B27*IF(A24&gt;=13,(1+Assumptions!B32)^(A24-12),1)</f>
        <v>20669.989636852</v>
      </c>
      <c r="M24" s="15" t="n">
        <f aca="false">IF(A24&gt;=13,Assumptions!B28*IF(A24&gt;=13,(1+Assumptions!B32)^(A24-12),1),0)</f>
        <v>155024.92227639</v>
      </c>
      <c r="N24" s="15" t="n">
        <f aca="false">Assumptions!B29*IF(A24&gt;=13,(1+Assumptions!B32)^(A24-12),1)</f>
        <v>20669.989636852</v>
      </c>
      <c r="O24" s="15" t="n">
        <f aca="false">SUM(I24:N24)</f>
        <v>423734.787555467</v>
      </c>
      <c r="P24" s="15" t="n">
        <f aca="false">H24-O24</f>
        <v>119679.746977321</v>
      </c>
      <c r="Q24" s="15" t="n">
        <f aca="false">Q23+P24</f>
        <v>-1374110.05972461</v>
      </c>
      <c r="R24" s="16" t="str">
        <f aca="false">IF(Q24&gt;=0,"YES","No")</f>
        <v>No</v>
      </c>
    </row>
    <row r="25" customFormat="false" ht="15" hidden="false" customHeight="false" outlineLevel="0" collapsed="false">
      <c r="A25" s="12" t="n">
        <v>24</v>
      </c>
      <c r="B25" s="13" t="n">
        <f aca="false">ROUNDUP(A25/12,0)</f>
        <v>2</v>
      </c>
      <c r="C25" s="13" t="str">
        <f aca="false">"Month "&amp;A25</f>
        <v>Month 24</v>
      </c>
      <c r="D25" s="14" t="n">
        <f aca="false">D24*(1+IF(B25=1,Assumptions!B14,Assumptions!B15))</f>
        <v>660.031457532484</v>
      </c>
      <c r="E25" s="15" t="n">
        <f aca="false">D25*Assumptions!B16</f>
        <v>396018.874519491</v>
      </c>
      <c r="F25" s="14" t="n">
        <f aca="false">F24*(1+Assumptions!B20)</f>
        <v>502.865207339372</v>
      </c>
      <c r="G25" s="15" t="n">
        <f aca="false">F25*Assumptions!B21</f>
        <v>150859.562201812</v>
      </c>
      <c r="H25" s="15" t="n">
        <f aca="false">E25+G25</f>
        <v>546878.436721302</v>
      </c>
      <c r="I25" s="15" t="n">
        <f aca="false">Assumptions!B24*IF(A25&gt;=13,(1+Assumptions!B32)^(A25-12),1)</f>
        <v>155489.99704322</v>
      </c>
      <c r="J25" s="15" t="n">
        <f aca="false">Assumptions!B25*IF(A25&gt;=13,(1+Assumptions!B32)^(A25-12),1)</f>
        <v>41463.9992115252</v>
      </c>
      <c r="K25" s="15" t="n">
        <f aca="false">Assumptions!B26*IF(A25&gt;=13,(1+Assumptions!B32)^(A25-12),1)</f>
        <v>31097.9994086439</v>
      </c>
      <c r="L25" s="15" t="n">
        <f aca="false">Assumptions!B27*IF(A25&gt;=13,(1+Assumptions!B32)^(A25-12),1)</f>
        <v>20731.9996057626</v>
      </c>
      <c r="M25" s="15" t="n">
        <f aca="false">IF(A25&gt;=13,Assumptions!B28*IF(A25&gt;=13,(1+Assumptions!B32)^(A25-12),1),0)</f>
        <v>155489.99704322</v>
      </c>
      <c r="N25" s="15" t="n">
        <f aca="false">Assumptions!B29*IF(A25&gt;=13,(1+Assumptions!B32)^(A25-12),1)</f>
        <v>20731.9996057626</v>
      </c>
      <c r="O25" s="15" t="n">
        <f aca="false">SUM(I25:N25)</f>
        <v>425005.991918133</v>
      </c>
      <c r="P25" s="15" t="n">
        <f aca="false">H25-O25</f>
        <v>121872.444803169</v>
      </c>
      <c r="Q25" s="15" t="n">
        <f aca="false">Q24+P25</f>
        <v>-1252237.61492144</v>
      </c>
      <c r="R25" s="16" t="str">
        <f aca="false">IF(Q25&gt;=0,"YES","No")</f>
        <v>No</v>
      </c>
    </row>
    <row r="26" customFormat="false" ht="15" hidden="false" customHeight="false" outlineLevel="0" collapsed="false">
      <c r="A26" s="12" t="n">
        <v>25</v>
      </c>
      <c r="B26" s="13" t="n">
        <f aca="false">ROUNDUP(A26/12,0)</f>
        <v>3</v>
      </c>
      <c r="C26" s="13" t="str">
        <f aca="false">"Month "&amp;A26</f>
        <v>Month 25</v>
      </c>
      <c r="D26" s="14" t="n">
        <f aca="false">D25*(1+IF(B26=1,Assumptions!B14,Assumptions!B15))</f>
        <v>663.331614820147</v>
      </c>
      <c r="E26" s="15" t="n">
        <f aca="false">D26*Assumptions!B16</f>
        <v>397998.968892088</v>
      </c>
      <c r="F26" s="14" t="n">
        <f aca="false">F25*(1+Assumptions!B20)</f>
        <v>507.893859412766</v>
      </c>
      <c r="G26" s="15" t="n">
        <f aca="false">F26*Assumptions!B21</f>
        <v>152368.15782383</v>
      </c>
      <c r="H26" s="15" t="n">
        <f aca="false">E26+G26</f>
        <v>550367.126715918</v>
      </c>
      <c r="I26" s="15" t="n">
        <f aca="false">Assumptions!B24*IF(A26&gt;=13,(1+Assumptions!B32)^(A26-12),1)</f>
        <v>155956.467034349</v>
      </c>
      <c r="J26" s="15" t="n">
        <f aca="false">Assumptions!B25*IF(A26&gt;=13,(1+Assumptions!B32)^(A26-12),1)</f>
        <v>41588.3912091598</v>
      </c>
      <c r="K26" s="15" t="n">
        <f aca="false">Assumptions!B26*IF(A26&gt;=13,(1+Assumptions!B32)^(A26-12),1)</f>
        <v>31191.2934068698</v>
      </c>
      <c r="L26" s="15" t="n">
        <f aca="false">Assumptions!B27*IF(A26&gt;=13,(1+Assumptions!B32)^(A26-12),1)</f>
        <v>20794.1956045799</v>
      </c>
      <c r="M26" s="15" t="n">
        <f aca="false">IF(A26&gt;=13,Assumptions!B28*IF(A26&gt;=13,(1+Assumptions!B32)^(A26-12),1),0)</f>
        <v>155956.467034349</v>
      </c>
      <c r="N26" s="15" t="n">
        <f aca="false">Assumptions!B29*IF(A26&gt;=13,(1+Assumptions!B32)^(A26-12),1)</f>
        <v>20794.1956045799</v>
      </c>
      <c r="O26" s="15" t="n">
        <f aca="false">SUM(I26:N26)</f>
        <v>426281.009893888</v>
      </c>
      <c r="P26" s="15" t="n">
        <f aca="false">H26-O26</f>
        <v>124086.11682203</v>
      </c>
      <c r="Q26" s="15" t="n">
        <f aca="false">Q25+P26</f>
        <v>-1128151.49809941</v>
      </c>
      <c r="R26" s="16" t="str">
        <f aca="false">IF(Q26&gt;=0,"YES","No")</f>
        <v>No</v>
      </c>
    </row>
    <row r="27" customFormat="false" ht="15" hidden="false" customHeight="false" outlineLevel="0" collapsed="false">
      <c r="A27" s="12" t="n">
        <v>26</v>
      </c>
      <c r="B27" s="13" t="n">
        <f aca="false">ROUNDUP(A27/12,0)</f>
        <v>3</v>
      </c>
      <c r="C27" s="13" t="str">
        <f aca="false">"Month "&amp;A27</f>
        <v>Month 26</v>
      </c>
      <c r="D27" s="14" t="n">
        <f aca="false">D26*(1+IF(B27=1,Assumptions!B14,Assumptions!B15))</f>
        <v>666.648272894247</v>
      </c>
      <c r="E27" s="15" t="n">
        <f aca="false">D27*Assumptions!B16</f>
        <v>399988.963736548</v>
      </c>
      <c r="F27" s="14" t="n">
        <f aca="false">F26*(1+Assumptions!B20)</f>
        <v>512.972798006894</v>
      </c>
      <c r="G27" s="15" t="n">
        <f aca="false">F27*Assumptions!B21</f>
        <v>153891.839402068</v>
      </c>
      <c r="H27" s="15" t="n">
        <f aca="false">E27+G27</f>
        <v>553880.803138617</v>
      </c>
      <c r="I27" s="15" t="n">
        <f aca="false">Assumptions!B24*IF(A27&gt;=13,(1+Assumptions!B32)^(A27-12),1)</f>
        <v>156424.336435452</v>
      </c>
      <c r="J27" s="15" t="n">
        <f aca="false">Assumptions!B25*IF(A27&gt;=13,(1+Assumptions!B32)^(A27-12),1)</f>
        <v>41713.1563827872</v>
      </c>
      <c r="K27" s="15" t="n">
        <f aca="false">Assumptions!B26*IF(A27&gt;=13,(1+Assumptions!B32)^(A27-12),1)</f>
        <v>31284.8672870904</v>
      </c>
      <c r="L27" s="15" t="n">
        <f aca="false">Assumptions!B27*IF(A27&gt;=13,(1+Assumptions!B32)^(A27-12),1)</f>
        <v>20856.5781913936</v>
      </c>
      <c r="M27" s="15" t="n">
        <f aca="false">IF(A27&gt;=13,Assumptions!B28*IF(A27&gt;=13,(1+Assumptions!B32)^(A27-12),1),0)</f>
        <v>156424.336435452</v>
      </c>
      <c r="N27" s="15" t="n">
        <f aca="false">Assumptions!B29*IF(A27&gt;=13,(1+Assumptions!B32)^(A27-12),1)</f>
        <v>20856.5781913936</v>
      </c>
      <c r="O27" s="15" t="n">
        <f aca="false">SUM(I27:N27)</f>
        <v>427559.852923569</v>
      </c>
      <c r="P27" s="15" t="n">
        <f aca="false">H27-O27</f>
        <v>126320.950215047</v>
      </c>
      <c r="Q27" s="15" t="n">
        <f aca="false">Q26+P27</f>
        <v>-1001830.54788436</v>
      </c>
      <c r="R27" s="16" t="str">
        <f aca="false">IF(Q27&gt;=0,"YES","No")</f>
        <v>No</v>
      </c>
    </row>
    <row r="28" customFormat="false" ht="15" hidden="false" customHeight="false" outlineLevel="0" collapsed="false">
      <c r="A28" s="12" t="n">
        <v>27</v>
      </c>
      <c r="B28" s="13" t="n">
        <f aca="false">ROUNDUP(A28/12,0)</f>
        <v>3</v>
      </c>
      <c r="C28" s="13" t="str">
        <f aca="false">"Month "&amp;A28</f>
        <v>Month 27</v>
      </c>
      <c r="D28" s="14" t="n">
        <f aca="false">D27*(1+IF(B28=1,Assumptions!B14,Assumptions!B15))</f>
        <v>669.981514258719</v>
      </c>
      <c r="E28" s="15" t="n">
        <f aca="false">D28*Assumptions!B16</f>
        <v>401988.908555231</v>
      </c>
      <c r="F28" s="14" t="n">
        <f aca="false">F27*(1+Assumptions!B20)</f>
        <v>518.102525986963</v>
      </c>
      <c r="G28" s="15" t="n">
        <f aca="false">F28*Assumptions!B21</f>
        <v>155430.757796089</v>
      </c>
      <c r="H28" s="15" t="n">
        <f aca="false">E28+G28</f>
        <v>557419.66635132</v>
      </c>
      <c r="I28" s="15" t="n">
        <f aca="false">Assumptions!B24*IF(A28&gt;=13,(1+Assumptions!B32)^(A28-12),1)</f>
        <v>156893.609444759</v>
      </c>
      <c r="J28" s="15" t="n">
        <f aca="false">Assumptions!B25*IF(A28&gt;=13,(1+Assumptions!B32)^(A28-12),1)</f>
        <v>41838.2958519356</v>
      </c>
      <c r="K28" s="15" t="n">
        <f aca="false">Assumptions!B26*IF(A28&gt;=13,(1+Assumptions!B32)^(A28-12),1)</f>
        <v>31378.7218889517</v>
      </c>
      <c r="L28" s="15" t="n">
        <f aca="false">Assumptions!B27*IF(A28&gt;=13,(1+Assumptions!B32)^(A28-12),1)</f>
        <v>20919.1479259678</v>
      </c>
      <c r="M28" s="15" t="n">
        <f aca="false">IF(A28&gt;=13,Assumptions!B28*IF(A28&gt;=13,(1+Assumptions!B32)^(A28-12),1),0)</f>
        <v>156893.609444759</v>
      </c>
      <c r="N28" s="15" t="n">
        <f aca="false">Assumptions!B29*IF(A28&gt;=13,(1+Assumptions!B32)^(A28-12),1)</f>
        <v>20919.1479259678</v>
      </c>
      <c r="O28" s="15" t="n">
        <f aca="false">SUM(I28:N28)</f>
        <v>428842.53248234</v>
      </c>
      <c r="P28" s="15" t="n">
        <f aca="false">H28-O28</f>
        <v>128577.13386898</v>
      </c>
      <c r="Q28" s="15" t="n">
        <f aca="false">Q27+P28</f>
        <v>-873253.414015384</v>
      </c>
      <c r="R28" s="16" t="str">
        <f aca="false">IF(Q28&gt;=0,"YES","No")</f>
        <v>No</v>
      </c>
    </row>
    <row r="29" customFormat="false" ht="15" hidden="false" customHeight="false" outlineLevel="0" collapsed="false">
      <c r="A29" s="12" t="n">
        <v>28</v>
      </c>
      <c r="B29" s="13" t="n">
        <f aca="false">ROUNDUP(A29/12,0)</f>
        <v>3</v>
      </c>
      <c r="C29" s="13" t="str">
        <f aca="false">"Month "&amp;A29</f>
        <v>Month 28</v>
      </c>
      <c r="D29" s="14" t="n">
        <f aca="false">D28*(1+IF(B29=1,Assumptions!B14,Assumptions!B15))</f>
        <v>673.331421830012</v>
      </c>
      <c r="E29" s="15" t="n">
        <f aca="false">D29*Assumptions!B16</f>
        <v>403998.853098007</v>
      </c>
      <c r="F29" s="14" t="n">
        <f aca="false">F28*(1+Assumptions!B20)</f>
        <v>523.283551246832</v>
      </c>
      <c r="G29" s="15" t="n">
        <f aca="false">F29*Assumptions!B21</f>
        <v>156985.06537405</v>
      </c>
      <c r="H29" s="15" t="n">
        <f aca="false">E29+G29</f>
        <v>560983.918472057</v>
      </c>
      <c r="I29" s="15" t="n">
        <f aca="false">Assumptions!B24*IF(A29&gt;=13,(1+Assumptions!B32)^(A29-12),1)</f>
        <v>157364.290273093</v>
      </c>
      <c r="J29" s="15" t="n">
        <f aca="false">Assumptions!B25*IF(A29&gt;=13,(1+Assumptions!B32)^(A29-12),1)</f>
        <v>41963.8107394914</v>
      </c>
      <c r="K29" s="15" t="n">
        <f aca="false">Assumptions!B26*IF(A29&gt;=13,(1+Assumptions!B32)^(A29-12),1)</f>
        <v>31472.8580546186</v>
      </c>
      <c r="L29" s="15" t="n">
        <f aca="false">Assumptions!B27*IF(A29&gt;=13,(1+Assumptions!B32)^(A29-12),1)</f>
        <v>20981.9053697457</v>
      </c>
      <c r="M29" s="15" t="n">
        <f aca="false">IF(A29&gt;=13,Assumptions!B28*IF(A29&gt;=13,(1+Assumptions!B32)^(A29-12),1),0)</f>
        <v>157364.290273093</v>
      </c>
      <c r="N29" s="15" t="n">
        <f aca="false">Assumptions!B29*IF(A29&gt;=13,(1+Assumptions!B32)^(A29-12),1)</f>
        <v>20981.9053697457</v>
      </c>
      <c r="O29" s="15" t="n">
        <f aca="false">SUM(I29:N29)</f>
        <v>430129.060079787</v>
      </c>
      <c r="P29" s="15" t="n">
        <f aca="false">H29-O29</f>
        <v>130854.85839227</v>
      </c>
      <c r="Q29" s="15" t="n">
        <f aca="false">Q28+P29</f>
        <v>-742398.555623114</v>
      </c>
      <c r="R29" s="16" t="str">
        <f aca="false">IF(Q29&gt;=0,"YES","No")</f>
        <v>No</v>
      </c>
    </row>
    <row r="30" customFormat="false" ht="15" hidden="false" customHeight="false" outlineLevel="0" collapsed="false">
      <c r="A30" s="12" t="n">
        <v>29</v>
      </c>
      <c r="B30" s="13" t="n">
        <f aca="false">ROUNDUP(A30/12,0)</f>
        <v>3</v>
      </c>
      <c r="C30" s="13" t="str">
        <f aca="false">"Month "&amp;A30</f>
        <v>Month 29</v>
      </c>
      <c r="D30" s="14" t="n">
        <f aca="false">D29*(1+IF(B30=1,Assumptions!B14,Assumptions!B15))</f>
        <v>676.698078939162</v>
      </c>
      <c r="E30" s="15" t="n">
        <f aca="false">D30*Assumptions!B16</f>
        <v>406018.847363497</v>
      </c>
      <c r="F30" s="14" t="n">
        <f aca="false">F29*(1+Assumptions!B20)</f>
        <v>528.516386759301</v>
      </c>
      <c r="G30" s="15" t="n">
        <f aca="false">F30*Assumptions!B21</f>
        <v>158554.91602779</v>
      </c>
      <c r="H30" s="15" t="n">
        <f aca="false">E30+G30</f>
        <v>564573.763391287</v>
      </c>
      <c r="I30" s="15" t="n">
        <f aca="false">Assumptions!B24*IF(A30&gt;=13,(1+Assumptions!B32)^(A30-12),1)</f>
        <v>157836.383143912</v>
      </c>
      <c r="J30" s="15" t="n">
        <f aca="false">Assumptions!B25*IF(A30&gt;=13,(1+Assumptions!B32)^(A30-12),1)</f>
        <v>42089.7021717099</v>
      </c>
      <c r="K30" s="15" t="n">
        <f aca="false">Assumptions!B26*IF(A30&gt;=13,(1+Assumptions!B32)^(A30-12),1)</f>
        <v>31567.2766287824</v>
      </c>
      <c r="L30" s="15" t="n">
        <f aca="false">Assumptions!B27*IF(A30&gt;=13,(1+Assumptions!B32)^(A30-12),1)</f>
        <v>21044.8510858549</v>
      </c>
      <c r="M30" s="15" t="n">
        <f aca="false">IF(A30&gt;=13,Assumptions!B28*IF(A30&gt;=13,(1+Assumptions!B32)^(A30-12),1),0)</f>
        <v>157836.383143912</v>
      </c>
      <c r="N30" s="15" t="n">
        <f aca="false">Assumptions!B29*IF(A30&gt;=13,(1+Assumptions!B32)^(A30-12),1)</f>
        <v>21044.8510858549</v>
      </c>
      <c r="O30" s="15" t="n">
        <f aca="false">SUM(I30:N30)</f>
        <v>431419.447260026</v>
      </c>
      <c r="P30" s="15" t="n">
        <f aca="false">H30-O30</f>
        <v>133154.316131261</v>
      </c>
      <c r="Q30" s="15" t="n">
        <f aca="false">Q29+P30</f>
        <v>-609244.239491853</v>
      </c>
      <c r="R30" s="16" t="str">
        <f aca="false">IF(Q30&gt;=0,"YES","No")</f>
        <v>No</v>
      </c>
    </row>
    <row r="31" customFormat="false" ht="15" hidden="false" customHeight="false" outlineLevel="0" collapsed="false">
      <c r="A31" s="12" t="n">
        <v>30</v>
      </c>
      <c r="B31" s="13" t="n">
        <f aca="false">ROUNDUP(A31/12,0)</f>
        <v>3</v>
      </c>
      <c r="C31" s="13" t="str">
        <f aca="false">"Month "&amp;A31</f>
        <v>Month 30</v>
      </c>
      <c r="D31" s="14" t="n">
        <f aca="false">D30*(1+IF(B31=1,Assumptions!B14,Assumptions!B15))</f>
        <v>680.081569333858</v>
      </c>
      <c r="E31" s="15" t="n">
        <f aca="false">D31*Assumptions!B16</f>
        <v>408048.941600315</v>
      </c>
      <c r="F31" s="14" t="n">
        <f aca="false">F30*(1+Assumptions!B20)</f>
        <v>533.801550626894</v>
      </c>
      <c r="G31" s="15" t="n">
        <f aca="false">F31*Assumptions!B21</f>
        <v>160140.465188068</v>
      </c>
      <c r="H31" s="15" t="n">
        <f aca="false">E31+G31</f>
        <v>568189.406788383</v>
      </c>
      <c r="I31" s="15" t="n">
        <f aca="false">Assumptions!B24*IF(A31&gt;=13,(1+Assumptions!B32)^(A31-12),1)</f>
        <v>158309.892293344</v>
      </c>
      <c r="J31" s="15" t="n">
        <f aca="false">Assumptions!B25*IF(A31&gt;=13,(1+Assumptions!B32)^(A31-12),1)</f>
        <v>42215.971278225</v>
      </c>
      <c r="K31" s="15" t="n">
        <f aca="false">Assumptions!B26*IF(A31&gt;=13,(1+Assumptions!B32)^(A31-12),1)</f>
        <v>31661.9784586688</v>
      </c>
      <c r="L31" s="15" t="n">
        <f aca="false">Assumptions!B27*IF(A31&gt;=13,(1+Assumptions!B32)^(A31-12),1)</f>
        <v>21107.9856391125</v>
      </c>
      <c r="M31" s="15" t="n">
        <f aca="false">IF(A31&gt;=13,Assumptions!B28*IF(A31&gt;=13,(1+Assumptions!B32)^(A31-12),1),0)</f>
        <v>158309.892293344</v>
      </c>
      <c r="N31" s="15" t="n">
        <f aca="false">Assumptions!B29*IF(A31&gt;=13,(1+Assumptions!B32)^(A31-12),1)</f>
        <v>21107.9856391125</v>
      </c>
      <c r="O31" s="15" t="n">
        <f aca="false">SUM(I31:N31)</f>
        <v>432713.705601806</v>
      </c>
      <c r="P31" s="15" t="n">
        <f aca="false">H31-O31</f>
        <v>135475.701186577</v>
      </c>
      <c r="Q31" s="15" t="n">
        <f aca="false">Q30+P31</f>
        <v>-473768.538305276</v>
      </c>
      <c r="R31" s="16" t="str">
        <f aca="false">IF(Q31&gt;=0,"YES","No")</f>
        <v>No</v>
      </c>
    </row>
    <row r="32" customFormat="false" ht="15" hidden="false" customHeight="false" outlineLevel="0" collapsed="false">
      <c r="A32" s="12" t="n">
        <v>31</v>
      </c>
      <c r="B32" s="13" t="n">
        <f aca="false">ROUNDUP(A32/12,0)</f>
        <v>3</v>
      </c>
      <c r="C32" s="13" t="str">
        <f aca="false">"Month "&amp;A32</f>
        <v>Month 31</v>
      </c>
      <c r="D32" s="14" t="n">
        <f aca="false">D31*(1+IF(B32=1,Assumptions!B14,Assumptions!B15))</f>
        <v>683.481977180527</v>
      </c>
      <c r="E32" s="15" t="n">
        <f aca="false">D32*Assumptions!B16</f>
        <v>410089.186308316</v>
      </c>
      <c r="F32" s="14" t="n">
        <f aca="false">F31*(1+Assumptions!B20)</f>
        <v>539.139566133163</v>
      </c>
      <c r="G32" s="15" t="n">
        <f aca="false">F32*Assumptions!B21</f>
        <v>161741.869839949</v>
      </c>
      <c r="H32" s="15" t="n">
        <f aca="false">E32+G32</f>
        <v>571831.056148265</v>
      </c>
      <c r="I32" s="15" t="n">
        <f aca="false">Assumptions!B24*IF(A32&gt;=13,(1+Assumptions!B32)^(A32-12),1)</f>
        <v>158784.821970224</v>
      </c>
      <c r="J32" s="15" t="n">
        <f aca="false">Assumptions!B25*IF(A32&gt;=13,(1+Assumptions!B32)^(A32-12),1)</f>
        <v>42342.6191920597</v>
      </c>
      <c r="K32" s="15" t="n">
        <f aca="false">Assumptions!B26*IF(A32&gt;=13,(1+Assumptions!B32)^(A32-12),1)</f>
        <v>31756.9643940448</v>
      </c>
      <c r="L32" s="15" t="n">
        <f aca="false">Assumptions!B27*IF(A32&gt;=13,(1+Assumptions!B32)^(A32-12),1)</f>
        <v>21171.3095960298</v>
      </c>
      <c r="M32" s="15" t="n">
        <f aca="false">IF(A32&gt;=13,Assumptions!B28*IF(A32&gt;=13,(1+Assumptions!B32)^(A32-12),1),0)</f>
        <v>158784.821970224</v>
      </c>
      <c r="N32" s="15" t="n">
        <f aca="false">Assumptions!B29*IF(A32&gt;=13,(1+Assumptions!B32)^(A32-12),1)</f>
        <v>21171.3095960298</v>
      </c>
      <c r="O32" s="15" t="n">
        <f aca="false">SUM(I32:N32)</f>
        <v>434011.846718612</v>
      </c>
      <c r="P32" s="15" t="n">
        <f aca="false">H32-O32</f>
        <v>137819.209429653</v>
      </c>
      <c r="Q32" s="15" t="n">
        <f aca="false">Q31+P32</f>
        <v>-335949.328875623</v>
      </c>
      <c r="R32" s="16" t="str">
        <f aca="false">IF(Q32&gt;=0,"YES","No")</f>
        <v>No</v>
      </c>
    </row>
    <row r="33" customFormat="false" ht="15" hidden="false" customHeight="false" outlineLevel="0" collapsed="false">
      <c r="A33" s="12" t="n">
        <v>32</v>
      </c>
      <c r="B33" s="13" t="n">
        <f aca="false">ROUNDUP(A33/12,0)</f>
        <v>3</v>
      </c>
      <c r="C33" s="13" t="str">
        <f aca="false">"Month "&amp;A33</f>
        <v>Month 32</v>
      </c>
      <c r="D33" s="14" t="n">
        <f aca="false">D32*(1+IF(B33=1,Assumptions!B14,Assumptions!B15))</f>
        <v>686.89938706643</v>
      </c>
      <c r="E33" s="15" t="n">
        <f aca="false">D33*Assumptions!B16</f>
        <v>412139.632239858</v>
      </c>
      <c r="F33" s="14" t="n">
        <f aca="false">F32*(1+Assumptions!B20)</f>
        <v>544.530961794494</v>
      </c>
      <c r="G33" s="15" t="n">
        <f aca="false">F33*Assumptions!B21</f>
        <v>163359.288538348</v>
      </c>
      <c r="H33" s="15" t="n">
        <f aca="false">E33+G33</f>
        <v>575498.920778206</v>
      </c>
      <c r="I33" s="15" t="n">
        <f aca="false">Assumptions!B24*IF(A33&gt;=13,(1+Assumptions!B32)^(A33-12),1)</f>
        <v>159261.176436134</v>
      </c>
      <c r="J33" s="15" t="n">
        <f aca="false">Assumptions!B25*IF(A33&gt;=13,(1+Assumptions!B32)^(A33-12),1)</f>
        <v>42469.6470496358</v>
      </c>
      <c r="K33" s="15" t="n">
        <f aca="false">Assumptions!B26*IF(A33&gt;=13,(1+Assumptions!B32)^(A33-12),1)</f>
        <v>31852.2352872269</v>
      </c>
      <c r="L33" s="15" t="n">
        <f aca="false">Assumptions!B27*IF(A33&gt;=13,(1+Assumptions!B32)^(A33-12),1)</f>
        <v>21234.8235248179</v>
      </c>
      <c r="M33" s="15" t="n">
        <f aca="false">IF(A33&gt;=13,Assumptions!B28*IF(A33&gt;=13,(1+Assumptions!B32)^(A33-12),1),0)</f>
        <v>159261.176436134</v>
      </c>
      <c r="N33" s="15" t="n">
        <f aca="false">Assumptions!B29*IF(A33&gt;=13,(1+Assumptions!B32)^(A33-12),1)</f>
        <v>21234.8235248179</v>
      </c>
      <c r="O33" s="15" t="n">
        <f aca="false">SUM(I33:N33)</f>
        <v>435313.882258767</v>
      </c>
      <c r="P33" s="15" t="n">
        <f aca="false">H33-O33</f>
        <v>140185.038519439</v>
      </c>
      <c r="Q33" s="15" t="n">
        <f aca="false">Q32+P33</f>
        <v>-195764.290356184</v>
      </c>
      <c r="R33" s="16" t="str">
        <f aca="false">IF(Q33&gt;=0,"YES","No")</f>
        <v>No</v>
      </c>
    </row>
    <row r="34" customFormat="false" ht="15" hidden="false" customHeight="false" outlineLevel="0" collapsed="false">
      <c r="A34" s="12" t="n">
        <v>33</v>
      </c>
      <c r="B34" s="13" t="n">
        <f aca="false">ROUNDUP(A34/12,0)</f>
        <v>3</v>
      </c>
      <c r="C34" s="13" t="str">
        <f aca="false">"Month "&amp;A34</f>
        <v>Month 33</v>
      </c>
      <c r="D34" s="14" t="n">
        <f aca="false">D33*(1+IF(B34=1,Assumptions!B14,Assumptions!B15))</f>
        <v>690.333884001762</v>
      </c>
      <c r="E34" s="15" t="n">
        <f aca="false">D34*Assumptions!B16</f>
        <v>414200.330401057</v>
      </c>
      <c r="F34" s="14" t="n">
        <f aca="false">F33*(1+Assumptions!B20)</f>
        <v>549.976271412439</v>
      </c>
      <c r="G34" s="15" t="n">
        <f aca="false">F34*Assumptions!B21</f>
        <v>164992.881423732</v>
      </c>
      <c r="H34" s="15" t="n">
        <f aca="false">E34+G34</f>
        <v>579193.211824789</v>
      </c>
      <c r="I34" s="15" t="n">
        <f aca="false">Assumptions!B24*IF(A34&gt;=13,(1+Assumptions!B32)^(A34-12),1)</f>
        <v>159738.959965443</v>
      </c>
      <c r="J34" s="15" t="n">
        <f aca="false">Assumptions!B25*IF(A34&gt;=13,(1+Assumptions!B32)^(A34-12),1)</f>
        <v>42597.0559907848</v>
      </c>
      <c r="K34" s="15" t="n">
        <f aca="false">Assumptions!B26*IF(A34&gt;=13,(1+Assumptions!B32)^(A34-12),1)</f>
        <v>31947.7919930886</v>
      </c>
      <c r="L34" s="15" t="n">
        <f aca="false">Assumptions!B27*IF(A34&gt;=13,(1+Assumptions!B32)^(A34-12),1)</f>
        <v>21298.5279953924</v>
      </c>
      <c r="M34" s="15" t="n">
        <f aca="false">IF(A34&gt;=13,Assumptions!B28*IF(A34&gt;=13,(1+Assumptions!B32)^(A34-12),1),0)</f>
        <v>159738.959965443</v>
      </c>
      <c r="N34" s="15" t="n">
        <f aca="false">Assumptions!B29*IF(A34&gt;=13,(1+Assumptions!B32)^(A34-12),1)</f>
        <v>21298.5279953924</v>
      </c>
      <c r="O34" s="15" t="n">
        <f aca="false">SUM(I34:N34)</f>
        <v>436619.823905544</v>
      </c>
      <c r="P34" s="15" t="n">
        <f aca="false">H34-O34</f>
        <v>142573.387919245</v>
      </c>
      <c r="Q34" s="15" t="n">
        <f aca="false">Q33+P34</f>
        <v>-53190.9024369391</v>
      </c>
      <c r="R34" s="16" t="str">
        <f aca="false">IF(Q34&gt;=0,"YES","No")</f>
        <v>No</v>
      </c>
    </row>
    <row r="35" customFormat="false" ht="15" hidden="false" customHeight="false" outlineLevel="0" collapsed="false">
      <c r="A35" s="12" t="n">
        <v>34</v>
      </c>
      <c r="B35" s="13" t="n">
        <f aca="false">ROUNDUP(A35/12,0)</f>
        <v>3</v>
      </c>
      <c r="C35" s="13" t="str">
        <f aca="false">"Month "&amp;A35</f>
        <v>Month 34</v>
      </c>
      <c r="D35" s="14" t="n">
        <f aca="false">D34*(1+IF(B35=1,Assumptions!B14,Assumptions!B15))</f>
        <v>693.78555342177</v>
      </c>
      <c r="E35" s="15" t="n">
        <f aca="false">D35*Assumptions!B16</f>
        <v>416271.332053062</v>
      </c>
      <c r="F35" s="14" t="n">
        <f aca="false">F34*(1+Assumptions!B20)</f>
        <v>555.476034126564</v>
      </c>
      <c r="G35" s="15" t="n">
        <f aca="false">F35*Assumptions!B21</f>
        <v>166642.810237969</v>
      </c>
      <c r="H35" s="15" t="n">
        <f aca="false">E35+G35</f>
        <v>582914.142291031</v>
      </c>
      <c r="I35" s="15" t="n">
        <f aca="false">Assumptions!B24*IF(A35&gt;=13,(1+Assumptions!B32)^(A35-12),1)</f>
        <v>160218.176845339</v>
      </c>
      <c r="J35" s="15" t="n">
        <f aca="false">Assumptions!B25*IF(A35&gt;=13,(1+Assumptions!B32)^(A35-12),1)</f>
        <v>42724.8471587571</v>
      </c>
      <c r="K35" s="15" t="n">
        <f aca="false">Assumptions!B26*IF(A35&gt;=13,(1+Assumptions!B32)^(A35-12),1)</f>
        <v>32043.6353690678</v>
      </c>
      <c r="L35" s="15" t="n">
        <f aca="false">Assumptions!B27*IF(A35&gt;=13,(1+Assumptions!B32)^(A35-12),1)</f>
        <v>21362.4235793786</v>
      </c>
      <c r="M35" s="15" t="n">
        <f aca="false">IF(A35&gt;=13,Assumptions!B28*IF(A35&gt;=13,(1+Assumptions!B32)^(A35-12),1),0)</f>
        <v>160218.176845339</v>
      </c>
      <c r="N35" s="15" t="n">
        <f aca="false">Assumptions!B29*IF(A35&gt;=13,(1+Assumptions!B32)^(A35-12),1)</f>
        <v>21362.4235793786</v>
      </c>
      <c r="O35" s="15" t="n">
        <f aca="false">SUM(I35:N35)</f>
        <v>437929.68337726</v>
      </c>
      <c r="P35" s="15" t="n">
        <f aca="false">H35-O35</f>
        <v>144984.458913771</v>
      </c>
      <c r="Q35" s="15" t="n">
        <f aca="false">Q34+P35</f>
        <v>91793.556476832</v>
      </c>
      <c r="R35" s="16" t="str">
        <f aca="false">IF(Q35&gt;=0,"YES","No")</f>
        <v>YES</v>
      </c>
    </row>
    <row r="36" customFormat="false" ht="15" hidden="false" customHeight="false" outlineLevel="0" collapsed="false">
      <c r="A36" s="12" t="n">
        <v>35</v>
      </c>
      <c r="B36" s="13" t="n">
        <f aca="false">ROUNDUP(A36/12,0)</f>
        <v>3</v>
      </c>
      <c r="C36" s="13" t="str">
        <f aca="false">"Month "&amp;A36</f>
        <v>Month 35</v>
      </c>
      <c r="D36" s="14" t="n">
        <f aca="false">D35*(1+IF(B36=1,Assumptions!B14,Assumptions!B15))</f>
        <v>697.254481188879</v>
      </c>
      <c r="E36" s="15" t="n">
        <f aca="false">D36*Assumptions!B16</f>
        <v>418352.688713327</v>
      </c>
      <c r="F36" s="14" t="n">
        <f aca="false">F35*(1+Assumptions!B20)</f>
        <v>561.030794467829</v>
      </c>
      <c r="G36" s="15" t="n">
        <f aca="false">F36*Assumptions!B21</f>
        <v>168309.238340349</v>
      </c>
      <c r="H36" s="15" t="n">
        <f aca="false">E36+G36</f>
        <v>586661.927053676</v>
      </c>
      <c r="I36" s="15" t="n">
        <f aca="false">Assumptions!B24*IF(A36&gt;=13,(1+Assumptions!B32)^(A36-12),1)</f>
        <v>160698.831375875</v>
      </c>
      <c r="J36" s="15" t="n">
        <f aca="false">Assumptions!B25*IF(A36&gt;=13,(1+Assumptions!B32)^(A36-12),1)</f>
        <v>42853.0217002334</v>
      </c>
      <c r="K36" s="15" t="n">
        <f aca="false">Assumptions!B26*IF(A36&gt;=13,(1+Assumptions!B32)^(A36-12),1)</f>
        <v>32139.766275175</v>
      </c>
      <c r="L36" s="15" t="n">
        <f aca="false">Assumptions!B27*IF(A36&gt;=13,(1+Assumptions!B32)^(A36-12),1)</f>
        <v>21426.5108501167</v>
      </c>
      <c r="M36" s="15" t="n">
        <f aca="false">IF(A36&gt;=13,Assumptions!B28*IF(A36&gt;=13,(1+Assumptions!B32)^(A36-12),1),0)</f>
        <v>160698.831375875</v>
      </c>
      <c r="N36" s="15" t="n">
        <f aca="false">Assumptions!B29*IF(A36&gt;=13,(1+Assumptions!B32)^(A36-12),1)</f>
        <v>21426.5108501167</v>
      </c>
      <c r="O36" s="15" t="n">
        <f aca="false">SUM(I36:N36)</f>
        <v>439243.472427392</v>
      </c>
      <c r="P36" s="15" t="n">
        <f aca="false">H36-O36</f>
        <v>147418.454626284</v>
      </c>
      <c r="Q36" s="15" t="n">
        <f aca="false">Q35+P36</f>
        <v>239212.011103116</v>
      </c>
      <c r="R36" s="16" t="str">
        <f aca="false">IF(Q36&gt;=0,"YES","No")</f>
        <v>YES</v>
      </c>
    </row>
    <row r="37" customFormat="false" ht="15" hidden="false" customHeight="false" outlineLevel="0" collapsed="false">
      <c r="A37" s="12" t="n">
        <v>36</v>
      </c>
      <c r="B37" s="13" t="n">
        <f aca="false">ROUNDUP(A37/12,0)</f>
        <v>3</v>
      </c>
      <c r="C37" s="13" t="str">
        <f aca="false">"Month "&amp;A37</f>
        <v>Month 36</v>
      </c>
      <c r="D37" s="14" t="n">
        <f aca="false">D36*(1+IF(B37=1,Assumptions!B14,Assumptions!B15))</f>
        <v>700.740753594823</v>
      </c>
      <c r="E37" s="15" t="n">
        <f aca="false">D37*Assumptions!B16</f>
        <v>420444.452156894</v>
      </c>
      <c r="F37" s="14" t="n">
        <f aca="false">F36*(1+Assumptions!B20)</f>
        <v>566.641102412508</v>
      </c>
      <c r="G37" s="15" t="n">
        <f aca="false">F37*Assumptions!B21</f>
        <v>169992.330723752</v>
      </c>
      <c r="H37" s="15" t="n">
        <f aca="false">E37+G37</f>
        <v>590436.782880646</v>
      </c>
      <c r="I37" s="15" t="n">
        <f aca="false">Assumptions!B24*IF(A37&gt;=13,(1+Assumptions!B32)^(A37-12),1)</f>
        <v>161180.927870003</v>
      </c>
      <c r="J37" s="15" t="n">
        <f aca="false">Assumptions!B25*IF(A37&gt;=13,(1+Assumptions!B32)^(A37-12),1)</f>
        <v>42981.5807653341</v>
      </c>
      <c r="K37" s="15" t="n">
        <f aca="false">Assumptions!B26*IF(A37&gt;=13,(1+Assumptions!B32)^(A37-12),1)</f>
        <v>32236.1855740005</v>
      </c>
      <c r="L37" s="15" t="n">
        <f aca="false">Assumptions!B27*IF(A37&gt;=13,(1+Assumptions!B32)^(A37-12),1)</f>
        <v>21490.790382667</v>
      </c>
      <c r="M37" s="15" t="n">
        <f aca="false">IF(A37&gt;=13,Assumptions!B28*IF(A37&gt;=13,(1+Assumptions!B32)^(A37-12),1),0)</f>
        <v>161180.927870003</v>
      </c>
      <c r="N37" s="15" t="n">
        <f aca="false">Assumptions!B29*IF(A37&gt;=13,(1+Assumptions!B32)^(A37-12),1)</f>
        <v>21490.790382667</v>
      </c>
      <c r="O37" s="15" t="n">
        <f aca="false">SUM(I37:N37)</f>
        <v>440561.202844674</v>
      </c>
      <c r="P37" s="15" t="n">
        <f aca="false">H37-O37</f>
        <v>149875.580035972</v>
      </c>
      <c r="Q37" s="15" t="n">
        <f aca="false">Q36+P37</f>
        <v>389087.591139088</v>
      </c>
      <c r="R37" s="16" t="str">
        <f aca="false">IF(Q37&gt;=0,"YES","No")</f>
        <v>YES</v>
      </c>
    </row>
    <row r="38" customFormat="false" ht="15" hidden="false" customHeight="false" outlineLevel="0" collapsed="false">
      <c r="A38" s="12" t="n">
        <v>37</v>
      </c>
      <c r="B38" s="13" t="n">
        <f aca="false">ROUNDUP(A38/12,0)</f>
        <v>4</v>
      </c>
      <c r="C38" s="13" t="str">
        <f aca="false">"Month "&amp;A38</f>
        <v>Month 37</v>
      </c>
      <c r="D38" s="14" t="n">
        <f aca="false">D37*(1+IF(B38=1,Assumptions!B14,Assumptions!B15))</f>
        <v>704.244457362797</v>
      </c>
      <c r="E38" s="15" t="n">
        <f aca="false">D38*Assumptions!B16</f>
        <v>422546.674417678</v>
      </c>
      <c r="F38" s="14" t="n">
        <f aca="false">F37*(1+Assumptions!B20)</f>
        <v>572.307513436633</v>
      </c>
      <c r="G38" s="15" t="n">
        <f aca="false">F38*Assumptions!B21</f>
        <v>171692.25403099</v>
      </c>
      <c r="H38" s="15" t="n">
        <f aca="false">E38+G38</f>
        <v>594238.928448668</v>
      </c>
      <c r="I38" s="15" t="n">
        <f aca="false">Assumptions!B24*IF(A38&gt;=13,(1+Assumptions!B32)^(A38-12),1)</f>
        <v>161664.470653613</v>
      </c>
      <c r="J38" s="15" t="n">
        <f aca="false">Assumptions!B25*IF(A38&gt;=13,(1+Assumptions!B32)^(A38-12),1)</f>
        <v>43110.5255076301</v>
      </c>
      <c r="K38" s="15" t="n">
        <f aca="false">Assumptions!B26*IF(A38&gt;=13,(1+Assumptions!B32)^(A38-12),1)</f>
        <v>32332.8941307225</v>
      </c>
      <c r="L38" s="15" t="n">
        <f aca="false">Assumptions!B27*IF(A38&gt;=13,(1+Assumptions!B32)^(A38-12),1)</f>
        <v>21555.262753815</v>
      </c>
      <c r="M38" s="15" t="n">
        <f aca="false">IF(A38&gt;=13,Assumptions!B28*IF(A38&gt;=13,(1+Assumptions!B32)^(A38-12),1),0)</f>
        <v>161664.470653613</v>
      </c>
      <c r="N38" s="15" t="n">
        <f aca="false">Assumptions!B29*IF(A38&gt;=13,(1+Assumptions!B32)^(A38-12),1)</f>
        <v>21555.262753815</v>
      </c>
      <c r="O38" s="15" t="n">
        <f aca="false">SUM(I38:N38)</f>
        <v>441882.886453208</v>
      </c>
      <c r="P38" s="15" t="n">
        <f aca="false">H38-O38</f>
        <v>152356.04199546</v>
      </c>
      <c r="Q38" s="15" t="n">
        <f aca="false">Q37+P38</f>
        <v>541443.633134548</v>
      </c>
      <c r="R38" s="16" t="str">
        <f aca="false">IF(Q38&gt;=0,"YES","No")</f>
        <v>YES</v>
      </c>
    </row>
    <row r="39" customFormat="false" ht="15" hidden="false" customHeight="false" outlineLevel="0" collapsed="false">
      <c r="A39" s="12" t="n">
        <v>38</v>
      </c>
      <c r="B39" s="13" t="n">
        <f aca="false">ROUNDUP(A39/12,0)</f>
        <v>4</v>
      </c>
      <c r="C39" s="13" t="str">
        <f aca="false">"Month "&amp;A39</f>
        <v>Month 38</v>
      </c>
      <c r="D39" s="14" t="n">
        <f aca="false">D38*(1+IF(B39=1,Assumptions!B14,Assumptions!B15))</f>
        <v>707.765679649611</v>
      </c>
      <c r="E39" s="15" t="n">
        <f aca="false">D39*Assumptions!B16</f>
        <v>424659.407789767</v>
      </c>
      <c r="F39" s="14" t="n">
        <f aca="false">F38*(1+Assumptions!B20)</f>
        <v>578.030588570999</v>
      </c>
      <c r="G39" s="15" t="n">
        <f aca="false">F39*Assumptions!B21</f>
        <v>173409.1765713</v>
      </c>
      <c r="H39" s="15" t="n">
        <f aca="false">E39+G39</f>
        <v>598068.584361067</v>
      </c>
      <c r="I39" s="15" t="n">
        <f aca="false">Assumptions!B24*IF(A39&gt;=13,(1+Assumptions!B32)^(A39-12),1)</f>
        <v>162149.464065574</v>
      </c>
      <c r="J39" s="15" t="n">
        <f aca="false">Assumptions!B25*IF(A39&gt;=13,(1+Assumptions!B32)^(A39-12),1)</f>
        <v>43239.8570841529</v>
      </c>
      <c r="K39" s="15" t="n">
        <f aca="false">Assumptions!B26*IF(A39&gt;=13,(1+Assumptions!B32)^(A39-12),1)</f>
        <v>32429.8928131147</v>
      </c>
      <c r="L39" s="15" t="n">
        <f aca="false">Assumptions!B27*IF(A39&gt;=13,(1+Assumptions!B32)^(A39-12),1)</f>
        <v>21619.9285420765</v>
      </c>
      <c r="M39" s="15" t="n">
        <f aca="false">IF(A39&gt;=13,Assumptions!B28*IF(A39&gt;=13,(1+Assumptions!B32)^(A39-12),1),0)</f>
        <v>162149.464065574</v>
      </c>
      <c r="N39" s="15" t="n">
        <f aca="false">Assumptions!B29*IF(A39&gt;=13,(1+Assumptions!B32)^(A39-12),1)</f>
        <v>21619.9285420765</v>
      </c>
      <c r="O39" s="15" t="n">
        <f aca="false">SUM(I39:N39)</f>
        <v>443208.535112568</v>
      </c>
      <c r="P39" s="15" t="n">
        <f aca="false">H39-O39</f>
        <v>154860.049248499</v>
      </c>
      <c r="Q39" s="15" t="n">
        <f aca="false">Q38+P39</f>
        <v>696303.682383047</v>
      </c>
      <c r="R39" s="16" t="str">
        <f aca="false">IF(Q39&gt;=0,"YES","No")</f>
        <v>YES</v>
      </c>
    </row>
    <row r="40" customFormat="false" ht="15" hidden="false" customHeight="false" outlineLevel="0" collapsed="false">
      <c r="A40" s="12" t="n">
        <v>39</v>
      </c>
      <c r="B40" s="13" t="n">
        <f aca="false">ROUNDUP(A40/12,0)</f>
        <v>4</v>
      </c>
      <c r="C40" s="13" t="str">
        <f aca="false">"Month "&amp;A40</f>
        <v>Month 39</v>
      </c>
      <c r="D40" s="14" t="n">
        <f aca="false">D39*(1+IF(B40=1,Assumptions!B14,Assumptions!B15))</f>
        <v>711.304508047859</v>
      </c>
      <c r="E40" s="15" t="n">
        <f aca="false">D40*Assumptions!B16</f>
        <v>426782.704828716</v>
      </c>
      <c r="F40" s="14" t="n">
        <f aca="false">F39*(1+Assumptions!B20)</f>
        <v>583.810894456709</v>
      </c>
      <c r="G40" s="15" t="n">
        <f aca="false">F40*Assumptions!B21</f>
        <v>175143.268337013</v>
      </c>
      <c r="H40" s="15" t="n">
        <f aca="false">E40+G40</f>
        <v>601925.973165728</v>
      </c>
      <c r="I40" s="15" t="n">
        <f aca="false">Assumptions!B24*IF(A40&gt;=13,(1+Assumptions!B32)^(A40-12),1)</f>
        <v>162635.91245777</v>
      </c>
      <c r="J40" s="15" t="n">
        <f aca="false">Assumptions!B25*IF(A40&gt;=13,(1+Assumptions!B32)^(A40-12),1)</f>
        <v>43369.5766554054</v>
      </c>
      <c r="K40" s="15" t="n">
        <f aca="false">Assumptions!B26*IF(A40&gt;=13,(1+Assumptions!B32)^(A40-12),1)</f>
        <v>32527.1824915541</v>
      </c>
      <c r="L40" s="15" t="n">
        <f aca="false">Assumptions!B27*IF(A40&gt;=13,(1+Assumptions!B32)^(A40-12),1)</f>
        <v>21684.7883277027</v>
      </c>
      <c r="M40" s="15" t="n">
        <f aca="false">IF(A40&gt;=13,Assumptions!B28*IF(A40&gt;=13,(1+Assumptions!B32)^(A40-12),1),0)</f>
        <v>162635.91245777</v>
      </c>
      <c r="N40" s="15" t="n">
        <f aca="false">Assumptions!B29*IF(A40&gt;=13,(1+Assumptions!B32)^(A40-12),1)</f>
        <v>21684.7883277027</v>
      </c>
      <c r="O40" s="15" t="n">
        <f aca="false">SUM(I40:N40)</f>
        <v>444538.160717905</v>
      </c>
      <c r="P40" s="15" t="n">
        <f aca="false">H40-O40</f>
        <v>157387.812447823</v>
      </c>
      <c r="Q40" s="15" t="n">
        <f aca="false">Q39+P40</f>
        <v>853691.49483087</v>
      </c>
      <c r="R40" s="16" t="str">
        <f aca="false">IF(Q40&gt;=0,"YES","No")</f>
        <v>YES</v>
      </c>
    </row>
    <row r="41" customFormat="false" ht="15" hidden="false" customHeight="false" outlineLevel="0" collapsed="false">
      <c r="A41" s="12" t="n">
        <v>40</v>
      </c>
      <c r="B41" s="13" t="n">
        <f aca="false">ROUNDUP(A41/12,0)</f>
        <v>4</v>
      </c>
      <c r="C41" s="13" t="str">
        <f aca="false">"Month "&amp;A41</f>
        <v>Month 40</v>
      </c>
      <c r="D41" s="14" t="n">
        <f aca="false">D40*(1+IF(B41=1,Assumptions!B14,Assumptions!B15))</f>
        <v>714.861030588099</v>
      </c>
      <c r="E41" s="15" t="n">
        <f aca="false">D41*Assumptions!B16</f>
        <v>428916.618352859</v>
      </c>
      <c r="F41" s="14" t="n">
        <f aca="false">F40*(1+Assumptions!B20)</f>
        <v>589.649003401276</v>
      </c>
      <c r="G41" s="15" t="n">
        <f aca="false">F41*Assumptions!B21</f>
        <v>176894.701020383</v>
      </c>
      <c r="H41" s="15" t="n">
        <f aca="false">E41+G41</f>
        <v>605811.319373242</v>
      </c>
      <c r="I41" s="15" t="n">
        <f aca="false">Assumptions!B24*IF(A41&gt;=13,(1+Assumptions!B32)^(A41-12),1)</f>
        <v>163123.820195144</v>
      </c>
      <c r="J41" s="15" t="n">
        <f aca="false">Assumptions!B25*IF(A41&gt;=13,(1+Assumptions!B32)^(A41-12),1)</f>
        <v>43499.6853853716</v>
      </c>
      <c r="K41" s="15" t="n">
        <f aca="false">Assumptions!B26*IF(A41&gt;=13,(1+Assumptions!B32)^(A41-12),1)</f>
        <v>32624.7640390287</v>
      </c>
      <c r="L41" s="15" t="n">
        <f aca="false">Assumptions!B27*IF(A41&gt;=13,(1+Assumptions!B32)^(A41-12),1)</f>
        <v>21749.8426926858</v>
      </c>
      <c r="M41" s="15" t="n">
        <f aca="false">IF(A41&gt;=13,Assumptions!B28*IF(A41&gt;=13,(1+Assumptions!B32)^(A41-12),1),0)</f>
        <v>163123.820195144</v>
      </c>
      <c r="N41" s="15" t="n">
        <f aca="false">Assumptions!B29*IF(A41&gt;=13,(1+Assumptions!B32)^(A41-12),1)</f>
        <v>21749.8426926858</v>
      </c>
      <c r="O41" s="15" t="n">
        <f aca="false">SUM(I41:N41)</f>
        <v>445871.775200059</v>
      </c>
      <c r="P41" s="15" t="n">
        <f aca="false">H41-O41</f>
        <v>159939.544173183</v>
      </c>
      <c r="Q41" s="15" t="n">
        <f aca="false">Q40+P41</f>
        <v>1013631.03900405</v>
      </c>
      <c r="R41" s="16" t="str">
        <f aca="false">IF(Q41&gt;=0,"YES","No")</f>
        <v>YES</v>
      </c>
    </row>
    <row r="42" customFormat="false" ht="15" hidden="false" customHeight="false" outlineLevel="0" collapsed="false">
      <c r="A42" s="12" t="n">
        <v>41</v>
      </c>
      <c r="B42" s="13" t="n">
        <f aca="false">ROUNDUP(A42/12,0)</f>
        <v>4</v>
      </c>
      <c r="C42" s="13" t="str">
        <f aca="false">"Month "&amp;A42</f>
        <v>Month 41</v>
      </c>
      <c r="D42" s="14" t="n">
        <f aca="false">D41*(1+IF(B42=1,Assumptions!B14,Assumptions!B15))</f>
        <v>718.435335741039</v>
      </c>
      <c r="E42" s="15" t="n">
        <f aca="false">D42*Assumptions!B16</f>
        <v>431061.201444623</v>
      </c>
      <c r="F42" s="14" t="n">
        <f aca="false">F41*(1+Assumptions!B20)</f>
        <v>595.545493435289</v>
      </c>
      <c r="G42" s="15" t="n">
        <f aca="false">F42*Assumptions!B21</f>
        <v>178663.648030587</v>
      </c>
      <c r="H42" s="15" t="n">
        <f aca="false">E42+G42</f>
        <v>609724.84947521</v>
      </c>
      <c r="I42" s="15" t="n">
        <f aca="false">Assumptions!B24*IF(A42&gt;=13,(1+Assumptions!B32)^(A42-12),1)</f>
        <v>163613.191655729</v>
      </c>
      <c r="J42" s="15" t="n">
        <f aca="false">Assumptions!B25*IF(A42&gt;=13,(1+Assumptions!B32)^(A42-12),1)</f>
        <v>43630.1844415277</v>
      </c>
      <c r="K42" s="15" t="n">
        <f aca="false">Assumptions!B26*IF(A42&gt;=13,(1+Assumptions!B32)^(A42-12),1)</f>
        <v>32722.6383311458</v>
      </c>
      <c r="L42" s="15" t="n">
        <f aca="false">Assumptions!B27*IF(A42&gt;=13,(1+Assumptions!B32)^(A42-12),1)</f>
        <v>21815.0922207639</v>
      </c>
      <c r="M42" s="15" t="n">
        <f aca="false">IF(A42&gt;=13,Assumptions!B28*IF(A42&gt;=13,(1+Assumptions!B32)^(A42-12),1),0)</f>
        <v>163613.191655729</v>
      </c>
      <c r="N42" s="15" t="n">
        <f aca="false">Assumptions!B29*IF(A42&gt;=13,(1+Assumptions!B32)^(A42-12),1)</f>
        <v>21815.0922207639</v>
      </c>
      <c r="O42" s="15" t="n">
        <f aca="false">SUM(I42:N42)</f>
        <v>447209.390525659</v>
      </c>
      <c r="P42" s="15" t="n">
        <f aca="false">H42-O42</f>
        <v>162515.458949551</v>
      </c>
      <c r="Q42" s="15" t="n">
        <f aca="false">Q41+P42</f>
        <v>1176146.4979536</v>
      </c>
      <c r="R42" s="16" t="str">
        <f aca="false">IF(Q42&gt;=0,"YES","No")</f>
        <v>YES</v>
      </c>
    </row>
    <row r="43" customFormat="false" ht="15" hidden="false" customHeight="false" outlineLevel="0" collapsed="false">
      <c r="A43" s="12" t="n">
        <v>42</v>
      </c>
      <c r="B43" s="13" t="n">
        <f aca="false">ROUNDUP(A43/12,0)</f>
        <v>4</v>
      </c>
      <c r="C43" s="13" t="str">
        <f aca="false">"Month "&amp;A43</f>
        <v>Month 42</v>
      </c>
      <c r="D43" s="14" t="n">
        <f aca="false">D42*(1+IF(B43=1,Assumptions!B14,Assumptions!B15))</f>
        <v>722.027512419744</v>
      </c>
      <c r="E43" s="15" t="n">
        <f aca="false">D43*Assumptions!B16</f>
        <v>433216.507451846</v>
      </c>
      <c r="F43" s="14" t="n">
        <f aca="false">F42*(1+Assumptions!B20)</f>
        <v>601.500948369642</v>
      </c>
      <c r="G43" s="15" t="n">
        <f aca="false">F43*Assumptions!B21</f>
        <v>180450.284510893</v>
      </c>
      <c r="H43" s="15" t="n">
        <f aca="false">E43+G43</f>
        <v>613666.791962739</v>
      </c>
      <c r="I43" s="15" t="n">
        <f aca="false">Assumptions!B24*IF(A43&gt;=13,(1+Assumptions!B32)^(A43-12),1)</f>
        <v>164104.031230696</v>
      </c>
      <c r="J43" s="15" t="n">
        <f aca="false">Assumptions!B25*IF(A43&gt;=13,(1+Assumptions!B32)^(A43-12),1)</f>
        <v>43761.0749948523</v>
      </c>
      <c r="K43" s="15" t="n">
        <f aca="false">Assumptions!B26*IF(A43&gt;=13,(1+Assumptions!B32)^(A43-12),1)</f>
        <v>32820.8062461392</v>
      </c>
      <c r="L43" s="15" t="n">
        <f aca="false">Assumptions!B27*IF(A43&gt;=13,(1+Assumptions!B32)^(A43-12),1)</f>
        <v>21880.5374974261</v>
      </c>
      <c r="M43" s="15" t="n">
        <f aca="false">IF(A43&gt;=13,Assumptions!B28*IF(A43&gt;=13,(1+Assumptions!B32)^(A43-12),1),0)</f>
        <v>164104.031230696</v>
      </c>
      <c r="N43" s="15" t="n">
        <f aca="false">Assumptions!B29*IF(A43&gt;=13,(1+Assumptions!B32)^(A43-12),1)</f>
        <v>21880.5374974261</v>
      </c>
      <c r="O43" s="15" t="n">
        <f aca="false">SUM(I43:N43)</f>
        <v>448551.018697236</v>
      </c>
      <c r="P43" s="15" t="n">
        <f aca="false">H43-O43</f>
        <v>165115.773265503</v>
      </c>
      <c r="Q43" s="15" t="n">
        <f aca="false">Q42+P43</f>
        <v>1341262.27121911</v>
      </c>
      <c r="R43" s="16" t="str">
        <f aca="false">IF(Q43&gt;=0,"YES","No")</f>
        <v>YES</v>
      </c>
    </row>
    <row r="44" customFormat="false" ht="15" hidden="false" customHeight="false" outlineLevel="0" collapsed="false">
      <c r="A44" s="12" t="n">
        <v>43</v>
      </c>
      <c r="B44" s="13" t="n">
        <f aca="false">ROUNDUP(A44/12,0)</f>
        <v>4</v>
      </c>
      <c r="C44" s="13" t="str">
        <f aca="false">"Month "&amp;A44</f>
        <v>Month 43</v>
      </c>
      <c r="D44" s="14" t="n">
        <f aca="false">D43*(1+IF(B44=1,Assumptions!B14,Assumptions!B15))</f>
        <v>725.637649981843</v>
      </c>
      <c r="E44" s="15" t="n">
        <f aca="false">D44*Assumptions!B16</f>
        <v>435382.589989106</v>
      </c>
      <c r="F44" s="14" t="n">
        <f aca="false">F43*(1+Assumptions!B20)</f>
        <v>607.515957853338</v>
      </c>
      <c r="G44" s="15" t="n">
        <f aca="false">F44*Assumptions!B21</f>
        <v>182254.787356001</v>
      </c>
      <c r="H44" s="15" t="n">
        <f aca="false">E44+G44</f>
        <v>617637.377345107</v>
      </c>
      <c r="I44" s="15" t="n">
        <f aca="false">Assumptions!B24*IF(A44&gt;=13,(1+Assumptions!B32)^(A44-12),1)</f>
        <v>164596.343324388</v>
      </c>
      <c r="J44" s="15" t="n">
        <f aca="false">Assumptions!B25*IF(A44&gt;=13,(1+Assumptions!B32)^(A44-12),1)</f>
        <v>43892.3582198368</v>
      </c>
      <c r="K44" s="15" t="n">
        <f aca="false">Assumptions!B26*IF(A44&gt;=13,(1+Assumptions!B32)^(A44-12),1)</f>
        <v>32919.2686648776</v>
      </c>
      <c r="L44" s="15" t="n">
        <f aca="false">Assumptions!B27*IF(A44&gt;=13,(1+Assumptions!B32)^(A44-12),1)</f>
        <v>21946.1791099184</v>
      </c>
      <c r="M44" s="15" t="n">
        <f aca="false">IF(A44&gt;=13,Assumptions!B28*IF(A44&gt;=13,(1+Assumptions!B32)^(A44-12),1),0)</f>
        <v>164596.343324388</v>
      </c>
      <c r="N44" s="15" t="n">
        <f aca="false">Assumptions!B29*IF(A44&gt;=13,(1+Assumptions!B32)^(A44-12),1)</f>
        <v>21946.1791099184</v>
      </c>
      <c r="O44" s="15" t="n">
        <f aca="false">SUM(I44:N44)</f>
        <v>449896.671753328</v>
      </c>
      <c r="P44" s="15" t="n">
        <f aca="false">H44-O44</f>
        <v>167740.70559178</v>
      </c>
      <c r="Q44" s="15" t="n">
        <f aca="false">Q43+P44</f>
        <v>1509002.97681089</v>
      </c>
      <c r="R44" s="16" t="str">
        <f aca="false">IF(Q44&gt;=0,"YES","No")</f>
        <v>YES</v>
      </c>
    </row>
    <row r="45" customFormat="false" ht="15" hidden="false" customHeight="false" outlineLevel="0" collapsed="false">
      <c r="A45" s="12" t="n">
        <v>44</v>
      </c>
      <c r="B45" s="13" t="n">
        <f aca="false">ROUNDUP(A45/12,0)</f>
        <v>4</v>
      </c>
      <c r="C45" s="13" t="str">
        <f aca="false">"Month "&amp;A45</f>
        <v>Month 44</v>
      </c>
      <c r="D45" s="14" t="n">
        <f aca="false">D44*(1+IF(B45=1,Assumptions!B14,Assumptions!B15))</f>
        <v>729.265838231752</v>
      </c>
      <c r="E45" s="15" t="n">
        <f aca="false">D45*Assumptions!B16</f>
        <v>437559.502939051</v>
      </c>
      <c r="F45" s="14" t="n">
        <f aca="false">F44*(1+Assumptions!B20)</f>
        <v>613.591117431872</v>
      </c>
      <c r="G45" s="15" t="n">
        <f aca="false">F45*Assumptions!B21</f>
        <v>184077.335229562</v>
      </c>
      <c r="H45" s="15" t="n">
        <f aca="false">E45+G45</f>
        <v>621636.838168613</v>
      </c>
      <c r="I45" s="15" t="n">
        <f aca="false">Assumptions!B24*IF(A45&gt;=13,(1+Assumptions!B32)^(A45-12),1)</f>
        <v>165090.132354361</v>
      </c>
      <c r="J45" s="15" t="n">
        <f aca="false">Assumptions!B25*IF(A45&gt;=13,(1+Assumptions!B32)^(A45-12),1)</f>
        <v>44024.0352944964</v>
      </c>
      <c r="K45" s="15" t="n">
        <f aca="false">Assumptions!B26*IF(A45&gt;=13,(1+Assumptions!B32)^(A45-12),1)</f>
        <v>33018.0264708723</v>
      </c>
      <c r="L45" s="15" t="n">
        <f aca="false">Assumptions!B27*IF(A45&gt;=13,(1+Assumptions!B32)^(A45-12),1)</f>
        <v>22012.0176472482</v>
      </c>
      <c r="M45" s="15" t="n">
        <f aca="false">IF(A45&gt;=13,Assumptions!B28*IF(A45&gt;=13,(1+Assumptions!B32)^(A45-12),1),0)</f>
        <v>165090.132354361</v>
      </c>
      <c r="N45" s="15" t="n">
        <f aca="false">Assumptions!B29*IF(A45&gt;=13,(1+Assumptions!B32)^(A45-12),1)</f>
        <v>22012.0176472482</v>
      </c>
      <c r="O45" s="15" t="n">
        <f aca="false">SUM(I45:N45)</f>
        <v>451246.361768588</v>
      </c>
      <c r="P45" s="15" t="n">
        <f aca="false">H45-O45</f>
        <v>170390.476400025</v>
      </c>
      <c r="Q45" s="15" t="n">
        <f aca="false">Q44+P45</f>
        <v>1679393.45321091</v>
      </c>
      <c r="R45" s="16" t="str">
        <f aca="false">IF(Q45&gt;=0,"YES","No")</f>
        <v>YES</v>
      </c>
    </row>
    <row r="46" customFormat="false" ht="15" hidden="false" customHeight="false" outlineLevel="0" collapsed="false">
      <c r="A46" s="12" t="n">
        <v>45</v>
      </c>
      <c r="B46" s="13" t="n">
        <f aca="false">ROUNDUP(A46/12,0)</f>
        <v>4</v>
      </c>
      <c r="C46" s="13" t="str">
        <f aca="false">"Month "&amp;A46</f>
        <v>Month 45</v>
      </c>
      <c r="D46" s="14" t="n">
        <f aca="false">D45*(1+IF(B46=1,Assumptions!B14,Assumptions!B15))</f>
        <v>732.912167422911</v>
      </c>
      <c r="E46" s="15" t="n">
        <f aca="false">D46*Assumptions!B16</f>
        <v>439747.300453746</v>
      </c>
      <c r="F46" s="14" t="n">
        <f aca="false">F45*(1+Assumptions!B20)</f>
        <v>619.72702860619</v>
      </c>
      <c r="G46" s="15" t="n">
        <f aca="false">F46*Assumptions!B21</f>
        <v>185918.108581857</v>
      </c>
      <c r="H46" s="15" t="n">
        <f aca="false">E46+G46</f>
        <v>625665.409035604</v>
      </c>
      <c r="I46" s="15" t="n">
        <f aca="false">Assumptions!B24*IF(A46&gt;=13,(1+Assumptions!B32)^(A46-12),1)</f>
        <v>165585.402751424</v>
      </c>
      <c r="J46" s="15" t="n">
        <f aca="false">Assumptions!B25*IF(A46&gt;=13,(1+Assumptions!B32)^(A46-12),1)</f>
        <v>44156.1074003798</v>
      </c>
      <c r="K46" s="15" t="n">
        <f aca="false">Assumptions!B26*IF(A46&gt;=13,(1+Assumptions!B32)^(A46-12),1)</f>
        <v>33117.0805502849</v>
      </c>
      <c r="L46" s="15" t="n">
        <f aca="false">Assumptions!B27*IF(A46&gt;=13,(1+Assumptions!B32)^(A46-12),1)</f>
        <v>22078.0537001899</v>
      </c>
      <c r="M46" s="15" t="n">
        <f aca="false">IF(A46&gt;=13,Assumptions!B28*IF(A46&gt;=13,(1+Assumptions!B32)^(A46-12),1),0)</f>
        <v>165585.402751424</v>
      </c>
      <c r="N46" s="15" t="n">
        <f aca="false">Assumptions!B29*IF(A46&gt;=13,(1+Assumptions!B32)^(A46-12),1)</f>
        <v>22078.0537001899</v>
      </c>
      <c r="O46" s="15" t="n">
        <f aca="false">SUM(I46:N46)</f>
        <v>452600.100853893</v>
      </c>
      <c r="P46" s="15" t="n">
        <f aca="false">H46-O46</f>
        <v>173065.30818171</v>
      </c>
      <c r="Q46" s="15" t="n">
        <f aca="false">Q45+P46</f>
        <v>1852458.76139262</v>
      </c>
      <c r="R46" s="16" t="str">
        <f aca="false">IF(Q46&gt;=0,"YES","No")</f>
        <v>YES</v>
      </c>
    </row>
    <row r="47" customFormat="false" ht="15" hidden="false" customHeight="false" outlineLevel="0" collapsed="false">
      <c r="A47" s="12" t="n">
        <v>46</v>
      </c>
      <c r="B47" s="13" t="n">
        <f aca="false">ROUNDUP(A47/12,0)</f>
        <v>4</v>
      </c>
      <c r="C47" s="13" t="str">
        <f aca="false">"Month "&amp;A47</f>
        <v>Month 46</v>
      </c>
      <c r="D47" s="14" t="n">
        <f aca="false">D46*(1+IF(B47=1,Assumptions!B14,Assumptions!B15))</f>
        <v>736.576728260025</v>
      </c>
      <c r="E47" s="15" t="n">
        <f aca="false">D47*Assumptions!B16</f>
        <v>441946.036956015</v>
      </c>
      <c r="F47" s="14" t="n">
        <f aca="false">F46*(1+Assumptions!B20)</f>
        <v>625.924298892252</v>
      </c>
      <c r="G47" s="15" t="n">
        <f aca="false">F47*Assumptions!B21</f>
        <v>187777.289667676</v>
      </c>
      <c r="H47" s="15" t="n">
        <f aca="false">E47+G47</f>
        <v>629723.326623691</v>
      </c>
      <c r="I47" s="15" t="n">
        <f aca="false">Assumptions!B24*IF(A47&gt;=13,(1+Assumptions!B32)^(A47-12),1)</f>
        <v>166082.158959679</v>
      </c>
      <c r="J47" s="15" t="n">
        <f aca="false">Assumptions!B25*IF(A47&gt;=13,(1+Assumptions!B32)^(A47-12),1)</f>
        <v>44288.575722581</v>
      </c>
      <c r="K47" s="15" t="n">
        <f aca="false">Assumptions!B26*IF(A47&gt;=13,(1+Assumptions!B32)^(A47-12),1)</f>
        <v>33216.4317919357</v>
      </c>
      <c r="L47" s="15" t="n">
        <f aca="false">Assumptions!B27*IF(A47&gt;=13,(1+Assumptions!B32)^(A47-12),1)</f>
        <v>22144.2878612905</v>
      </c>
      <c r="M47" s="15" t="n">
        <f aca="false">IF(A47&gt;=13,Assumptions!B28*IF(A47&gt;=13,(1+Assumptions!B32)^(A47-12),1),0)</f>
        <v>166082.158959679</v>
      </c>
      <c r="N47" s="15" t="n">
        <f aca="false">Assumptions!B29*IF(A47&gt;=13,(1+Assumptions!B32)^(A47-12),1)</f>
        <v>22144.2878612905</v>
      </c>
      <c r="O47" s="15" t="n">
        <f aca="false">SUM(I47:N47)</f>
        <v>453957.901156455</v>
      </c>
      <c r="P47" s="15" t="n">
        <f aca="false">H47-O47</f>
        <v>175765.425467236</v>
      </c>
      <c r="Q47" s="15" t="n">
        <f aca="false">Q46+P47</f>
        <v>2028224.18685986</v>
      </c>
      <c r="R47" s="16" t="str">
        <f aca="false">IF(Q47&gt;=0,"YES","No")</f>
        <v>YES</v>
      </c>
    </row>
    <row r="48" customFormat="false" ht="15" hidden="false" customHeight="false" outlineLevel="0" collapsed="false">
      <c r="A48" s="12" t="n">
        <v>47</v>
      </c>
      <c r="B48" s="13" t="n">
        <f aca="false">ROUNDUP(A48/12,0)</f>
        <v>4</v>
      </c>
      <c r="C48" s="13" t="str">
        <f aca="false">"Month "&amp;A48</f>
        <v>Month 47</v>
      </c>
      <c r="D48" s="14" t="n">
        <f aca="false">D47*(1+IF(B48=1,Assumptions!B14,Assumptions!B15))</f>
        <v>740.259611901325</v>
      </c>
      <c r="E48" s="15" t="n">
        <f aca="false">D48*Assumptions!B16</f>
        <v>444155.767140795</v>
      </c>
      <c r="F48" s="14" t="n">
        <f aca="false">F47*(1+Assumptions!B20)</f>
        <v>632.183541881175</v>
      </c>
      <c r="G48" s="15" t="n">
        <f aca="false">F48*Assumptions!B21</f>
        <v>189655.062564352</v>
      </c>
      <c r="H48" s="15" t="n">
        <f aca="false">E48+G48</f>
        <v>633810.829705147</v>
      </c>
      <c r="I48" s="15" t="n">
        <f aca="false">Assumptions!B24*IF(A48&gt;=13,(1+Assumptions!B32)^(A48-12),1)</f>
        <v>166580.405436558</v>
      </c>
      <c r="J48" s="15" t="n">
        <f aca="false">Assumptions!B25*IF(A48&gt;=13,(1+Assumptions!B32)^(A48-12),1)</f>
        <v>44421.4414497487</v>
      </c>
      <c r="K48" s="15" t="n">
        <f aca="false">Assumptions!B26*IF(A48&gt;=13,(1+Assumptions!B32)^(A48-12),1)</f>
        <v>33316.0810873115</v>
      </c>
      <c r="L48" s="15" t="n">
        <f aca="false">Assumptions!B27*IF(A48&gt;=13,(1+Assumptions!B32)^(A48-12),1)</f>
        <v>22210.7207248744</v>
      </c>
      <c r="M48" s="15" t="n">
        <f aca="false">IF(A48&gt;=13,Assumptions!B28*IF(A48&gt;=13,(1+Assumptions!B32)^(A48-12),1),0)</f>
        <v>166580.405436558</v>
      </c>
      <c r="N48" s="15" t="n">
        <f aca="false">Assumptions!B29*IF(A48&gt;=13,(1+Assumptions!B32)^(A48-12),1)</f>
        <v>22210.7207248744</v>
      </c>
      <c r="O48" s="15" t="n">
        <f aca="false">SUM(I48:N48)</f>
        <v>455319.774859924</v>
      </c>
      <c r="P48" s="15" t="n">
        <f aca="false">H48-O48</f>
        <v>178491.054845223</v>
      </c>
      <c r="Q48" s="15" t="n">
        <f aca="false">Q47+P48</f>
        <v>2206715.24170508</v>
      </c>
      <c r="R48" s="16" t="str">
        <f aca="false">IF(Q48&gt;=0,"YES","No")</f>
        <v>YES</v>
      </c>
    </row>
    <row r="49" customFormat="false" ht="15" hidden="false" customHeight="false" outlineLevel="0" collapsed="false">
      <c r="A49" s="12" t="n">
        <v>48</v>
      </c>
      <c r="B49" s="13" t="n">
        <f aca="false">ROUNDUP(A49/12,0)</f>
        <v>4</v>
      </c>
      <c r="C49" s="13" t="str">
        <f aca="false">"Month "&amp;A49</f>
        <v>Month 48</v>
      </c>
      <c r="D49" s="14" t="n">
        <f aca="false">D48*(1+IF(B49=1,Assumptions!B14,Assumptions!B15))</f>
        <v>743.960909960832</v>
      </c>
      <c r="E49" s="15" t="n">
        <f aca="false">D49*Assumptions!B16</f>
        <v>446376.545976499</v>
      </c>
      <c r="F49" s="14" t="n">
        <f aca="false">F48*(1+Assumptions!B20)</f>
        <v>638.505377299987</v>
      </c>
      <c r="G49" s="15" t="n">
        <f aca="false">F49*Assumptions!B21</f>
        <v>191551.613189996</v>
      </c>
      <c r="H49" s="15" t="n">
        <f aca="false">E49+G49</f>
        <v>637928.159166495</v>
      </c>
      <c r="I49" s="15" t="n">
        <f aca="false">Assumptions!B24*IF(A49&gt;=13,(1+Assumptions!B32)^(A49-12),1)</f>
        <v>167080.146652867</v>
      </c>
      <c r="J49" s="15" t="n">
        <f aca="false">Assumptions!B25*IF(A49&gt;=13,(1+Assumptions!B32)^(A49-12),1)</f>
        <v>44554.705774098</v>
      </c>
      <c r="K49" s="15" t="n">
        <f aca="false">Assumptions!B26*IF(A49&gt;=13,(1+Assumptions!B32)^(A49-12),1)</f>
        <v>33416.0293305735</v>
      </c>
      <c r="L49" s="15" t="n">
        <f aca="false">Assumptions!B27*IF(A49&gt;=13,(1+Assumptions!B32)^(A49-12),1)</f>
        <v>22277.352887049</v>
      </c>
      <c r="M49" s="15" t="n">
        <f aca="false">IF(A49&gt;=13,Assumptions!B28*IF(A49&gt;=13,(1+Assumptions!B32)^(A49-12),1),0)</f>
        <v>167080.146652867</v>
      </c>
      <c r="N49" s="15" t="n">
        <f aca="false">Assumptions!B29*IF(A49&gt;=13,(1+Assumptions!B32)^(A49-12),1)</f>
        <v>22277.352887049</v>
      </c>
      <c r="O49" s="15" t="n">
        <f aca="false">SUM(I49:N49)</f>
        <v>456685.734184504</v>
      </c>
      <c r="P49" s="15" t="n">
        <f aca="false">H49-O49</f>
        <v>181242.424981991</v>
      </c>
      <c r="Q49" s="15" t="n">
        <f aca="false">Q48+P49</f>
        <v>2387957.66668707</v>
      </c>
      <c r="R49" s="16" t="str">
        <f aca="false">IF(Q49&gt;=0,"YES","No")</f>
        <v>YES</v>
      </c>
    </row>
    <row r="50" customFormat="false" ht="15" hidden="false" customHeight="false" outlineLevel="0" collapsed="false">
      <c r="A50" s="12" t="n">
        <v>49</v>
      </c>
      <c r="B50" s="13" t="n">
        <f aca="false">ROUNDUP(A50/12,0)</f>
        <v>5</v>
      </c>
      <c r="C50" s="13" t="str">
        <f aca="false">"Month "&amp;A50</f>
        <v>Month 49</v>
      </c>
      <c r="D50" s="14" t="n">
        <f aca="false">D49*(1+IF(B50=1,Assumptions!B14,Assumptions!B15))</f>
        <v>747.680714510636</v>
      </c>
      <c r="E50" s="15" t="n">
        <f aca="false">D50*Assumptions!B16</f>
        <v>448608.428706381</v>
      </c>
      <c r="F50" s="14" t="n">
        <f aca="false">F49*(1+Assumptions!B20)</f>
        <v>644.890431072986</v>
      </c>
      <c r="G50" s="15" t="n">
        <f aca="false">F50*Assumptions!B21</f>
        <v>193467.129321896</v>
      </c>
      <c r="H50" s="15" t="n">
        <f aca="false">E50+G50</f>
        <v>642075.558028277</v>
      </c>
      <c r="I50" s="15" t="n">
        <f aca="false">Assumptions!B24*IF(A50&gt;=13,(1+Assumptions!B32)^(A50-12),1)</f>
        <v>167581.387092826</v>
      </c>
      <c r="J50" s="15" t="n">
        <f aca="false">Assumptions!B25*IF(A50&gt;=13,(1+Assumptions!B32)^(A50-12),1)</f>
        <v>44688.3698914202</v>
      </c>
      <c r="K50" s="15" t="n">
        <f aca="false">Assumptions!B26*IF(A50&gt;=13,(1+Assumptions!B32)^(A50-12),1)</f>
        <v>33516.2774185652</v>
      </c>
      <c r="L50" s="15" t="n">
        <f aca="false">Assumptions!B27*IF(A50&gt;=13,(1+Assumptions!B32)^(A50-12),1)</f>
        <v>22344.1849457101</v>
      </c>
      <c r="M50" s="15" t="n">
        <f aca="false">IF(A50&gt;=13,Assumptions!B28*IF(A50&gt;=13,(1+Assumptions!B32)^(A50-12),1),0)</f>
        <v>167581.387092826</v>
      </c>
      <c r="N50" s="15" t="n">
        <f aca="false">Assumptions!B29*IF(A50&gt;=13,(1+Assumptions!B32)^(A50-12),1)</f>
        <v>22344.1849457101</v>
      </c>
      <c r="O50" s="15" t="n">
        <f aca="false">SUM(I50:N50)</f>
        <v>458055.791387057</v>
      </c>
      <c r="P50" s="15" t="n">
        <f aca="false">H50-O50</f>
        <v>184019.76664122</v>
      </c>
      <c r="Q50" s="15" t="n">
        <f aca="false">Q49+P50</f>
        <v>2571977.43332829</v>
      </c>
      <c r="R50" s="16" t="str">
        <f aca="false">IF(Q50&gt;=0,"YES","No")</f>
        <v>YES</v>
      </c>
    </row>
    <row r="51" customFormat="false" ht="15" hidden="false" customHeight="false" outlineLevel="0" collapsed="false">
      <c r="A51" s="12" t="n">
        <v>50</v>
      </c>
      <c r="B51" s="13" t="n">
        <f aca="false">ROUNDUP(A51/12,0)</f>
        <v>5</v>
      </c>
      <c r="C51" s="13" t="str">
        <f aca="false">"Month "&amp;A51</f>
        <v>Month 50</v>
      </c>
      <c r="D51" s="14" t="n">
        <f aca="false">D50*(1+IF(B51=1,Assumptions!B14,Assumptions!B15))</f>
        <v>751.419118083189</v>
      </c>
      <c r="E51" s="15" t="n">
        <f aca="false">D51*Assumptions!B16</f>
        <v>450851.470849913</v>
      </c>
      <c r="F51" s="14" t="n">
        <f aca="false">F50*(1+Assumptions!B20)</f>
        <v>651.339335383716</v>
      </c>
      <c r="G51" s="15" t="n">
        <f aca="false">F51*Assumptions!B21</f>
        <v>195401.800615115</v>
      </c>
      <c r="H51" s="15" t="n">
        <f aca="false">E51+G51</f>
        <v>646253.271465028</v>
      </c>
      <c r="I51" s="15" t="n">
        <f aca="false">Assumptions!B24*IF(A51&gt;=13,(1+Assumptions!B32)^(A51-12),1)</f>
        <v>168084.131254104</v>
      </c>
      <c r="J51" s="15" t="n">
        <f aca="false">Assumptions!B25*IF(A51&gt;=13,(1+Assumptions!B32)^(A51-12),1)</f>
        <v>44822.4350010945</v>
      </c>
      <c r="K51" s="15" t="n">
        <f aca="false">Assumptions!B26*IF(A51&gt;=13,(1+Assumptions!B32)^(A51-12),1)</f>
        <v>33616.8262508209</v>
      </c>
      <c r="L51" s="15" t="n">
        <f aca="false">Assumptions!B27*IF(A51&gt;=13,(1+Assumptions!B32)^(A51-12),1)</f>
        <v>22411.2175005472</v>
      </c>
      <c r="M51" s="15" t="n">
        <f aca="false">IF(A51&gt;=13,Assumptions!B28*IF(A51&gt;=13,(1+Assumptions!B32)^(A51-12),1),0)</f>
        <v>168084.131254104</v>
      </c>
      <c r="N51" s="15" t="n">
        <f aca="false">Assumptions!B29*IF(A51&gt;=13,(1+Assumptions!B32)^(A51-12),1)</f>
        <v>22411.2175005472</v>
      </c>
      <c r="O51" s="15" t="n">
        <f aca="false">SUM(I51:N51)</f>
        <v>459429.958761219</v>
      </c>
      <c r="P51" s="15" t="n">
        <f aca="false">H51-O51</f>
        <v>186823.31270381</v>
      </c>
      <c r="Q51" s="15" t="n">
        <f aca="false">Q50+P51</f>
        <v>2758800.7460321</v>
      </c>
      <c r="R51" s="16" t="str">
        <f aca="false">IF(Q51&gt;=0,"YES","No")</f>
        <v>YES</v>
      </c>
    </row>
    <row r="52" customFormat="false" ht="15" hidden="false" customHeight="false" outlineLevel="0" collapsed="false">
      <c r="A52" s="12" t="n">
        <v>51</v>
      </c>
      <c r="B52" s="13" t="n">
        <f aca="false">ROUNDUP(A52/12,0)</f>
        <v>5</v>
      </c>
      <c r="C52" s="13" t="str">
        <f aca="false">"Month "&amp;A52</f>
        <v>Month 51</v>
      </c>
      <c r="D52" s="14" t="n">
        <f aca="false">D51*(1+IF(B52=1,Assumptions!B14,Assumptions!B15))</f>
        <v>755.176213673605</v>
      </c>
      <c r="E52" s="15" t="n">
        <f aca="false">D52*Assumptions!B16</f>
        <v>453105.728204163</v>
      </c>
      <c r="F52" s="14" t="n">
        <f aca="false">F51*(1+Assumptions!B20)</f>
        <v>657.852728737553</v>
      </c>
      <c r="G52" s="15" t="n">
        <f aca="false">F52*Assumptions!B21</f>
        <v>197355.818621266</v>
      </c>
      <c r="H52" s="15" t="n">
        <f aca="false">E52+G52</f>
        <v>650461.546825429</v>
      </c>
      <c r="I52" s="15" t="n">
        <f aca="false">Assumptions!B24*IF(A52&gt;=13,(1+Assumptions!B32)^(A52-12),1)</f>
        <v>168588.383647867</v>
      </c>
      <c r="J52" s="15" t="n">
        <f aca="false">Assumptions!B25*IF(A52&gt;=13,(1+Assumptions!B32)^(A52-12),1)</f>
        <v>44956.9023060978</v>
      </c>
      <c r="K52" s="15" t="n">
        <f aca="false">Assumptions!B26*IF(A52&gt;=13,(1+Assumptions!B32)^(A52-12),1)</f>
        <v>33717.6767295733</v>
      </c>
      <c r="L52" s="15" t="n">
        <f aca="false">Assumptions!B27*IF(A52&gt;=13,(1+Assumptions!B32)^(A52-12),1)</f>
        <v>22478.4511530489</v>
      </c>
      <c r="M52" s="15" t="n">
        <f aca="false">IF(A52&gt;=13,Assumptions!B28*IF(A52&gt;=13,(1+Assumptions!B32)^(A52-12),1),0)</f>
        <v>168588.383647867</v>
      </c>
      <c r="N52" s="15" t="n">
        <f aca="false">Assumptions!B29*IF(A52&gt;=13,(1+Assumptions!B32)^(A52-12),1)</f>
        <v>22478.4511530489</v>
      </c>
      <c r="O52" s="15" t="n">
        <f aca="false">SUM(I52:N52)</f>
        <v>460808.248637502</v>
      </c>
      <c r="P52" s="15" t="n">
        <f aca="false">H52-O52</f>
        <v>189653.298187927</v>
      </c>
      <c r="Q52" s="15" t="n">
        <f aca="false">Q51+P52</f>
        <v>2948454.04422003</v>
      </c>
      <c r="R52" s="16" t="str">
        <f aca="false">IF(Q52&gt;=0,"YES","No")</f>
        <v>YES</v>
      </c>
    </row>
    <row r="53" customFormat="false" ht="15" hidden="false" customHeight="false" outlineLevel="0" collapsed="false">
      <c r="A53" s="12" t="n">
        <v>52</v>
      </c>
      <c r="B53" s="13" t="n">
        <f aca="false">ROUNDUP(A53/12,0)</f>
        <v>5</v>
      </c>
      <c r="C53" s="13" t="str">
        <f aca="false">"Month "&amp;A53</f>
        <v>Month 52</v>
      </c>
      <c r="D53" s="14" t="n">
        <f aca="false">D52*(1+IF(B53=1,Assumptions!B14,Assumptions!B15))</f>
        <v>758.952094741973</v>
      </c>
      <c r="E53" s="15" t="n">
        <f aca="false">D53*Assumptions!B16</f>
        <v>455371.256845184</v>
      </c>
      <c r="F53" s="14" t="n">
        <f aca="false">F52*(1+Assumptions!B20)</f>
        <v>664.431256024929</v>
      </c>
      <c r="G53" s="15" t="n">
        <f aca="false">F53*Assumptions!B21</f>
        <v>199329.376807479</v>
      </c>
      <c r="H53" s="15" t="n">
        <f aca="false">E53+G53</f>
        <v>654700.633652662</v>
      </c>
      <c r="I53" s="15" t="n">
        <f aca="false">Assumptions!B24*IF(A53&gt;=13,(1+Assumptions!B32)^(A53-12),1)</f>
        <v>169094.14879881</v>
      </c>
      <c r="J53" s="15" t="n">
        <f aca="false">Assumptions!B25*IF(A53&gt;=13,(1+Assumptions!B32)^(A53-12),1)</f>
        <v>45091.7730130161</v>
      </c>
      <c r="K53" s="15" t="n">
        <f aca="false">Assumptions!B26*IF(A53&gt;=13,(1+Assumptions!B32)^(A53-12),1)</f>
        <v>33818.8297597621</v>
      </c>
      <c r="L53" s="15" t="n">
        <f aca="false">Assumptions!B27*IF(A53&gt;=13,(1+Assumptions!B32)^(A53-12),1)</f>
        <v>22545.886506508</v>
      </c>
      <c r="M53" s="15" t="n">
        <f aca="false">IF(A53&gt;=13,Assumptions!B28*IF(A53&gt;=13,(1+Assumptions!B32)^(A53-12),1),0)</f>
        <v>169094.14879881</v>
      </c>
      <c r="N53" s="15" t="n">
        <f aca="false">Assumptions!B29*IF(A53&gt;=13,(1+Assumptions!B32)^(A53-12),1)</f>
        <v>22545.886506508</v>
      </c>
      <c r="O53" s="15" t="n">
        <f aca="false">SUM(I53:N53)</f>
        <v>462190.673383415</v>
      </c>
      <c r="P53" s="15" t="n">
        <f aca="false">H53-O53</f>
        <v>192509.960269248</v>
      </c>
      <c r="Q53" s="15" t="n">
        <f aca="false">Q52+P53</f>
        <v>3140964.00448928</v>
      </c>
      <c r="R53" s="16" t="str">
        <f aca="false">IF(Q53&gt;=0,"YES","No")</f>
        <v>YES</v>
      </c>
    </row>
    <row r="54" customFormat="false" ht="15" hidden="false" customHeight="false" outlineLevel="0" collapsed="false">
      <c r="A54" s="12" t="n">
        <v>53</v>
      </c>
      <c r="B54" s="13" t="n">
        <f aca="false">ROUNDUP(A54/12,0)</f>
        <v>5</v>
      </c>
      <c r="C54" s="13" t="str">
        <f aca="false">"Month "&amp;A54</f>
        <v>Month 53</v>
      </c>
      <c r="D54" s="14" t="n">
        <f aca="false">D53*(1+IF(B54=1,Assumptions!B14,Assumptions!B15))</f>
        <v>762.746855215682</v>
      </c>
      <c r="E54" s="15" t="n">
        <f aca="false">D54*Assumptions!B16</f>
        <v>457648.113129409</v>
      </c>
      <c r="F54" s="14" t="n">
        <f aca="false">F53*(1+Assumptions!B20)</f>
        <v>671.075568585178</v>
      </c>
      <c r="G54" s="15" t="n">
        <f aca="false">F54*Assumptions!B21</f>
        <v>201322.670575554</v>
      </c>
      <c r="H54" s="15" t="n">
        <f aca="false">E54+G54</f>
        <v>658970.783704963</v>
      </c>
      <c r="I54" s="15" t="n">
        <f aca="false">Assumptions!B24*IF(A54&gt;=13,(1+Assumptions!B32)^(A54-12),1)</f>
        <v>169601.431245207</v>
      </c>
      <c r="J54" s="15" t="n">
        <f aca="false">Assumptions!B25*IF(A54&gt;=13,(1+Assumptions!B32)^(A54-12),1)</f>
        <v>45227.0483320551</v>
      </c>
      <c r="K54" s="15" t="n">
        <f aca="false">Assumptions!B26*IF(A54&gt;=13,(1+Assumptions!B32)^(A54-12),1)</f>
        <v>33920.2862490413</v>
      </c>
      <c r="L54" s="15" t="n">
        <f aca="false">Assumptions!B27*IF(A54&gt;=13,(1+Assumptions!B32)^(A54-12),1)</f>
        <v>22613.5241660276</v>
      </c>
      <c r="M54" s="15" t="n">
        <f aca="false">IF(A54&gt;=13,Assumptions!B28*IF(A54&gt;=13,(1+Assumptions!B32)^(A54-12),1),0)</f>
        <v>169601.431245207</v>
      </c>
      <c r="N54" s="15" t="n">
        <f aca="false">Assumptions!B29*IF(A54&gt;=13,(1+Assumptions!B32)^(A54-12),1)</f>
        <v>22613.5241660276</v>
      </c>
      <c r="O54" s="15" t="n">
        <f aca="false">SUM(I54:N54)</f>
        <v>463577.245403565</v>
      </c>
      <c r="P54" s="15" t="n">
        <f aca="false">H54-O54</f>
        <v>195393.538301398</v>
      </c>
      <c r="Q54" s="15" t="n">
        <f aca="false">Q53+P54</f>
        <v>3336357.54279067</v>
      </c>
      <c r="R54" s="16" t="str">
        <f aca="false">IF(Q54&gt;=0,"YES","No")</f>
        <v>YES</v>
      </c>
    </row>
    <row r="55" customFormat="false" ht="15" hidden="false" customHeight="false" outlineLevel="0" collapsed="false">
      <c r="A55" s="12" t="n">
        <v>54</v>
      </c>
      <c r="B55" s="13" t="n">
        <f aca="false">ROUNDUP(A55/12,0)</f>
        <v>5</v>
      </c>
      <c r="C55" s="13" t="str">
        <f aca="false">"Month "&amp;A55</f>
        <v>Month 54</v>
      </c>
      <c r="D55" s="14" t="n">
        <f aca="false">D54*(1+IF(B55=1,Assumptions!B14,Assumptions!B15))</f>
        <v>766.560589491761</v>
      </c>
      <c r="E55" s="15" t="n">
        <f aca="false">D55*Assumptions!B16</f>
        <v>459936.353695056</v>
      </c>
      <c r="F55" s="14" t="n">
        <f aca="false">F54*(1+Assumptions!B20)</f>
        <v>677.78632427103</v>
      </c>
      <c r="G55" s="15" t="n">
        <f aca="false">F55*Assumptions!B21</f>
        <v>203335.897281309</v>
      </c>
      <c r="H55" s="15" t="n">
        <f aca="false">E55+G55</f>
        <v>663272.250976365</v>
      </c>
      <c r="I55" s="15" t="n">
        <f aca="false">Assumptions!B24*IF(A55&gt;=13,(1+Assumptions!B32)^(A55-12),1)</f>
        <v>170110.235538942</v>
      </c>
      <c r="J55" s="15" t="n">
        <f aca="false">Assumptions!B25*IF(A55&gt;=13,(1+Assumptions!B32)^(A55-12),1)</f>
        <v>45362.7294770513</v>
      </c>
      <c r="K55" s="15" t="n">
        <f aca="false">Assumptions!B26*IF(A55&gt;=13,(1+Assumptions!B32)^(A55-12),1)</f>
        <v>34022.0471077885</v>
      </c>
      <c r="L55" s="15" t="n">
        <f aca="false">Assumptions!B27*IF(A55&gt;=13,(1+Assumptions!B32)^(A55-12),1)</f>
        <v>22681.3647385256</v>
      </c>
      <c r="M55" s="15" t="n">
        <f aca="false">IF(A55&gt;=13,Assumptions!B28*IF(A55&gt;=13,(1+Assumptions!B32)^(A55-12),1),0)</f>
        <v>170110.235538942</v>
      </c>
      <c r="N55" s="15" t="n">
        <f aca="false">Assumptions!B29*IF(A55&gt;=13,(1+Assumptions!B32)^(A55-12),1)</f>
        <v>22681.3647385256</v>
      </c>
      <c r="O55" s="15" t="n">
        <f aca="false">SUM(I55:N55)</f>
        <v>464967.977139776</v>
      </c>
      <c r="P55" s="15" t="n">
        <f aca="false">H55-O55</f>
        <v>198304.27383659</v>
      </c>
      <c r="Q55" s="15" t="n">
        <f aca="false">Q54+P55</f>
        <v>3534661.81662726</v>
      </c>
      <c r="R55" s="16" t="str">
        <f aca="false">IF(Q55&gt;=0,"YES","No")</f>
        <v>YES</v>
      </c>
    </row>
    <row r="56" customFormat="false" ht="15" hidden="false" customHeight="false" outlineLevel="0" collapsed="false">
      <c r="A56" s="12" t="n">
        <v>55</v>
      </c>
      <c r="B56" s="13" t="n">
        <f aca="false">ROUNDUP(A56/12,0)</f>
        <v>5</v>
      </c>
      <c r="C56" s="13" t="str">
        <f aca="false">"Month "&amp;A56</f>
        <v>Month 55</v>
      </c>
      <c r="D56" s="14" t="n">
        <f aca="false">D55*(1+IF(B56=1,Assumptions!B14,Assumptions!B15))</f>
        <v>770.393392439219</v>
      </c>
      <c r="E56" s="15" t="n">
        <f aca="false">D56*Assumptions!B16</f>
        <v>462236.035463532</v>
      </c>
      <c r="F56" s="14" t="n">
        <f aca="false">F55*(1+Assumptions!B20)</f>
        <v>684.56418751374</v>
      </c>
      <c r="G56" s="15" t="n">
        <f aca="false">F56*Assumptions!B21</f>
        <v>205369.256254122</v>
      </c>
      <c r="H56" s="15" t="n">
        <f aca="false">E56+G56</f>
        <v>667605.291717654</v>
      </c>
      <c r="I56" s="15" t="n">
        <f aca="false">Assumptions!B24*IF(A56&gt;=13,(1+Assumptions!B32)^(A56-12),1)</f>
        <v>170620.566245559</v>
      </c>
      <c r="J56" s="15" t="n">
        <f aca="false">Assumptions!B25*IF(A56&gt;=13,(1+Assumptions!B32)^(A56-12),1)</f>
        <v>45498.8176654824</v>
      </c>
      <c r="K56" s="15" t="n">
        <f aca="false">Assumptions!B26*IF(A56&gt;=13,(1+Assumptions!B32)^(A56-12),1)</f>
        <v>34124.1132491118</v>
      </c>
      <c r="L56" s="15" t="n">
        <f aca="false">Assumptions!B27*IF(A56&gt;=13,(1+Assumptions!B32)^(A56-12),1)</f>
        <v>22749.4088327412</v>
      </c>
      <c r="M56" s="15" t="n">
        <f aca="false">IF(A56&gt;=13,Assumptions!B28*IF(A56&gt;=13,(1+Assumptions!B32)^(A56-12),1),0)</f>
        <v>170620.566245559</v>
      </c>
      <c r="N56" s="15" t="n">
        <f aca="false">Assumptions!B29*IF(A56&gt;=13,(1+Assumptions!B32)^(A56-12),1)</f>
        <v>22749.4088327412</v>
      </c>
      <c r="O56" s="15" t="n">
        <f aca="false">SUM(I56:N56)</f>
        <v>466362.881071195</v>
      </c>
      <c r="P56" s="15" t="n">
        <f aca="false">H56-O56</f>
        <v>201242.410646459</v>
      </c>
      <c r="Q56" s="15" t="n">
        <f aca="false">Q55+P56</f>
        <v>3735904.22727372</v>
      </c>
      <c r="R56" s="16" t="str">
        <f aca="false">IF(Q56&gt;=0,"YES","No")</f>
        <v>YES</v>
      </c>
    </row>
    <row r="57" customFormat="false" ht="15" hidden="false" customHeight="false" outlineLevel="0" collapsed="false">
      <c r="A57" s="12" t="n">
        <v>56</v>
      </c>
      <c r="B57" s="13" t="n">
        <f aca="false">ROUNDUP(A57/12,0)</f>
        <v>5</v>
      </c>
      <c r="C57" s="13" t="str">
        <f aca="false">"Month "&amp;A57</f>
        <v>Month 56</v>
      </c>
      <c r="D57" s="14" t="n">
        <f aca="false">D56*(1+IF(B57=1,Assumptions!B14,Assumptions!B15))</f>
        <v>774.245359401415</v>
      </c>
      <c r="E57" s="15" t="n">
        <f aca="false">D57*Assumptions!B16</f>
        <v>464547.215640849</v>
      </c>
      <c r="F57" s="14" t="n">
        <f aca="false">F56*(1+Assumptions!B20)</f>
        <v>691.409829388878</v>
      </c>
      <c r="G57" s="15" t="n">
        <f aca="false">F57*Assumptions!B21</f>
        <v>207422.948816663</v>
      </c>
      <c r="H57" s="15" t="n">
        <f aca="false">E57+G57</f>
        <v>671970.164457513</v>
      </c>
      <c r="I57" s="15" t="n">
        <f aca="false">Assumptions!B24*IF(A57&gt;=13,(1+Assumptions!B32)^(A57-12),1)</f>
        <v>171132.427944296</v>
      </c>
      <c r="J57" s="15" t="n">
        <f aca="false">Assumptions!B25*IF(A57&gt;=13,(1+Assumptions!B32)^(A57-12),1)</f>
        <v>45635.3141184789</v>
      </c>
      <c r="K57" s="15" t="n">
        <f aca="false">Assumptions!B26*IF(A57&gt;=13,(1+Assumptions!B32)^(A57-12),1)</f>
        <v>34226.4855888591</v>
      </c>
      <c r="L57" s="15" t="n">
        <f aca="false">Assumptions!B27*IF(A57&gt;=13,(1+Assumptions!B32)^(A57-12),1)</f>
        <v>22817.6570592394</v>
      </c>
      <c r="M57" s="15" t="n">
        <f aca="false">IF(A57&gt;=13,Assumptions!B28*IF(A57&gt;=13,(1+Assumptions!B32)^(A57-12),1),0)</f>
        <v>171132.427944296</v>
      </c>
      <c r="N57" s="15" t="n">
        <f aca="false">Assumptions!B29*IF(A57&gt;=13,(1+Assumptions!B32)^(A57-12),1)</f>
        <v>22817.6570592394</v>
      </c>
      <c r="O57" s="15" t="n">
        <f aca="false">SUM(I57:N57)</f>
        <v>467761.969714408</v>
      </c>
      <c r="P57" s="15" t="n">
        <f aca="false">H57-O57</f>
        <v>204208.194743104</v>
      </c>
      <c r="Q57" s="15" t="n">
        <f aca="false">Q56+P57</f>
        <v>3940112.42201683</v>
      </c>
      <c r="R57" s="16" t="str">
        <f aca="false">IF(Q57&gt;=0,"YES","No")</f>
        <v>YES</v>
      </c>
    </row>
    <row r="58" customFormat="false" ht="15" hidden="false" customHeight="false" outlineLevel="0" collapsed="false">
      <c r="A58" s="12" t="n">
        <v>57</v>
      </c>
      <c r="B58" s="13" t="n">
        <f aca="false">ROUNDUP(A58/12,0)</f>
        <v>5</v>
      </c>
      <c r="C58" s="13" t="str">
        <f aca="false">"Month "&amp;A58</f>
        <v>Month 57</v>
      </c>
      <c r="D58" s="14" t="n">
        <f aca="false">D57*(1+IF(B58=1,Assumptions!B14,Assumptions!B15))</f>
        <v>778.116586198422</v>
      </c>
      <c r="E58" s="15" t="n">
        <f aca="false">D58*Assumptions!B16</f>
        <v>466869.951719053</v>
      </c>
      <c r="F58" s="14" t="n">
        <f aca="false">F57*(1+Assumptions!B20)</f>
        <v>698.323927682767</v>
      </c>
      <c r="G58" s="15" t="n">
        <f aca="false">F58*Assumptions!B21</f>
        <v>209497.17830483</v>
      </c>
      <c r="H58" s="15" t="n">
        <f aca="false">E58+G58</f>
        <v>676367.130023883</v>
      </c>
      <c r="I58" s="15" t="n">
        <f aca="false">Assumptions!B24*IF(A58&gt;=13,(1+Assumptions!B32)^(A58-12),1)</f>
        <v>171645.825228129</v>
      </c>
      <c r="J58" s="15" t="n">
        <f aca="false">Assumptions!B25*IF(A58&gt;=13,(1+Assumptions!B32)^(A58-12),1)</f>
        <v>45772.2200608343</v>
      </c>
      <c r="K58" s="15" t="n">
        <f aca="false">Assumptions!B26*IF(A58&gt;=13,(1+Assumptions!B32)^(A58-12),1)</f>
        <v>34329.1650456257</v>
      </c>
      <c r="L58" s="15" t="n">
        <f aca="false">Assumptions!B27*IF(A58&gt;=13,(1+Assumptions!B32)^(A58-12),1)</f>
        <v>22886.1100304171</v>
      </c>
      <c r="M58" s="15" t="n">
        <f aca="false">IF(A58&gt;=13,Assumptions!B28*IF(A58&gt;=13,(1+Assumptions!B32)^(A58-12),1),0)</f>
        <v>171645.825228129</v>
      </c>
      <c r="N58" s="15" t="n">
        <f aca="false">Assumptions!B29*IF(A58&gt;=13,(1+Assumptions!B32)^(A58-12),1)</f>
        <v>22886.1100304171</v>
      </c>
      <c r="O58" s="15" t="n">
        <f aca="false">SUM(I58:N58)</f>
        <v>469165.255623552</v>
      </c>
      <c r="P58" s="15" t="n">
        <f aca="false">H58-O58</f>
        <v>207201.874400332</v>
      </c>
      <c r="Q58" s="15" t="n">
        <f aca="false">Q57+P58</f>
        <v>4147314.29641716</v>
      </c>
      <c r="R58" s="16" t="str">
        <f aca="false">IF(Q58&gt;=0,"YES","No")</f>
        <v>YES</v>
      </c>
    </row>
    <row r="59" customFormat="false" ht="15" hidden="false" customHeight="false" outlineLevel="0" collapsed="false">
      <c r="A59" s="12" t="n">
        <v>58</v>
      </c>
      <c r="B59" s="13" t="n">
        <f aca="false">ROUNDUP(A59/12,0)</f>
        <v>5</v>
      </c>
      <c r="C59" s="13" t="str">
        <f aca="false">"Month "&amp;A59</f>
        <v>Month 58</v>
      </c>
      <c r="D59" s="14" t="n">
        <f aca="false">D58*(1+IF(B59=1,Assumptions!B14,Assumptions!B15))</f>
        <v>782.007169129415</v>
      </c>
      <c r="E59" s="15" t="n">
        <f aca="false">D59*Assumptions!B16</f>
        <v>469204.301477649</v>
      </c>
      <c r="F59" s="14" t="n">
        <f aca="false">F58*(1+Assumptions!B20)</f>
        <v>705.307166959594</v>
      </c>
      <c r="G59" s="15" t="n">
        <f aca="false">F59*Assumptions!B21</f>
        <v>211592.150087878</v>
      </c>
      <c r="H59" s="15" t="n">
        <f aca="false">E59+G59</f>
        <v>680796.451565527</v>
      </c>
      <c r="I59" s="15" t="n">
        <f aca="false">Assumptions!B24*IF(A59&gt;=13,(1+Assumptions!B32)^(A59-12),1)</f>
        <v>172160.762703813</v>
      </c>
      <c r="J59" s="15" t="n">
        <f aca="false">Assumptions!B25*IF(A59&gt;=13,(1+Assumptions!B32)^(A59-12),1)</f>
        <v>45909.5367210168</v>
      </c>
      <c r="K59" s="15" t="n">
        <f aca="false">Assumptions!B26*IF(A59&gt;=13,(1+Assumptions!B32)^(A59-12),1)</f>
        <v>34432.1525407626</v>
      </c>
      <c r="L59" s="15" t="n">
        <f aca="false">Assumptions!B27*IF(A59&gt;=13,(1+Assumptions!B32)^(A59-12),1)</f>
        <v>22954.7683605084</v>
      </c>
      <c r="M59" s="15" t="n">
        <f aca="false">IF(A59&gt;=13,Assumptions!B28*IF(A59&gt;=13,(1+Assumptions!B32)^(A59-12),1),0)</f>
        <v>172160.762703813</v>
      </c>
      <c r="N59" s="15" t="n">
        <f aca="false">Assumptions!B29*IF(A59&gt;=13,(1+Assumptions!B32)^(A59-12),1)</f>
        <v>22954.7683605084</v>
      </c>
      <c r="O59" s="15" t="n">
        <f aca="false">SUM(I59:N59)</f>
        <v>470572.751390422</v>
      </c>
      <c r="P59" s="15" t="n">
        <f aca="false">H59-O59</f>
        <v>210223.700175105</v>
      </c>
      <c r="Q59" s="15" t="n">
        <f aca="false">Q58+P59</f>
        <v>4357537.99659226</v>
      </c>
      <c r="R59" s="16" t="str">
        <f aca="false">IF(Q59&gt;=0,"YES","No")</f>
        <v>YES</v>
      </c>
    </row>
    <row r="60" customFormat="false" ht="15" hidden="false" customHeight="false" outlineLevel="0" collapsed="false">
      <c r="A60" s="12" t="n">
        <v>59</v>
      </c>
      <c r="B60" s="13" t="n">
        <f aca="false">ROUNDUP(A60/12,0)</f>
        <v>5</v>
      </c>
      <c r="C60" s="13" t="str">
        <f aca="false">"Month "&amp;A60</f>
        <v>Month 59</v>
      </c>
      <c r="D60" s="14" t="n">
        <f aca="false">D59*(1+IF(B60=1,Assumptions!B14,Assumptions!B15))</f>
        <v>785.917204975062</v>
      </c>
      <c r="E60" s="15" t="n">
        <f aca="false">D60*Assumptions!B16</f>
        <v>471550.322985037</v>
      </c>
      <c r="F60" s="14" t="n">
        <f aca="false">F59*(1+Assumptions!B20)</f>
        <v>712.36023862919</v>
      </c>
      <c r="G60" s="15" t="n">
        <f aca="false">F60*Assumptions!B21</f>
        <v>213708.071588757</v>
      </c>
      <c r="H60" s="15" t="n">
        <f aca="false">E60+G60</f>
        <v>685258.394573794</v>
      </c>
      <c r="I60" s="15" t="n">
        <f aca="false">Assumptions!B24*IF(A60&gt;=13,(1+Assumptions!B32)^(A60-12),1)</f>
        <v>172677.244991924</v>
      </c>
      <c r="J60" s="15" t="n">
        <f aca="false">Assumptions!B25*IF(A60&gt;=13,(1+Assumptions!B32)^(A60-12),1)</f>
        <v>46047.2653311798</v>
      </c>
      <c r="K60" s="15" t="n">
        <f aca="false">Assumptions!B26*IF(A60&gt;=13,(1+Assumptions!B32)^(A60-12),1)</f>
        <v>34535.4489983849</v>
      </c>
      <c r="L60" s="15" t="n">
        <f aca="false">Assumptions!B27*IF(A60&gt;=13,(1+Assumptions!B32)^(A60-12),1)</f>
        <v>23023.6326655899</v>
      </c>
      <c r="M60" s="15" t="n">
        <f aca="false">IF(A60&gt;=13,Assumptions!B28*IF(A60&gt;=13,(1+Assumptions!B32)^(A60-12),1),0)</f>
        <v>172677.244991924</v>
      </c>
      <c r="N60" s="15" t="n">
        <f aca="false">Assumptions!B29*IF(A60&gt;=13,(1+Assumptions!B32)^(A60-12),1)</f>
        <v>23023.6326655899</v>
      </c>
      <c r="O60" s="15" t="n">
        <f aca="false">SUM(I60:N60)</f>
        <v>471984.469644593</v>
      </c>
      <c r="P60" s="15" t="n">
        <f aca="false">H60-O60</f>
        <v>213273.924929201</v>
      </c>
      <c r="Q60" s="15" t="n">
        <f aca="false">Q59+P60</f>
        <v>4570811.92152146</v>
      </c>
      <c r="R60" s="16" t="str">
        <f aca="false">IF(Q60&gt;=0,"YES","No")</f>
        <v>YES</v>
      </c>
    </row>
    <row r="61" customFormat="false" ht="15" hidden="false" customHeight="false" outlineLevel="0" collapsed="false">
      <c r="A61" s="12" t="n">
        <v>60</v>
      </c>
      <c r="B61" s="13" t="n">
        <f aca="false">ROUNDUP(A61/12,0)</f>
        <v>5</v>
      </c>
      <c r="C61" s="13" t="str">
        <f aca="false">"Month "&amp;A61</f>
        <v>Month 60</v>
      </c>
      <c r="D61" s="14" t="n">
        <f aca="false">D60*(1+IF(B61=1,Assumptions!B14,Assumptions!B15))</f>
        <v>789.846790999937</v>
      </c>
      <c r="E61" s="15" t="n">
        <f aca="false">D61*Assumptions!B16</f>
        <v>473908.074599962</v>
      </c>
      <c r="F61" s="14" t="n">
        <f aca="false">F60*(1+Assumptions!B20)</f>
        <v>719.483841015482</v>
      </c>
      <c r="G61" s="15" t="n">
        <f aca="false">F61*Assumptions!B21</f>
        <v>215845.152304645</v>
      </c>
      <c r="H61" s="15" t="n">
        <f aca="false">E61+G61</f>
        <v>689753.226904607</v>
      </c>
      <c r="I61" s="15" t="n">
        <f aca="false">Assumptions!B24*IF(A61&gt;=13,(1+Assumptions!B32)^(A61-12),1)</f>
        <v>173195.2767269</v>
      </c>
      <c r="J61" s="15" t="n">
        <f aca="false">Assumptions!B25*IF(A61&gt;=13,(1+Assumptions!B32)^(A61-12),1)</f>
        <v>46185.4071271734</v>
      </c>
      <c r="K61" s="15" t="n">
        <f aca="false">Assumptions!B26*IF(A61&gt;=13,(1+Assumptions!B32)^(A61-12),1)</f>
        <v>34639.05534538</v>
      </c>
      <c r="L61" s="15" t="n">
        <f aca="false">Assumptions!B27*IF(A61&gt;=13,(1+Assumptions!B32)^(A61-12),1)</f>
        <v>23092.7035635867</v>
      </c>
      <c r="M61" s="15" t="n">
        <f aca="false">IF(A61&gt;=13,Assumptions!B28*IF(A61&gt;=13,(1+Assumptions!B32)^(A61-12),1),0)</f>
        <v>173195.2767269</v>
      </c>
      <c r="N61" s="15" t="n">
        <f aca="false">Assumptions!B29*IF(A61&gt;=13,(1+Assumptions!B32)^(A61-12),1)</f>
        <v>23092.7035635867</v>
      </c>
      <c r="O61" s="15" t="n">
        <f aca="false">SUM(I61:N61)</f>
        <v>473400.423053527</v>
      </c>
      <c r="P61" s="15" t="n">
        <f aca="false">H61-O61</f>
        <v>216352.80385108</v>
      </c>
      <c r="Q61" s="15" t="n">
        <f aca="false">Q60+P61</f>
        <v>4787164.72537254</v>
      </c>
      <c r="R61" s="16" t="str">
        <f aca="false">IF(Q61&gt;=0,"YES","No")</f>
        <v>YES</v>
      </c>
    </row>
  </sheetData>
  <autoFilter ref="A1:R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8" min="7" style="0" width="15"/>
    <col collapsed="false" customWidth="true" hidden="false" outlineLevel="0" max="9" min="9" style="0" width="26"/>
  </cols>
  <sheetData>
    <row r="1" customFormat="false" ht="26.85" hidden="false" customHeight="false" outlineLevel="0" collapsed="false">
      <c r="A1" s="11" t="s">
        <v>35</v>
      </c>
      <c r="B1" s="11" t="s">
        <v>52</v>
      </c>
      <c r="C1" s="11" t="s">
        <v>38</v>
      </c>
      <c r="D1" s="11" t="s">
        <v>53</v>
      </c>
      <c r="E1" s="11" t="s">
        <v>40</v>
      </c>
      <c r="F1" s="11" t="s">
        <v>41</v>
      </c>
      <c r="G1" s="11" t="s">
        <v>48</v>
      </c>
      <c r="H1" s="11" t="s">
        <v>54</v>
      </c>
      <c r="I1" s="11" t="s">
        <v>55</v>
      </c>
    </row>
    <row r="2" customFormat="false" ht="15" hidden="false" customHeight="false" outlineLevel="0" collapsed="false">
      <c r="A2" s="13" t="n">
        <v>1</v>
      </c>
      <c r="B2" s="14" t="n">
        <f aca="false">SUM('Monthly Model'!D2:D13)</f>
        <v>6706.04486406363</v>
      </c>
      <c r="C2" s="15" t="n">
        <f aca="false">SUM('Monthly Model'!E2:E13)</f>
        <v>4023626.91843818</v>
      </c>
      <c r="D2" s="14" t="n">
        <f aca="false">SUM('Monthly Model'!F2:F13)</f>
        <v>5073.00120527879</v>
      </c>
      <c r="E2" s="15" t="n">
        <f aca="false">SUM('Monthly Model'!G2:G13)</f>
        <v>1521900.36158364</v>
      </c>
      <c r="F2" s="15" t="n">
        <f aca="false">SUM('Monthly Model'!H2:H13)</f>
        <v>5545527.28002182</v>
      </c>
      <c r="G2" s="15" t="n">
        <f aca="false">SUM('Monthly Model'!O2:O13)</f>
        <v>3120000</v>
      </c>
      <c r="H2" s="15" t="n">
        <f aca="false">SUM('Monthly Model'!P2:P13)</f>
        <v>2425527.28002182</v>
      </c>
      <c r="I2" s="15" t="n">
        <f aca="false">'Monthly Model'!Q13</f>
        <v>-2574472.71997818</v>
      </c>
    </row>
    <row r="3" customFormat="false" ht="15" hidden="false" customHeight="false" outlineLevel="0" collapsed="false">
      <c r="A3" s="13" t="n">
        <v>2</v>
      </c>
      <c r="B3" s="14" t="n">
        <f aca="false">SUM('Monthly Model'!D14:D25)</f>
        <v>7707.20497036692</v>
      </c>
      <c r="C3" s="15" t="n">
        <f aca="false">SUM('Monthly Model'!E14:E25)</f>
        <v>4624322.98222015</v>
      </c>
      <c r="D3" s="14" t="n">
        <f aca="false">SUM('Monthly Model'!F14:F25)</f>
        <v>5716.38473599779</v>
      </c>
      <c r="E3" s="15" t="n">
        <f aca="false">SUM('Monthly Model'!G14:G25)</f>
        <v>1714915.42079934</v>
      </c>
      <c r="F3" s="15" t="n">
        <f aca="false">SUM('Monthly Model'!H14:H25)</f>
        <v>6339238.40301949</v>
      </c>
      <c r="G3" s="15" t="n">
        <f aca="false">SUM('Monthly Model'!O14:O25)</f>
        <v>5017003.29796275</v>
      </c>
      <c r="H3" s="15" t="n">
        <f aca="false">SUM('Monthly Model'!P14:P25)</f>
        <v>1322235.10505674</v>
      </c>
      <c r="I3" s="15" t="n">
        <f aca="false">'Monthly Model'!Q25</f>
        <v>-1252237.61492144</v>
      </c>
    </row>
    <row r="4" customFormat="false" ht="15" hidden="false" customHeight="false" outlineLevel="0" collapsed="false">
      <c r="A4" s="13" t="n">
        <v>3</v>
      </c>
      <c r="B4" s="14" t="n">
        <f aca="false">SUM('Monthly Model'!D26:D37)</f>
        <v>8182.56850853034</v>
      </c>
      <c r="C4" s="15" t="n">
        <f aca="false">SUM('Monthly Model'!E26:E37)</f>
        <v>4909541.1051182</v>
      </c>
      <c r="D4" s="14" t="n">
        <f aca="false">SUM('Monthly Model'!F26:F37)</f>
        <v>6441.36540238665</v>
      </c>
      <c r="E4" s="15" t="n">
        <f aca="false">SUM('Monthly Model'!G26:G37)</f>
        <v>1932409.62071599</v>
      </c>
      <c r="F4" s="15" t="n">
        <f aca="false">SUM('Monthly Model'!H26:H37)</f>
        <v>6841950.7258342</v>
      </c>
      <c r="G4" s="15" t="n">
        <f aca="false">SUM('Monthly Model'!O26:O37)</f>
        <v>5200625.51977367</v>
      </c>
      <c r="H4" s="15" t="n">
        <f aca="false">SUM('Monthly Model'!P26:P37)</f>
        <v>1641325.20606053</v>
      </c>
      <c r="I4" s="15" t="n">
        <f aca="false">'Monthly Model'!Q37</f>
        <v>389087.591139088</v>
      </c>
    </row>
    <row r="5" customFormat="false" ht="15" hidden="false" customHeight="false" outlineLevel="0" collapsed="false">
      <c r="A5" s="13" t="n">
        <v>4</v>
      </c>
      <c r="B5" s="14" t="n">
        <f aca="false">SUM('Monthly Model'!D38:D49)</f>
        <v>8687.25142956784</v>
      </c>
      <c r="C5" s="15" t="n">
        <f aca="false">SUM('Monthly Model'!E38:E49)</f>
        <v>5212350.8577407</v>
      </c>
      <c r="D5" s="14" t="n">
        <f aca="false">SUM('Monthly Model'!F38:F49)</f>
        <v>7258.29176363536</v>
      </c>
      <c r="E5" s="15" t="n">
        <f aca="false">SUM('Monthly Model'!G38:G49)</f>
        <v>2177487.52909061</v>
      </c>
      <c r="F5" s="15" t="n">
        <f aca="false">SUM('Monthly Model'!H38:H49)</f>
        <v>7389838.38683131</v>
      </c>
      <c r="G5" s="15" t="n">
        <f aca="false">SUM('Monthly Model'!O38:O49)</f>
        <v>5390968.31128333</v>
      </c>
      <c r="H5" s="15" t="n">
        <f aca="false">SUM('Monthly Model'!P38:P49)</f>
        <v>1998870.07554798</v>
      </c>
      <c r="I5" s="15" t="n">
        <f aca="false">'Monthly Model'!Q49</f>
        <v>2387957.66668707</v>
      </c>
    </row>
    <row r="6" customFormat="false" ht="15" hidden="false" customHeight="false" outlineLevel="0" collapsed="false">
      <c r="A6" s="13" t="n">
        <v>5</v>
      </c>
      <c r="B6" s="14" t="n">
        <f aca="false">SUM('Monthly Model'!D50:D61)</f>
        <v>9223.06208886031</v>
      </c>
      <c r="C6" s="15" t="n">
        <f aca="false">SUM('Monthly Model'!E50:E61)</f>
        <v>5533837.25331619</v>
      </c>
      <c r="D6" s="14" t="n">
        <f aca="false">SUM('Monthly Model'!F50:F61)</f>
        <v>8178.82483526505</v>
      </c>
      <c r="E6" s="15" t="n">
        <f aca="false">SUM('Monthly Model'!G50:G61)</f>
        <v>2453647.45057951</v>
      </c>
      <c r="F6" s="15" t="n">
        <f aca="false">SUM('Monthly Model'!H50:H61)</f>
        <v>7987484.7038957</v>
      </c>
      <c r="G6" s="15" t="n">
        <f aca="false">SUM('Monthly Model'!O50:O61)</f>
        <v>5588277.64521023</v>
      </c>
      <c r="H6" s="15" t="n">
        <f aca="false">SUM('Monthly Model'!P50:P61)</f>
        <v>2399207.05868547</v>
      </c>
      <c r="I6" s="15" t="n">
        <f aca="false">'Monthly Model'!Q61</f>
        <v>4787164.72537254</v>
      </c>
    </row>
    <row r="7" customFormat="false" ht="15" hidden="false" customHeight="false" outlineLevel="0" collapsed="false">
      <c r="A7" s="7" t="s">
        <v>56</v>
      </c>
      <c r="B7" s="17" t="n">
        <f aca="false">SUM(B2:B6)</f>
        <v>40506.131861389</v>
      </c>
      <c r="C7" s="18" t="n">
        <f aca="false">SUM(C2:C6)</f>
        <v>24303679.1168334</v>
      </c>
      <c r="D7" s="17" t="n">
        <f aca="false">SUM(D2:D6)</f>
        <v>32667.8679425636</v>
      </c>
      <c r="E7" s="18" t="n">
        <f aca="false">SUM(E2:E6)</f>
        <v>9800360.38276909</v>
      </c>
      <c r="F7" s="18" t="n">
        <f aca="false">SUM(F2:F6)</f>
        <v>34104039.4996025</v>
      </c>
      <c r="G7" s="18" t="n">
        <f aca="false">SUM(G2:G6)</f>
        <v>24316874.77423</v>
      </c>
      <c r="H7" s="18" t="n">
        <f aca="false">SUM(H2:H6)</f>
        <v>9787164.72537254</v>
      </c>
      <c r="I7" s="18" t="n">
        <f aca="false">'Monthly Model'!Q61</f>
        <v>4787164.72537254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7" t="s">
        <v>58</v>
      </c>
      <c r="B3" s="19" t="n">
        <f aca="false">Assumptions!B10</f>
        <v>5000000</v>
      </c>
    </row>
    <row r="4" customFormat="false" ht="15" hidden="false" customHeight="false" outlineLevel="0" collapsed="false">
      <c r="A4" s="7" t="s">
        <v>59</v>
      </c>
      <c r="B4" s="19" t="n">
        <f aca="false">AVERAGE('Monthly Model'!P2:P13)</f>
        <v>202127.273335151</v>
      </c>
    </row>
    <row r="5" customFormat="false" ht="15" hidden="false" customHeight="false" outlineLevel="0" collapsed="false">
      <c r="A5" s="7" t="s">
        <v>60</v>
      </c>
      <c r="B5" s="20" t="n">
        <f aca="false">B3/B4</f>
        <v>24.7368893741984</v>
      </c>
    </row>
    <row r="7" customFormat="false" ht="15" hidden="false" customHeight="false" outlineLevel="0" collapsed="false">
      <c r="A7" s="7" t="s">
        <v>61</v>
      </c>
      <c r="B7" s="21" t="n">
        <f aca="false">IFERROR(INDEX('Monthly Model'!A2:A61,MATCH(TRUE(),INDEX('Monthly Model'!Q2:Q61&gt;=0,0),0)),"Not reached within 60 months")</f>
        <v>34</v>
      </c>
    </row>
    <row r="8" customFormat="false" ht="15" hidden="false" customHeight="false" outlineLevel="0" collapsed="false">
      <c r="A8" s="7" t="s">
        <v>62</v>
      </c>
      <c r="B8" s="22" t="n">
        <f aca="false">ROUNDUP(B7/12,0)</f>
        <v>3</v>
      </c>
    </row>
    <row r="10" customFormat="false" ht="15" hidden="false" customHeight="false" outlineLevel="0" collapsed="false">
      <c r="A10" s="7" t="s">
        <v>63</v>
      </c>
    </row>
    <row r="11" customFormat="false" ht="45" hidden="false" customHeight="true" outlineLevel="0" collapsed="false">
      <c r="A11" s="23" t="s">
        <v>64</v>
      </c>
      <c r="B11" s="23"/>
      <c r="C11" s="23"/>
      <c r="D11" s="23"/>
      <c r="E11" s="23"/>
      <c r="F11" s="23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2026-09-14T20:36:59Z</dcterms:created>
  <dc:creator>openpyxl</dc:creator>
  <dc:description/>
  <dc:language>en-US</dc:language>
  <cp:lastModifiedBy/>
  <dcterms:modified xsi:type="dcterms:W3CDTF">2026-09-14T20:37:01Z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